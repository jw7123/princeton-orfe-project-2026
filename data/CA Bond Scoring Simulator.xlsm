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lincolnavenuecapital-my.sharepoint.com/personal/jwilliams_lincolnavenue_com/Documents/CA Bond Scoring Simulator FINAL/CA Bond Scoring Simulator - Gift for Brandon/"/>
    </mc:Choice>
  </mc:AlternateContent>
  <xr:revisionPtr revIDLastSave="264" documentId="13_ncr:1_{1519C36D-6800-4BDC-A6F0-FF5928B19123}" xr6:coauthVersionLast="47" xr6:coauthVersionMax="47" xr10:uidLastSave="{C18D0B90-1684-44D2-8D92-94384E2EF4F5}"/>
  <bookViews>
    <workbookView xWindow="-15150" yWindow="-16320" windowWidth="29040" windowHeight="15720" xr2:uid="{DC9BC97D-59F6-4A3C-927F-65BC8154155C}"/>
  </bookViews>
  <sheets>
    <sheet name="Simulator" sheetId="4" r:id="rId1"/>
    <sheet name="LAC Deal Line" sheetId="5" state="hidden" r:id="rId2"/>
    <sheet name="CDLAC Regions" sheetId="6" state="hidden" r:id="rId3"/>
    <sheet name="Awarded Projects" sheetId="3" r:id="rId4"/>
  </sheets>
  <definedNames>
    <definedName name="_xleta.N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2" i="5" l="1"/>
  <c r="AA2" i="5"/>
  <c r="Z2" i="5"/>
  <c r="Y2" i="5" a="1"/>
  <c r="Y2" i="5" s="1"/>
  <c r="O2" i="5"/>
  <c r="M2" i="5"/>
  <c r="L2" i="5"/>
  <c r="K2" i="5"/>
  <c r="J2" i="5"/>
  <c r="I2" i="5"/>
  <c r="H2" i="5"/>
  <c r="G2" i="5"/>
  <c r="E2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<sst xmlns="http://schemas.openxmlformats.org/spreadsheetml/2006/main" count="1501" uniqueCount="510">
  <si>
    <t>Coastal</t>
  </si>
  <si>
    <t>City of Los Angeles</t>
  </si>
  <si>
    <t>Balance of Los Angeles County</t>
  </si>
  <si>
    <t>Bay Area</t>
  </si>
  <si>
    <t>Inland</t>
  </si>
  <si>
    <t>Northern</t>
  </si>
  <si>
    <t>APPLICATION NUMBER</t>
  </si>
  <si>
    <t>PROJECT NAME</t>
  </si>
  <si>
    <t>CITY</t>
  </si>
  <si>
    <t>COUNTY</t>
  </si>
  <si>
    <t>CONSTRUCTION TYPE</t>
  </si>
  <si>
    <t>HOUSING TYPE</t>
  </si>
  <si>
    <t>CDLAC POOL</t>
  </si>
  <si>
    <t>BIPOC PREQUALIFIED</t>
  </si>
  <si>
    <t>HOMELESS</t>
  </si>
  <si>
    <t>ELI/VLI</t>
  </si>
  <si>
    <t>RURAL</t>
  </si>
  <si>
    <t>MIP</t>
  </si>
  <si>
    <t>BOND REQUEST</t>
  </si>
  <si>
    <t>ANNUAL FEDERAL CREDIT REQUEST</t>
  </si>
  <si>
    <t>STATE CREDIT REQUEST</t>
  </si>
  <si>
    <t>TOTAL UNITS</t>
  </si>
  <si>
    <t>LOW INCOME UNITS</t>
  </si>
  <si>
    <t>CDLAC UNITS</t>
  </si>
  <si>
    <t>MARKET RATE UNITS</t>
  </si>
  <si>
    <t>UNITS FOR HOMELESS</t>
  </si>
  <si>
    <t>HOMELESS %</t>
  </si>
  <si>
    <t>AVERAGE TARGETED AFFORDABILITY</t>
  </si>
  <si>
    <t>TOTAL PROJECT COSTS</t>
  </si>
  <si>
    <t>CTCAC REGION</t>
  </si>
  <si>
    <t>CDLAC REGION</t>
  </si>
  <si>
    <t>TIEBREAKER SELF SCORE</t>
  </si>
  <si>
    <t>CDLAC TOTAL POINTS</t>
  </si>
  <si>
    <t>POINTS: PRESERVATION/OTHER REHAB</t>
  </si>
  <si>
    <t>POINTS: NC DENSITY</t>
  </si>
  <si>
    <t>POINTS: EXCEEDING MIN INCOME</t>
  </si>
  <si>
    <t>POINTS: EXCEEDING MIN RENT</t>
  </si>
  <si>
    <t>POINTS: EXPERIENCE</t>
  </si>
  <si>
    <t>POINTS: HOUSING NEED</t>
  </si>
  <si>
    <t>POINTS: LEVERAGED SOFT RESOURCES</t>
  </si>
  <si>
    <t>POINTS: READINESS</t>
  </si>
  <si>
    <t>POINTS: AFFH</t>
  </si>
  <si>
    <t>POINTS: SERVICE AMENITIES</t>
  </si>
  <si>
    <t>POINTS: COST CONTAINMENT</t>
  </si>
  <si>
    <t>POINTS: SITE AMENITIES</t>
  </si>
  <si>
    <t>CDLAC APPLICANT</t>
  </si>
  <si>
    <t>CTCAC APPLICANT</t>
  </si>
  <si>
    <t>GP1 COMPANY</t>
  </si>
  <si>
    <t>GP1 CONTACT</t>
  </si>
  <si>
    <t>GP1 PARENT ORGANIZATION</t>
  </si>
  <si>
    <t>GP2 COMPANY</t>
  </si>
  <si>
    <t>GP2 CONTACT</t>
  </si>
  <si>
    <t>GP2 PARENT ORGANIZATION</t>
  </si>
  <si>
    <t>GP3 COMPANY</t>
  </si>
  <si>
    <t>GP3 CONTACT</t>
  </si>
  <si>
    <t>GP3 PARENT ORGANIZATION</t>
  </si>
  <si>
    <t>New Construction</t>
  </si>
  <si>
    <t>No</t>
  </si>
  <si>
    <t xml:space="preserve">Coastal (Monterey, Napa, Orange, San Benito, San Diego, San Luis Obispo, Santa Barbara, Sonoma, and Ventura Counties) </t>
  </si>
  <si>
    <t>Other Rehabilitation</t>
  </si>
  <si>
    <t>Bay Area (Alameda, Contra Costa, Marin, San Francisco, San Mateo, Santa Clara, and Santa Cruz Counties)</t>
  </si>
  <si>
    <t>Inland (Fresno, Imperial, Kern, Kings, Madera, Merced, Riverside, San Bernardino, Stanislaus, and Tulare Counties)</t>
  </si>
  <si>
    <t>Northern (Butte, El Dorado, Placer, Sacramento, San Joaquin, Shasta, Solano, Sutter, Yuba, and Yolo Counties)</t>
  </si>
  <si>
    <t>Preservation</t>
  </si>
  <si>
    <t>Inputs</t>
  </si>
  <si>
    <t>N/A</t>
  </si>
  <si>
    <t>Project Name</t>
  </si>
  <si>
    <t>Construction Type</t>
  </si>
  <si>
    <t>CDLAC Pool</t>
  </si>
  <si>
    <t>BIPOC</t>
  </si>
  <si>
    <t>Homeless</t>
  </si>
  <si>
    <t>Rural</t>
  </si>
  <si>
    <t>Bond Request</t>
  </si>
  <si>
    <t>State Credit Request</t>
  </si>
  <si>
    <t>CDLAC Region</t>
  </si>
  <si>
    <t>Tiebreaker</t>
  </si>
  <si>
    <t>Score</t>
  </si>
  <si>
    <t>AFFH Score</t>
  </si>
  <si>
    <t>CDLAC Regions</t>
  </si>
  <si>
    <t>Include?</t>
  </si>
  <si>
    <t>01_May_20_Applicant_List</t>
  </si>
  <si>
    <t>05.20.2025 APPLICANTS</t>
  </si>
  <si>
    <t>CA Bond Scoring Simulator</t>
  </si>
  <si>
    <t>Workbook</t>
  </si>
  <si>
    <t>Sheet</t>
  </si>
  <si>
    <t>Pools</t>
  </si>
  <si>
    <t>Geographic Apportionments</t>
  </si>
  <si>
    <t>State Tax Credits</t>
  </si>
  <si>
    <t>Farmworker Housing</t>
  </si>
  <si>
    <t>Non New Construction</t>
  </si>
  <si>
    <t>Encanto</t>
  </si>
  <si>
    <t>Applicant List</t>
  </si>
  <si>
    <t>LAC Deal</t>
  </si>
  <si>
    <t>Summary</t>
  </si>
  <si>
    <t>Awarded</t>
  </si>
  <si>
    <t>Bucket</t>
  </si>
  <si>
    <t>Order</t>
  </si>
  <si>
    <t>MIP (bonds)</t>
  </si>
  <si>
    <t>MIP (tax credits)</t>
  </si>
  <si>
    <t>Acquisition/Rehabilitation</t>
  </si>
  <si>
    <t>C:\Users\jwilliams\OneDrive - LAC\CA Bond Scoring Simulator FINAL\CA Bond Scoring Simulator - Gift for Brandon</t>
  </si>
  <si>
    <t>FARMWORKER</t>
  </si>
  <si>
    <t>POOL REGION</t>
  </si>
  <si>
    <t>FUNDED FROM</t>
  </si>
  <si>
    <t>ADJUSTED_SCORE</t>
  </si>
  <si>
    <t>25-575</t>
  </si>
  <si>
    <t>Crenshaw Court</t>
  </si>
  <si>
    <t>Los Angeles</t>
  </si>
  <si>
    <t>Large Family</t>
  </si>
  <si>
    <t>Yes</t>
  </si>
  <si>
    <t>California Municipal Finance Authority</t>
  </si>
  <si>
    <t>Kingdom Development, Inc.</t>
  </si>
  <si>
    <t>Kingdom BI, LLC</t>
  </si>
  <si>
    <t>William Leach</t>
  </si>
  <si>
    <t>Crenshaw Court LLC</t>
  </si>
  <si>
    <t>Miki M. Nam</t>
  </si>
  <si>
    <t>Arden Development, Inc</t>
  </si>
  <si>
    <t>Spada Development LLC</t>
  </si>
  <si>
    <t>25-599</t>
  </si>
  <si>
    <t>Hillcrest Hall</t>
  </si>
  <si>
    <t>San Diego</t>
  </si>
  <si>
    <t>San Diego County</t>
  </si>
  <si>
    <t>San Diego Housing Commission</t>
  </si>
  <si>
    <t>Hillcrest Hall LP</t>
  </si>
  <si>
    <t>BOLD Communities</t>
  </si>
  <si>
    <t>Michael Miller</t>
  </si>
  <si>
    <t>Hillcrest Hall AGP LLC</t>
  </si>
  <si>
    <t>Paul Salib</t>
  </si>
  <si>
    <t>CRP Affordable Housing and Community Development LLC</t>
  </si>
  <si>
    <t>E. Smith &amp; Company, Inc.</t>
  </si>
  <si>
    <t>25-640</t>
  </si>
  <si>
    <t>Harbor View Place</t>
  </si>
  <si>
    <t>Housing Authority of the City of Los Angeles</t>
  </si>
  <si>
    <t>Harbor View Housing Partners, LP</t>
  </si>
  <si>
    <t>La Cienega Harbor View, LLC</t>
  </si>
  <si>
    <t>Tina Smith-Booth</t>
  </si>
  <si>
    <t>La Cienega LOMOD, Inc.</t>
  </si>
  <si>
    <t>Harbor View Housing Partners AGP, LLC</t>
  </si>
  <si>
    <t>Lara Regus</t>
  </si>
  <si>
    <t>Abode Communities</t>
  </si>
  <si>
    <t>25-579</t>
  </si>
  <si>
    <t>Golden Gate Village Phase I</t>
  </si>
  <si>
    <t>Sausalito (unincorporated Marin County)</t>
  </si>
  <si>
    <t>Marin</t>
  </si>
  <si>
    <t>Non-Targeted</t>
  </si>
  <si>
    <t>Northern Region: Butte, Marin, Napa, Shasta, Solano, and Sonoma Counties</t>
  </si>
  <si>
    <t>Golden Gate Village Phase I, L.P.</t>
  </si>
  <si>
    <t>BHDC Golden Gate Village Phase I, LLC</t>
  </si>
  <si>
    <t>Lawrance Florin</t>
  </si>
  <si>
    <t>Burbank Housing Development Corporation</t>
  </si>
  <si>
    <t>MHA Golden Gate Village Phase I, LLC</t>
  </si>
  <si>
    <t>Kimberly Carroll</t>
  </si>
  <si>
    <t>Marin Housing Authority</t>
  </si>
  <si>
    <t>25-633</t>
  </si>
  <si>
    <t>Westwood I Apartments</t>
  </si>
  <si>
    <t>Coalinga</t>
  </si>
  <si>
    <t>Fresno</t>
  </si>
  <si>
    <t>At-Risk</t>
  </si>
  <si>
    <t>Central Valley Region: Fresno, Kern, Kings, Madera, Merced, San Joaquin, Stanislaus, and Tulare Counties</t>
  </si>
  <si>
    <t>Westwood I Community Partners, LP</t>
  </si>
  <si>
    <t>CPP - Westwood I GP, LLC</t>
  </si>
  <si>
    <t>Alexis Castillo</t>
  </si>
  <si>
    <t>WNC Development Partners 4, LLC</t>
  </si>
  <si>
    <t>FFAH V Westwood I Apts CA, LLC</t>
  </si>
  <si>
    <t>Tarun Chandran</t>
  </si>
  <si>
    <t>FFAH V, Inc</t>
  </si>
  <si>
    <t>25-614</t>
  </si>
  <si>
    <t>Santa Monica Christian Towers</t>
  </si>
  <si>
    <t>Santa Monica</t>
  </si>
  <si>
    <t>California Housing Finance Agency</t>
  </si>
  <si>
    <t>Santa Monica Towers LP</t>
  </si>
  <si>
    <t>SMT TSA Housing LLC</t>
  </si>
  <si>
    <t>Anthony Yannatta; Sara Dabbs</t>
  </si>
  <si>
    <t>TSA Housing, Inc.</t>
  </si>
  <si>
    <t>RCC MGP LLC</t>
  </si>
  <si>
    <t>Ken Robertson</t>
  </si>
  <si>
    <t xml:space="preserve">Riverside Charitable Corporation (RCC)																		</t>
  </si>
  <si>
    <t>To-Be-Formed Co-General Partner LLC</t>
  </si>
  <si>
    <t>25-610</t>
  </si>
  <si>
    <t>The Lincoln Hotel</t>
  </si>
  <si>
    <t>Special Needs</t>
  </si>
  <si>
    <t>Hope Credits L.P.</t>
  </si>
  <si>
    <t>Decro Lincoln Corporation</t>
  </si>
  <si>
    <t>Ted Handel</t>
  </si>
  <si>
    <t>Hope For SoMa, LLC</t>
  </si>
  <si>
    <t>Adam Kent</t>
  </si>
  <si>
    <t>Hope Credits, L.P.</t>
  </si>
  <si>
    <t>25-529</t>
  </si>
  <si>
    <t>George McDonald Court</t>
  </si>
  <si>
    <t>George McDonald Court LP</t>
  </si>
  <si>
    <t>Castle Argyle, a California Non-profit public benefit corporation</t>
  </si>
  <si>
    <t>Mary Grace Crisostomo</t>
  </si>
  <si>
    <t>HumanGood Affordable Housing</t>
  </si>
  <si>
    <t>25-552</t>
  </si>
  <si>
    <t>BMG Housing</t>
  </si>
  <si>
    <t>San Jose</t>
  </si>
  <si>
    <t>Santa Clara</t>
  </si>
  <si>
    <t>South and West Bay Region: San Mateo and Santa Clara Counties</t>
  </si>
  <si>
    <t>BMG Housing LP</t>
  </si>
  <si>
    <t>BMG Housing LLC</t>
  </si>
  <si>
    <t>Anand Shah</t>
  </si>
  <si>
    <t>Community Housing Developers, Inc.</t>
  </si>
  <si>
    <t>Kingdom BD, LLC</t>
  </si>
  <si>
    <t>25-531</t>
  </si>
  <si>
    <t>Paseo Senter II Rehab</t>
  </si>
  <si>
    <t>PSII Rehab, LP</t>
  </si>
  <si>
    <t>Core PSII Rehab, LLC</t>
  </si>
  <si>
    <t>Chris Neale</t>
  </si>
  <si>
    <t>Core Affordable Housing, LLC</t>
  </si>
  <si>
    <t>AHCDC Paseo Senter 2, LLC</t>
  </si>
  <si>
    <t>Joseph A. Stalzer</t>
  </si>
  <si>
    <t>25-623</t>
  </si>
  <si>
    <t>Prospect Avenue Senior, Prospect Villa and Propect Villa III</t>
  </si>
  <si>
    <t>Hollister</t>
  </si>
  <si>
    <t>San Benito</t>
  </si>
  <si>
    <t>Seniors</t>
  </si>
  <si>
    <t>Central Coast Region: Monterey, San Luis Obispo, Santa Barbara, Santa Cruz, and Ventura Counties</t>
  </si>
  <si>
    <t>Hollister Investment Group, LP</t>
  </si>
  <si>
    <t>Bettencourt Properties, Inc.</t>
  </si>
  <si>
    <t>Ronald D. Bettencourt</t>
  </si>
  <si>
    <t>The Beneficial Housing Foundation</t>
  </si>
  <si>
    <t>Kimberley McClintock</t>
  </si>
  <si>
    <t>25-591</t>
  </si>
  <si>
    <t>Pinnacle Pass Apartments</t>
  </si>
  <si>
    <t>Scotts Valley</t>
  </si>
  <si>
    <t>Santa Cruz</t>
  </si>
  <si>
    <t>CRP Pinnacle Pass LP</t>
  </si>
  <si>
    <t>PSCDC Pinnacle LLC</t>
  </si>
  <si>
    <t>Robert Laing</t>
  </si>
  <si>
    <t>Pacific Southwest Community Development Corporation</t>
  </si>
  <si>
    <t>CRP Pinnacle Pass AGP LLC</t>
  </si>
  <si>
    <t>25-540</t>
  </si>
  <si>
    <t>Brookview Senior Villas</t>
  </si>
  <si>
    <t>Fallbrook</t>
  </si>
  <si>
    <t>Fallbrook Senior Apartments LP</t>
  </si>
  <si>
    <t>NCRC Fallbrook LLC</t>
  </si>
  <si>
    <t>Ashley Wright</t>
  </si>
  <si>
    <t>National Community Renaissance of California</t>
  </si>
  <si>
    <t>SDCHC West Elder LLC</t>
  </si>
  <si>
    <t>Theodore Miyahara</t>
  </si>
  <si>
    <t>San Diego Community Housing Corporation</t>
  </si>
  <si>
    <t>25-597</t>
  </si>
  <si>
    <t>Mountain View Lot 12</t>
  </si>
  <si>
    <t>Mountain View</t>
  </si>
  <si>
    <t>MV Lot 12 Housing Partners, L.P.</t>
  </si>
  <si>
    <t>Related/Lot 12 Development Co., LLC, a California limited liability company</t>
  </si>
  <si>
    <t>Ann Silverberg</t>
  </si>
  <si>
    <t>The Related Companies of California, LLC</t>
  </si>
  <si>
    <t>AH LOT 12 LLC, a California limited liability company</t>
  </si>
  <si>
    <t>Randy Tsuda</t>
  </si>
  <si>
    <t>Alta Housing, a California nonprofit public benefit corporation</t>
  </si>
  <si>
    <t>25-527</t>
  </si>
  <si>
    <t>525 Water Street</t>
  </si>
  <si>
    <t>Zen Development LLC</t>
  </si>
  <si>
    <t>Zen Sawyer</t>
  </si>
  <si>
    <t>Kingdom AN, LLC</t>
  </si>
  <si>
    <t>Kingdom Development, Inc</t>
  </si>
  <si>
    <t>25-595</t>
  </si>
  <si>
    <t xml:space="preserve">El Camino Real Multifamily </t>
  </si>
  <si>
    <t>Palo Alto</t>
  </si>
  <si>
    <t xml:space="preserve">Charities Housing Development Corportation of Santa Clara County </t>
  </si>
  <si>
    <t>El Camino PA, LLC</t>
  </si>
  <si>
    <t>Christian Poncetta</t>
  </si>
  <si>
    <t xml:space="preserve">Charities Housing Development Corporation of Santa Clara County </t>
  </si>
  <si>
    <t>25-634</t>
  </si>
  <si>
    <t>2970 16th Street</t>
  </si>
  <si>
    <t>San Francisco</t>
  </si>
  <si>
    <t>San Francisco County</t>
  </si>
  <si>
    <t>City and County of San Francisco</t>
  </si>
  <si>
    <t>1979 Mission Street PSH Associates, LP</t>
  </si>
  <si>
    <t>1979 Mission PSH Housing Assoiates, LLC</t>
  </si>
  <si>
    <t>Kevin Kitchingham</t>
  </si>
  <si>
    <t>Mission Housing Development Corporation</t>
  </si>
  <si>
    <t>MEDA 1979 PSH LLC</t>
  </si>
  <si>
    <t>Warren Ritter</t>
  </si>
  <si>
    <t>Mission Economic Development Agency</t>
  </si>
  <si>
    <t>25-643</t>
  </si>
  <si>
    <t>Estrella Azul</t>
  </si>
  <si>
    <t xml:space="preserve">Estrella Azul, L.P. </t>
  </si>
  <si>
    <t>Supportive Housing LLC</t>
  </si>
  <si>
    <t>Dora Leong Gallo</t>
  </si>
  <si>
    <t>A Community of Friends</t>
  </si>
  <si>
    <t>25-612</t>
  </si>
  <si>
    <t>Banana Belt Apartments</t>
  </si>
  <si>
    <t>CRP Banana Belt LP</t>
  </si>
  <si>
    <t>Rober Laing</t>
  </si>
  <si>
    <t>CRP Banana Belt AGP LLC</t>
  </si>
  <si>
    <t>25-600</t>
  </si>
  <si>
    <t>Balboa Reservoir - Building A</t>
  </si>
  <si>
    <t>Balboa Gateway LP</t>
  </si>
  <si>
    <t>Balboa Gateway LLC</t>
  </si>
  <si>
    <t>Smitha Seshadri</t>
  </si>
  <si>
    <t>BRIDGE Housing Corporation</t>
  </si>
  <si>
    <t>25-560</t>
  </si>
  <si>
    <t>136 River Apartments</t>
  </si>
  <si>
    <t>136 River Apartments Investors, L.P., a to be formed Limited Partnership</t>
  </si>
  <si>
    <t>136 River Partners, LLC</t>
  </si>
  <si>
    <t>Jim Rendler</t>
  </si>
  <si>
    <t>PacH Lancaster Holdings, LLC</t>
  </si>
  <si>
    <t>Mark Wiese</t>
  </si>
  <si>
    <t xml:space="preserve">Pacific Housing, Inc. </t>
  </si>
  <si>
    <t>Pacific Housing, Inc</t>
  </si>
  <si>
    <t>25-562</t>
  </si>
  <si>
    <t>SDSU Mission Valley</t>
  </si>
  <si>
    <t>Southern California Housing Collaborative</t>
  </si>
  <si>
    <t>Nathan Schmid</t>
  </si>
  <si>
    <t>CIC SDSU MV, LLC</t>
  </si>
  <si>
    <t>Cheri Hoffman</t>
  </si>
  <si>
    <t>Chelsea Investment Corporation</t>
  </si>
  <si>
    <t>25-638</t>
  </si>
  <si>
    <t>Berryessa TOD</t>
  </si>
  <si>
    <t>City of San Jose</t>
  </si>
  <si>
    <t>Berryessa Affordable Housing, LP</t>
  </si>
  <si>
    <t>AHG Berryessa, LLC</t>
  </si>
  <si>
    <t>James P. Silverwood</t>
  </si>
  <si>
    <t>Affirmed Housing Group, Inc.</t>
  </si>
  <si>
    <t>CFAH Housing, LLC</t>
  </si>
  <si>
    <t>Robin Martinez</t>
  </si>
  <si>
    <t>Compass for Affordable Housing</t>
  </si>
  <si>
    <t>25-642</t>
  </si>
  <si>
    <t>Armory Arts Collective</t>
  </si>
  <si>
    <t>Long Beach</t>
  </si>
  <si>
    <t>Adaptive Reuse</t>
  </si>
  <si>
    <t>Linc Housing Corporation (as Sole Member and Manager of Linc Armory, LLC, the Managing General Partner of Linc Armory, LP)</t>
  </si>
  <si>
    <t xml:space="preserve">Linc Armory, LLC																		</t>
  </si>
  <si>
    <t>Anders Plett</t>
  </si>
  <si>
    <t>Linc Housing Corporation</t>
  </si>
  <si>
    <t>25-604</t>
  </si>
  <si>
    <t>Sheridan Apartments</t>
  </si>
  <si>
    <t>Menlo Park</t>
  </si>
  <si>
    <t>San Mateo</t>
  </si>
  <si>
    <t>320 Sheridan LP</t>
  </si>
  <si>
    <t>Community Revitalization and Development Corporation</t>
  </si>
  <si>
    <t>Shelby Marocco</t>
  </si>
  <si>
    <t>320 Sheridan GP LLC</t>
  </si>
  <si>
    <t>Steven Spielberg</t>
  </si>
  <si>
    <t>Alliant Communities LLC</t>
  </si>
  <si>
    <t>25-587</t>
  </si>
  <si>
    <t>Sky Castle</t>
  </si>
  <si>
    <t>Sky Castle I, LP</t>
  </si>
  <si>
    <t>Kingdom Sky Castle LLC</t>
  </si>
  <si>
    <t>Sky Castle Parners I, LLC</t>
  </si>
  <si>
    <t>Garrett Lee</t>
  </si>
  <si>
    <t>Gramercy Park Partners, Inc.</t>
  </si>
  <si>
    <t>25-577</t>
  </si>
  <si>
    <t>638 S Berendo</t>
  </si>
  <si>
    <t>638 Berendo Partners, LLC</t>
  </si>
  <si>
    <t>Scott Dobbins</t>
  </si>
  <si>
    <t>Hankey Investment Company</t>
  </si>
  <si>
    <t>Kingdom BE LLC</t>
  </si>
  <si>
    <t>Rusty Leach</t>
  </si>
  <si>
    <t>25-624</t>
  </si>
  <si>
    <t>Francis Avenue Apartments</t>
  </si>
  <si>
    <t>MRK Partners, Inc.</t>
  </si>
  <si>
    <t>Francis AGP LLC</t>
  </si>
  <si>
    <t>Sydne Garchik</t>
  </si>
  <si>
    <t xml:space="preserve">MRK Partners, Inc. </t>
  </si>
  <si>
    <t>Pacific Southwest Community Development Corporation, a California nonprofit public benefit corporation</t>
  </si>
  <si>
    <t>25-566</t>
  </si>
  <si>
    <t>Victoria Flats</t>
  </si>
  <si>
    <t>Ventura</t>
  </si>
  <si>
    <t>Affordable Housing Access, Inc.</t>
  </si>
  <si>
    <t>AHA Ventura II MGP, LLC</t>
  </si>
  <si>
    <t>Shawn Boyd</t>
  </si>
  <si>
    <t>Olivas Partners AGP, LLC</t>
  </si>
  <si>
    <t>Ron Wu</t>
  </si>
  <si>
    <t>FLT Equity,LLC</t>
  </si>
  <si>
    <t>25-646</t>
  </si>
  <si>
    <t>960 Howard Street</t>
  </si>
  <si>
    <t>SF</t>
  </si>
  <si>
    <t>oWOW LLC</t>
  </si>
  <si>
    <t>Jermey Harris</t>
  </si>
  <si>
    <t>Foundation for Affordable Housing V</t>
  </si>
  <si>
    <t>Darrin Willard</t>
  </si>
  <si>
    <t>25-590</t>
  </si>
  <si>
    <t>Gateway Tower</t>
  </si>
  <si>
    <t>Affordable Housing CDC, Inc.</t>
  </si>
  <si>
    <t>Core Gateway Tower SJ, LLC</t>
  </si>
  <si>
    <t>AHCDC Gateway Tower LLC</t>
  </si>
  <si>
    <t>Joe Stalzer</t>
  </si>
  <si>
    <t>AFFORDABLE HOUSING CDC, INC</t>
  </si>
  <si>
    <t>25-627</t>
  </si>
  <si>
    <t>Sherman Apartments</t>
  </si>
  <si>
    <t>Tampa Sherman, LP</t>
  </si>
  <si>
    <t>Tampa Sherman, LLC</t>
  </si>
  <si>
    <t>Chris Maffris</t>
  </si>
  <si>
    <t>Meta Development, LLC</t>
  </si>
  <si>
    <t>FFAH V Tampa Sherman Apts CA, LLC</t>
  </si>
  <si>
    <t>Foundation For Affordable Housing</t>
  </si>
  <si>
    <t>25-594</t>
  </si>
  <si>
    <t>Mirka Tower 1</t>
  </si>
  <si>
    <t>Mirka Investments, LLC</t>
  </si>
  <si>
    <t>Kursat Misirlioglu</t>
  </si>
  <si>
    <t>Robert W Laing</t>
  </si>
  <si>
    <t>HCP, LLC</t>
  </si>
  <si>
    <t>25-615</t>
  </si>
  <si>
    <t>La Estancia</t>
  </si>
  <si>
    <t>AMCAL Multi-Housing Inc.</t>
  </si>
  <si>
    <t>Arjun Nagarkatti</t>
  </si>
  <si>
    <t>Brandon Affordable Housing, LLC</t>
  </si>
  <si>
    <t>Joseph M. Michael</t>
  </si>
  <si>
    <t>Las Palmas Foundation</t>
  </si>
  <si>
    <t>25-559</t>
  </si>
  <si>
    <t>San Simeon Oaks Village</t>
  </si>
  <si>
    <t>Santa Barbara</t>
  </si>
  <si>
    <t>Housing Authority of the County of Santa Barbara</t>
  </si>
  <si>
    <t>FLT San Simeon Oaks, L.P.</t>
  </si>
  <si>
    <t xml:space="preserve">Surf Development Company </t>
  </si>
  <si>
    <t>Robert P Havlicek Jr.</t>
  </si>
  <si>
    <t>FLT San Simeon Oaks AGP, LLC</t>
  </si>
  <si>
    <t>FLT Equity, LLC</t>
  </si>
  <si>
    <t>25-598</t>
  </si>
  <si>
    <t>Mira Mesa</t>
  </si>
  <si>
    <t>Mira Mesa CIC, LP</t>
  </si>
  <si>
    <t>CIC Mira Mesa, LLC</t>
  </si>
  <si>
    <t>25-569</t>
  </si>
  <si>
    <t>Tapo Street Apartments</t>
  </si>
  <si>
    <t>Simi Valley</t>
  </si>
  <si>
    <t>Simi Valley Pacific Associates II, LP</t>
  </si>
  <si>
    <t>Central Valley Coalition for Affordable Housing</t>
  </si>
  <si>
    <t>Christina Alley</t>
  </si>
  <si>
    <t>TPC Holdings IX, LLC</t>
  </si>
  <si>
    <t>Caleb Roope</t>
  </si>
  <si>
    <t>The Pacific Companies</t>
  </si>
  <si>
    <t>25-613</t>
  </si>
  <si>
    <t>Market Two</t>
  </si>
  <si>
    <t>Market 2 AGP LLC</t>
  </si>
  <si>
    <t>25-629</t>
  </si>
  <si>
    <t xml:space="preserve">Warner Center II </t>
  </si>
  <si>
    <t xml:space="preserve">Warner Center II, L.P. </t>
  </si>
  <si>
    <t xml:space="preserve">Warner Center II, LLC </t>
  </si>
  <si>
    <t xml:space="preserve">Loren Messeri </t>
  </si>
  <si>
    <t xml:space="preserve">FFAH V Warner Center II, LLC </t>
  </si>
  <si>
    <t xml:space="preserve">Tarun Chandran </t>
  </si>
  <si>
    <t xml:space="preserve">Foundation For Affordable Housing V, Inc.  </t>
  </si>
  <si>
    <t>25-588</t>
  </si>
  <si>
    <t>Prisma</t>
  </si>
  <si>
    <t>AHG Hollywood, LLC</t>
  </si>
  <si>
    <t>Lindsey Carr</t>
  </si>
  <si>
    <t>Affirmed Housing Group</t>
  </si>
  <si>
    <t xml:space="preserve">CFAH Housing, LLC. </t>
  </si>
  <si>
    <t>25-621</t>
  </si>
  <si>
    <t xml:space="preserve">21010 Vanowen </t>
  </si>
  <si>
    <t>21010 Vanowen, LP</t>
  </si>
  <si>
    <t xml:space="preserve">21010 Vanowen, LLC </t>
  </si>
  <si>
    <t>Taylor Rasmussen</t>
  </si>
  <si>
    <t>FFAH II Vanowen St. Apts CA, LLC</t>
  </si>
  <si>
    <t>Foundation For Affordable Housing II, Inc.</t>
  </si>
  <si>
    <t>25-583</t>
  </si>
  <si>
    <t>Creekside Commons</t>
  </si>
  <si>
    <t>Santa Clarita</t>
  </si>
  <si>
    <t xml:space="preserve">California Housing Finance Agency </t>
  </si>
  <si>
    <t>Creekside Commons LP</t>
  </si>
  <si>
    <t>Creekside Commons AGP LLC</t>
  </si>
  <si>
    <t>25-522</t>
  </si>
  <si>
    <t>Zenith on 25th</t>
  </si>
  <si>
    <t>Palmdale</t>
  </si>
  <si>
    <t>Palmdale Family Apartments LP</t>
  </si>
  <si>
    <t>Rainbow Housing Assistance Corporation</t>
  </si>
  <si>
    <t>Darren Lis</t>
  </si>
  <si>
    <t>Palmdale Family GP LLC</t>
  </si>
  <si>
    <t>Brandon Hodge</t>
  </si>
  <si>
    <t>Lincoln Avenue Capital LLC</t>
  </si>
  <si>
    <t>25-533</t>
  </si>
  <si>
    <t>41st &amp; Soquel Apartments</t>
  </si>
  <si>
    <t>Soquel</t>
  </si>
  <si>
    <t>Linc Housing Corporation, a California nonprofit public benefit corporation</t>
  </si>
  <si>
    <t>Linc Soquel Dr LLC</t>
  </si>
  <si>
    <t>25-563</t>
  </si>
  <si>
    <t>Calypso Apartments</t>
  </si>
  <si>
    <t>PacH San Jose Holdings, LLC</t>
  </si>
  <si>
    <t>Green Valley Corporation dba Swenson</t>
  </si>
  <si>
    <t>Mark Pilarczyk</t>
  </si>
  <si>
    <t>Mat Eland</t>
  </si>
  <si>
    <t>Pacific Housing, Inc.</t>
  </si>
  <si>
    <t>25-616</t>
  </si>
  <si>
    <t>Palm Desert Family Housing</t>
  </si>
  <si>
    <t>Palm Desert</t>
  </si>
  <si>
    <t>Riverside</t>
  </si>
  <si>
    <t>Inland Empire Region: San Bernardino, Riverside, and Imperial Counties</t>
  </si>
  <si>
    <t>AHG Palm Desert, LLC</t>
  </si>
  <si>
    <t>James Silverwood</t>
  </si>
  <si>
    <t>25-620</t>
  </si>
  <si>
    <t>Jefferson Affordable Family Apartments</t>
  </si>
  <si>
    <t xml:space="preserve">Murrieta </t>
  </si>
  <si>
    <t>25-603</t>
  </si>
  <si>
    <t>Cesar Chavez Apartments</t>
  </si>
  <si>
    <t>Corporation for Better Housing, a 501(c)(3) non-profit</t>
  </si>
  <si>
    <t>Corporation for Better Housing</t>
  </si>
  <si>
    <t>Lori Koester</t>
  </si>
  <si>
    <t>Integrated Community Develompent, LLC</t>
  </si>
  <si>
    <t>Justin Hardt</t>
  </si>
  <si>
    <t>25-572</t>
  </si>
  <si>
    <t>Sierra Vista Apartments</t>
  </si>
  <si>
    <t>Roseville</t>
  </si>
  <si>
    <t>Placer</t>
  </si>
  <si>
    <t>Capital Region: El Dorado, Placer, Sacramento, Sutter, Yuba, and Yolo Counties</t>
  </si>
  <si>
    <t>Koroni LLC</t>
  </si>
  <si>
    <t>Sam Stamas</t>
  </si>
  <si>
    <t>Adarte LLC</t>
  </si>
  <si>
    <t>Paul Z. Stamas</t>
  </si>
  <si>
    <t xml:space="preserve">Greek Orthodox Housing Corporation </t>
  </si>
  <si>
    <t>25-650</t>
  </si>
  <si>
    <t>Westpark Family Affordable Apartments</t>
  </si>
  <si>
    <t>California Public Finance Authority</t>
  </si>
  <si>
    <t>PacH Anton South Holdings, LLC</t>
  </si>
  <si>
    <t>St. Anton Westpark Affordable, LLC</t>
  </si>
  <si>
    <t>Ardie Zahedani</t>
  </si>
  <si>
    <t>Mark A. Wiese</t>
  </si>
  <si>
    <t>Folder Path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</si>
</sst>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&quot;$&quot;_(#,##0_);&quot;$&quot;\(#,##0\);_(&quot;–&quot;_);@_)"/>
    <numFmt numFmtId="165" formatCode="0.0_0%;\(0.0\)%;_(&quot;–&quot;_);@_)_%"/>
    <numFmt numFmtId="166" formatCode="0.0_0%;\(0.0\)_0%;_(&quot;–&quot;_);@_)_%"/>
    <numFmt numFmtId="167" formatCode="&quot;$&quot;_(#,##0.00_);&quot;$&quot;\(#,##0.00\);_(&quot;–&quot;_);@_)"/>
    <numFmt numFmtId="168" formatCode="_(&quot;$&quot;* #,##0_);_(&quot;$&quot;* \(#,##0\);_(&quot;$&quot;* &quot;-&quot;??_);_(@_)"/>
  </numFmts>
  <fonts count="14">
    <font>
      <sz val="11"/>
      <color theme="1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Calibri"/>
      <family val="2"/>
    </font>
    <font>
      <b/>
      <sz val="20"/>
      <color rgb="FF334D35"/>
      <name val="Arial"/>
      <family val="2"/>
    </font>
    <font>
      <b/>
      <u val="singleAccounting"/>
      <sz val="9"/>
      <color theme="0"/>
      <name val="Arial"/>
      <family val="2"/>
    </font>
    <font>
      <sz val="9"/>
      <color theme="1"/>
      <name val="Arial"/>
      <family val="2"/>
    </font>
    <font>
      <sz val="9"/>
      <color rgb="FF0000FF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sz val="12"/>
      <name val="Arial MT"/>
    </font>
    <font>
      <sz val="9"/>
      <color rgb="FF008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4D35"/>
        <bgColor indexed="64"/>
      </patternFill>
    </fill>
    <fill>
      <patternFill patternType="solid">
        <fgColor rgb="FFFBFA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BFAD6"/>
        <bgColor rgb="FF000000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rgb="FF334D35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12" fillId="0" borderId="0"/>
    <xf numFmtId="44" fontId="3" fillId="0" borderId="0" applyFont="0" applyFill="0" applyBorder="0" applyAlignment="0" applyProtection="0"/>
  </cellStyleXfs>
  <cellXfs count="39">
    <xf numFmtId="0" fontId="0" fillId="0" borderId="0" xfId="0"/>
    <xf numFmtId="0" fontId="4" fillId="2" borderId="0" xfId="0" applyFont="1" applyFill="1"/>
    <xf numFmtId="0" fontId="5" fillId="0" borderId="1" xfId="0" applyFont="1" applyBorder="1" applyAlignment="1">
      <alignment horizontal="center" vertical="top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9" fontId="1" fillId="0" borderId="0" xfId="1" applyFont="1" applyBorder="1" applyAlignment="1">
      <alignment horizontal="left"/>
    </xf>
    <xf numFmtId="0" fontId="6" fillId="3" borderId="3" xfId="0" applyFont="1" applyFill="1" applyBorder="1"/>
    <xf numFmtId="0" fontId="7" fillId="4" borderId="0" xfId="0" applyFont="1" applyFill="1" applyAlignment="1">
      <alignment horizontal="centerContinuous" vertical="center"/>
    </xf>
    <xf numFmtId="0" fontId="8" fillId="3" borderId="0" xfId="0" applyFont="1" applyFill="1" applyAlignment="1">
      <alignment vertical="center"/>
    </xf>
    <xf numFmtId="1" fontId="10" fillId="3" borderId="0" xfId="0" applyNumberFormat="1" applyFont="1" applyFill="1"/>
    <xf numFmtId="165" fontId="10" fillId="3" borderId="0" xfId="0" applyNumberFormat="1" applyFont="1" applyFill="1"/>
    <xf numFmtId="0" fontId="10" fillId="3" borderId="0" xfId="0" applyFont="1" applyFill="1"/>
    <xf numFmtId="0" fontId="10" fillId="3" borderId="3" xfId="0" applyFont="1" applyFill="1" applyBorder="1"/>
    <xf numFmtId="1" fontId="8" fillId="3" borderId="0" xfId="0" applyNumberFormat="1" applyFont="1" applyFill="1"/>
    <xf numFmtId="0" fontId="8" fillId="3" borderId="0" xfId="0" applyFont="1" applyFill="1"/>
    <xf numFmtId="1" fontId="8" fillId="3" borderId="0" xfId="0" applyNumberFormat="1" applyFont="1" applyFill="1" applyAlignment="1">
      <alignment vertical="center"/>
    </xf>
    <xf numFmtId="0" fontId="11" fillId="6" borderId="5" xfId="0" applyFont="1" applyFill="1" applyBorder="1"/>
    <xf numFmtId="0" fontId="11" fillId="6" borderId="5" xfId="0" applyFont="1" applyFill="1" applyBorder="1" applyAlignment="1">
      <alignment vertical="center"/>
    </xf>
    <xf numFmtId="0" fontId="11" fillId="6" borderId="5" xfId="0" applyFont="1" applyFill="1" applyBorder="1" applyAlignment="1">
      <alignment horizontal="right"/>
    </xf>
    <xf numFmtId="0" fontId="8" fillId="0" borderId="4" xfId="0" applyFont="1" applyBorder="1"/>
    <xf numFmtId="0" fontId="8" fillId="0" borderId="4" xfId="0" applyFont="1" applyBorder="1" applyAlignment="1">
      <alignment vertical="center"/>
    </xf>
    <xf numFmtId="166" fontId="9" fillId="5" borderId="1" xfId="0" applyNumberFormat="1" applyFont="1" applyFill="1" applyBorder="1" applyAlignment="1">
      <alignment horizontal="right" vertical="center"/>
    </xf>
    <xf numFmtId="0" fontId="8" fillId="0" borderId="0" xfId="0" applyFont="1"/>
    <xf numFmtId="0" fontId="8" fillId="0" borderId="0" xfId="0" applyFont="1" applyAlignment="1">
      <alignment vertical="center"/>
    </xf>
    <xf numFmtId="166" fontId="9" fillId="5" borderId="2" xfId="0" applyNumberFormat="1" applyFont="1" applyFill="1" applyBorder="1" applyAlignment="1">
      <alignment horizontal="right" vertical="center"/>
    </xf>
    <xf numFmtId="167" fontId="9" fillId="5" borderId="6" xfId="0" applyNumberFormat="1" applyFont="1" applyFill="1" applyBorder="1" applyAlignment="1">
      <alignment horizontal="center" vertical="center"/>
    </xf>
    <xf numFmtId="0" fontId="8" fillId="3" borderId="4" xfId="0" applyFont="1" applyFill="1" applyBorder="1" applyAlignment="1">
      <alignment vertical="center"/>
    </xf>
    <xf numFmtId="0" fontId="0" fillId="0" borderId="4" xfId="0" applyBorder="1"/>
    <xf numFmtId="164" fontId="9" fillId="7" borderId="1" xfId="0" applyNumberFormat="1" applyFont="1" applyFill="1" applyBorder="1" applyAlignment="1">
      <alignment horizontal="right" vertical="center" indent="1"/>
    </xf>
    <xf numFmtId="0" fontId="9" fillId="5" borderId="1" xfId="0" applyFont="1" applyFill="1" applyBorder="1" applyAlignment="1">
      <alignment horizontal="right" vertical="center" indent="1"/>
    </xf>
    <xf numFmtId="9" fontId="9" fillId="5" borderId="1" xfId="1" applyFont="1" applyFill="1" applyBorder="1" applyAlignment="1">
      <alignment horizontal="right" vertical="center" indent="1"/>
    </xf>
    <xf numFmtId="0" fontId="11" fillId="6" borderId="5" xfId="0" applyFont="1" applyFill="1" applyBorder="1" applyAlignment="1">
      <alignment horizontal="right" indent="1"/>
    </xf>
    <xf numFmtId="9" fontId="0" fillId="0" borderId="0" xfId="0" applyNumberFormat="1"/>
    <xf numFmtId="0" fontId="13" fillId="0" borderId="4" xfId="0" applyFont="1" applyBorder="1" applyAlignment="1">
      <alignment horizontal="center"/>
    </xf>
    <xf numFmtId="0" fontId="13" fillId="0" borderId="0" xfId="0" applyFont="1" applyAlignment="1">
      <alignment horizontal="center"/>
    </xf>
    <xf numFmtId="166" fontId="9" fillId="5" borderId="1" xfId="0" applyNumberFormat="1" applyFont="1" applyFill="1" applyBorder="1" applyAlignment="1">
      <alignment horizontal="center" vertical="center" wrapText="1"/>
    </xf>
    <xf numFmtId="168" fontId="0" fillId="0" borderId="0" xfId="3" applyNumberFormat="1" applyFont="1"/>
    <xf numFmtId="9" fontId="0" fillId="0" borderId="0" xfId="1" applyFont="1"/>
    <xf numFmtId="10" fontId="0" fillId="0" borderId="0" xfId="1" applyNumberFormat="1" applyFont="1"/>
  </cellXfs>
  <cellStyles count="4">
    <cellStyle name="Currency" xfId="3" builtinId="4"/>
    <cellStyle name="Normal" xfId="0" builtinId="0"/>
    <cellStyle name="Normal 4" xfId="2" xr:uid="{7F1D203E-1256-4794-8960-EB6325AFBDFD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3</xdr:row>
          <xdr:rowOff>38100</xdr:rowOff>
        </xdr:from>
        <xdr:to>
          <xdr:col>11</xdr:col>
          <xdr:colOff>603250</xdr:colOff>
          <xdr:row>13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CA Bond Scoring Simulator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ADC88-6BD2-4CC4-B747-E50AB6F4BC6A}">
  <sheetPr codeName="Sheet1"/>
  <dimension ref="A1:BF42"/>
  <sheetViews>
    <sheetView showGridLines="0" tabSelected="1" zoomScale="98" zoomScaleNormal="98" workbookViewId="0">
      <selection activeCell="E27" sqref="E27"/>
    </sheetView>
  </sheetViews>
  <sheetFormatPr defaultColWidth="0" defaultRowHeight="14.5" zeroHeight="1"/>
  <cols>
    <col min="1" max="1" width="8.7265625" customWidth="1"/>
    <col min="2" max="2" width="26.453125" bestFit="1" customWidth="1"/>
    <col min="3" max="3" width="22.7265625" bestFit="1" customWidth="1"/>
    <col min="4" max="4" width="24.81640625" customWidth="1"/>
    <col min="5" max="5" width="25.54296875" customWidth="1"/>
    <col min="6" max="9" width="22.7265625" customWidth="1"/>
    <col min="10" max="10" width="21.453125" customWidth="1"/>
    <col min="11" max="14" width="8.7265625" customWidth="1"/>
    <col min="15" max="58" width="8.7265625" hidden="1"/>
  </cols>
  <sheetData>
    <row r="1" spans="1:15" ht="5.5" customHeight="1">
      <c r="A1" s="9"/>
      <c r="B1" s="10"/>
      <c r="C1" s="11"/>
      <c r="D1" s="11"/>
    </row>
    <row r="2" spans="1:15" ht="25" customHeight="1" thickBot="1">
      <c r="A2" s="9"/>
      <c r="B2" s="6" t="s">
        <v>82</v>
      </c>
      <c r="C2" s="12"/>
      <c r="D2" s="12"/>
      <c r="E2" s="6"/>
      <c r="F2" s="6"/>
      <c r="G2" s="6"/>
      <c r="H2" s="6"/>
      <c r="I2" s="6"/>
      <c r="J2" s="6"/>
      <c r="K2" s="6"/>
      <c r="L2" s="6"/>
      <c r="M2" s="6"/>
      <c r="N2" s="6"/>
      <c r="O2" s="6"/>
    </row>
    <row r="3" spans="1:15" ht="12.5" customHeight="1" thickTop="1">
      <c r="A3" s="9"/>
      <c r="B3" s="11"/>
      <c r="C3" s="11"/>
      <c r="D3" s="11"/>
    </row>
    <row r="4" spans="1:15" ht="14.5" customHeight="1">
      <c r="A4" s="13"/>
      <c r="B4" s="7" t="s">
        <v>93</v>
      </c>
      <c r="C4" s="7"/>
      <c r="D4" s="7"/>
      <c r="F4" s="7" t="s">
        <v>64</v>
      </c>
      <c r="G4" s="7"/>
      <c r="H4" s="7"/>
    </row>
    <row r="5" spans="1:15" ht="4.5" customHeight="1">
      <c r="A5" s="13"/>
      <c r="B5" s="14"/>
      <c r="C5" s="14"/>
      <c r="D5" s="14"/>
      <c r="F5" s="14"/>
      <c r="G5" s="14"/>
      <c r="H5" s="14"/>
    </row>
    <row r="6" spans="1:15" ht="13" customHeight="1" thickBot="1">
      <c r="A6" s="13"/>
      <c r="B6" s="16"/>
      <c r="C6" s="16"/>
      <c r="D6" s="16"/>
      <c r="E6" s="3"/>
      <c r="F6" s="16" t="s">
        <v>85</v>
      </c>
      <c r="G6" s="16"/>
      <c r="H6" s="16"/>
    </row>
    <row r="7" spans="1:15" ht="13" customHeight="1" thickTop="1" thickBot="1">
      <c r="A7" s="15"/>
      <c r="B7" s="22" t="s">
        <v>79</v>
      </c>
      <c r="D7" s="25" t="s">
        <v>57</v>
      </c>
      <c r="E7" s="8"/>
      <c r="F7" s="8" t="s">
        <v>69</v>
      </c>
      <c r="G7" s="8"/>
      <c r="H7" s="28">
        <v>51378126</v>
      </c>
    </row>
    <row r="8" spans="1:15" ht="13" customHeight="1" thickTop="1">
      <c r="A8" s="15"/>
      <c r="B8" s="22" t="s">
        <v>94</v>
      </c>
      <c r="D8" s="34" t="s">
        <v>65</v>
      </c>
      <c r="E8" s="8"/>
      <c r="F8" s="8" t="s">
        <v>63</v>
      </c>
      <c r="G8" s="8"/>
      <c r="H8" s="28">
        <v>183427944</v>
      </c>
    </row>
    <row r="9" spans="1:15" ht="13" customHeight="1">
      <c r="A9" s="15"/>
      <c r="B9" s="22" t="s">
        <v>95</v>
      </c>
      <c r="D9" s="34"/>
      <c r="E9" s="8"/>
      <c r="F9" s="8" t="s">
        <v>59</v>
      </c>
      <c r="G9" s="8"/>
      <c r="H9" s="28">
        <v>50350673</v>
      </c>
    </row>
    <row r="10" spans="1:15" ht="13" customHeight="1">
      <c r="A10" s="15"/>
      <c r="B10" s="19" t="s">
        <v>96</v>
      </c>
      <c r="C10" s="27"/>
      <c r="D10" s="33"/>
      <c r="E10" s="8"/>
      <c r="F10" s="8" t="s">
        <v>71</v>
      </c>
      <c r="G10" s="8"/>
      <c r="H10" s="28">
        <v>45092325</v>
      </c>
    </row>
    <row r="11" spans="1:15" ht="13" customHeight="1">
      <c r="A11" s="15"/>
      <c r="B11" s="22"/>
      <c r="C11" s="23"/>
      <c r="E11" s="8"/>
      <c r="F11" s="8" t="s">
        <v>70</v>
      </c>
      <c r="H11" s="28">
        <v>242833625</v>
      </c>
    </row>
    <row r="12" spans="1:15" ht="13" customHeight="1">
      <c r="A12" s="15"/>
      <c r="B12" s="7" t="s">
        <v>92</v>
      </c>
      <c r="C12" s="7"/>
      <c r="D12" s="7"/>
      <c r="E12" s="8"/>
      <c r="F12" s="8" t="s">
        <v>15</v>
      </c>
      <c r="H12" s="28">
        <v>299199895</v>
      </c>
    </row>
    <row r="13" spans="1:15" ht="13" customHeight="1">
      <c r="A13" s="15"/>
      <c r="B13" s="22" t="s">
        <v>66</v>
      </c>
      <c r="D13" s="21" t="s">
        <v>90</v>
      </c>
      <c r="E13" s="8"/>
      <c r="F13" s="19" t="s">
        <v>97</v>
      </c>
      <c r="G13" s="20"/>
      <c r="H13" s="28">
        <v>479500000</v>
      </c>
    </row>
    <row r="14" spans="1:15" ht="13" customHeight="1">
      <c r="A14" s="15"/>
      <c r="B14" s="8" t="s">
        <v>67</v>
      </c>
      <c r="D14" s="24" t="s">
        <v>99</v>
      </c>
      <c r="E14" s="8"/>
      <c r="F14" s="17" t="s">
        <v>87</v>
      </c>
      <c r="G14" s="18"/>
      <c r="H14" s="31"/>
    </row>
    <row r="15" spans="1:15" ht="13" customHeight="1">
      <c r="B15" s="8" t="s">
        <v>68</v>
      </c>
      <c r="D15" s="21" t="s">
        <v>59</v>
      </c>
      <c r="E15" s="8"/>
      <c r="F15" s="8" t="s">
        <v>56</v>
      </c>
      <c r="G15" s="8"/>
      <c r="H15" s="28">
        <v>10898463</v>
      </c>
    </row>
    <row r="16" spans="1:15" ht="13" customHeight="1">
      <c r="B16" s="8" t="s">
        <v>69</v>
      </c>
      <c r="C16" s="8"/>
      <c r="D16" s="21" t="s">
        <v>57</v>
      </c>
      <c r="E16" s="8"/>
      <c r="F16" s="8" t="s">
        <v>89</v>
      </c>
      <c r="G16" s="8"/>
      <c r="H16" s="28">
        <v>189583075</v>
      </c>
    </row>
    <row r="17" spans="2:8" ht="13" customHeight="1">
      <c r="B17" s="8" t="s">
        <v>70</v>
      </c>
      <c r="C17" s="8"/>
      <c r="D17" s="21" t="s">
        <v>57</v>
      </c>
      <c r="E17" s="8"/>
      <c r="F17" s="8" t="s">
        <v>88</v>
      </c>
      <c r="G17" s="8"/>
      <c r="H17" s="28">
        <v>25000000</v>
      </c>
    </row>
    <row r="18" spans="2:8" ht="13" customHeight="1">
      <c r="B18" s="8" t="s">
        <v>15</v>
      </c>
      <c r="C18" s="8"/>
      <c r="D18" s="21" t="s">
        <v>57</v>
      </c>
      <c r="E18" s="8"/>
      <c r="F18" s="19" t="s">
        <v>98</v>
      </c>
      <c r="G18" s="20"/>
      <c r="H18" s="28">
        <v>100000000</v>
      </c>
    </row>
    <row r="19" spans="2:8" ht="13" customHeight="1">
      <c r="B19" s="8" t="s">
        <v>71</v>
      </c>
      <c r="C19" s="8"/>
      <c r="D19" s="21" t="s">
        <v>57</v>
      </c>
      <c r="E19" s="8"/>
      <c r="F19" s="17" t="s">
        <v>86</v>
      </c>
      <c r="G19" s="18"/>
      <c r="H19" s="31"/>
    </row>
    <row r="20" spans="2:8" ht="13" customHeight="1">
      <c r="B20" s="8" t="s">
        <v>17</v>
      </c>
      <c r="C20" s="8"/>
      <c r="D20" s="21" t="s">
        <v>57</v>
      </c>
      <c r="E20" s="8"/>
      <c r="F20" s="8" t="s">
        <v>0</v>
      </c>
      <c r="G20" s="8"/>
      <c r="H20" s="28">
        <v>147051127</v>
      </c>
    </row>
    <row r="21" spans="2:8" ht="13" customHeight="1">
      <c r="B21" s="8" t="s">
        <v>72</v>
      </c>
      <c r="C21" s="8"/>
      <c r="D21" s="28">
        <v>30000000</v>
      </c>
      <c r="E21" s="4"/>
      <c r="F21" s="8" t="s">
        <v>1</v>
      </c>
      <c r="G21" s="8"/>
      <c r="H21" s="28">
        <v>112217573</v>
      </c>
    </row>
    <row r="22" spans="2:8" ht="13" customHeight="1">
      <c r="B22" s="8" t="s">
        <v>73</v>
      </c>
      <c r="C22" s="8"/>
      <c r="D22" s="28">
        <v>0</v>
      </c>
      <c r="E22" s="4"/>
      <c r="F22" s="8" t="s">
        <v>2</v>
      </c>
      <c r="G22" s="8"/>
      <c r="H22" s="28">
        <v>109273245</v>
      </c>
    </row>
    <row r="23" spans="2:8" ht="13" customHeight="1">
      <c r="B23" s="8" t="s">
        <v>74</v>
      </c>
      <c r="C23" s="8"/>
      <c r="D23" s="21" t="s">
        <v>1</v>
      </c>
      <c r="E23" s="4"/>
      <c r="F23" s="8" t="s">
        <v>3</v>
      </c>
      <c r="G23" s="8"/>
      <c r="H23" s="28">
        <v>147145591</v>
      </c>
    </row>
    <row r="24" spans="2:8" ht="13" customHeight="1">
      <c r="B24" s="8" t="s">
        <v>76</v>
      </c>
      <c r="C24" s="8"/>
      <c r="D24" s="29">
        <v>120</v>
      </c>
      <c r="E24" s="4"/>
      <c r="F24" s="8" t="s">
        <v>4</v>
      </c>
      <c r="H24" s="28">
        <v>134935119</v>
      </c>
    </row>
    <row r="25" spans="2:8" ht="13" customHeight="1">
      <c r="B25" s="8" t="s">
        <v>77</v>
      </c>
      <c r="C25" s="8"/>
      <c r="D25" s="29">
        <v>10</v>
      </c>
      <c r="E25" s="5"/>
      <c r="F25" s="26" t="s">
        <v>5</v>
      </c>
      <c r="G25" s="27"/>
      <c r="H25" s="28">
        <v>77277540</v>
      </c>
    </row>
    <row r="26" spans="2:8" ht="13" customHeight="1">
      <c r="B26" s="19" t="s">
        <v>75</v>
      </c>
      <c r="C26" s="20"/>
      <c r="D26" s="30">
        <v>3.3</v>
      </c>
    </row>
    <row r="27" spans="2:8" ht="13" customHeight="1">
      <c r="B27" s="22"/>
      <c r="C27" s="23"/>
    </row>
    <row r="28" spans="2:8" ht="13" customHeight="1">
      <c r="B28" s="7" t="s">
        <v>91</v>
      </c>
      <c r="C28" s="7"/>
      <c r="D28" s="7"/>
    </row>
    <row r="29" spans="2:8" ht="12.5" customHeight="1">
      <c r="B29" s="8" t="s">
        <v>83</v>
      </c>
      <c r="C29" s="8"/>
      <c r="D29" s="21" t="s">
        <v>80</v>
      </c>
    </row>
    <row r="30" spans="2:8" ht="12.5" customHeight="1">
      <c r="B30" s="22" t="s">
        <v>84</v>
      </c>
      <c r="C30" s="23"/>
      <c r="D30" s="21" t="s">
        <v>81</v>
      </c>
    </row>
    <row r="31" spans="2:8" ht="46">
      <c r="B31" s="19" t="s">
        <v>509</v>
      </c>
      <c r="C31" s="20"/>
      <c r="D31" s="35" t="s">
        <v>100</v>
      </c>
    </row>
    <row r="32" spans="2:8"/>
    <row r="33"/>
    <row r="34"/>
    <row r="35"/>
    <row r="36"/>
    <row r="37"/>
    <row r="38"/>
    <row r="39"/>
    <row r="40"/>
    <row r="41"/>
    <row r="42"/>
  </sheetData>
  <dataValidations count="5">
    <dataValidation type="list" allowBlank="1" showInputMessage="1" showErrorMessage="1" sqref="D7 D16:D20" xr:uid="{4D070DEB-9C72-4A2C-8311-1A79A8EFDEEE}">
      <formula1>"Yes,No"</formula1>
    </dataValidation>
    <dataValidation type="list" allowBlank="1" showInputMessage="1" showErrorMessage="1" sqref="D15" xr:uid="{D7D70400-3A66-4879-81EB-0B8E620B061D}">
      <formula1>"New Construction, Other Rehabilitation, Preservation"</formula1>
    </dataValidation>
    <dataValidation type="list" allowBlank="1" showInputMessage="1" showErrorMessage="1" sqref="E22" xr:uid="{9893C0FE-AD27-4625-AFF9-0FA55CE82596}">
      <formula1>#REF!</formula1>
    </dataValidation>
    <dataValidation type="list" allowBlank="1" showInputMessage="1" showErrorMessage="1" sqref="D14" xr:uid="{E0FEAEDC-9EE7-45DF-9B6B-CF6AF18774A0}">
      <formula1>"Acquisition/Rehabilitation,Adaptive Reuse, New Construction"</formula1>
    </dataValidation>
    <dataValidation type="list" allowBlank="1" showInputMessage="1" showErrorMessage="1" sqref="D23" xr:uid="{D14C9103-B537-4884-9EFD-148708D29CFF}">
      <formula1>$F$20:$F$25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Macro">
                <anchor moveWithCells="1" sizeWithCells="1">
                  <from>
                    <xdr:col>9</xdr:col>
                    <xdr:colOff>38100</xdr:colOff>
                    <xdr:row>3</xdr:row>
                    <xdr:rowOff>38100</xdr:rowOff>
                  </from>
                  <to>
                    <xdr:col>11</xdr:col>
                    <xdr:colOff>603250</xdr:colOff>
                    <xdr:row>13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7A2FE-2964-4A83-9E3D-11319CDF9D9D}">
  <sheetPr codeName="Sheet2"/>
  <dimension ref="A1:AX2"/>
  <sheetViews>
    <sheetView workbookViewId="0">
      <selection activeCell="A3" sqref="A3"/>
    </sheetView>
  </sheetViews>
  <sheetFormatPr defaultColWidth="0" defaultRowHeight="14.5"/>
  <cols>
    <col min="1" max="1" width="20.7265625" bestFit="1" customWidth="1"/>
    <col min="2" max="2" width="14" bestFit="1" customWidth="1"/>
    <col min="3" max="3" width="4.6328125" bestFit="1" customWidth="1"/>
    <col min="4" max="4" width="8.1796875" bestFit="1" customWidth="1"/>
    <col min="5" max="5" width="19.1796875" bestFit="1" customWidth="1"/>
    <col min="6" max="6" width="13.7265625" bestFit="1" customWidth="1"/>
    <col min="7" max="7" width="15.90625" bestFit="1" customWidth="1"/>
    <col min="8" max="8" width="18.90625" bestFit="1" customWidth="1"/>
    <col min="9" max="9" width="9.90625" bestFit="1" customWidth="1"/>
    <col min="10" max="10" width="6.6328125" bestFit="1" customWidth="1"/>
    <col min="11" max="11" width="6.54296875" bestFit="1" customWidth="1"/>
    <col min="12" max="12" width="4.36328125" bestFit="1" customWidth="1"/>
    <col min="13" max="13" width="14.1796875" bestFit="1" customWidth="1"/>
    <col min="14" max="14" width="30.90625" bestFit="1" customWidth="1"/>
    <col min="15" max="15" width="20.7265625" bestFit="1" customWidth="1"/>
    <col min="16" max="16" width="11.81640625" bestFit="1" customWidth="1"/>
    <col min="17" max="17" width="18.36328125" bestFit="1" customWidth="1"/>
    <col min="18" max="18" width="12" bestFit="1" customWidth="1"/>
    <col min="19" max="19" width="18.54296875" bestFit="1" customWidth="1"/>
    <col min="20" max="20" width="19.6328125" bestFit="1" customWidth="1"/>
    <col min="21" max="21" width="11.81640625" bestFit="1" customWidth="1"/>
    <col min="22" max="22" width="32.453125" bestFit="1" customWidth="1"/>
    <col min="23" max="23" width="19.90625" bestFit="1" customWidth="1"/>
    <col min="24" max="24" width="13.6328125" bestFit="1" customWidth="1"/>
    <col min="25" max="25" width="95.54296875" bestFit="1" customWidth="1"/>
    <col min="26" max="26" width="21.26953125" bestFit="1" customWidth="1"/>
    <col min="27" max="27" width="19.08984375" bestFit="1" customWidth="1"/>
    <col min="28" max="28" width="34.1796875" bestFit="1" customWidth="1"/>
    <col min="29" max="29" width="18.36328125" bestFit="1" customWidth="1"/>
    <col min="30" max="30" width="30" bestFit="1" customWidth="1"/>
    <col min="31" max="31" width="27.08984375" bestFit="1" customWidth="1"/>
    <col min="32" max="32" width="18.54296875" bestFit="1" customWidth="1"/>
    <col min="33" max="33" width="21.6328125" bestFit="1" customWidth="1"/>
    <col min="34" max="34" width="33.6328125" bestFit="1" customWidth="1"/>
    <col min="35" max="35" width="17.7265625" bestFit="1" customWidth="1"/>
    <col min="36" max="36" width="12.6328125" bestFit="1" customWidth="1"/>
    <col min="37" max="37" width="25.1796875" bestFit="1" customWidth="1"/>
    <col min="38" max="38" width="26.453125" bestFit="1" customWidth="1"/>
    <col min="39" max="39" width="21.6328125" bestFit="1" customWidth="1"/>
    <col min="40" max="41" width="16.453125" bestFit="1" customWidth="1"/>
    <col min="42" max="42" width="13.90625" bestFit="1" customWidth="1"/>
    <col min="43" max="43" width="12.90625" bestFit="1" customWidth="1"/>
    <col min="44" max="44" width="25.7265625" bestFit="1" customWidth="1"/>
    <col min="45" max="45" width="13.90625" bestFit="1" customWidth="1"/>
    <col min="46" max="46" width="12.90625" bestFit="1" customWidth="1"/>
    <col min="47" max="47" width="25.7265625" bestFit="1" customWidth="1"/>
    <col min="48" max="48" width="13.90625" bestFit="1" customWidth="1"/>
    <col min="49" max="49" width="12.90625" bestFit="1" customWidth="1"/>
    <col min="50" max="50" width="25.7265625" bestFit="1" customWidth="1"/>
    <col min="51" max="16384" width="8.7265625" hidden="1"/>
  </cols>
  <sheetData>
    <row r="1" spans="1:50">
      <c r="A1" s="2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2" t="s">
        <v>11</v>
      </c>
      <c r="G1" s="2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2" t="s">
        <v>20</v>
      </c>
      <c r="P1" s="2" t="s">
        <v>21</v>
      </c>
      <c r="Q1" s="2" t="s">
        <v>22</v>
      </c>
      <c r="R1" s="2" t="s">
        <v>23</v>
      </c>
      <c r="S1" s="2" t="s">
        <v>24</v>
      </c>
      <c r="T1" s="2" t="s">
        <v>25</v>
      </c>
      <c r="U1" s="2" t="s">
        <v>26</v>
      </c>
      <c r="V1" s="2" t="s">
        <v>27</v>
      </c>
      <c r="W1" s="2" t="s">
        <v>28</v>
      </c>
      <c r="X1" s="2" t="s">
        <v>29</v>
      </c>
      <c r="Y1" s="2" t="s">
        <v>30</v>
      </c>
      <c r="Z1" s="2" t="s">
        <v>31</v>
      </c>
      <c r="AA1" s="2" t="s">
        <v>32</v>
      </c>
      <c r="AB1" s="2" t="s">
        <v>33</v>
      </c>
      <c r="AC1" s="2" t="s">
        <v>34</v>
      </c>
      <c r="AD1" s="2" t="s">
        <v>35</v>
      </c>
      <c r="AE1" s="2" t="s">
        <v>36</v>
      </c>
      <c r="AF1" s="2" t="s">
        <v>37</v>
      </c>
      <c r="AG1" s="2" t="s">
        <v>38</v>
      </c>
      <c r="AH1" s="2" t="s">
        <v>39</v>
      </c>
      <c r="AI1" s="2" t="s">
        <v>40</v>
      </c>
      <c r="AJ1" s="2" t="s">
        <v>41</v>
      </c>
      <c r="AK1" s="2" t="s">
        <v>42</v>
      </c>
      <c r="AL1" s="2" t="s">
        <v>43</v>
      </c>
      <c r="AM1" s="2" t="s">
        <v>44</v>
      </c>
      <c r="AN1" s="2" t="s">
        <v>45</v>
      </c>
      <c r="AO1" s="2" t="s">
        <v>46</v>
      </c>
      <c r="AP1" s="2" t="s">
        <v>47</v>
      </c>
      <c r="AQ1" s="2" t="s">
        <v>48</v>
      </c>
      <c r="AR1" s="2" t="s">
        <v>49</v>
      </c>
      <c r="AS1" s="2" t="s">
        <v>50</v>
      </c>
      <c r="AT1" s="2" t="s">
        <v>51</v>
      </c>
      <c r="AU1" s="2" t="s">
        <v>52</v>
      </c>
      <c r="AV1" s="2" t="s">
        <v>53</v>
      </c>
      <c r="AW1" s="2" t="s">
        <v>54</v>
      </c>
      <c r="AX1" s="2" t="s">
        <v>55</v>
      </c>
    </row>
    <row r="2" spans="1:50">
      <c r="A2" t="s">
        <v>65</v>
      </c>
      <c r="B2" t="str">
        <f>Simulator!D13</f>
        <v>Encanto</v>
      </c>
      <c r="C2" t="s">
        <v>65</v>
      </c>
      <c r="D2" t="s">
        <v>65</v>
      </c>
      <c r="E2" t="str">
        <f>Simulator!D14</f>
        <v>Acquisition/Rehabilitation</v>
      </c>
      <c r="F2" t="s">
        <v>65</v>
      </c>
      <c r="G2" t="str">
        <f>Simulator!D15</f>
        <v>Other Rehabilitation</v>
      </c>
      <c r="H2" t="str">
        <f>Simulator!D16</f>
        <v>No</v>
      </c>
      <c r="I2" t="str">
        <f>Simulator!D17</f>
        <v>No</v>
      </c>
      <c r="J2" t="str">
        <f>Simulator!D18</f>
        <v>No</v>
      </c>
      <c r="K2" t="str">
        <f>Simulator!D19</f>
        <v>No</v>
      </c>
      <c r="L2" t="str">
        <f>Simulator!D20</f>
        <v>No</v>
      </c>
      <c r="M2">
        <f>Simulator!D21</f>
        <v>30000000</v>
      </c>
      <c r="N2" t="s">
        <v>65</v>
      </c>
      <c r="O2">
        <f>Simulator!D22</f>
        <v>0</v>
      </c>
      <c r="P2" t="s">
        <v>65</v>
      </c>
      <c r="Q2" t="s">
        <v>65</v>
      </c>
      <c r="R2" t="s">
        <v>65</v>
      </c>
      <c r="S2" t="s">
        <v>65</v>
      </c>
      <c r="T2" t="s">
        <v>65</v>
      </c>
      <c r="U2" t="s">
        <v>65</v>
      </c>
      <c r="V2" t="s">
        <v>65</v>
      </c>
      <c r="W2" t="s">
        <v>65</v>
      </c>
      <c r="X2" t="s">
        <v>65</v>
      </c>
      <c r="Y2" t="str" cm="1">
        <f t="array" ref="Y2">_xlfn.IFS(Simulator!$D$23=Simulator!$F20,'CDLAC Regions'!A2,Simulator!$D$23=Simulator!$F21,'CDLAC Regions'!A3,Simulator!$D$23=Simulator!$F22,'CDLAC Regions'!A4,Simulator!$D$23=Simulator!$F23,'CDLAC Regions'!A5,Simulator!$D$23=Simulator!$F24,'CDLAC Regions'!A6,Simulator!$D$23=Simulator!$F25,'CDLAC Regions'!A6)</f>
        <v>City of Los Angeles</v>
      </c>
      <c r="Z2" s="32">
        <f>Simulator!D26</f>
        <v>3.3</v>
      </c>
      <c r="AA2">
        <f>Simulator!D24</f>
        <v>120</v>
      </c>
      <c r="AB2" t="s">
        <v>65</v>
      </c>
      <c r="AC2" t="s">
        <v>65</v>
      </c>
      <c r="AD2" t="s">
        <v>65</v>
      </c>
      <c r="AE2" t="s">
        <v>65</v>
      </c>
      <c r="AF2" t="s">
        <v>65</v>
      </c>
      <c r="AG2" t="s">
        <v>65</v>
      </c>
      <c r="AH2" t="s">
        <v>65</v>
      </c>
      <c r="AI2" t="s">
        <v>65</v>
      </c>
      <c r="AJ2">
        <f>Simulator!D25</f>
        <v>10</v>
      </c>
      <c r="AK2" t="s">
        <v>65</v>
      </c>
      <c r="AL2" t="s">
        <v>65</v>
      </c>
      <c r="AM2" t="s">
        <v>65</v>
      </c>
      <c r="AN2" t="s">
        <v>65</v>
      </c>
      <c r="AO2" t="s">
        <v>65</v>
      </c>
      <c r="AP2" t="s">
        <v>65</v>
      </c>
      <c r="AQ2" t="s">
        <v>65</v>
      </c>
      <c r="AR2" t="s">
        <v>65</v>
      </c>
      <c r="AS2" t="s">
        <v>65</v>
      </c>
      <c r="AT2" t="s">
        <v>65</v>
      </c>
      <c r="AU2" t="s">
        <v>65</v>
      </c>
      <c r="AV2" t="s">
        <v>65</v>
      </c>
      <c r="AW2" t="s">
        <v>65</v>
      </c>
      <c r="AX2" t="s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50A07-35FB-4806-8645-33233C0FABD6}">
  <sheetPr codeName="Sheet4"/>
  <dimension ref="A1:A7"/>
  <sheetViews>
    <sheetView workbookViewId="0">
      <selection activeCell="A10" sqref="A10"/>
    </sheetView>
  </sheetViews>
  <sheetFormatPr defaultRowHeight="14.5"/>
  <cols>
    <col min="1" max="1" width="106.453125" bestFit="1" customWidth="1"/>
  </cols>
  <sheetData>
    <row r="1" spans="1:1">
      <c r="A1" s="1" t="s">
        <v>78</v>
      </c>
    </row>
    <row r="2" spans="1:1">
      <c r="A2" t="s">
        <v>58</v>
      </c>
    </row>
    <row r="3" spans="1:1">
      <c r="A3" t="s">
        <v>1</v>
      </c>
    </row>
    <row r="4" spans="1:1">
      <c r="A4" t="s">
        <v>2</v>
      </c>
    </row>
    <row r="5" spans="1:1">
      <c r="A5" t="s">
        <v>60</v>
      </c>
    </row>
    <row r="6" spans="1:1">
      <c r="A6" t="s">
        <v>61</v>
      </c>
    </row>
    <row r="7" spans="1:1">
      <c r="A7" t="s">
        <v>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7266F-4CA7-4661-88D3-6348FFC7CF78}">
  <sheetPr codeName="Sheet3"/>
  <dimension ref="A1:BC51"/>
  <sheetViews>
    <sheetView workbookViewId="0"/>
  </sheetViews>
  <sheetFormatPr defaultRowHeight="14.5"/>
  <cols>
    <col min="1" max="1" width="20.7265625" bestFit="1" customWidth="1"/>
    <col min="2" max="2" width="51.08984375" bestFit="1" customWidth="1"/>
    <col min="3" max="3" width="36" bestFit="1" customWidth="1"/>
    <col min="4" max="4" width="13.08984375" bestFit="1" customWidth="1"/>
    <col min="5" max="5" width="23.453125" bestFit="1" customWidth="1"/>
    <col min="6" max="6" width="13.7265625" bestFit="1" customWidth="1"/>
    <col min="7" max="7" width="18.08984375" bestFit="1" customWidth="1"/>
    <col min="8" max="8" width="18.90625" bestFit="1" customWidth="1"/>
    <col min="9" max="9" width="9.90625" bestFit="1" customWidth="1"/>
    <col min="10" max="10" width="6.6328125" bestFit="1" customWidth="1"/>
    <col min="11" max="11" width="6.54296875" bestFit="1" customWidth="1"/>
    <col min="12" max="12" width="4.36328125" bestFit="1" customWidth="1"/>
    <col min="13" max="13" width="16.81640625" style="36" bestFit="1" customWidth="1"/>
    <col min="14" max="14" width="30.90625" style="36" bestFit="1" customWidth="1"/>
    <col min="15" max="15" width="20.7265625" style="36" bestFit="1" customWidth="1"/>
    <col min="16" max="16" width="11.81640625" bestFit="1" customWidth="1"/>
    <col min="17" max="17" width="18.36328125" bestFit="1" customWidth="1"/>
    <col min="18" max="18" width="12" bestFit="1" customWidth="1"/>
    <col min="19" max="19" width="18.54296875" bestFit="1" customWidth="1"/>
    <col min="20" max="20" width="19.6328125" bestFit="1" customWidth="1"/>
    <col min="21" max="21" width="11.81640625" style="37" bestFit="1" customWidth="1"/>
    <col min="22" max="22" width="32.453125" style="37" bestFit="1" customWidth="1"/>
    <col min="23" max="23" width="19.90625" style="36" bestFit="1" customWidth="1"/>
    <col min="24" max="24" width="91.6328125" bestFit="1" customWidth="1"/>
    <col min="25" max="25" width="106.453125" bestFit="1" customWidth="1"/>
    <col min="26" max="26" width="21.26953125" style="38" bestFit="1" customWidth="1"/>
    <col min="27" max="27" width="19.08984375" bestFit="1" customWidth="1"/>
    <col min="28" max="28" width="34.1796875" bestFit="1" customWidth="1"/>
    <col min="29" max="29" width="18.36328125" bestFit="1" customWidth="1"/>
    <col min="30" max="30" width="30" bestFit="1" customWidth="1"/>
    <col min="31" max="31" width="27.08984375" bestFit="1" customWidth="1"/>
    <col min="32" max="32" width="18.54296875" bestFit="1" customWidth="1"/>
    <col min="33" max="33" width="21.6328125" bestFit="1" customWidth="1"/>
    <col min="34" max="34" width="33.6328125" bestFit="1" customWidth="1"/>
    <col min="35" max="35" width="17.7265625" bestFit="1" customWidth="1"/>
    <col min="36" max="36" width="12.6328125" bestFit="1" customWidth="1"/>
    <col min="37" max="37" width="25.1796875" bestFit="1" customWidth="1"/>
    <col min="38" max="38" width="26.453125" bestFit="1" customWidth="1"/>
    <col min="39" max="39" width="21.6328125" bestFit="1" customWidth="1"/>
    <col min="40" max="40" width="42.54296875" bestFit="1" customWidth="1"/>
    <col min="41" max="41" width="108.90625" bestFit="1" customWidth="1"/>
    <col min="42" max="42" width="64.6328125" bestFit="1" customWidth="1"/>
    <col min="43" max="43" width="26.81640625" bestFit="1" customWidth="1"/>
    <col min="44" max="44" width="57.90625" bestFit="1" customWidth="1"/>
    <col min="45" max="45" width="91.36328125" bestFit="1" customWidth="1"/>
    <col min="46" max="46" width="19.1796875" bestFit="1" customWidth="1"/>
    <col min="47" max="47" width="91.36328125" bestFit="1" customWidth="1"/>
    <col min="48" max="48" width="33.08984375" bestFit="1" customWidth="1"/>
    <col min="49" max="49" width="19.1796875" bestFit="1" customWidth="1"/>
    <col min="50" max="50" width="91.36328125" bestFit="1" customWidth="1"/>
    <col min="51" max="51" width="26.7265625" bestFit="1" customWidth="1"/>
    <col min="52" max="53" width="16.08984375" bestFit="1" customWidth="1"/>
    <col min="54" max="54" width="10.6328125" bestFit="1" customWidth="1"/>
  </cols>
  <sheetData>
    <row r="1" spans="1:55">
      <c r="A1" s="2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2" t="s">
        <v>11</v>
      </c>
      <c r="G1" s="2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2" t="s">
        <v>20</v>
      </c>
      <c r="P1" s="2" t="s">
        <v>21</v>
      </c>
      <c r="Q1" s="2" t="s">
        <v>22</v>
      </c>
      <c r="R1" s="2" t="s">
        <v>23</v>
      </c>
      <c r="S1" s="2" t="s">
        <v>24</v>
      </c>
      <c r="T1" s="2" t="s">
        <v>25</v>
      </c>
      <c r="U1" s="2" t="s">
        <v>26</v>
      </c>
      <c r="V1" s="2" t="s">
        <v>27</v>
      </c>
      <c r="W1" s="2" t="s">
        <v>28</v>
      </c>
      <c r="X1" s="2" t="s">
        <v>29</v>
      </c>
      <c r="Y1" s="2" t="s">
        <v>30</v>
      </c>
      <c r="Z1" s="2" t="s">
        <v>31</v>
      </c>
      <c r="AA1" s="2" t="s">
        <v>32</v>
      </c>
      <c r="AB1" s="2" t="s">
        <v>33</v>
      </c>
      <c r="AC1" s="2" t="s">
        <v>34</v>
      </c>
      <c r="AD1" s="2" t="s">
        <v>35</v>
      </c>
      <c r="AE1" s="2" t="s">
        <v>36</v>
      </c>
      <c r="AF1" s="2" t="s">
        <v>37</v>
      </c>
      <c r="AG1" s="2" t="s">
        <v>38</v>
      </c>
      <c r="AH1" s="2" t="s">
        <v>39</v>
      </c>
      <c r="AI1" s="2" t="s">
        <v>40</v>
      </c>
      <c r="AJ1" s="2" t="s">
        <v>41</v>
      </c>
      <c r="AK1" s="2" t="s">
        <v>42</v>
      </c>
      <c r="AL1" s="2" t="s">
        <v>43</v>
      </c>
      <c r="AM1" s="2" t="s">
        <v>44</v>
      </c>
      <c r="AN1" s="2" t="s">
        <v>45</v>
      </c>
      <c r="AO1" s="2" t="s">
        <v>46</v>
      </c>
      <c r="AP1" s="2" t="s">
        <v>47</v>
      </c>
      <c r="AQ1" s="2" t="s">
        <v>48</v>
      </c>
      <c r="AR1" s="2" t="s">
        <v>49</v>
      </c>
      <c r="AS1" s="2" t="s">
        <v>50</v>
      </c>
      <c r="AT1" s="2" t="s">
        <v>51</v>
      </c>
      <c r="AU1" s="2" t="s">
        <v>52</v>
      </c>
      <c r="AV1" s="2" t="s">
        <v>53</v>
      </c>
      <c r="AW1" s="2" t="s">
        <v>54</v>
      </c>
      <c r="AX1" s="2" t="s">
        <v>55</v>
      </c>
      <c r="AY1" s="2" t="s">
        <v>101</v>
      </c>
      <c r="AZ1" s="2" t="s">
        <v>102</v>
      </c>
      <c r="BA1" s="2" t="s">
        <v>103</v>
      </c>
      <c r="BB1" s="2" t="s">
        <v>104</v>
      </c>
      <c r="BC1" s="2"/>
    </row>
    <row r="2" spans="1:55">
      <c r="A2" t="s">
        <v>105</v>
      </c>
      <c r="B2" t="s">
        <v>106</v>
      </c>
      <c r="C2" t="s">
        <v>107</v>
      </c>
      <c r="D2" t="s">
        <v>107</v>
      </c>
      <c r="E2" t="s">
        <v>56</v>
      </c>
      <c r="F2" t="s">
        <v>108</v>
      </c>
      <c r="G2" t="s">
        <v>56</v>
      </c>
      <c r="H2" t="s">
        <v>109</v>
      </c>
      <c r="I2" t="s">
        <v>57</v>
      </c>
      <c r="J2" t="s">
        <v>57</v>
      </c>
      <c r="K2" t="s">
        <v>57</v>
      </c>
      <c r="L2" t="s">
        <v>57</v>
      </c>
      <c r="M2">
        <v>14387558</v>
      </c>
      <c r="N2">
        <v>1117480</v>
      </c>
      <c r="O2">
        <v>7751102</v>
      </c>
      <c r="P2">
        <v>70</v>
      </c>
      <c r="Q2">
        <v>69</v>
      </c>
      <c r="R2">
        <v>41</v>
      </c>
      <c r="S2">
        <v>0</v>
      </c>
      <c r="T2">
        <v>0</v>
      </c>
      <c r="U2">
        <v>0</v>
      </c>
      <c r="V2">
        <v>0.60000000000000009</v>
      </c>
      <c r="W2">
        <v>31392634</v>
      </c>
      <c r="X2" t="s">
        <v>1</v>
      </c>
      <c r="Y2" t="s">
        <v>1</v>
      </c>
      <c r="Z2">
        <v>1.0403176942209109</v>
      </c>
      <c r="AA2">
        <v>120</v>
      </c>
      <c r="AB2">
        <v>0</v>
      </c>
      <c r="AC2">
        <v>10</v>
      </c>
      <c r="AD2">
        <v>20</v>
      </c>
      <c r="AE2">
        <v>10</v>
      </c>
      <c r="AF2">
        <v>10</v>
      </c>
      <c r="AG2">
        <v>10</v>
      </c>
      <c r="AH2">
        <v>8</v>
      </c>
      <c r="AI2">
        <v>10</v>
      </c>
      <c r="AJ2">
        <v>10</v>
      </c>
      <c r="AK2">
        <v>10</v>
      </c>
      <c r="AL2">
        <v>12</v>
      </c>
      <c r="AM2">
        <v>10</v>
      </c>
      <c r="AN2" t="s">
        <v>110</v>
      </c>
      <c r="AO2" t="s">
        <v>111</v>
      </c>
      <c r="AP2" t="s">
        <v>112</v>
      </c>
      <c r="AQ2" t="s">
        <v>113</v>
      </c>
      <c r="AR2" t="s">
        <v>111</v>
      </c>
      <c r="AS2" t="s">
        <v>114</v>
      </c>
      <c r="AT2" t="s">
        <v>115</v>
      </c>
      <c r="AU2" t="s">
        <v>116</v>
      </c>
      <c r="AV2" t="s">
        <v>117</v>
      </c>
      <c r="AW2" t="s">
        <v>115</v>
      </c>
      <c r="AX2" t="s">
        <v>116</v>
      </c>
      <c r="AY2" t="s">
        <v>57</v>
      </c>
      <c r="AZ2" t="s">
        <v>1</v>
      </c>
      <c r="BA2" t="s">
        <v>13</v>
      </c>
    </row>
    <row r="3" spans="1:55">
      <c r="A3" t="s">
        <v>118</v>
      </c>
      <c r="B3" t="s">
        <v>119</v>
      </c>
      <c r="C3" t="s">
        <v>120</v>
      </c>
      <c r="D3" t="s">
        <v>120</v>
      </c>
      <c r="E3" t="s">
        <v>56</v>
      </c>
      <c r="F3" t="s">
        <v>108</v>
      </c>
      <c r="G3" t="s">
        <v>56</v>
      </c>
      <c r="H3" t="s">
        <v>109</v>
      </c>
      <c r="I3" t="s">
        <v>57</v>
      </c>
      <c r="J3" t="s">
        <v>57</v>
      </c>
      <c r="K3" t="s">
        <v>57</v>
      </c>
      <c r="L3" t="s">
        <v>57</v>
      </c>
      <c r="M3">
        <v>26250000</v>
      </c>
      <c r="N3">
        <v>2713558</v>
      </c>
      <c r="O3">
        <v>12000000</v>
      </c>
      <c r="P3">
        <v>98</v>
      </c>
      <c r="Q3">
        <v>97</v>
      </c>
      <c r="R3">
        <v>66</v>
      </c>
      <c r="S3">
        <v>0</v>
      </c>
      <c r="T3">
        <v>11</v>
      </c>
      <c r="U3">
        <v>0.1134020618556701</v>
      </c>
      <c r="V3">
        <v>0.5742268041237113</v>
      </c>
      <c r="W3">
        <v>55969510</v>
      </c>
      <c r="X3" t="s">
        <v>121</v>
      </c>
      <c r="Y3" t="s">
        <v>58</v>
      </c>
      <c r="Z3">
        <v>0.94114611120674818</v>
      </c>
      <c r="AA3">
        <v>120</v>
      </c>
      <c r="AB3">
        <v>0</v>
      </c>
      <c r="AC3">
        <v>10</v>
      </c>
      <c r="AD3">
        <v>20</v>
      </c>
      <c r="AE3">
        <v>10</v>
      </c>
      <c r="AF3">
        <v>10</v>
      </c>
      <c r="AG3">
        <v>10</v>
      </c>
      <c r="AH3">
        <v>8</v>
      </c>
      <c r="AI3">
        <v>10</v>
      </c>
      <c r="AJ3">
        <v>10</v>
      </c>
      <c r="AK3">
        <v>10</v>
      </c>
      <c r="AL3">
        <v>12</v>
      </c>
      <c r="AM3">
        <v>10</v>
      </c>
      <c r="AN3" t="s">
        <v>122</v>
      </c>
      <c r="AO3" t="s">
        <v>123</v>
      </c>
      <c r="AP3" t="s">
        <v>124</v>
      </c>
      <c r="AQ3" t="s">
        <v>125</v>
      </c>
      <c r="AS3" t="s">
        <v>126</v>
      </c>
      <c r="AT3" t="s">
        <v>127</v>
      </c>
      <c r="AU3" t="s">
        <v>128</v>
      </c>
      <c r="AV3" t="s">
        <v>129</v>
      </c>
      <c r="AW3" t="s">
        <v>127</v>
      </c>
      <c r="AX3" t="s">
        <v>128</v>
      </c>
      <c r="AY3" t="s">
        <v>57</v>
      </c>
      <c r="AZ3" t="s">
        <v>0</v>
      </c>
      <c r="BA3" t="s">
        <v>13</v>
      </c>
    </row>
    <row r="4" spans="1:55">
      <c r="A4" t="s">
        <v>130</v>
      </c>
      <c r="B4" t="s">
        <v>131</v>
      </c>
      <c r="C4" t="s">
        <v>107</v>
      </c>
      <c r="D4" t="s">
        <v>107</v>
      </c>
      <c r="E4" t="s">
        <v>99</v>
      </c>
      <c r="F4" t="s">
        <v>108</v>
      </c>
      <c r="G4" t="s">
        <v>63</v>
      </c>
      <c r="H4" t="s">
        <v>57</v>
      </c>
      <c r="I4" t="s">
        <v>57</v>
      </c>
      <c r="J4" t="s">
        <v>57</v>
      </c>
      <c r="K4" t="s">
        <v>57</v>
      </c>
      <c r="L4" t="s">
        <v>57</v>
      </c>
      <c r="M4">
        <v>26284000</v>
      </c>
      <c r="N4">
        <v>2178345</v>
      </c>
      <c r="O4">
        <v>0</v>
      </c>
      <c r="P4">
        <v>120</v>
      </c>
      <c r="Q4">
        <v>118</v>
      </c>
      <c r="R4">
        <v>118</v>
      </c>
      <c r="S4">
        <v>0</v>
      </c>
      <c r="T4">
        <v>0</v>
      </c>
      <c r="U4">
        <v>0</v>
      </c>
      <c r="V4">
        <v>0.49830508474576263</v>
      </c>
      <c r="W4">
        <v>51182578</v>
      </c>
      <c r="X4" t="s">
        <v>1</v>
      </c>
      <c r="Y4" t="s">
        <v>1</v>
      </c>
      <c r="Z4">
        <v>2.6410329984947518</v>
      </c>
      <c r="AA4">
        <v>110</v>
      </c>
      <c r="AB4">
        <v>20</v>
      </c>
      <c r="AC4">
        <v>0</v>
      </c>
      <c r="AD4">
        <v>20</v>
      </c>
      <c r="AE4">
        <v>10</v>
      </c>
      <c r="AF4">
        <v>10</v>
      </c>
      <c r="AG4">
        <v>0</v>
      </c>
      <c r="AH4">
        <v>8</v>
      </c>
      <c r="AI4">
        <v>10</v>
      </c>
      <c r="AJ4">
        <v>0</v>
      </c>
      <c r="AK4">
        <v>10</v>
      </c>
      <c r="AL4">
        <v>12</v>
      </c>
      <c r="AM4">
        <v>10</v>
      </c>
      <c r="AN4" t="s">
        <v>132</v>
      </c>
      <c r="AO4" t="s">
        <v>133</v>
      </c>
      <c r="AP4" t="s">
        <v>134</v>
      </c>
      <c r="AQ4" t="s">
        <v>135</v>
      </c>
      <c r="AR4" t="s">
        <v>136</v>
      </c>
      <c r="AS4" t="s">
        <v>137</v>
      </c>
      <c r="AT4" t="s">
        <v>138</v>
      </c>
      <c r="AU4" t="s">
        <v>139</v>
      </c>
      <c r="AW4" t="s">
        <v>138</v>
      </c>
      <c r="AX4" t="s">
        <v>139</v>
      </c>
      <c r="AY4" t="s">
        <v>57</v>
      </c>
      <c r="AZ4" t="s">
        <v>1</v>
      </c>
      <c r="BA4" t="s">
        <v>12</v>
      </c>
    </row>
    <row r="5" spans="1:55">
      <c r="A5" t="s">
        <v>140</v>
      </c>
      <c r="B5" t="s">
        <v>141</v>
      </c>
      <c r="C5" t="s">
        <v>142</v>
      </c>
      <c r="D5" t="s">
        <v>143</v>
      </c>
      <c r="E5" t="s">
        <v>99</v>
      </c>
      <c r="F5" t="s">
        <v>144</v>
      </c>
      <c r="G5" t="s">
        <v>63</v>
      </c>
      <c r="H5" t="s">
        <v>57</v>
      </c>
      <c r="I5" t="s">
        <v>57</v>
      </c>
      <c r="J5" t="s">
        <v>57</v>
      </c>
      <c r="K5" t="s">
        <v>57</v>
      </c>
      <c r="L5" t="s">
        <v>57</v>
      </c>
      <c r="M5">
        <v>41748341</v>
      </c>
      <c r="N5">
        <v>3985091</v>
      </c>
      <c r="O5">
        <v>0</v>
      </c>
      <c r="P5">
        <v>88</v>
      </c>
      <c r="Q5">
        <v>87</v>
      </c>
      <c r="R5">
        <v>76</v>
      </c>
      <c r="S5">
        <v>0</v>
      </c>
      <c r="T5">
        <v>0</v>
      </c>
      <c r="U5">
        <v>0</v>
      </c>
      <c r="V5">
        <v>0.47011494252873559</v>
      </c>
      <c r="W5">
        <v>84816955</v>
      </c>
      <c r="X5" t="s">
        <v>145</v>
      </c>
      <c r="Y5" t="s">
        <v>60</v>
      </c>
      <c r="Z5">
        <v>1.628979823464453</v>
      </c>
      <c r="AA5">
        <v>110</v>
      </c>
      <c r="AB5">
        <v>20</v>
      </c>
      <c r="AC5">
        <v>0</v>
      </c>
      <c r="AD5">
        <v>20</v>
      </c>
      <c r="AE5">
        <v>10</v>
      </c>
      <c r="AF5">
        <v>10</v>
      </c>
      <c r="AG5">
        <v>0</v>
      </c>
      <c r="AH5">
        <v>8</v>
      </c>
      <c r="AI5">
        <v>10</v>
      </c>
      <c r="AJ5">
        <v>0</v>
      </c>
      <c r="AK5">
        <v>10</v>
      </c>
      <c r="AL5">
        <v>12</v>
      </c>
      <c r="AM5">
        <v>10</v>
      </c>
      <c r="AN5" t="s">
        <v>110</v>
      </c>
      <c r="AO5" t="s">
        <v>146</v>
      </c>
      <c r="AP5" t="s">
        <v>147</v>
      </c>
      <c r="AQ5" t="s">
        <v>148</v>
      </c>
      <c r="AR5" t="s">
        <v>149</v>
      </c>
      <c r="AS5" t="s">
        <v>150</v>
      </c>
      <c r="AT5" t="s">
        <v>151</v>
      </c>
      <c r="AU5" t="s">
        <v>152</v>
      </c>
      <c r="AW5" t="s">
        <v>151</v>
      </c>
      <c r="AX5" t="s">
        <v>152</v>
      </c>
      <c r="AY5" t="s">
        <v>57</v>
      </c>
      <c r="AZ5" t="s">
        <v>3</v>
      </c>
      <c r="BA5" t="s">
        <v>12</v>
      </c>
    </row>
    <row r="6" spans="1:55">
      <c r="A6" t="s">
        <v>153</v>
      </c>
      <c r="B6" t="s">
        <v>154</v>
      </c>
      <c r="C6" t="s">
        <v>155</v>
      </c>
      <c r="D6" t="s">
        <v>156</v>
      </c>
      <c r="E6" t="s">
        <v>99</v>
      </c>
      <c r="F6" t="s">
        <v>157</v>
      </c>
      <c r="G6" t="s">
        <v>63</v>
      </c>
      <c r="H6" t="s">
        <v>57</v>
      </c>
      <c r="I6" t="s">
        <v>57</v>
      </c>
      <c r="J6" t="s">
        <v>57</v>
      </c>
      <c r="K6" t="s">
        <v>57</v>
      </c>
      <c r="L6" t="s">
        <v>57</v>
      </c>
      <c r="M6">
        <v>16623532</v>
      </c>
      <c r="N6">
        <v>1245974</v>
      </c>
      <c r="O6">
        <v>4048037</v>
      </c>
      <c r="P6">
        <v>102</v>
      </c>
      <c r="Q6">
        <v>101</v>
      </c>
      <c r="R6">
        <v>101</v>
      </c>
      <c r="S6">
        <v>0</v>
      </c>
      <c r="T6">
        <v>0</v>
      </c>
      <c r="U6">
        <v>0</v>
      </c>
      <c r="V6">
        <v>0.55643564356435649</v>
      </c>
      <c r="W6">
        <v>33850084</v>
      </c>
      <c r="X6" t="s">
        <v>158</v>
      </c>
      <c r="Y6" t="s">
        <v>61</v>
      </c>
      <c r="Z6">
        <v>1.213523769265165</v>
      </c>
      <c r="AA6">
        <v>110</v>
      </c>
      <c r="AB6">
        <v>20</v>
      </c>
      <c r="AC6">
        <v>0</v>
      </c>
      <c r="AD6">
        <v>20</v>
      </c>
      <c r="AE6">
        <v>10</v>
      </c>
      <c r="AF6">
        <v>10</v>
      </c>
      <c r="AG6">
        <v>0</v>
      </c>
      <c r="AH6">
        <v>8</v>
      </c>
      <c r="AI6">
        <v>10</v>
      </c>
      <c r="AJ6">
        <v>0</v>
      </c>
      <c r="AK6">
        <v>10</v>
      </c>
      <c r="AL6">
        <v>12</v>
      </c>
      <c r="AM6">
        <v>10</v>
      </c>
      <c r="AN6" t="s">
        <v>110</v>
      </c>
      <c r="AO6" t="s">
        <v>159</v>
      </c>
      <c r="AP6" t="s">
        <v>160</v>
      </c>
      <c r="AQ6" t="s">
        <v>161</v>
      </c>
      <c r="AR6" t="s">
        <v>162</v>
      </c>
      <c r="AS6" t="s">
        <v>163</v>
      </c>
      <c r="AT6" t="s">
        <v>164</v>
      </c>
      <c r="AU6" t="s">
        <v>165</v>
      </c>
      <c r="AW6" t="s">
        <v>164</v>
      </c>
      <c r="AX6" t="s">
        <v>165</v>
      </c>
      <c r="AY6" t="s">
        <v>57</v>
      </c>
      <c r="AZ6" t="s">
        <v>4</v>
      </c>
      <c r="BA6" t="s">
        <v>12</v>
      </c>
    </row>
    <row r="7" spans="1:55">
      <c r="A7" t="s">
        <v>166</v>
      </c>
      <c r="B7" t="s">
        <v>167</v>
      </c>
      <c r="C7" t="s">
        <v>168</v>
      </c>
      <c r="D7" t="s">
        <v>107</v>
      </c>
      <c r="E7" t="s">
        <v>99</v>
      </c>
      <c r="F7" t="s">
        <v>157</v>
      </c>
      <c r="G7" t="s">
        <v>63</v>
      </c>
      <c r="H7" t="s">
        <v>57</v>
      </c>
      <c r="I7" t="s">
        <v>57</v>
      </c>
      <c r="J7" t="s">
        <v>57</v>
      </c>
      <c r="K7" t="s">
        <v>57</v>
      </c>
      <c r="L7" t="s">
        <v>57</v>
      </c>
      <c r="M7">
        <v>80000000</v>
      </c>
      <c r="N7">
        <v>6541813</v>
      </c>
      <c r="O7">
        <v>0</v>
      </c>
      <c r="P7">
        <v>163</v>
      </c>
      <c r="Q7">
        <v>161</v>
      </c>
      <c r="R7">
        <v>154</v>
      </c>
      <c r="S7">
        <v>0</v>
      </c>
      <c r="T7">
        <v>0</v>
      </c>
      <c r="U7">
        <v>0</v>
      </c>
      <c r="V7">
        <v>0.424223602484472</v>
      </c>
      <c r="W7">
        <v>160300000</v>
      </c>
      <c r="X7" t="s">
        <v>2</v>
      </c>
      <c r="Y7" t="s">
        <v>2</v>
      </c>
      <c r="Z7">
        <v>1.071594659395376</v>
      </c>
      <c r="AA7">
        <v>110</v>
      </c>
      <c r="AB7">
        <v>20</v>
      </c>
      <c r="AC7">
        <v>0</v>
      </c>
      <c r="AD7">
        <v>20</v>
      </c>
      <c r="AE7">
        <v>10</v>
      </c>
      <c r="AF7">
        <v>10</v>
      </c>
      <c r="AG7">
        <v>0</v>
      </c>
      <c r="AH7">
        <v>8</v>
      </c>
      <c r="AI7">
        <v>10</v>
      </c>
      <c r="AJ7">
        <v>0</v>
      </c>
      <c r="AK7">
        <v>10</v>
      </c>
      <c r="AL7">
        <v>12</v>
      </c>
      <c r="AM7">
        <v>10</v>
      </c>
      <c r="AN7" t="s">
        <v>169</v>
      </c>
      <c r="AO7" t="s">
        <v>170</v>
      </c>
      <c r="AP7" t="s">
        <v>171</v>
      </c>
      <c r="AQ7" t="s">
        <v>172</v>
      </c>
      <c r="AR7" t="s">
        <v>173</v>
      </c>
      <c r="AS7" t="s">
        <v>174</v>
      </c>
      <c r="AT7" t="s">
        <v>175</v>
      </c>
      <c r="AU7" t="s">
        <v>176</v>
      </c>
      <c r="AV7" t="s">
        <v>177</v>
      </c>
      <c r="AW7" t="s">
        <v>175</v>
      </c>
      <c r="AX7" t="s">
        <v>176</v>
      </c>
      <c r="AY7" t="s">
        <v>57</v>
      </c>
      <c r="AZ7" t="s">
        <v>2</v>
      </c>
      <c r="BA7" t="s">
        <v>12</v>
      </c>
    </row>
    <row r="8" spans="1:55">
      <c r="A8" t="s">
        <v>178</v>
      </c>
      <c r="B8" t="s">
        <v>179</v>
      </c>
      <c r="C8" t="s">
        <v>107</v>
      </c>
      <c r="D8" t="s">
        <v>107</v>
      </c>
      <c r="E8" t="s">
        <v>99</v>
      </c>
      <c r="F8" t="s">
        <v>180</v>
      </c>
      <c r="G8" t="s">
        <v>63</v>
      </c>
      <c r="H8" t="s">
        <v>57</v>
      </c>
      <c r="I8" t="s">
        <v>57</v>
      </c>
      <c r="J8" t="s">
        <v>57</v>
      </c>
      <c r="K8" t="s">
        <v>57</v>
      </c>
      <c r="L8" t="s">
        <v>57</v>
      </c>
      <c r="M8">
        <v>4950000</v>
      </c>
      <c r="N8">
        <v>383620</v>
      </c>
      <c r="O8">
        <v>0</v>
      </c>
      <c r="P8">
        <v>41</v>
      </c>
      <c r="Q8">
        <v>40</v>
      </c>
      <c r="R8">
        <v>40</v>
      </c>
      <c r="S8">
        <v>0</v>
      </c>
      <c r="T8">
        <v>40</v>
      </c>
      <c r="U8">
        <v>1</v>
      </c>
      <c r="V8">
        <v>0.32500000000000001</v>
      </c>
      <c r="W8">
        <v>10370355</v>
      </c>
      <c r="X8" t="s">
        <v>1</v>
      </c>
      <c r="Y8" t="s">
        <v>1</v>
      </c>
      <c r="Z8">
        <v>2.7248830716912491</v>
      </c>
      <c r="AA8">
        <v>104</v>
      </c>
      <c r="AB8">
        <v>14</v>
      </c>
      <c r="AC8">
        <v>0</v>
      </c>
      <c r="AD8">
        <v>20</v>
      </c>
      <c r="AE8">
        <v>10</v>
      </c>
      <c r="AF8">
        <v>10</v>
      </c>
      <c r="AG8">
        <v>0</v>
      </c>
      <c r="AH8">
        <v>8</v>
      </c>
      <c r="AI8">
        <v>10</v>
      </c>
      <c r="AJ8">
        <v>0</v>
      </c>
      <c r="AK8">
        <v>10</v>
      </c>
      <c r="AL8">
        <v>12</v>
      </c>
      <c r="AM8">
        <v>10</v>
      </c>
      <c r="AN8" t="s">
        <v>110</v>
      </c>
      <c r="AO8" t="s">
        <v>181</v>
      </c>
      <c r="AP8" t="s">
        <v>182</v>
      </c>
      <c r="AQ8" t="s">
        <v>183</v>
      </c>
      <c r="AS8" t="s">
        <v>184</v>
      </c>
      <c r="AT8" t="s">
        <v>185</v>
      </c>
      <c r="AU8" t="s">
        <v>186</v>
      </c>
      <c r="AW8" t="s">
        <v>185</v>
      </c>
      <c r="AX8" t="s">
        <v>186</v>
      </c>
      <c r="AY8" t="s">
        <v>57</v>
      </c>
      <c r="AZ8" t="s">
        <v>1</v>
      </c>
      <c r="BA8" t="s">
        <v>12</v>
      </c>
    </row>
    <row r="9" spans="1:55">
      <c r="A9" t="s">
        <v>187</v>
      </c>
      <c r="B9" t="s">
        <v>188</v>
      </c>
      <c r="C9" t="s">
        <v>107</v>
      </c>
      <c r="D9" t="s">
        <v>107</v>
      </c>
      <c r="E9" t="s">
        <v>99</v>
      </c>
      <c r="F9" t="s">
        <v>144</v>
      </c>
      <c r="G9" t="s">
        <v>63</v>
      </c>
      <c r="H9" t="s">
        <v>57</v>
      </c>
      <c r="I9" t="s">
        <v>57</v>
      </c>
      <c r="J9" t="s">
        <v>57</v>
      </c>
      <c r="K9" t="s">
        <v>57</v>
      </c>
      <c r="L9" t="s">
        <v>57</v>
      </c>
      <c r="M9">
        <v>16812000</v>
      </c>
      <c r="N9">
        <v>1283252</v>
      </c>
      <c r="O9">
        <v>0</v>
      </c>
      <c r="P9">
        <v>61</v>
      </c>
      <c r="Q9">
        <v>60</v>
      </c>
      <c r="R9">
        <v>60</v>
      </c>
      <c r="S9">
        <v>0</v>
      </c>
      <c r="T9">
        <v>0</v>
      </c>
      <c r="U9">
        <v>0</v>
      </c>
      <c r="V9">
        <v>0.4</v>
      </c>
      <c r="W9">
        <v>35051792</v>
      </c>
      <c r="X9" t="s">
        <v>1</v>
      </c>
      <c r="Y9" t="s">
        <v>1</v>
      </c>
      <c r="Z9">
        <v>1.3004980286559751</v>
      </c>
      <c r="AA9">
        <v>104</v>
      </c>
      <c r="AB9">
        <v>14</v>
      </c>
      <c r="AC9">
        <v>0</v>
      </c>
      <c r="AD9">
        <v>20</v>
      </c>
      <c r="AE9">
        <v>10</v>
      </c>
      <c r="AF9">
        <v>10</v>
      </c>
      <c r="AG9">
        <v>0</v>
      </c>
      <c r="AH9">
        <v>8</v>
      </c>
      <c r="AI9">
        <v>10</v>
      </c>
      <c r="AJ9">
        <v>0</v>
      </c>
      <c r="AK9">
        <v>10</v>
      </c>
      <c r="AL9">
        <v>12</v>
      </c>
      <c r="AM9">
        <v>10</v>
      </c>
      <c r="AN9" t="s">
        <v>110</v>
      </c>
      <c r="AO9" t="s">
        <v>189</v>
      </c>
      <c r="AP9" t="s">
        <v>190</v>
      </c>
      <c r="AQ9" t="s">
        <v>191</v>
      </c>
      <c r="AR9" t="s">
        <v>192</v>
      </c>
      <c r="AY9" t="s">
        <v>57</v>
      </c>
      <c r="AZ9" t="s">
        <v>1</v>
      </c>
      <c r="BA9" t="s">
        <v>12</v>
      </c>
    </row>
    <row r="10" spans="1:55">
      <c r="A10" t="s">
        <v>193</v>
      </c>
      <c r="B10" t="s">
        <v>194</v>
      </c>
      <c r="C10" t="s">
        <v>195</v>
      </c>
      <c r="D10" t="s">
        <v>196</v>
      </c>
      <c r="E10" t="s">
        <v>99</v>
      </c>
      <c r="F10" t="s">
        <v>144</v>
      </c>
      <c r="G10" t="s">
        <v>59</v>
      </c>
      <c r="H10" t="s">
        <v>57</v>
      </c>
      <c r="I10" t="s">
        <v>57</v>
      </c>
      <c r="J10" t="s">
        <v>57</v>
      </c>
      <c r="K10" t="s">
        <v>57</v>
      </c>
      <c r="L10" t="s">
        <v>57</v>
      </c>
      <c r="M10">
        <v>18429090</v>
      </c>
      <c r="N10">
        <v>1395195</v>
      </c>
      <c r="O10">
        <v>0</v>
      </c>
      <c r="P10">
        <v>109</v>
      </c>
      <c r="Q10">
        <v>106</v>
      </c>
      <c r="R10">
        <v>97</v>
      </c>
      <c r="S10">
        <v>0</v>
      </c>
      <c r="T10">
        <v>0</v>
      </c>
      <c r="U10">
        <v>0</v>
      </c>
      <c r="V10">
        <v>0.39905660377358487</v>
      </c>
      <c r="W10">
        <v>37453563</v>
      </c>
      <c r="X10" t="s">
        <v>197</v>
      </c>
      <c r="Y10" t="s">
        <v>60</v>
      </c>
      <c r="Z10">
        <v>3.072395762130689</v>
      </c>
      <c r="AA10">
        <v>110</v>
      </c>
      <c r="AB10">
        <v>20</v>
      </c>
      <c r="AC10">
        <v>0</v>
      </c>
      <c r="AD10">
        <v>20</v>
      </c>
      <c r="AE10">
        <v>10</v>
      </c>
      <c r="AF10">
        <v>10</v>
      </c>
      <c r="AG10">
        <v>0</v>
      </c>
      <c r="AH10">
        <v>8</v>
      </c>
      <c r="AI10">
        <v>10</v>
      </c>
      <c r="AJ10">
        <v>0</v>
      </c>
      <c r="AK10">
        <v>10</v>
      </c>
      <c r="AL10">
        <v>12</v>
      </c>
      <c r="AM10">
        <v>10</v>
      </c>
      <c r="AN10" t="s">
        <v>110</v>
      </c>
      <c r="AO10" t="s">
        <v>198</v>
      </c>
      <c r="AP10" t="s">
        <v>199</v>
      </c>
      <c r="AQ10" t="s">
        <v>200</v>
      </c>
      <c r="AR10" t="s">
        <v>201</v>
      </c>
      <c r="AS10" t="s">
        <v>202</v>
      </c>
      <c r="AT10" t="s">
        <v>113</v>
      </c>
      <c r="AU10" t="s">
        <v>111</v>
      </c>
      <c r="AW10" t="s">
        <v>113</v>
      </c>
      <c r="AX10" t="s">
        <v>111</v>
      </c>
      <c r="AY10" t="s">
        <v>57</v>
      </c>
      <c r="AZ10" t="s">
        <v>3</v>
      </c>
      <c r="BA10" t="s">
        <v>12</v>
      </c>
    </row>
    <row r="11" spans="1:55">
      <c r="A11" t="s">
        <v>203</v>
      </c>
      <c r="B11" t="s">
        <v>204</v>
      </c>
      <c r="C11" t="s">
        <v>195</v>
      </c>
      <c r="D11" t="s">
        <v>196</v>
      </c>
      <c r="E11" t="s">
        <v>99</v>
      </c>
      <c r="F11" t="s">
        <v>144</v>
      </c>
      <c r="G11" t="s">
        <v>59</v>
      </c>
      <c r="H11" t="s">
        <v>57</v>
      </c>
      <c r="I11" t="s">
        <v>57</v>
      </c>
      <c r="J11" t="s">
        <v>57</v>
      </c>
      <c r="K11" t="s">
        <v>57</v>
      </c>
      <c r="L11" t="s">
        <v>57</v>
      </c>
      <c r="M11">
        <v>21170000</v>
      </c>
      <c r="N11">
        <v>1811148</v>
      </c>
      <c r="O11">
        <v>0</v>
      </c>
      <c r="P11">
        <v>101</v>
      </c>
      <c r="Q11">
        <v>100</v>
      </c>
      <c r="R11">
        <v>100</v>
      </c>
      <c r="S11">
        <v>0</v>
      </c>
      <c r="T11">
        <v>0</v>
      </c>
      <c r="U11">
        <v>0</v>
      </c>
      <c r="V11">
        <v>0.378</v>
      </c>
      <c r="W11">
        <v>49037405</v>
      </c>
      <c r="X11" t="s">
        <v>197</v>
      </c>
      <c r="Y11" t="s">
        <v>60</v>
      </c>
      <c r="Z11">
        <v>2.584510895737528</v>
      </c>
      <c r="AA11">
        <v>110</v>
      </c>
      <c r="AB11">
        <v>20</v>
      </c>
      <c r="AC11">
        <v>0</v>
      </c>
      <c r="AD11">
        <v>20</v>
      </c>
      <c r="AE11">
        <v>10</v>
      </c>
      <c r="AF11">
        <v>10</v>
      </c>
      <c r="AG11">
        <v>0</v>
      </c>
      <c r="AH11">
        <v>8</v>
      </c>
      <c r="AI11">
        <v>10</v>
      </c>
      <c r="AJ11">
        <v>0</v>
      </c>
      <c r="AK11">
        <v>10</v>
      </c>
      <c r="AL11">
        <v>12</v>
      </c>
      <c r="AM11">
        <v>10</v>
      </c>
      <c r="AN11" t="s">
        <v>110</v>
      </c>
      <c r="AO11" t="s">
        <v>205</v>
      </c>
      <c r="AP11" t="s">
        <v>206</v>
      </c>
      <c r="AQ11" t="s">
        <v>207</v>
      </c>
      <c r="AR11" t="s">
        <v>208</v>
      </c>
      <c r="AS11" t="s">
        <v>209</v>
      </c>
      <c r="AT11" t="s">
        <v>210</v>
      </c>
      <c r="AW11" t="s">
        <v>210</v>
      </c>
      <c r="AY11" t="s">
        <v>57</v>
      </c>
      <c r="AZ11" t="s">
        <v>3</v>
      </c>
      <c r="BA11" t="s">
        <v>12</v>
      </c>
    </row>
    <row r="12" spans="1:55">
      <c r="A12" t="s">
        <v>211</v>
      </c>
      <c r="B12" t="s">
        <v>212</v>
      </c>
      <c r="C12" t="s">
        <v>213</v>
      </c>
      <c r="D12" t="s">
        <v>214</v>
      </c>
      <c r="E12" t="s">
        <v>99</v>
      </c>
      <c r="F12" t="s">
        <v>215</v>
      </c>
      <c r="G12" t="s">
        <v>59</v>
      </c>
      <c r="H12" t="s">
        <v>57</v>
      </c>
      <c r="I12" t="s">
        <v>57</v>
      </c>
      <c r="J12" t="s">
        <v>57</v>
      </c>
      <c r="K12" t="s">
        <v>57</v>
      </c>
      <c r="L12" t="s">
        <v>57</v>
      </c>
      <c r="M12">
        <v>7750000</v>
      </c>
      <c r="N12">
        <v>572566</v>
      </c>
      <c r="O12">
        <v>0</v>
      </c>
      <c r="P12">
        <v>64</v>
      </c>
      <c r="Q12">
        <v>63</v>
      </c>
      <c r="R12">
        <v>63</v>
      </c>
      <c r="S12">
        <v>0</v>
      </c>
      <c r="T12">
        <v>0</v>
      </c>
      <c r="U12">
        <v>0</v>
      </c>
      <c r="V12">
        <v>0.46190476190476187</v>
      </c>
      <c r="W12">
        <v>16930589</v>
      </c>
      <c r="X12" t="s">
        <v>216</v>
      </c>
      <c r="Y12" t="s">
        <v>58</v>
      </c>
      <c r="Z12">
        <v>2.516377290322581</v>
      </c>
      <c r="AA12">
        <v>110</v>
      </c>
      <c r="AB12">
        <v>20</v>
      </c>
      <c r="AC12">
        <v>0</v>
      </c>
      <c r="AD12">
        <v>20</v>
      </c>
      <c r="AE12">
        <v>10</v>
      </c>
      <c r="AF12">
        <v>10</v>
      </c>
      <c r="AG12">
        <v>0</v>
      </c>
      <c r="AH12">
        <v>8</v>
      </c>
      <c r="AI12">
        <v>10</v>
      </c>
      <c r="AJ12">
        <v>0</v>
      </c>
      <c r="AK12">
        <v>10</v>
      </c>
      <c r="AL12">
        <v>12</v>
      </c>
      <c r="AM12">
        <v>10</v>
      </c>
      <c r="AN12" t="s">
        <v>110</v>
      </c>
      <c r="AO12" t="s">
        <v>217</v>
      </c>
      <c r="AP12" t="s">
        <v>218</v>
      </c>
      <c r="AQ12" t="s">
        <v>219</v>
      </c>
      <c r="AS12" t="s">
        <v>220</v>
      </c>
      <c r="AT12" t="s">
        <v>221</v>
      </c>
      <c r="AW12" t="s">
        <v>221</v>
      </c>
      <c r="AY12" t="s">
        <v>57</v>
      </c>
      <c r="AZ12" t="s">
        <v>0</v>
      </c>
      <c r="BA12" t="s">
        <v>12</v>
      </c>
    </row>
    <row r="13" spans="1:55">
      <c r="A13" t="s">
        <v>222</v>
      </c>
      <c r="B13" t="s">
        <v>223</v>
      </c>
      <c r="C13" t="s">
        <v>224</v>
      </c>
      <c r="D13" t="s">
        <v>225</v>
      </c>
      <c r="E13" t="s">
        <v>56</v>
      </c>
      <c r="F13" t="s">
        <v>108</v>
      </c>
      <c r="G13" t="s">
        <v>56</v>
      </c>
      <c r="H13" t="s">
        <v>57</v>
      </c>
      <c r="I13" t="s">
        <v>57</v>
      </c>
      <c r="J13" t="s">
        <v>57</v>
      </c>
      <c r="K13" t="s">
        <v>109</v>
      </c>
      <c r="L13" t="s">
        <v>57</v>
      </c>
      <c r="M13">
        <v>22618095</v>
      </c>
      <c r="N13">
        <v>1916257</v>
      </c>
      <c r="O13">
        <v>7999991</v>
      </c>
      <c r="P13">
        <v>40</v>
      </c>
      <c r="Q13">
        <v>39</v>
      </c>
      <c r="R13">
        <v>25</v>
      </c>
      <c r="S13">
        <v>0</v>
      </c>
      <c r="T13">
        <v>0</v>
      </c>
      <c r="U13">
        <v>0</v>
      </c>
      <c r="V13">
        <v>0.49230769230769228</v>
      </c>
      <c r="W13">
        <v>44123905</v>
      </c>
      <c r="X13" t="s">
        <v>216</v>
      </c>
      <c r="Y13" t="s">
        <v>60</v>
      </c>
      <c r="Z13">
        <v>1.038957664339214</v>
      </c>
      <c r="AA13">
        <v>120</v>
      </c>
      <c r="AB13">
        <v>0</v>
      </c>
      <c r="AC13">
        <v>10</v>
      </c>
      <c r="AD13">
        <v>20</v>
      </c>
      <c r="AE13">
        <v>10</v>
      </c>
      <c r="AF13">
        <v>10</v>
      </c>
      <c r="AG13">
        <v>10</v>
      </c>
      <c r="AH13">
        <v>8</v>
      </c>
      <c r="AI13">
        <v>10</v>
      </c>
      <c r="AJ13">
        <v>10</v>
      </c>
      <c r="AK13">
        <v>10</v>
      </c>
      <c r="AL13">
        <v>12</v>
      </c>
      <c r="AM13">
        <v>10</v>
      </c>
      <c r="AN13" t="s">
        <v>169</v>
      </c>
      <c r="AO13" t="s">
        <v>226</v>
      </c>
      <c r="AP13" t="s">
        <v>227</v>
      </c>
      <c r="AQ13" t="s">
        <v>228</v>
      </c>
      <c r="AR13" t="s">
        <v>229</v>
      </c>
      <c r="AS13" t="s">
        <v>230</v>
      </c>
      <c r="AT13" t="s">
        <v>127</v>
      </c>
      <c r="AW13" t="s">
        <v>127</v>
      </c>
      <c r="AY13" t="s">
        <v>57</v>
      </c>
      <c r="AZ13" t="s">
        <v>3</v>
      </c>
      <c r="BA13" t="s">
        <v>16</v>
      </c>
    </row>
    <row r="14" spans="1:55">
      <c r="A14" t="s">
        <v>231</v>
      </c>
      <c r="B14" t="s">
        <v>232</v>
      </c>
      <c r="C14" t="s">
        <v>233</v>
      </c>
      <c r="D14" t="s">
        <v>120</v>
      </c>
      <c r="E14" t="s">
        <v>56</v>
      </c>
      <c r="F14" t="s">
        <v>180</v>
      </c>
      <c r="G14" t="s">
        <v>56</v>
      </c>
      <c r="H14" t="s">
        <v>57</v>
      </c>
      <c r="I14" t="s">
        <v>57</v>
      </c>
      <c r="J14" t="s">
        <v>57</v>
      </c>
      <c r="K14" t="s">
        <v>109</v>
      </c>
      <c r="L14" t="s">
        <v>57</v>
      </c>
      <c r="M14">
        <v>19720254</v>
      </c>
      <c r="N14">
        <v>1799885</v>
      </c>
      <c r="O14">
        <v>4184430</v>
      </c>
      <c r="P14">
        <v>61</v>
      </c>
      <c r="Q14">
        <v>60</v>
      </c>
      <c r="R14">
        <v>60</v>
      </c>
      <c r="S14">
        <v>0</v>
      </c>
      <c r="T14">
        <v>12</v>
      </c>
      <c r="U14">
        <v>0.2</v>
      </c>
      <c r="V14">
        <v>0.33</v>
      </c>
      <c r="W14">
        <v>39459960</v>
      </c>
      <c r="X14" t="s">
        <v>121</v>
      </c>
      <c r="Y14" t="s">
        <v>58</v>
      </c>
      <c r="Z14">
        <v>1.131666443296871</v>
      </c>
      <c r="AA14">
        <v>119</v>
      </c>
      <c r="AB14">
        <v>0</v>
      </c>
      <c r="AC14">
        <v>10</v>
      </c>
      <c r="AD14">
        <v>20</v>
      </c>
      <c r="AE14">
        <v>10</v>
      </c>
      <c r="AF14">
        <v>10</v>
      </c>
      <c r="AG14">
        <v>10</v>
      </c>
      <c r="AH14">
        <v>8</v>
      </c>
      <c r="AI14">
        <v>10</v>
      </c>
      <c r="AJ14">
        <v>9</v>
      </c>
      <c r="AK14">
        <v>10</v>
      </c>
      <c r="AL14">
        <v>12</v>
      </c>
      <c r="AM14">
        <v>10</v>
      </c>
      <c r="AN14" t="s">
        <v>110</v>
      </c>
      <c r="AO14" t="s">
        <v>234</v>
      </c>
      <c r="AP14" t="s">
        <v>235</v>
      </c>
      <c r="AQ14" t="s">
        <v>236</v>
      </c>
      <c r="AR14" t="s">
        <v>237</v>
      </c>
      <c r="AS14" t="s">
        <v>238</v>
      </c>
      <c r="AT14" t="s">
        <v>239</v>
      </c>
      <c r="AU14" t="s">
        <v>240</v>
      </c>
      <c r="AW14" t="s">
        <v>239</v>
      </c>
      <c r="AX14" t="s">
        <v>240</v>
      </c>
      <c r="AY14" t="s">
        <v>57</v>
      </c>
      <c r="AZ14" t="s">
        <v>0</v>
      </c>
      <c r="BA14" t="s">
        <v>16</v>
      </c>
    </row>
    <row r="15" spans="1:55">
      <c r="A15" t="s">
        <v>241</v>
      </c>
      <c r="B15" t="s">
        <v>242</v>
      </c>
      <c r="C15" t="s">
        <v>243</v>
      </c>
      <c r="D15" t="s">
        <v>196</v>
      </c>
      <c r="E15" t="s">
        <v>56</v>
      </c>
      <c r="F15" t="s">
        <v>108</v>
      </c>
      <c r="G15" t="s">
        <v>56</v>
      </c>
      <c r="H15" t="s">
        <v>57</v>
      </c>
      <c r="I15" t="s">
        <v>109</v>
      </c>
      <c r="J15" t="s">
        <v>109</v>
      </c>
      <c r="K15" t="s">
        <v>57</v>
      </c>
      <c r="L15" t="s">
        <v>57</v>
      </c>
      <c r="M15">
        <v>62900000</v>
      </c>
      <c r="N15">
        <v>6363871</v>
      </c>
      <c r="O15">
        <v>0</v>
      </c>
      <c r="P15">
        <v>120</v>
      </c>
      <c r="Q15">
        <v>119</v>
      </c>
      <c r="R15">
        <v>119</v>
      </c>
      <c r="S15">
        <v>0</v>
      </c>
      <c r="T15">
        <v>30</v>
      </c>
      <c r="U15">
        <v>0.25210084033613439</v>
      </c>
      <c r="V15">
        <v>0.43025210084033622</v>
      </c>
      <c r="W15">
        <v>131100765</v>
      </c>
      <c r="X15" t="s">
        <v>197</v>
      </c>
      <c r="Y15" t="s">
        <v>60</v>
      </c>
      <c r="Z15">
        <v>1.289420637653153</v>
      </c>
      <c r="AA15">
        <v>120</v>
      </c>
      <c r="AB15">
        <v>0</v>
      </c>
      <c r="AC15">
        <v>10</v>
      </c>
      <c r="AD15">
        <v>20</v>
      </c>
      <c r="AE15">
        <v>10</v>
      </c>
      <c r="AF15">
        <v>10</v>
      </c>
      <c r="AG15">
        <v>10</v>
      </c>
      <c r="AH15">
        <v>8</v>
      </c>
      <c r="AI15">
        <v>10</v>
      </c>
      <c r="AJ15">
        <v>10</v>
      </c>
      <c r="AK15">
        <v>10</v>
      </c>
      <c r="AL15">
        <v>12</v>
      </c>
      <c r="AM15">
        <v>10</v>
      </c>
      <c r="AN15" t="s">
        <v>110</v>
      </c>
      <c r="AO15" t="s">
        <v>244</v>
      </c>
      <c r="AP15" t="s">
        <v>245</v>
      </c>
      <c r="AQ15" t="s">
        <v>246</v>
      </c>
      <c r="AR15" t="s">
        <v>247</v>
      </c>
      <c r="AS15" t="s">
        <v>248</v>
      </c>
      <c r="AT15" t="s">
        <v>249</v>
      </c>
      <c r="AU15" t="s">
        <v>250</v>
      </c>
      <c r="AW15" t="s">
        <v>249</v>
      </c>
      <c r="AX15" t="s">
        <v>250</v>
      </c>
      <c r="AY15" t="s">
        <v>57</v>
      </c>
      <c r="AZ15" t="s">
        <v>3</v>
      </c>
      <c r="BA15" t="s">
        <v>14</v>
      </c>
    </row>
    <row r="16" spans="1:55">
      <c r="A16" t="s">
        <v>251</v>
      </c>
      <c r="B16" t="s">
        <v>252</v>
      </c>
      <c r="C16" t="s">
        <v>225</v>
      </c>
      <c r="D16" t="s">
        <v>225</v>
      </c>
      <c r="E16" t="s">
        <v>56</v>
      </c>
      <c r="F16" t="s">
        <v>108</v>
      </c>
      <c r="G16" t="s">
        <v>56</v>
      </c>
      <c r="H16" t="s">
        <v>57</v>
      </c>
      <c r="I16" t="s">
        <v>109</v>
      </c>
      <c r="J16" t="s">
        <v>109</v>
      </c>
      <c r="K16" t="s">
        <v>57</v>
      </c>
      <c r="L16" t="s">
        <v>57</v>
      </c>
      <c r="M16">
        <v>47076397</v>
      </c>
      <c r="N16">
        <v>4230896</v>
      </c>
      <c r="O16">
        <v>4755237</v>
      </c>
      <c r="P16">
        <v>90</v>
      </c>
      <c r="Q16">
        <v>89</v>
      </c>
      <c r="R16">
        <v>89</v>
      </c>
      <c r="S16">
        <v>0</v>
      </c>
      <c r="T16">
        <v>23</v>
      </c>
      <c r="U16">
        <v>0.25842696629213491</v>
      </c>
      <c r="V16">
        <v>0.47977528089887628</v>
      </c>
      <c r="W16">
        <v>94872063</v>
      </c>
      <c r="X16" t="s">
        <v>216</v>
      </c>
      <c r="Y16" t="s">
        <v>60</v>
      </c>
      <c r="Z16">
        <v>1.22996127444714</v>
      </c>
      <c r="AA16">
        <v>120</v>
      </c>
      <c r="AB16">
        <v>0</v>
      </c>
      <c r="AC16">
        <v>10</v>
      </c>
      <c r="AD16">
        <v>20</v>
      </c>
      <c r="AE16">
        <v>10</v>
      </c>
      <c r="AF16">
        <v>10</v>
      </c>
      <c r="AG16">
        <v>10</v>
      </c>
      <c r="AH16">
        <v>8</v>
      </c>
      <c r="AI16">
        <v>10</v>
      </c>
      <c r="AJ16">
        <v>10</v>
      </c>
      <c r="AK16">
        <v>10</v>
      </c>
      <c r="AL16">
        <v>12</v>
      </c>
      <c r="AM16">
        <v>10</v>
      </c>
      <c r="AN16" t="s">
        <v>110</v>
      </c>
      <c r="AO16" t="s">
        <v>111</v>
      </c>
      <c r="AP16" t="s">
        <v>253</v>
      </c>
      <c r="AQ16" t="s">
        <v>254</v>
      </c>
      <c r="AS16" t="s">
        <v>255</v>
      </c>
      <c r="AT16" t="s">
        <v>113</v>
      </c>
      <c r="AU16" t="s">
        <v>256</v>
      </c>
      <c r="AW16" t="s">
        <v>113</v>
      </c>
      <c r="AX16" t="s">
        <v>256</v>
      </c>
      <c r="AY16" t="s">
        <v>57</v>
      </c>
      <c r="AZ16" t="s">
        <v>3</v>
      </c>
      <c r="BA16" t="s">
        <v>14</v>
      </c>
    </row>
    <row r="17" spans="1:54">
      <c r="A17" t="s">
        <v>257</v>
      </c>
      <c r="B17" t="s">
        <v>258</v>
      </c>
      <c r="C17" t="s">
        <v>259</v>
      </c>
      <c r="D17" t="s">
        <v>196</v>
      </c>
      <c r="E17" t="s">
        <v>56</v>
      </c>
      <c r="F17" t="s">
        <v>108</v>
      </c>
      <c r="G17" t="s">
        <v>56</v>
      </c>
      <c r="H17" t="s">
        <v>57</v>
      </c>
      <c r="I17" t="s">
        <v>109</v>
      </c>
      <c r="J17" t="s">
        <v>109</v>
      </c>
      <c r="K17" t="s">
        <v>57</v>
      </c>
      <c r="L17" t="s">
        <v>57</v>
      </c>
      <c r="M17">
        <v>53248129</v>
      </c>
      <c r="N17">
        <v>5248603</v>
      </c>
      <c r="O17">
        <v>26000000</v>
      </c>
      <c r="P17">
        <v>130</v>
      </c>
      <c r="Q17">
        <v>128</v>
      </c>
      <c r="R17">
        <v>128</v>
      </c>
      <c r="S17">
        <v>0</v>
      </c>
      <c r="T17">
        <v>32</v>
      </c>
      <c r="U17">
        <v>0.25</v>
      </c>
      <c r="V17">
        <v>0.40390625000000002</v>
      </c>
      <c r="W17">
        <v>112039501</v>
      </c>
      <c r="X17" t="s">
        <v>197</v>
      </c>
      <c r="Y17" t="s">
        <v>60</v>
      </c>
      <c r="Z17">
        <v>1.1187511149397871</v>
      </c>
      <c r="AA17">
        <v>120</v>
      </c>
      <c r="AB17">
        <v>0</v>
      </c>
      <c r="AC17">
        <v>10</v>
      </c>
      <c r="AD17">
        <v>20</v>
      </c>
      <c r="AE17">
        <v>10</v>
      </c>
      <c r="AF17">
        <v>10</v>
      </c>
      <c r="AG17">
        <v>10</v>
      </c>
      <c r="AH17">
        <v>8</v>
      </c>
      <c r="AI17">
        <v>10</v>
      </c>
      <c r="AJ17">
        <v>10</v>
      </c>
      <c r="AK17">
        <v>10</v>
      </c>
      <c r="AL17">
        <v>12</v>
      </c>
      <c r="AM17">
        <v>10</v>
      </c>
      <c r="AN17" t="s">
        <v>110</v>
      </c>
      <c r="AO17" t="s">
        <v>260</v>
      </c>
      <c r="AP17" t="s">
        <v>261</v>
      </c>
      <c r="AQ17" t="s">
        <v>262</v>
      </c>
      <c r="AR17" t="s">
        <v>263</v>
      </c>
      <c r="AY17" t="s">
        <v>57</v>
      </c>
      <c r="AZ17" t="s">
        <v>3</v>
      </c>
      <c r="BA17" t="s">
        <v>14</v>
      </c>
    </row>
    <row r="18" spans="1:54">
      <c r="A18" t="s">
        <v>264</v>
      </c>
      <c r="B18" t="s">
        <v>265</v>
      </c>
      <c r="C18" t="s">
        <v>266</v>
      </c>
      <c r="D18" t="s">
        <v>266</v>
      </c>
      <c r="E18" t="s">
        <v>56</v>
      </c>
      <c r="F18" t="s">
        <v>180</v>
      </c>
      <c r="G18" t="s">
        <v>56</v>
      </c>
      <c r="H18" t="s">
        <v>57</v>
      </c>
      <c r="I18" t="s">
        <v>109</v>
      </c>
      <c r="J18" t="s">
        <v>109</v>
      </c>
      <c r="K18" t="s">
        <v>57</v>
      </c>
      <c r="L18" t="s">
        <v>57</v>
      </c>
      <c r="M18">
        <v>54544222</v>
      </c>
      <c r="N18">
        <v>5401919</v>
      </c>
      <c r="O18">
        <v>0</v>
      </c>
      <c r="P18">
        <v>136</v>
      </c>
      <c r="Q18">
        <v>136</v>
      </c>
      <c r="R18">
        <v>136</v>
      </c>
      <c r="S18">
        <v>0</v>
      </c>
      <c r="T18">
        <v>136</v>
      </c>
      <c r="U18">
        <v>1</v>
      </c>
      <c r="V18">
        <v>0.37941176470588228</v>
      </c>
      <c r="W18">
        <v>111434023</v>
      </c>
      <c r="X18" t="s">
        <v>267</v>
      </c>
      <c r="Y18" t="s">
        <v>60</v>
      </c>
      <c r="Z18">
        <v>2.016827008955957</v>
      </c>
      <c r="AA18">
        <v>119</v>
      </c>
      <c r="AB18">
        <v>0</v>
      </c>
      <c r="AC18">
        <v>10</v>
      </c>
      <c r="AD18">
        <v>20</v>
      </c>
      <c r="AE18">
        <v>10</v>
      </c>
      <c r="AF18">
        <v>10</v>
      </c>
      <c r="AG18">
        <v>10</v>
      </c>
      <c r="AH18">
        <v>8</v>
      </c>
      <c r="AI18">
        <v>10</v>
      </c>
      <c r="AJ18">
        <v>9</v>
      </c>
      <c r="AK18">
        <v>10</v>
      </c>
      <c r="AL18">
        <v>12</v>
      </c>
      <c r="AM18">
        <v>10</v>
      </c>
      <c r="AN18" t="s">
        <v>268</v>
      </c>
      <c r="AO18" t="s">
        <v>269</v>
      </c>
      <c r="AP18" t="s">
        <v>270</v>
      </c>
      <c r="AQ18" t="s">
        <v>271</v>
      </c>
      <c r="AR18" t="s">
        <v>272</v>
      </c>
      <c r="AS18" t="s">
        <v>273</v>
      </c>
      <c r="AT18" t="s">
        <v>274</v>
      </c>
      <c r="AU18" t="s">
        <v>275</v>
      </c>
      <c r="AW18" t="s">
        <v>274</v>
      </c>
      <c r="AX18" t="s">
        <v>275</v>
      </c>
      <c r="AY18" t="s">
        <v>57</v>
      </c>
      <c r="AZ18" t="s">
        <v>3</v>
      </c>
      <c r="BA18" t="s">
        <v>14</v>
      </c>
      <c r="BB18">
        <v>110</v>
      </c>
    </row>
    <row r="19" spans="1:54">
      <c r="A19" t="s">
        <v>276</v>
      </c>
      <c r="B19" t="s">
        <v>277</v>
      </c>
      <c r="C19" t="s">
        <v>107</v>
      </c>
      <c r="D19" t="s">
        <v>107</v>
      </c>
      <c r="E19" t="s">
        <v>56</v>
      </c>
      <c r="F19" t="s">
        <v>180</v>
      </c>
      <c r="G19" t="s">
        <v>56</v>
      </c>
      <c r="H19" t="s">
        <v>57</v>
      </c>
      <c r="I19" t="s">
        <v>109</v>
      </c>
      <c r="J19" t="s">
        <v>109</v>
      </c>
      <c r="K19" t="s">
        <v>57</v>
      </c>
      <c r="L19" t="s">
        <v>57</v>
      </c>
      <c r="M19">
        <v>27292075</v>
      </c>
      <c r="N19">
        <v>2453354</v>
      </c>
      <c r="O19">
        <v>0</v>
      </c>
      <c r="P19">
        <v>80</v>
      </c>
      <c r="Q19">
        <v>79</v>
      </c>
      <c r="R19">
        <v>79</v>
      </c>
      <c r="S19">
        <v>0</v>
      </c>
      <c r="T19">
        <v>79</v>
      </c>
      <c r="U19">
        <v>1</v>
      </c>
      <c r="V19">
        <v>0.30253164556962031</v>
      </c>
      <c r="W19">
        <v>60503374</v>
      </c>
      <c r="X19" t="s">
        <v>1</v>
      </c>
      <c r="Y19" t="s">
        <v>1</v>
      </c>
      <c r="Z19">
        <v>1.134503508437726</v>
      </c>
      <c r="AA19">
        <v>119</v>
      </c>
      <c r="AB19">
        <v>0</v>
      </c>
      <c r="AC19">
        <v>10</v>
      </c>
      <c r="AD19">
        <v>20</v>
      </c>
      <c r="AE19">
        <v>10</v>
      </c>
      <c r="AF19">
        <v>10</v>
      </c>
      <c r="AG19">
        <v>10</v>
      </c>
      <c r="AH19">
        <v>8</v>
      </c>
      <c r="AI19">
        <v>10</v>
      </c>
      <c r="AJ19">
        <v>9</v>
      </c>
      <c r="AK19">
        <v>10</v>
      </c>
      <c r="AL19">
        <v>12</v>
      </c>
      <c r="AM19">
        <v>10</v>
      </c>
      <c r="AN19" t="s">
        <v>1</v>
      </c>
      <c r="AO19" t="s">
        <v>278</v>
      </c>
      <c r="AP19" t="s">
        <v>279</v>
      </c>
      <c r="AQ19" t="s">
        <v>280</v>
      </c>
      <c r="AR19" t="s">
        <v>281</v>
      </c>
      <c r="AY19" t="s">
        <v>57</v>
      </c>
      <c r="AZ19" t="s">
        <v>1</v>
      </c>
      <c r="BA19" t="s">
        <v>14</v>
      </c>
      <c r="BB19">
        <v>110</v>
      </c>
    </row>
    <row r="20" spans="1:54">
      <c r="A20" t="s">
        <v>282</v>
      </c>
      <c r="B20" t="s">
        <v>283</v>
      </c>
      <c r="C20" t="s">
        <v>225</v>
      </c>
      <c r="D20" t="s">
        <v>225</v>
      </c>
      <c r="E20" t="s">
        <v>56</v>
      </c>
      <c r="F20" t="s">
        <v>108</v>
      </c>
      <c r="G20" t="s">
        <v>56</v>
      </c>
      <c r="H20" t="s">
        <v>57</v>
      </c>
      <c r="I20" t="s">
        <v>57</v>
      </c>
      <c r="J20" t="s">
        <v>109</v>
      </c>
      <c r="K20" t="s">
        <v>57</v>
      </c>
      <c r="L20" t="s">
        <v>57</v>
      </c>
      <c r="M20">
        <v>28950000</v>
      </c>
      <c r="N20">
        <v>2998322</v>
      </c>
      <c r="O20">
        <v>13000000</v>
      </c>
      <c r="P20">
        <v>83</v>
      </c>
      <c r="Q20">
        <v>82</v>
      </c>
      <c r="R20">
        <v>82</v>
      </c>
      <c r="S20">
        <v>0</v>
      </c>
      <c r="T20">
        <v>0</v>
      </c>
      <c r="U20">
        <v>0</v>
      </c>
      <c r="V20">
        <v>0.49390243902439029</v>
      </c>
      <c r="W20">
        <v>61216868</v>
      </c>
      <c r="X20" t="s">
        <v>216</v>
      </c>
      <c r="Y20" t="s">
        <v>60</v>
      </c>
      <c r="Z20">
        <v>1.409241524721963</v>
      </c>
      <c r="AA20">
        <v>120</v>
      </c>
      <c r="AB20">
        <v>0</v>
      </c>
      <c r="AC20">
        <v>10</v>
      </c>
      <c r="AD20">
        <v>20</v>
      </c>
      <c r="AE20">
        <v>10</v>
      </c>
      <c r="AF20">
        <v>10</v>
      </c>
      <c r="AG20">
        <v>10</v>
      </c>
      <c r="AH20">
        <v>8</v>
      </c>
      <c r="AI20">
        <v>10</v>
      </c>
      <c r="AJ20">
        <v>10</v>
      </c>
      <c r="AK20">
        <v>10</v>
      </c>
      <c r="AL20">
        <v>12</v>
      </c>
      <c r="AM20">
        <v>10</v>
      </c>
      <c r="AN20" t="s">
        <v>169</v>
      </c>
      <c r="AO20" t="s">
        <v>284</v>
      </c>
      <c r="AP20" t="s">
        <v>229</v>
      </c>
      <c r="AQ20" t="s">
        <v>285</v>
      </c>
      <c r="AS20" t="s">
        <v>286</v>
      </c>
      <c r="AT20" t="s">
        <v>127</v>
      </c>
      <c r="AU20" t="s">
        <v>128</v>
      </c>
      <c r="AW20" t="s">
        <v>127</v>
      </c>
      <c r="AX20" t="s">
        <v>128</v>
      </c>
      <c r="AY20" t="s">
        <v>57</v>
      </c>
      <c r="AZ20" t="s">
        <v>3</v>
      </c>
      <c r="BA20" t="s">
        <v>15</v>
      </c>
    </row>
    <row r="21" spans="1:54">
      <c r="A21" t="s">
        <v>287</v>
      </c>
      <c r="B21" t="s">
        <v>288</v>
      </c>
      <c r="C21" t="s">
        <v>266</v>
      </c>
      <c r="D21" t="s">
        <v>266</v>
      </c>
      <c r="E21" t="s">
        <v>56</v>
      </c>
      <c r="F21" t="s">
        <v>108</v>
      </c>
      <c r="G21" t="s">
        <v>56</v>
      </c>
      <c r="H21" t="s">
        <v>57</v>
      </c>
      <c r="I21" t="s">
        <v>57</v>
      </c>
      <c r="J21" t="s">
        <v>109</v>
      </c>
      <c r="K21" t="s">
        <v>57</v>
      </c>
      <c r="L21" t="s">
        <v>57</v>
      </c>
      <c r="M21">
        <v>91504000</v>
      </c>
      <c r="N21">
        <v>6958772</v>
      </c>
      <c r="O21">
        <v>0</v>
      </c>
      <c r="P21">
        <v>159</v>
      </c>
      <c r="Q21">
        <v>158</v>
      </c>
      <c r="R21">
        <v>158</v>
      </c>
      <c r="S21">
        <v>0</v>
      </c>
      <c r="T21">
        <v>0</v>
      </c>
      <c r="U21">
        <v>0</v>
      </c>
      <c r="V21">
        <v>0.4981012658227848</v>
      </c>
      <c r="W21">
        <v>184585386</v>
      </c>
      <c r="X21" t="s">
        <v>267</v>
      </c>
      <c r="Y21" t="s">
        <v>60</v>
      </c>
      <c r="Z21">
        <v>1.3446889092319489</v>
      </c>
      <c r="AA21">
        <v>120</v>
      </c>
      <c r="AB21">
        <v>0</v>
      </c>
      <c r="AC21">
        <v>10</v>
      </c>
      <c r="AD21">
        <v>20</v>
      </c>
      <c r="AE21">
        <v>10</v>
      </c>
      <c r="AF21">
        <v>10</v>
      </c>
      <c r="AG21">
        <v>10</v>
      </c>
      <c r="AH21">
        <v>8</v>
      </c>
      <c r="AI21">
        <v>10</v>
      </c>
      <c r="AJ21">
        <v>10</v>
      </c>
      <c r="AK21">
        <v>10</v>
      </c>
      <c r="AL21">
        <v>12</v>
      </c>
      <c r="AM21">
        <v>10</v>
      </c>
      <c r="AN21" t="s">
        <v>268</v>
      </c>
      <c r="AO21" t="s">
        <v>289</v>
      </c>
      <c r="AP21" t="s">
        <v>290</v>
      </c>
      <c r="AQ21" t="s">
        <v>291</v>
      </c>
      <c r="AR21" t="s">
        <v>292</v>
      </c>
      <c r="AY21" t="s">
        <v>57</v>
      </c>
      <c r="AZ21" t="s">
        <v>3</v>
      </c>
      <c r="BA21" t="s">
        <v>15</v>
      </c>
    </row>
    <row r="22" spans="1:54">
      <c r="A22" t="s">
        <v>293</v>
      </c>
      <c r="B22" t="s">
        <v>294</v>
      </c>
      <c r="C22" t="s">
        <v>225</v>
      </c>
      <c r="D22" t="s">
        <v>225</v>
      </c>
      <c r="E22" t="s">
        <v>56</v>
      </c>
      <c r="F22" t="s">
        <v>108</v>
      </c>
      <c r="G22" t="s">
        <v>56</v>
      </c>
      <c r="H22" t="s">
        <v>57</v>
      </c>
      <c r="I22" t="s">
        <v>57</v>
      </c>
      <c r="J22" t="s">
        <v>109</v>
      </c>
      <c r="K22" t="s">
        <v>57</v>
      </c>
      <c r="L22" t="s">
        <v>57</v>
      </c>
      <c r="M22">
        <v>22655819</v>
      </c>
      <c r="N22">
        <v>2147774</v>
      </c>
      <c r="O22">
        <v>9999036</v>
      </c>
      <c r="P22">
        <v>50</v>
      </c>
      <c r="Q22">
        <v>49</v>
      </c>
      <c r="R22">
        <v>49</v>
      </c>
      <c r="S22">
        <v>0</v>
      </c>
      <c r="T22">
        <v>0</v>
      </c>
      <c r="U22">
        <v>0</v>
      </c>
      <c r="V22">
        <v>0.4408163265306122</v>
      </c>
      <c r="W22">
        <v>44869243</v>
      </c>
      <c r="X22" t="s">
        <v>216</v>
      </c>
      <c r="Y22" t="s">
        <v>58</v>
      </c>
      <c r="Z22">
        <v>1.173318579220668</v>
      </c>
      <c r="AA22">
        <v>120</v>
      </c>
      <c r="AB22">
        <v>0</v>
      </c>
      <c r="AC22">
        <v>10</v>
      </c>
      <c r="AD22">
        <v>20</v>
      </c>
      <c r="AE22">
        <v>10</v>
      </c>
      <c r="AF22">
        <v>10</v>
      </c>
      <c r="AG22">
        <v>10</v>
      </c>
      <c r="AH22">
        <v>8</v>
      </c>
      <c r="AI22">
        <v>10</v>
      </c>
      <c r="AJ22">
        <v>10</v>
      </c>
      <c r="AK22">
        <v>10</v>
      </c>
      <c r="AL22">
        <v>12</v>
      </c>
      <c r="AM22">
        <v>10</v>
      </c>
      <c r="AN22" t="s">
        <v>110</v>
      </c>
      <c r="AO22" t="s">
        <v>295</v>
      </c>
      <c r="AP22" t="s">
        <v>296</v>
      </c>
      <c r="AQ22" t="s">
        <v>297</v>
      </c>
      <c r="AS22" t="s">
        <v>298</v>
      </c>
      <c r="AT22" t="s">
        <v>299</v>
      </c>
      <c r="AU22" t="s">
        <v>300</v>
      </c>
      <c r="AV22" t="s">
        <v>301</v>
      </c>
      <c r="AW22" t="s">
        <v>299</v>
      </c>
      <c r="AX22" t="s">
        <v>300</v>
      </c>
      <c r="AY22" t="s">
        <v>57</v>
      </c>
      <c r="AZ22" t="s">
        <v>0</v>
      </c>
      <c r="BA22" t="s">
        <v>15</v>
      </c>
    </row>
    <row r="23" spans="1:54">
      <c r="A23" t="s">
        <v>302</v>
      </c>
      <c r="B23" t="s">
        <v>303</v>
      </c>
      <c r="C23" t="s">
        <v>120</v>
      </c>
      <c r="D23" t="s">
        <v>120</v>
      </c>
      <c r="E23" t="s">
        <v>56</v>
      </c>
      <c r="F23" t="s">
        <v>108</v>
      </c>
      <c r="G23" t="s">
        <v>56</v>
      </c>
      <c r="H23" t="s">
        <v>57</v>
      </c>
      <c r="I23" t="s">
        <v>57</v>
      </c>
      <c r="J23" t="s">
        <v>109</v>
      </c>
      <c r="K23" t="s">
        <v>57</v>
      </c>
      <c r="L23" t="s">
        <v>57</v>
      </c>
      <c r="M23">
        <v>43500000</v>
      </c>
      <c r="N23">
        <v>3929628</v>
      </c>
      <c r="O23">
        <v>5543999</v>
      </c>
      <c r="P23">
        <v>126</v>
      </c>
      <c r="Q23">
        <v>125</v>
      </c>
      <c r="R23">
        <v>125</v>
      </c>
      <c r="S23">
        <v>0</v>
      </c>
      <c r="T23">
        <v>0</v>
      </c>
      <c r="U23">
        <v>0</v>
      </c>
      <c r="V23">
        <v>0.48959999999999998</v>
      </c>
      <c r="W23">
        <v>89173680</v>
      </c>
      <c r="X23" t="s">
        <v>121</v>
      </c>
      <c r="Y23" t="s">
        <v>58</v>
      </c>
      <c r="Z23">
        <v>1.1707971711971541</v>
      </c>
      <c r="AA23">
        <v>120</v>
      </c>
      <c r="AB23">
        <v>0</v>
      </c>
      <c r="AC23">
        <v>10</v>
      </c>
      <c r="AD23">
        <v>20</v>
      </c>
      <c r="AE23">
        <v>10</v>
      </c>
      <c r="AF23">
        <v>10</v>
      </c>
      <c r="AG23">
        <v>10</v>
      </c>
      <c r="AH23">
        <v>8</v>
      </c>
      <c r="AI23">
        <v>10</v>
      </c>
      <c r="AJ23">
        <v>10</v>
      </c>
      <c r="AK23">
        <v>10</v>
      </c>
      <c r="AL23">
        <v>12</v>
      </c>
      <c r="AM23">
        <v>10</v>
      </c>
      <c r="AN23" t="s">
        <v>169</v>
      </c>
      <c r="AO23" t="s">
        <v>304</v>
      </c>
      <c r="AP23" t="s">
        <v>304</v>
      </c>
      <c r="AQ23" t="s">
        <v>305</v>
      </c>
      <c r="AS23" t="s">
        <v>306</v>
      </c>
      <c r="AT23" t="s">
        <v>307</v>
      </c>
      <c r="AU23" t="s">
        <v>308</v>
      </c>
      <c r="AW23" t="s">
        <v>307</v>
      </c>
      <c r="AX23" t="s">
        <v>308</v>
      </c>
      <c r="AY23" t="s">
        <v>57</v>
      </c>
      <c r="AZ23" t="s">
        <v>0</v>
      </c>
      <c r="BA23" t="s">
        <v>15</v>
      </c>
    </row>
    <row r="24" spans="1:54">
      <c r="A24" t="s">
        <v>309</v>
      </c>
      <c r="B24" t="s">
        <v>310</v>
      </c>
      <c r="C24" t="s">
        <v>195</v>
      </c>
      <c r="D24" t="s">
        <v>196</v>
      </c>
      <c r="E24" t="s">
        <v>56</v>
      </c>
      <c r="F24" t="s">
        <v>108</v>
      </c>
      <c r="G24" t="s">
        <v>56</v>
      </c>
      <c r="H24" t="s">
        <v>57</v>
      </c>
      <c r="I24" t="s">
        <v>109</v>
      </c>
      <c r="J24" t="s">
        <v>109</v>
      </c>
      <c r="K24" t="s">
        <v>57</v>
      </c>
      <c r="L24" t="s">
        <v>57</v>
      </c>
      <c r="M24">
        <v>82584672</v>
      </c>
      <c r="N24">
        <v>5698379</v>
      </c>
      <c r="O24">
        <v>0</v>
      </c>
      <c r="P24">
        <v>195</v>
      </c>
      <c r="Q24">
        <v>193</v>
      </c>
      <c r="R24">
        <v>193</v>
      </c>
      <c r="S24">
        <v>0</v>
      </c>
      <c r="T24">
        <v>49</v>
      </c>
      <c r="U24">
        <v>0.25388601036269431</v>
      </c>
      <c r="V24">
        <v>0.4746113989637305</v>
      </c>
      <c r="W24">
        <v>162592874</v>
      </c>
      <c r="X24" t="s">
        <v>197</v>
      </c>
      <c r="Y24" t="s">
        <v>60</v>
      </c>
      <c r="Z24">
        <v>1.469676320848982</v>
      </c>
      <c r="AA24">
        <v>119</v>
      </c>
      <c r="AB24">
        <v>0</v>
      </c>
      <c r="AC24">
        <v>10</v>
      </c>
      <c r="AD24">
        <v>20</v>
      </c>
      <c r="AE24">
        <v>10</v>
      </c>
      <c r="AF24">
        <v>10</v>
      </c>
      <c r="AG24">
        <v>10</v>
      </c>
      <c r="AH24">
        <v>8</v>
      </c>
      <c r="AI24">
        <v>10</v>
      </c>
      <c r="AJ24">
        <v>9</v>
      </c>
      <c r="AK24">
        <v>10</v>
      </c>
      <c r="AL24">
        <v>12</v>
      </c>
      <c r="AM24">
        <v>10</v>
      </c>
      <c r="AN24" t="s">
        <v>311</v>
      </c>
      <c r="AO24" t="s">
        <v>312</v>
      </c>
      <c r="AP24" t="s">
        <v>313</v>
      </c>
      <c r="AQ24" t="s">
        <v>314</v>
      </c>
      <c r="AR24" t="s">
        <v>315</v>
      </c>
      <c r="AS24" t="s">
        <v>316</v>
      </c>
      <c r="AT24" t="s">
        <v>317</v>
      </c>
      <c r="AU24" t="s">
        <v>318</v>
      </c>
      <c r="AW24" t="s">
        <v>317</v>
      </c>
      <c r="AX24" t="s">
        <v>318</v>
      </c>
      <c r="AY24" t="s">
        <v>57</v>
      </c>
      <c r="AZ24" t="s">
        <v>3</v>
      </c>
      <c r="BA24" t="s">
        <v>15</v>
      </c>
      <c r="BB24">
        <v>110</v>
      </c>
    </row>
    <row r="25" spans="1:54">
      <c r="A25" t="s">
        <v>319</v>
      </c>
      <c r="B25" t="s">
        <v>320</v>
      </c>
      <c r="C25" t="s">
        <v>321</v>
      </c>
      <c r="D25" t="s">
        <v>107</v>
      </c>
      <c r="E25" t="s">
        <v>322</v>
      </c>
      <c r="F25" t="s">
        <v>215</v>
      </c>
      <c r="G25" t="s">
        <v>56</v>
      </c>
      <c r="H25" t="s">
        <v>57</v>
      </c>
      <c r="I25" t="s">
        <v>57</v>
      </c>
      <c r="J25" t="s">
        <v>109</v>
      </c>
      <c r="K25" t="s">
        <v>57</v>
      </c>
      <c r="L25" t="s">
        <v>57</v>
      </c>
      <c r="M25">
        <v>22007930</v>
      </c>
      <c r="N25">
        <v>2075527</v>
      </c>
      <c r="O25">
        <v>2115728</v>
      </c>
      <c r="P25">
        <v>64</v>
      </c>
      <c r="Q25">
        <v>63</v>
      </c>
      <c r="R25">
        <v>63</v>
      </c>
      <c r="S25">
        <v>0</v>
      </c>
      <c r="T25">
        <v>0</v>
      </c>
      <c r="U25">
        <v>0</v>
      </c>
      <c r="V25">
        <v>0.37142857142857139</v>
      </c>
      <c r="W25">
        <v>47781447</v>
      </c>
      <c r="X25" t="s">
        <v>2</v>
      </c>
      <c r="Y25" t="s">
        <v>2</v>
      </c>
      <c r="Z25">
        <v>1.205281555101988</v>
      </c>
      <c r="AA25">
        <v>119</v>
      </c>
      <c r="AB25">
        <v>0</v>
      </c>
      <c r="AC25">
        <v>10</v>
      </c>
      <c r="AD25">
        <v>20</v>
      </c>
      <c r="AE25">
        <v>10</v>
      </c>
      <c r="AF25">
        <v>10</v>
      </c>
      <c r="AG25">
        <v>10</v>
      </c>
      <c r="AH25">
        <v>8</v>
      </c>
      <c r="AI25">
        <v>10</v>
      </c>
      <c r="AJ25">
        <v>9</v>
      </c>
      <c r="AK25">
        <v>10</v>
      </c>
      <c r="AL25">
        <v>12</v>
      </c>
      <c r="AM25">
        <v>10</v>
      </c>
      <c r="AN25" t="s">
        <v>110</v>
      </c>
      <c r="AO25" t="s">
        <v>323</v>
      </c>
      <c r="AP25" t="s">
        <v>324</v>
      </c>
      <c r="AQ25" t="s">
        <v>325</v>
      </c>
      <c r="AR25" t="s">
        <v>326</v>
      </c>
      <c r="AY25" t="s">
        <v>57</v>
      </c>
      <c r="AZ25" t="s">
        <v>2</v>
      </c>
      <c r="BA25" t="s">
        <v>15</v>
      </c>
      <c r="BB25">
        <v>110</v>
      </c>
    </row>
    <row r="26" spans="1:54">
      <c r="A26" t="s">
        <v>327</v>
      </c>
      <c r="B26" t="s">
        <v>328</v>
      </c>
      <c r="C26" t="s">
        <v>329</v>
      </c>
      <c r="D26" t="s">
        <v>330</v>
      </c>
      <c r="E26" t="s">
        <v>56</v>
      </c>
      <c r="F26" t="s">
        <v>108</v>
      </c>
      <c r="G26" t="s">
        <v>56</v>
      </c>
      <c r="H26" t="s">
        <v>57</v>
      </c>
      <c r="I26" t="s">
        <v>57</v>
      </c>
      <c r="J26" t="s">
        <v>57</v>
      </c>
      <c r="K26" t="s">
        <v>57</v>
      </c>
      <c r="L26" t="s">
        <v>109</v>
      </c>
      <c r="M26">
        <v>27704168</v>
      </c>
      <c r="N26">
        <v>2507094</v>
      </c>
      <c r="O26">
        <v>3850318</v>
      </c>
      <c r="P26">
        <v>88</v>
      </c>
      <c r="Q26">
        <v>87</v>
      </c>
      <c r="R26">
        <v>60</v>
      </c>
      <c r="S26">
        <v>0</v>
      </c>
      <c r="T26">
        <v>0</v>
      </c>
      <c r="U26">
        <v>0</v>
      </c>
      <c r="V26">
        <v>0.5</v>
      </c>
      <c r="W26">
        <v>55810557</v>
      </c>
      <c r="X26" t="s">
        <v>197</v>
      </c>
      <c r="Y26" t="s">
        <v>60</v>
      </c>
      <c r="Z26">
        <v>1.237611443717983</v>
      </c>
      <c r="AA26">
        <v>120</v>
      </c>
      <c r="AB26">
        <v>0</v>
      </c>
      <c r="AC26">
        <v>10</v>
      </c>
      <c r="AD26">
        <v>20</v>
      </c>
      <c r="AE26">
        <v>10</v>
      </c>
      <c r="AF26">
        <v>10</v>
      </c>
      <c r="AG26">
        <v>10</v>
      </c>
      <c r="AH26">
        <v>8</v>
      </c>
      <c r="AI26">
        <v>10</v>
      </c>
      <c r="AJ26">
        <v>10</v>
      </c>
      <c r="AK26">
        <v>10</v>
      </c>
      <c r="AL26">
        <v>12</v>
      </c>
      <c r="AM26">
        <v>10</v>
      </c>
      <c r="AN26" t="s">
        <v>169</v>
      </c>
      <c r="AO26" t="s">
        <v>331</v>
      </c>
      <c r="AP26" t="s">
        <v>332</v>
      </c>
      <c r="AQ26" t="s">
        <v>333</v>
      </c>
      <c r="AS26" t="s">
        <v>334</v>
      </c>
      <c r="AT26" t="s">
        <v>335</v>
      </c>
      <c r="AU26" t="s">
        <v>336</v>
      </c>
      <c r="AW26" t="s">
        <v>335</v>
      </c>
      <c r="AX26" t="s">
        <v>336</v>
      </c>
      <c r="AY26" t="s">
        <v>57</v>
      </c>
      <c r="AZ26" t="s">
        <v>3</v>
      </c>
      <c r="BA26" t="s">
        <v>17</v>
      </c>
    </row>
    <row r="27" spans="1:54">
      <c r="A27" t="s">
        <v>337</v>
      </c>
      <c r="B27" t="s">
        <v>338</v>
      </c>
      <c r="C27" t="s">
        <v>107</v>
      </c>
      <c r="D27" t="s">
        <v>107</v>
      </c>
      <c r="E27" t="s">
        <v>322</v>
      </c>
      <c r="F27" t="s">
        <v>144</v>
      </c>
      <c r="G27" t="s">
        <v>56</v>
      </c>
      <c r="H27" t="s">
        <v>57</v>
      </c>
      <c r="I27" t="s">
        <v>57</v>
      </c>
      <c r="J27" t="s">
        <v>57</v>
      </c>
      <c r="K27" t="s">
        <v>57</v>
      </c>
      <c r="L27" t="s">
        <v>109</v>
      </c>
      <c r="M27">
        <v>42417175</v>
      </c>
      <c r="N27">
        <v>3828920</v>
      </c>
      <c r="O27">
        <v>0</v>
      </c>
      <c r="P27">
        <v>241</v>
      </c>
      <c r="Q27">
        <v>239</v>
      </c>
      <c r="R27">
        <v>97</v>
      </c>
      <c r="S27">
        <v>0</v>
      </c>
      <c r="T27">
        <v>0</v>
      </c>
      <c r="U27">
        <v>0</v>
      </c>
      <c r="V27">
        <v>0.59874476987447689</v>
      </c>
      <c r="W27">
        <v>88553061</v>
      </c>
      <c r="X27" t="s">
        <v>1</v>
      </c>
      <c r="Y27" t="s">
        <v>1</v>
      </c>
      <c r="Z27">
        <v>1.694639938276725</v>
      </c>
      <c r="AA27">
        <v>119</v>
      </c>
      <c r="AB27">
        <v>0</v>
      </c>
      <c r="AC27">
        <v>10</v>
      </c>
      <c r="AD27">
        <v>20</v>
      </c>
      <c r="AE27">
        <v>10</v>
      </c>
      <c r="AF27">
        <v>10</v>
      </c>
      <c r="AG27">
        <v>10</v>
      </c>
      <c r="AH27">
        <v>8</v>
      </c>
      <c r="AI27">
        <v>10</v>
      </c>
      <c r="AJ27">
        <v>9</v>
      </c>
      <c r="AK27">
        <v>10</v>
      </c>
      <c r="AL27">
        <v>12</v>
      </c>
      <c r="AM27">
        <v>10</v>
      </c>
      <c r="AN27" t="s">
        <v>169</v>
      </c>
      <c r="AO27" t="s">
        <v>339</v>
      </c>
      <c r="AP27" t="s">
        <v>340</v>
      </c>
      <c r="AQ27" t="s">
        <v>113</v>
      </c>
      <c r="AR27" t="s">
        <v>111</v>
      </c>
      <c r="AS27" t="s">
        <v>341</v>
      </c>
      <c r="AT27" t="s">
        <v>342</v>
      </c>
      <c r="AU27" t="s">
        <v>343</v>
      </c>
      <c r="AW27" t="s">
        <v>342</v>
      </c>
      <c r="AX27" t="s">
        <v>343</v>
      </c>
      <c r="AY27" t="s">
        <v>57</v>
      </c>
      <c r="AZ27" t="s">
        <v>1</v>
      </c>
      <c r="BA27" t="s">
        <v>17</v>
      </c>
      <c r="BB27">
        <v>110</v>
      </c>
    </row>
    <row r="28" spans="1:54">
      <c r="A28" t="s">
        <v>344</v>
      </c>
      <c r="B28" t="s">
        <v>345</v>
      </c>
      <c r="C28" t="s">
        <v>107</v>
      </c>
      <c r="D28" t="s">
        <v>107</v>
      </c>
      <c r="E28" t="s">
        <v>56</v>
      </c>
      <c r="F28" t="s">
        <v>144</v>
      </c>
      <c r="G28" t="s">
        <v>56</v>
      </c>
      <c r="H28" t="s">
        <v>57</v>
      </c>
      <c r="I28" t="s">
        <v>57</v>
      </c>
      <c r="J28" t="s">
        <v>57</v>
      </c>
      <c r="K28" t="s">
        <v>57</v>
      </c>
      <c r="L28" t="s">
        <v>109</v>
      </c>
      <c r="M28">
        <v>24900000</v>
      </c>
      <c r="N28">
        <v>2427051</v>
      </c>
      <c r="O28">
        <v>0</v>
      </c>
      <c r="P28">
        <v>163</v>
      </c>
      <c r="Q28">
        <v>161</v>
      </c>
      <c r="R28">
        <v>66</v>
      </c>
      <c r="S28">
        <v>0</v>
      </c>
      <c r="T28">
        <v>0</v>
      </c>
      <c r="U28">
        <v>0</v>
      </c>
      <c r="V28">
        <v>0.59999999999999987</v>
      </c>
      <c r="W28">
        <v>52831062</v>
      </c>
      <c r="X28" t="s">
        <v>1</v>
      </c>
      <c r="Y28" t="s">
        <v>1</v>
      </c>
      <c r="Z28">
        <v>1.4883504526236899</v>
      </c>
      <c r="AA28">
        <v>119</v>
      </c>
      <c r="AB28">
        <v>0</v>
      </c>
      <c r="AC28">
        <v>10</v>
      </c>
      <c r="AD28">
        <v>20</v>
      </c>
      <c r="AE28">
        <v>10</v>
      </c>
      <c r="AF28">
        <v>10</v>
      </c>
      <c r="AG28">
        <v>10</v>
      </c>
      <c r="AH28">
        <v>8</v>
      </c>
      <c r="AI28">
        <v>10</v>
      </c>
      <c r="AJ28">
        <v>9</v>
      </c>
      <c r="AK28">
        <v>10</v>
      </c>
      <c r="AL28">
        <v>12</v>
      </c>
      <c r="AM28">
        <v>10</v>
      </c>
      <c r="AN28" t="s">
        <v>169</v>
      </c>
      <c r="AO28" t="s">
        <v>346</v>
      </c>
      <c r="AP28" t="s">
        <v>346</v>
      </c>
      <c r="AQ28" t="s">
        <v>347</v>
      </c>
      <c r="AR28" t="s">
        <v>348</v>
      </c>
      <c r="AS28" t="s">
        <v>349</v>
      </c>
      <c r="AT28" t="s">
        <v>350</v>
      </c>
      <c r="AU28" t="s">
        <v>111</v>
      </c>
      <c r="AW28" t="s">
        <v>350</v>
      </c>
      <c r="AX28" t="s">
        <v>111</v>
      </c>
      <c r="AY28" t="s">
        <v>57</v>
      </c>
      <c r="AZ28" t="s">
        <v>1</v>
      </c>
      <c r="BA28" t="s">
        <v>17</v>
      </c>
      <c r="BB28">
        <v>110</v>
      </c>
    </row>
    <row r="29" spans="1:54">
      <c r="A29" t="s">
        <v>351</v>
      </c>
      <c r="B29" t="s">
        <v>352</v>
      </c>
      <c r="C29" t="s">
        <v>107</v>
      </c>
      <c r="D29" t="s">
        <v>107</v>
      </c>
      <c r="E29" t="s">
        <v>56</v>
      </c>
      <c r="F29" t="s">
        <v>144</v>
      </c>
      <c r="G29" t="s">
        <v>56</v>
      </c>
      <c r="H29" t="s">
        <v>57</v>
      </c>
      <c r="I29" t="s">
        <v>57</v>
      </c>
      <c r="J29" t="s">
        <v>57</v>
      </c>
      <c r="K29" t="s">
        <v>57</v>
      </c>
      <c r="L29" t="s">
        <v>109</v>
      </c>
      <c r="M29">
        <v>41000000</v>
      </c>
      <c r="N29">
        <v>3622637</v>
      </c>
      <c r="O29">
        <v>0</v>
      </c>
      <c r="P29">
        <v>232</v>
      </c>
      <c r="Q29">
        <v>230</v>
      </c>
      <c r="R29">
        <v>116</v>
      </c>
      <c r="S29">
        <v>0</v>
      </c>
      <c r="T29">
        <v>0</v>
      </c>
      <c r="U29">
        <v>0</v>
      </c>
      <c r="V29">
        <v>0.59826086956521729</v>
      </c>
      <c r="W29">
        <v>85119837</v>
      </c>
      <c r="X29" t="s">
        <v>1</v>
      </c>
      <c r="Y29" t="s">
        <v>1</v>
      </c>
      <c r="Z29">
        <v>1.480461607653915</v>
      </c>
      <c r="AA29">
        <v>119</v>
      </c>
      <c r="AB29">
        <v>0</v>
      </c>
      <c r="AC29">
        <v>10</v>
      </c>
      <c r="AD29">
        <v>20</v>
      </c>
      <c r="AE29">
        <v>10</v>
      </c>
      <c r="AF29">
        <v>10</v>
      </c>
      <c r="AG29">
        <v>10</v>
      </c>
      <c r="AH29">
        <v>8</v>
      </c>
      <c r="AI29">
        <v>10</v>
      </c>
      <c r="AJ29">
        <v>9</v>
      </c>
      <c r="AK29">
        <v>10</v>
      </c>
      <c r="AL29">
        <v>12</v>
      </c>
      <c r="AM29">
        <v>10</v>
      </c>
      <c r="AN29" t="s">
        <v>169</v>
      </c>
      <c r="AO29" t="s">
        <v>353</v>
      </c>
      <c r="AP29" t="s">
        <v>354</v>
      </c>
      <c r="AQ29" t="s">
        <v>355</v>
      </c>
      <c r="AR29" t="s">
        <v>356</v>
      </c>
      <c r="AS29" t="s">
        <v>357</v>
      </c>
      <c r="AT29" t="s">
        <v>228</v>
      </c>
      <c r="AU29" t="s">
        <v>357</v>
      </c>
      <c r="AW29" t="s">
        <v>228</v>
      </c>
      <c r="AX29" t="s">
        <v>357</v>
      </c>
      <c r="AY29" t="s">
        <v>57</v>
      </c>
      <c r="AZ29" t="s">
        <v>1</v>
      </c>
      <c r="BA29" t="s">
        <v>17</v>
      </c>
      <c r="BB29">
        <v>110</v>
      </c>
    </row>
    <row r="30" spans="1:54">
      <c r="A30" t="s">
        <v>358</v>
      </c>
      <c r="B30" t="s">
        <v>359</v>
      </c>
      <c r="C30" t="s">
        <v>360</v>
      </c>
      <c r="D30" t="s">
        <v>360</v>
      </c>
      <c r="E30" t="s">
        <v>56</v>
      </c>
      <c r="F30" t="s">
        <v>108</v>
      </c>
      <c r="G30" t="s">
        <v>56</v>
      </c>
      <c r="H30" t="s">
        <v>57</v>
      </c>
      <c r="I30" t="s">
        <v>57</v>
      </c>
      <c r="J30" t="s">
        <v>57</v>
      </c>
      <c r="K30" t="s">
        <v>57</v>
      </c>
      <c r="L30" t="s">
        <v>109</v>
      </c>
      <c r="M30">
        <v>24861947</v>
      </c>
      <c r="N30">
        <v>2446917</v>
      </c>
      <c r="O30">
        <v>2724270</v>
      </c>
      <c r="P30">
        <v>104</v>
      </c>
      <c r="Q30">
        <v>103</v>
      </c>
      <c r="R30">
        <v>53</v>
      </c>
      <c r="S30">
        <v>0</v>
      </c>
      <c r="T30">
        <v>0</v>
      </c>
      <c r="U30">
        <v>0</v>
      </c>
      <c r="V30">
        <v>0.58349514563106797</v>
      </c>
      <c r="W30">
        <v>50605110</v>
      </c>
      <c r="X30" t="s">
        <v>216</v>
      </c>
      <c r="Y30" t="s">
        <v>58</v>
      </c>
      <c r="Z30">
        <v>1.2939830139531381</v>
      </c>
      <c r="AA30">
        <v>119</v>
      </c>
      <c r="AB30">
        <v>0</v>
      </c>
      <c r="AC30">
        <v>10</v>
      </c>
      <c r="AD30">
        <v>20</v>
      </c>
      <c r="AE30">
        <v>10</v>
      </c>
      <c r="AF30">
        <v>10</v>
      </c>
      <c r="AG30">
        <v>10</v>
      </c>
      <c r="AH30">
        <v>8</v>
      </c>
      <c r="AI30">
        <v>10</v>
      </c>
      <c r="AJ30">
        <v>9</v>
      </c>
      <c r="AK30">
        <v>10</v>
      </c>
      <c r="AL30">
        <v>12</v>
      </c>
      <c r="AM30">
        <v>10</v>
      </c>
      <c r="AN30" t="s">
        <v>169</v>
      </c>
      <c r="AO30" t="s">
        <v>361</v>
      </c>
      <c r="AP30" t="s">
        <v>362</v>
      </c>
      <c r="AQ30" t="s">
        <v>363</v>
      </c>
      <c r="AR30" t="s">
        <v>361</v>
      </c>
      <c r="AS30" t="s">
        <v>364</v>
      </c>
      <c r="AT30" t="s">
        <v>365</v>
      </c>
      <c r="AU30" t="s">
        <v>366</v>
      </c>
      <c r="AW30" t="s">
        <v>365</v>
      </c>
      <c r="AX30" t="s">
        <v>366</v>
      </c>
      <c r="AY30" t="s">
        <v>57</v>
      </c>
      <c r="AZ30" t="s">
        <v>0</v>
      </c>
      <c r="BA30" t="s">
        <v>17</v>
      </c>
      <c r="BB30">
        <v>110</v>
      </c>
    </row>
    <row r="31" spans="1:54">
      <c r="A31" t="s">
        <v>367</v>
      </c>
      <c r="B31" t="s">
        <v>368</v>
      </c>
      <c r="C31" t="s">
        <v>369</v>
      </c>
      <c r="D31" t="s">
        <v>266</v>
      </c>
      <c r="E31" t="s">
        <v>56</v>
      </c>
      <c r="F31" t="s">
        <v>144</v>
      </c>
      <c r="G31" t="s">
        <v>56</v>
      </c>
      <c r="H31" t="s">
        <v>57</v>
      </c>
      <c r="I31" t="s">
        <v>57</v>
      </c>
      <c r="J31" t="s">
        <v>57</v>
      </c>
      <c r="K31" t="s">
        <v>57</v>
      </c>
      <c r="L31" t="s">
        <v>109</v>
      </c>
      <c r="M31">
        <v>47265334</v>
      </c>
      <c r="N31">
        <v>3414064</v>
      </c>
      <c r="O31">
        <v>25393178</v>
      </c>
      <c r="P31">
        <v>202</v>
      </c>
      <c r="Q31">
        <v>200</v>
      </c>
      <c r="R31">
        <v>135</v>
      </c>
      <c r="S31">
        <v>0</v>
      </c>
      <c r="T31">
        <v>0</v>
      </c>
      <c r="U31">
        <v>0</v>
      </c>
      <c r="V31">
        <v>0.58050000000000002</v>
      </c>
      <c r="W31">
        <v>103592682</v>
      </c>
      <c r="X31" t="s">
        <v>267</v>
      </c>
      <c r="Y31" t="s">
        <v>60</v>
      </c>
      <c r="Z31">
        <v>1.2844576708015709</v>
      </c>
      <c r="AA31">
        <v>119</v>
      </c>
      <c r="AB31">
        <v>0</v>
      </c>
      <c r="AC31">
        <v>10</v>
      </c>
      <c r="AD31">
        <v>20</v>
      </c>
      <c r="AE31">
        <v>10</v>
      </c>
      <c r="AF31">
        <v>10</v>
      </c>
      <c r="AG31">
        <v>10</v>
      </c>
      <c r="AH31">
        <v>8</v>
      </c>
      <c r="AI31">
        <v>10</v>
      </c>
      <c r="AJ31">
        <v>9</v>
      </c>
      <c r="AK31">
        <v>10</v>
      </c>
      <c r="AL31">
        <v>12</v>
      </c>
      <c r="AM31">
        <v>10</v>
      </c>
      <c r="AN31" t="s">
        <v>169</v>
      </c>
      <c r="AO31" t="s">
        <v>370</v>
      </c>
      <c r="AP31" t="s">
        <v>370</v>
      </c>
      <c r="AQ31" t="s">
        <v>371</v>
      </c>
      <c r="AR31" t="s">
        <v>370</v>
      </c>
      <c r="AS31" t="s">
        <v>372</v>
      </c>
      <c r="AT31" t="s">
        <v>373</v>
      </c>
      <c r="AU31" t="s">
        <v>372</v>
      </c>
      <c r="AW31" t="s">
        <v>373</v>
      </c>
      <c r="AX31" t="s">
        <v>372</v>
      </c>
      <c r="AY31" t="s">
        <v>57</v>
      </c>
      <c r="AZ31" t="s">
        <v>3</v>
      </c>
      <c r="BA31" t="s">
        <v>17</v>
      </c>
      <c r="BB31">
        <v>110</v>
      </c>
    </row>
    <row r="32" spans="1:54">
      <c r="A32" t="s">
        <v>374</v>
      </c>
      <c r="B32" t="s">
        <v>375</v>
      </c>
      <c r="C32" t="s">
        <v>195</v>
      </c>
      <c r="D32" t="s">
        <v>196</v>
      </c>
      <c r="E32" t="s">
        <v>56</v>
      </c>
      <c r="F32" t="s">
        <v>144</v>
      </c>
      <c r="G32" t="s">
        <v>56</v>
      </c>
      <c r="H32" t="s">
        <v>57</v>
      </c>
      <c r="I32" t="s">
        <v>57</v>
      </c>
      <c r="J32" t="s">
        <v>57</v>
      </c>
      <c r="K32" t="s">
        <v>57</v>
      </c>
      <c r="L32" t="s">
        <v>109</v>
      </c>
      <c r="M32">
        <v>95423012</v>
      </c>
      <c r="N32">
        <v>9524617</v>
      </c>
      <c r="O32">
        <v>12695387</v>
      </c>
      <c r="P32">
        <v>220</v>
      </c>
      <c r="Q32">
        <v>218</v>
      </c>
      <c r="R32">
        <v>194</v>
      </c>
      <c r="S32">
        <v>0</v>
      </c>
      <c r="T32">
        <v>0</v>
      </c>
      <c r="U32">
        <v>0</v>
      </c>
      <c r="V32">
        <v>0.43394495412844031</v>
      </c>
      <c r="W32">
        <v>198955882</v>
      </c>
      <c r="X32" t="s">
        <v>197</v>
      </c>
      <c r="Y32" t="s">
        <v>60</v>
      </c>
      <c r="Z32">
        <v>1.2571887692227099</v>
      </c>
      <c r="AA32">
        <v>119</v>
      </c>
      <c r="AB32">
        <v>0</v>
      </c>
      <c r="AC32">
        <v>10</v>
      </c>
      <c r="AD32">
        <v>20</v>
      </c>
      <c r="AE32">
        <v>10</v>
      </c>
      <c r="AF32">
        <v>10</v>
      </c>
      <c r="AG32">
        <v>10</v>
      </c>
      <c r="AH32">
        <v>8</v>
      </c>
      <c r="AI32">
        <v>10</v>
      </c>
      <c r="AJ32">
        <v>9</v>
      </c>
      <c r="AK32">
        <v>10</v>
      </c>
      <c r="AL32">
        <v>12</v>
      </c>
      <c r="AM32">
        <v>10</v>
      </c>
      <c r="AN32" t="s">
        <v>169</v>
      </c>
      <c r="AO32" t="s">
        <v>376</v>
      </c>
      <c r="AP32" t="s">
        <v>377</v>
      </c>
      <c r="AQ32" t="s">
        <v>207</v>
      </c>
      <c r="AR32" t="s">
        <v>208</v>
      </c>
      <c r="AS32" t="s">
        <v>378</v>
      </c>
      <c r="AT32" t="s">
        <v>379</v>
      </c>
      <c r="AU32" t="s">
        <v>380</v>
      </c>
      <c r="AW32" t="s">
        <v>379</v>
      </c>
      <c r="AX32" t="s">
        <v>380</v>
      </c>
      <c r="AY32" t="s">
        <v>57</v>
      </c>
      <c r="AZ32" t="s">
        <v>3</v>
      </c>
      <c r="BA32" t="s">
        <v>17</v>
      </c>
      <c r="BB32">
        <v>110</v>
      </c>
    </row>
    <row r="33" spans="1:54">
      <c r="A33" t="s">
        <v>381</v>
      </c>
      <c r="B33" t="s">
        <v>382</v>
      </c>
      <c r="C33" t="s">
        <v>107</v>
      </c>
      <c r="D33" t="s">
        <v>107</v>
      </c>
      <c r="E33" t="s">
        <v>56</v>
      </c>
      <c r="F33" t="s">
        <v>144</v>
      </c>
      <c r="G33" t="s">
        <v>56</v>
      </c>
      <c r="H33" t="s">
        <v>57</v>
      </c>
      <c r="I33" t="s">
        <v>57</v>
      </c>
      <c r="J33" t="s">
        <v>57</v>
      </c>
      <c r="K33" t="s">
        <v>57</v>
      </c>
      <c r="L33" t="s">
        <v>109</v>
      </c>
      <c r="M33">
        <v>41250000</v>
      </c>
      <c r="N33">
        <v>3642532</v>
      </c>
      <c r="O33">
        <v>21000000</v>
      </c>
      <c r="P33">
        <v>244</v>
      </c>
      <c r="Q33">
        <v>242</v>
      </c>
      <c r="R33">
        <v>217</v>
      </c>
      <c r="S33">
        <v>0</v>
      </c>
      <c r="T33">
        <v>0</v>
      </c>
      <c r="U33">
        <v>0</v>
      </c>
      <c r="V33">
        <v>0.48388429752066131</v>
      </c>
      <c r="W33">
        <v>83613912</v>
      </c>
      <c r="X33" t="s">
        <v>1</v>
      </c>
      <c r="Y33" t="s">
        <v>1</v>
      </c>
      <c r="Z33">
        <v>1.2467521420940579</v>
      </c>
      <c r="AA33">
        <v>119</v>
      </c>
      <c r="AB33">
        <v>0</v>
      </c>
      <c r="AC33">
        <v>10</v>
      </c>
      <c r="AD33">
        <v>20</v>
      </c>
      <c r="AE33">
        <v>10</v>
      </c>
      <c r="AF33">
        <v>10</v>
      </c>
      <c r="AG33">
        <v>10</v>
      </c>
      <c r="AH33">
        <v>8</v>
      </c>
      <c r="AI33">
        <v>10</v>
      </c>
      <c r="AJ33">
        <v>9</v>
      </c>
      <c r="AK33">
        <v>10</v>
      </c>
      <c r="AL33">
        <v>12</v>
      </c>
      <c r="AM33">
        <v>10</v>
      </c>
      <c r="AN33" t="s">
        <v>169</v>
      </c>
      <c r="AO33" t="s">
        <v>383</v>
      </c>
      <c r="AP33" t="s">
        <v>384</v>
      </c>
      <c r="AQ33" t="s">
        <v>385</v>
      </c>
      <c r="AR33" t="s">
        <v>386</v>
      </c>
      <c r="AS33" t="s">
        <v>387</v>
      </c>
      <c r="AT33" t="s">
        <v>164</v>
      </c>
      <c r="AU33" t="s">
        <v>388</v>
      </c>
      <c r="AW33" t="s">
        <v>164</v>
      </c>
      <c r="AX33" t="s">
        <v>388</v>
      </c>
      <c r="AY33" t="s">
        <v>57</v>
      </c>
      <c r="AZ33" t="s">
        <v>1</v>
      </c>
      <c r="BA33" t="s">
        <v>17</v>
      </c>
      <c r="BB33">
        <v>110</v>
      </c>
    </row>
    <row r="34" spans="1:54">
      <c r="A34" t="s">
        <v>389</v>
      </c>
      <c r="B34" t="s">
        <v>390</v>
      </c>
      <c r="C34" t="s">
        <v>120</v>
      </c>
      <c r="D34" t="s">
        <v>120</v>
      </c>
      <c r="E34" t="s">
        <v>56</v>
      </c>
      <c r="F34" t="s">
        <v>108</v>
      </c>
      <c r="G34" t="s">
        <v>56</v>
      </c>
      <c r="H34" t="s">
        <v>57</v>
      </c>
      <c r="I34" t="s">
        <v>57</v>
      </c>
      <c r="J34" t="s">
        <v>57</v>
      </c>
      <c r="K34" t="s">
        <v>57</v>
      </c>
      <c r="L34" t="s">
        <v>109</v>
      </c>
      <c r="M34">
        <v>81645216</v>
      </c>
      <c r="N34">
        <v>8162591</v>
      </c>
      <c r="O34">
        <v>8102199</v>
      </c>
      <c r="P34">
        <v>318</v>
      </c>
      <c r="Q34">
        <v>315</v>
      </c>
      <c r="R34">
        <v>220</v>
      </c>
      <c r="S34">
        <v>0</v>
      </c>
      <c r="T34">
        <v>0</v>
      </c>
      <c r="U34">
        <v>0</v>
      </c>
      <c r="V34">
        <v>0.59936507936507932</v>
      </c>
      <c r="W34">
        <v>162786546</v>
      </c>
      <c r="X34" t="s">
        <v>121</v>
      </c>
      <c r="Y34" t="s">
        <v>58</v>
      </c>
      <c r="Z34">
        <v>1.222105556004988</v>
      </c>
      <c r="AA34">
        <v>119</v>
      </c>
      <c r="AB34">
        <v>0</v>
      </c>
      <c r="AC34">
        <v>10</v>
      </c>
      <c r="AD34">
        <v>20</v>
      </c>
      <c r="AE34">
        <v>10</v>
      </c>
      <c r="AF34">
        <v>10</v>
      </c>
      <c r="AG34">
        <v>10</v>
      </c>
      <c r="AH34">
        <v>8</v>
      </c>
      <c r="AI34">
        <v>10</v>
      </c>
      <c r="AJ34">
        <v>9</v>
      </c>
      <c r="AK34">
        <v>10</v>
      </c>
      <c r="AL34">
        <v>12</v>
      </c>
      <c r="AM34">
        <v>10</v>
      </c>
      <c r="AN34" t="s">
        <v>169</v>
      </c>
      <c r="AO34" t="s">
        <v>391</v>
      </c>
      <c r="AP34" t="s">
        <v>391</v>
      </c>
      <c r="AQ34" t="s">
        <v>392</v>
      </c>
      <c r="AS34" t="s">
        <v>229</v>
      </c>
      <c r="AT34" t="s">
        <v>393</v>
      </c>
      <c r="AV34" t="s">
        <v>394</v>
      </c>
      <c r="AW34" t="s">
        <v>393</v>
      </c>
      <c r="AY34" t="s">
        <v>57</v>
      </c>
      <c r="AZ34" t="s">
        <v>0</v>
      </c>
      <c r="BA34" t="s">
        <v>17</v>
      </c>
      <c r="BB34">
        <v>110</v>
      </c>
    </row>
    <row r="35" spans="1:54">
      <c r="A35" t="s">
        <v>395</v>
      </c>
      <c r="B35" t="s">
        <v>396</v>
      </c>
      <c r="C35" t="s">
        <v>107</v>
      </c>
      <c r="D35" t="s">
        <v>107</v>
      </c>
      <c r="E35" t="s">
        <v>56</v>
      </c>
      <c r="F35" t="s">
        <v>144</v>
      </c>
      <c r="G35" t="s">
        <v>56</v>
      </c>
      <c r="H35" t="s">
        <v>57</v>
      </c>
      <c r="I35" t="s">
        <v>57</v>
      </c>
      <c r="J35" t="s">
        <v>57</v>
      </c>
      <c r="K35" t="s">
        <v>57</v>
      </c>
      <c r="L35" t="s">
        <v>109</v>
      </c>
      <c r="M35">
        <v>34400000</v>
      </c>
      <c r="N35">
        <v>3132050</v>
      </c>
      <c r="O35">
        <v>17164551</v>
      </c>
      <c r="P35">
        <v>190</v>
      </c>
      <c r="Q35">
        <v>188</v>
      </c>
      <c r="R35">
        <v>169</v>
      </c>
      <c r="S35">
        <v>0</v>
      </c>
      <c r="T35">
        <v>0</v>
      </c>
      <c r="U35">
        <v>0</v>
      </c>
      <c r="V35">
        <v>0.4898936170212766</v>
      </c>
      <c r="W35">
        <v>70294333</v>
      </c>
      <c r="X35" t="s">
        <v>1</v>
      </c>
      <c r="Y35" t="s">
        <v>1</v>
      </c>
      <c r="Z35">
        <v>1.161933397564801</v>
      </c>
      <c r="AA35">
        <v>119</v>
      </c>
      <c r="AB35">
        <v>0</v>
      </c>
      <c r="AC35">
        <v>10</v>
      </c>
      <c r="AD35">
        <v>20</v>
      </c>
      <c r="AE35">
        <v>10</v>
      </c>
      <c r="AF35">
        <v>10</v>
      </c>
      <c r="AG35">
        <v>10</v>
      </c>
      <c r="AH35">
        <v>8</v>
      </c>
      <c r="AI35">
        <v>10</v>
      </c>
      <c r="AJ35">
        <v>9</v>
      </c>
      <c r="AK35">
        <v>10</v>
      </c>
      <c r="AL35">
        <v>12</v>
      </c>
      <c r="AM35">
        <v>10</v>
      </c>
      <c r="AN35" t="s">
        <v>169</v>
      </c>
      <c r="AO35" t="s">
        <v>397</v>
      </c>
      <c r="AP35" t="s">
        <v>397</v>
      </c>
      <c r="AQ35" t="s">
        <v>398</v>
      </c>
      <c r="AS35" t="s">
        <v>399</v>
      </c>
      <c r="AT35" t="s">
        <v>400</v>
      </c>
      <c r="AU35" t="s">
        <v>401</v>
      </c>
      <c r="AW35" t="s">
        <v>400</v>
      </c>
      <c r="AX35" t="s">
        <v>401</v>
      </c>
      <c r="AY35" t="s">
        <v>57</v>
      </c>
      <c r="AZ35" t="s">
        <v>1</v>
      </c>
      <c r="BA35" t="s">
        <v>17</v>
      </c>
      <c r="BB35">
        <v>110</v>
      </c>
    </row>
    <row r="36" spans="1:54">
      <c r="A36" t="s">
        <v>402</v>
      </c>
      <c r="B36" t="s">
        <v>403</v>
      </c>
      <c r="C36" t="s">
        <v>404</v>
      </c>
      <c r="D36" t="s">
        <v>404</v>
      </c>
      <c r="E36" t="s">
        <v>56</v>
      </c>
      <c r="F36" t="s">
        <v>108</v>
      </c>
      <c r="G36" t="s">
        <v>56</v>
      </c>
      <c r="H36" t="s">
        <v>57</v>
      </c>
      <c r="I36" t="s">
        <v>57</v>
      </c>
      <c r="J36" t="s">
        <v>57</v>
      </c>
      <c r="K36" t="s">
        <v>57</v>
      </c>
      <c r="L36" t="s">
        <v>57</v>
      </c>
      <c r="M36">
        <v>28145704</v>
      </c>
      <c r="N36">
        <v>2787765</v>
      </c>
      <c r="O36">
        <v>0</v>
      </c>
      <c r="P36">
        <v>106</v>
      </c>
      <c r="Q36">
        <v>105</v>
      </c>
      <c r="R36">
        <v>56</v>
      </c>
      <c r="S36">
        <v>0</v>
      </c>
      <c r="T36">
        <v>0</v>
      </c>
      <c r="U36">
        <v>0</v>
      </c>
      <c r="V36">
        <v>0.59809523809523801</v>
      </c>
      <c r="W36">
        <v>56904471</v>
      </c>
      <c r="X36" t="s">
        <v>216</v>
      </c>
      <c r="Y36" t="s">
        <v>58</v>
      </c>
      <c r="Z36">
        <v>1.329085936894173</v>
      </c>
      <c r="AA36">
        <v>120</v>
      </c>
      <c r="AB36">
        <v>0</v>
      </c>
      <c r="AC36">
        <v>10</v>
      </c>
      <c r="AD36">
        <v>20</v>
      </c>
      <c r="AE36">
        <v>10</v>
      </c>
      <c r="AF36">
        <v>10</v>
      </c>
      <c r="AG36">
        <v>10</v>
      </c>
      <c r="AH36">
        <v>8</v>
      </c>
      <c r="AI36">
        <v>10</v>
      </c>
      <c r="AJ36">
        <v>10</v>
      </c>
      <c r="AK36">
        <v>10</v>
      </c>
      <c r="AL36">
        <v>12</v>
      </c>
      <c r="AM36">
        <v>10</v>
      </c>
      <c r="AN36" t="s">
        <v>405</v>
      </c>
      <c r="AO36" t="s">
        <v>406</v>
      </c>
      <c r="AP36" t="s">
        <v>407</v>
      </c>
      <c r="AQ36" t="s">
        <v>408</v>
      </c>
      <c r="AS36" t="s">
        <v>409</v>
      </c>
      <c r="AT36" t="s">
        <v>365</v>
      </c>
      <c r="AU36" t="s">
        <v>410</v>
      </c>
      <c r="AW36" t="s">
        <v>365</v>
      </c>
      <c r="AX36" t="s">
        <v>410</v>
      </c>
      <c r="AY36" t="s">
        <v>57</v>
      </c>
      <c r="AZ36" t="s">
        <v>0</v>
      </c>
      <c r="BA36" t="s">
        <v>0</v>
      </c>
    </row>
    <row r="37" spans="1:54">
      <c r="A37" t="s">
        <v>411</v>
      </c>
      <c r="B37" t="s">
        <v>412</v>
      </c>
      <c r="C37" t="s">
        <v>120</v>
      </c>
      <c r="D37" t="s">
        <v>120</v>
      </c>
      <c r="E37" t="s">
        <v>56</v>
      </c>
      <c r="F37" t="s">
        <v>108</v>
      </c>
      <c r="G37" t="s">
        <v>56</v>
      </c>
      <c r="H37" t="s">
        <v>57</v>
      </c>
      <c r="I37" t="s">
        <v>57</v>
      </c>
      <c r="J37" t="s">
        <v>57</v>
      </c>
      <c r="K37" t="s">
        <v>57</v>
      </c>
      <c r="L37" t="s">
        <v>57</v>
      </c>
      <c r="M37">
        <v>25500000</v>
      </c>
      <c r="N37">
        <v>2424689</v>
      </c>
      <c r="O37">
        <v>0</v>
      </c>
      <c r="P37">
        <v>90</v>
      </c>
      <c r="Q37">
        <v>89</v>
      </c>
      <c r="R37">
        <v>89</v>
      </c>
      <c r="S37">
        <v>0</v>
      </c>
      <c r="T37">
        <v>0</v>
      </c>
      <c r="U37">
        <v>0</v>
      </c>
      <c r="V37">
        <v>0.55168539325842691</v>
      </c>
      <c r="W37">
        <v>49406004</v>
      </c>
      <c r="X37" t="s">
        <v>121</v>
      </c>
      <c r="Y37" t="s">
        <v>58</v>
      </c>
      <c r="Z37">
        <v>1.239021959029093</v>
      </c>
      <c r="AA37">
        <v>120</v>
      </c>
      <c r="AB37">
        <v>0</v>
      </c>
      <c r="AC37">
        <v>10</v>
      </c>
      <c r="AD37">
        <v>20</v>
      </c>
      <c r="AE37">
        <v>10</v>
      </c>
      <c r="AF37">
        <v>10</v>
      </c>
      <c r="AG37">
        <v>10</v>
      </c>
      <c r="AH37">
        <v>8</v>
      </c>
      <c r="AI37">
        <v>10</v>
      </c>
      <c r="AJ37">
        <v>10</v>
      </c>
      <c r="AK37">
        <v>10</v>
      </c>
      <c r="AL37">
        <v>12</v>
      </c>
      <c r="AM37">
        <v>10</v>
      </c>
      <c r="AN37" t="s">
        <v>169</v>
      </c>
      <c r="AO37" t="s">
        <v>413</v>
      </c>
      <c r="AP37" t="s">
        <v>304</v>
      </c>
      <c r="AQ37" t="s">
        <v>305</v>
      </c>
      <c r="AS37" t="s">
        <v>414</v>
      </c>
      <c r="AT37" t="s">
        <v>307</v>
      </c>
      <c r="AU37" t="s">
        <v>308</v>
      </c>
      <c r="AW37" t="s">
        <v>307</v>
      </c>
      <c r="AX37" t="s">
        <v>308</v>
      </c>
      <c r="AY37" t="s">
        <v>57</v>
      </c>
      <c r="AZ37" t="s">
        <v>0</v>
      </c>
      <c r="BA37" t="s">
        <v>0</v>
      </c>
    </row>
    <row r="38" spans="1:54">
      <c r="A38" t="s">
        <v>415</v>
      </c>
      <c r="B38" t="s">
        <v>416</v>
      </c>
      <c r="C38" t="s">
        <v>417</v>
      </c>
      <c r="D38" t="s">
        <v>360</v>
      </c>
      <c r="E38" t="s">
        <v>56</v>
      </c>
      <c r="F38" t="s">
        <v>108</v>
      </c>
      <c r="G38" t="s">
        <v>56</v>
      </c>
      <c r="H38" t="s">
        <v>57</v>
      </c>
      <c r="I38" t="s">
        <v>57</v>
      </c>
      <c r="J38" t="s">
        <v>57</v>
      </c>
      <c r="K38" t="s">
        <v>57</v>
      </c>
      <c r="L38" t="s">
        <v>57</v>
      </c>
      <c r="M38">
        <v>55000000</v>
      </c>
      <c r="N38">
        <v>5570977</v>
      </c>
      <c r="O38">
        <v>0</v>
      </c>
      <c r="P38">
        <v>240</v>
      </c>
      <c r="Q38">
        <v>238</v>
      </c>
      <c r="R38">
        <v>90</v>
      </c>
      <c r="S38">
        <v>0</v>
      </c>
      <c r="T38">
        <v>0</v>
      </c>
      <c r="U38">
        <v>0</v>
      </c>
      <c r="V38">
        <v>0.58445378151260508</v>
      </c>
      <c r="W38">
        <v>110577992</v>
      </c>
      <c r="X38" t="s">
        <v>216</v>
      </c>
      <c r="Y38" t="s">
        <v>58</v>
      </c>
      <c r="Z38">
        <v>1.1757215989845651</v>
      </c>
      <c r="AA38">
        <v>120</v>
      </c>
      <c r="AB38">
        <v>0</v>
      </c>
      <c r="AC38">
        <v>10</v>
      </c>
      <c r="AD38">
        <v>20</v>
      </c>
      <c r="AE38">
        <v>10</v>
      </c>
      <c r="AF38">
        <v>10</v>
      </c>
      <c r="AG38">
        <v>10</v>
      </c>
      <c r="AH38">
        <v>8</v>
      </c>
      <c r="AI38">
        <v>10</v>
      </c>
      <c r="AJ38">
        <v>10</v>
      </c>
      <c r="AK38">
        <v>10</v>
      </c>
      <c r="AL38">
        <v>12</v>
      </c>
      <c r="AM38">
        <v>10</v>
      </c>
      <c r="AN38" t="s">
        <v>110</v>
      </c>
      <c r="AO38" t="s">
        <v>418</v>
      </c>
      <c r="AP38" t="s">
        <v>419</v>
      </c>
      <c r="AQ38" t="s">
        <v>420</v>
      </c>
      <c r="AS38" t="s">
        <v>421</v>
      </c>
      <c r="AT38" t="s">
        <v>422</v>
      </c>
      <c r="AU38" t="s">
        <v>423</v>
      </c>
      <c r="AW38" t="s">
        <v>422</v>
      </c>
      <c r="AX38" t="s">
        <v>423</v>
      </c>
      <c r="AY38" t="s">
        <v>57</v>
      </c>
      <c r="AZ38" t="s">
        <v>0</v>
      </c>
      <c r="BA38" t="s">
        <v>0</v>
      </c>
    </row>
    <row r="39" spans="1:54">
      <c r="A39" t="s">
        <v>424</v>
      </c>
      <c r="B39" t="s">
        <v>425</v>
      </c>
      <c r="C39" t="s">
        <v>120</v>
      </c>
      <c r="D39" t="s">
        <v>120</v>
      </c>
      <c r="E39" t="s">
        <v>56</v>
      </c>
      <c r="F39" t="s">
        <v>144</v>
      </c>
      <c r="G39" t="s">
        <v>56</v>
      </c>
      <c r="H39" t="s">
        <v>57</v>
      </c>
      <c r="I39" t="s">
        <v>57</v>
      </c>
      <c r="J39" t="s">
        <v>57</v>
      </c>
      <c r="K39" t="s">
        <v>57</v>
      </c>
      <c r="L39" t="s">
        <v>57</v>
      </c>
      <c r="M39">
        <v>45000000</v>
      </c>
      <c r="N39">
        <v>4393099</v>
      </c>
      <c r="O39">
        <v>0</v>
      </c>
      <c r="P39">
        <v>272</v>
      </c>
      <c r="Q39">
        <v>269</v>
      </c>
      <c r="R39">
        <v>207</v>
      </c>
      <c r="S39">
        <v>0</v>
      </c>
      <c r="T39">
        <v>0</v>
      </c>
      <c r="U39">
        <v>0</v>
      </c>
      <c r="V39">
        <v>0.58141263940520438</v>
      </c>
      <c r="W39">
        <v>90329125</v>
      </c>
      <c r="X39" t="s">
        <v>121</v>
      </c>
      <c r="Y39" t="s">
        <v>58</v>
      </c>
      <c r="Z39">
        <v>1.406016181786883</v>
      </c>
      <c r="AA39">
        <v>119</v>
      </c>
      <c r="AB39">
        <v>0</v>
      </c>
      <c r="AC39">
        <v>10</v>
      </c>
      <c r="AD39">
        <v>20</v>
      </c>
      <c r="AE39">
        <v>10</v>
      </c>
      <c r="AF39">
        <v>10</v>
      </c>
      <c r="AG39">
        <v>10</v>
      </c>
      <c r="AH39">
        <v>8</v>
      </c>
      <c r="AI39">
        <v>10</v>
      </c>
      <c r="AJ39">
        <v>9</v>
      </c>
      <c r="AK39">
        <v>10</v>
      </c>
      <c r="AL39">
        <v>12</v>
      </c>
      <c r="AM39">
        <v>10</v>
      </c>
      <c r="AN39" t="s">
        <v>169</v>
      </c>
      <c r="AO39" t="s">
        <v>353</v>
      </c>
      <c r="AP39" t="s">
        <v>426</v>
      </c>
      <c r="AQ39" t="s">
        <v>355</v>
      </c>
      <c r="AR39" t="s">
        <v>356</v>
      </c>
      <c r="AS39" t="s">
        <v>357</v>
      </c>
      <c r="AT39" t="s">
        <v>228</v>
      </c>
      <c r="AU39" t="s">
        <v>357</v>
      </c>
      <c r="AW39" t="s">
        <v>228</v>
      </c>
      <c r="AX39" t="s">
        <v>357</v>
      </c>
      <c r="AY39" t="s">
        <v>57</v>
      </c>
      <c r="AZ39" t="s">
        <v>0</v>
      </c>
      <c r="BA39" t="s">
        <v>0</v>
      </c>
      <c r="BB39">
        <v>110</v>
      </c>
    </row>
    <row r="40" spans="1:54">
      <c r="A40" t="s">
        <v>427</v>
      </c>
      <c r="B40" t="s">
        <v>428</v>
      </c>
      <c r="C40" t="s">
        <v>107</v>
      </c>
      <c r="D40" t="s">
        <v>107</v>
      </c>
      <c r="E40" t="s">
        <v>56</v>
      </c>
      <c r="F40" t="s">
        <v>108</v>
      </c>
      <c r="G40" t="s">
        <v>56</v>
      </c>
      <c r="H40" t="s">
        <v>57</v>
      </c>
      <c r="I40" t="s">
        <v>57</v>
      </c>
      <c r="J40" t="s">
        <v>57</v>
      </c>
      <c r="K40" t="s">
        <v>57</v>
      </c>
      <c r="L40" t="s">
        <v>57</v>
      </c>
      <c r="M40">
        <v>27800000</v>
      </c>
      <c r="N40">
        <v>2846823</v>
      </c>
      <c r="O40">
        <v>7000000</v>
      </c>
      <c r="P40">
        <v>128</v>
      </c>
      <c r="Q40">
        <v>127</v>
      </c>
      <c r="R40">
        <v>75</v>
      </c>
      <c r="S40">
        <v>0</v>
      </c>
      <c r="T40">
        <v>0</v>
      </c>
      <c r="U40">
        <v>0</v>
      </c>
      <c r="V40">
        <v>0.59999999999999987</v>
      </c>
      <c r="W40">
        <v>58945214</v>
      </c>
      <c r="X40" t="s">
        <v>1</v>
      </c>
      <c r="Y40" t="s">
        <v>1</v>
      </c>
      <c r="Z40">
        <v>1.1485110735820181</v>
      </c>
      <c r="AA40">
        <v>120</v>
      </c>
      <c r="AB40">
        <v>0</v>
      </c>
      <c r="AC40">
        <v>10</v>
      </c>
      <c r="AD40">
        <v>20</v>
      </c>
      <c r="AE40">
        <v>10</v>
      </c>
      <c r="AF40">
        <v>10</v>
      </c>
      <c r="AG40">
        <v>10</v>
      </c>
      <c r="AH40">
        <v>8</v>
      </c>
      <c r="AI40">
        <v>10</v>
      </c>
      <c r="AJ40">
        <v>10</v>
      </c>
      <c r="AK40">
        <v>10</v>
      </c>
      <c r="AL40">
        <v>12</v>
      </c>
      <c r="AM40">
        <v>10</v>
      </c>
      <c r="AN40" t="s">
        <v>110</v>
      </c>
      <c r="AO40" t="s">
        <v>429</v>
      </c>
      <c r="AP40" t="s">
        <v>430</v>
      </c>
      <c r="AQ40" t="s">
        <v>431</v>
      </c>
      <c r="AR40" t="s">
        <v>386</v>
      </c>
      <c r="AS40" t="s">
        <v>432</v>
      </c>
      <c r="AT40" t="s">
        <v>433</v>
      </c>
      <c r="AU40" t="s">
        <v>434</v>
      </c>
      <c r="AW40" t="s">
        <v>433</v>
      </c>
      <c r="AX40" t="s">
        <v>434</v>
      </c>
      <c r="AY40" t="s">
        <v>57</v>
      </c>
      <c r="AZ40" t="s">
        <v>1</v>
      </c>
      <c r="BA40" t="s">
        <v>1</v>
      </c>
    </row>
    <row r="41" spans="1:54">
      <c r="A41" t="s">
        <v>435</v>
      </c>
      <c r="B41" t="s">
        <v>436</v>
      </c>
      <c r="C41" t="s">
        <v>107</v>
      </c>
      <c r="D41" t="s">
        <v>107</v>
      </c>
      <c r="E41" t="s">
        <v>56</v>
      </c>
      <c r="F41" t="s">
        <v>180</v>
      </c>
      <c r="G41" t="s">
        <v>56</v>
      </c>
      <c r="H41" t="s">
        <v>57</v>
      </c>
      <c r="I41" t="s">
        <v>109</v>
      </c>
      <c r="J41" t="s">
        <v>109</v>
      </c>
      <c r="K41" t="s">
        <v>57</v>
      </c>
      <c r="L41" t="s">
        <v>57</v>
      </c>
      <c r="M41">
        <v>29739488</v>
      </c>
      <c r="N41">
        <v>2766714</v>
      </c>
      <c r="O41">
        <v>14071207</v>
      </c>
      <c r="P41">
        <v>98</v>
      </c>
      <c r="Q41">
        <v>96</v>
      </c>
      <c r="R41">
        <v>96</v>
      </c>
      <c r="S41">
        <v>0</v>
      </c>
      <c r="T41">
        <v>48</v>
      </c>
      <c r="U41">
        <v>0.5</v>
      </c>
      <c r="V41">
        <v>0.4</v>
      </c>
      <c r="W41">
        <v>63646120</v>
      </c>
      <c r="X41" t="s">
        <v>1</v>
      </c>
      <c r="Y41" t="s">
        <v>1</v>
      </c>
      <c r="Z41">
        <v>0.88280227435638392</v>
      </c>
      <c r="AA41">
        <v>120</v>
      </c>
      <c r="AB41">
        <v>0</v>
      </c>
      <c r="AC41">
        <v>10</v>
      </c>
      <c r="AD41">
        <v>20</v>
      </c>
      <c r="AE41">
        <v>10</v>
      </c>
      <c r="AF41">
        <v>10</v>
      </c>
      <c r="AG41">
        <v>10</v>
      </c>
      <c r="AH41">
        <v>8</v>
      </c>
      <c r="AI41">
        <v>10</v>
      </c>
      <c r="AJ41">
        <v>10</v>
      </c>
      <c r="AK41">
        <v>10</v>
      </c>
      <c r="AL41">
        <v>12</v>
      </c>
      <c r="AM41">
        <v>10</v>
      </c>
      <c r="AN41" t="s">
        <v>1</v>
      </c>
      <c r="AO41" t="s">
        <v>318</v>
      </c>
      <c r="AP41" t="s">
        <v>437</v>
      </c>
      <c r="AQ41" t="s">
        <v>438</v>
      </c>
      <c r="AR41" t="s">
        <v>439</v>
      </c>
      <c r="AS41" t="s">
        <v>440</v>
      </c>
      <c r="AT41" t="s">
        <v>317</v>
      </c>
      <c r="AU41" t="s">
        <v>318</v>
      </c>
      <c r="AW41" t="s">
        <v>317</v>
      </c>
      <c r="AX41" t="s">
        <v>318</v>
      </c>
      <c r="AY41" t="s">
        <v>57</v>
      </c>
      <c r="AZ41" t="s">
        <v>1</v>
      </c>
      <c r="BA41" t="s">
        <v>1</v>
      </c>
    </row>
    <row r="42" spans="1:54">
      <c r="A42" t="s">
        <v>441</v>
      </c>
      <c r="B42" t="s">
        <v>442</v>
      </c>
      <c r="C42" t="s">
        <v>107</v>
      </c>
      <c r="D42" t="s">
        <v>107</v>
      </c>
      <c r="E42" t="s">
        <v>56</v>
      </c>
      <c r="F42" t="s">
        <v>144</v>
      </c>
      <c r="G42" t="s">
        <v>56</v>
      </c>
      <c r="H42" t="s">
        <v>57</v>
      </c>
      <c r="I42" t="s">
        <v>57</v>
      </c>
      <c r="J42" t="s">
        <v>57</v>
      </c>
      <c r="K42" t="s">
        <v>57</v>
      </c>
      <c r="L42" t="s">
        <v>57</v>
      </c>
      <c r="M42">
        <v>57500000</v>
      </c>
      <c r="N42">
        <v>5922079</v>
      </c>
      <c r="O42">
        <v>0</v>
      </c>
      <c r="P42">
        <v>395</v>
      </c>
      <c r="Q42">
        <v>391</v>
      </c>
      <c r="R42">
        <v>226</v>
      </c>
      <c r="S42">
        <v>0</v>
      </c>
      <c r="T42">
        <v>0</v>
      </c>
      <c r="U42">
        <v>0</v>
      </c>
      <c r="V42">
        <v>0.6</v>
      </c>
      <c r="W42">
        <v>124739671</v>
      </c>
      <c r="X42" t="s">
        <v>1</v>
      </c>
      <c r="Y42" t="s">
        <v>1</v>
      </c>
      <c r="Z42">
        <v>1.6344501939602649</v>
      </c>
      <c r="AA42">
        <v>119</v>
      </c>
      <c r="AB42">
        <v>0</v>
      </c>
      <c r="AC42">
        <v>10</v>
      </c>
      <c r="AD42">
        <v>20</v>
      </c>
      <c r="AE42">
        <v>10</v>
      </c>
      <c r="AF42">
        <v>10</v>
      </c>
      <c r="AG42">
        <v>10</v>
      </c>
      <c r="AH42">
        <v>8</v>
      </c>
      <c r="AI42">
        <v>10</v>
      </c>
      <c r="AJ42">
        <v>9</v>
      </c>
      <c r="AK42">
        <v>10</v>
      </c>
      <c r="AL42">
        <v>12</v>
      </c>
      <c r="AM42">
        <v>10</v>
      </c>
      <c r="AN42" t="s">
        <v>110</v>
      </c>
      <c r="AO42" t="s">
        <v>443</v>
      </c>
      <c r="AP42" t="s">
        <v>444</v>
      </c>
      <c r="AQ42" t="s">
        <v>445</v>
      </c>
      <c r="AR42" t="s">
        <v>386</v>
      </c>
      <c r="AS42" t="s">
        <v>446</v>
      </c>
      <c r="AT42" t="s">
        <v>433</v>
      </c>
      <c r="AU42" t="s">
        <v>447</v>
      </c>
      <c r="AW42" t="s">
        <v>433</v>
      </c>
      <c r="AX42" t="s">
        <v>447</v>
      </c>
      <c r="AY42" t="s">
        <v>57</v>
      </c>
      <c r="AZ42" t="s">
        <v>1</v>
      </c>
      <c r="BA42" t="s">
        <v>1</v>
      </c>
      <c r="BB42">
        <v>110</v>
      </c>
    </row>
    <row r="43" spans="1:54">
      <c r="A43" t="s">
        <v>448</v>
      </c>
      <c r="B43" t="s">
        <v>449</v>
      </c>
      <c r="C43" t="s">
        <v>450</v>
      </c>
      <c r="D43" t="s">
        <v>107</v>
      </c>
      <c r="E43" t="s">
        <v>56</v>
      </c>
      <c r="F43" t="s">
        <v>108</v>
      </c>
      <c r="G43" t="s">
        <v>56</v>
      </c>
      <c r="H43" t="s">
        <v>57</v>
      </c>
      <c r="I43" t="s">
        <v>57</v>
      </c>
      <c r="J43" t="s">
        <v>57</v>
      </c>
      <c r="K43" t="s">
        <v>57</v>
      </c>
      <c r="L43" t="s">
        <v>57</v>
      </c>
      <c r="M43">
        <v>43523983</v>
      </c>
      <c r="N43">
        <v>4437739</v>
      </c>
      <c r="O43">
        <v>25600000</v>
      </c>
      <c r="P43">
        <v>128</v>
      </c>
      <c r="Q43">
        <v>127</v>
      </c>
      <c r="R43">
        <v>73</v>
      </c>
      <c r="S43">
        <v>0</v>
      </c>
      <c r="T43">
        <v>0</v>
      </c>
      <c r="U43">
        <v>0</v>
      </c>
      <c r="V43">
        <v>0.59842519685039375</v>
      </c>
      <c r="W43">
        <v>88469408</v>
      </c>
      <c r="X43" t="s">
        <v>2</v>
      </c>
      <c r="Y43" t="s">
        <v>2</v>
      </c>
      <c r="Z43">
        <v>0.59576899731046085</v>
      </c>
      <c r="AA43">
        <v>120</v>
      </c>
      <c r="AB43">
        <v>0</v>
      </c>
      <c r="AC43">
        <v>10</v>
      </c>
      <c r="AD43">
        <v>20</v>
      </c>
      <c r="AE43">
        <v>10</v>
      </c>
      <c r="AF43">
        <v>10</v>
      </c>
      <c r="AG43">
        <v>10</v>
      </c>
      <c r="AH43">
        <v>8</v>
      </c>
      <c r="AI43">
        <v>10</v>
      </c>
      <c r="AJ43">
        <v>10</v>
      </c>
      <c r="AK43">
        <v>10</v>
      </c>
      <c r="AL43">
        <v>12</v>
      </c>
      <c r="AM43">
        <v>10</v>
      </c>
      <c r="AN43" t="s">
        <v>451</v>
      </c>
      <c r="AO43" t="s">
        <v>452</v>
      </c>
      <c r="AP43" t="s">
        <v>453</v>
      </c>
      <c r="AQ43" t="s">
        <v>127</v>
      </c>
      <c r="AS43" t="s">
        <v>419</v>
      </c>
      <c r="AT43" t="s">
        <v>420</v>
      </c>
      <c r="AW43" t="s">
        <v>420</v>
      </c>
      <c r="AY43" t="s">
        <v>57</v>
      </c>
      <c r="AZ43" t="s">
        <v>2</v>
      </c>
      <c r="BA43" t="s">
        <v>2</v>
      </c>
    </row>
    <row r="44" spans="1:54">
      <c r="A44" t="s">
        <v>454</v>
      </c>
      <c r="B44" t="s">
        <v>455</v>
      </c>
      <c r="C44" t="s">
        <v>456</v>
      </c>
      <c r="D44" t="s">
        <v>107</v>
      </c>
      <c r="E44" t="s">
        <v>56</v>
      </c>
      <c r="F44" t="s">
        <v>108</v>
      </c>
      <c r="G44" t="s">
        <v>56</v>
      </c>
      <c r="H44" t="s">
        <v>57</v>
      </c>
      <c r="I44" t="s">
        <v>57</v>
      </c>
      <c r="J44" t="s">
        <v>57</v>
      </c>
      <c r="K44" t="s">
        <v>57</v>
      </c>
      <c r="L44" t="s">
        <v>57</v>
      </c>
      <c r="M44">
        <v>64500000</v>
      </c>
      <c r="N44">
        <v>6110463</v>
      </c>
      <c r="O44">
        <v>0</v>
      </c>
      <c r="P44">
        <v>272</v>
      </c>
      <c r="Q44">
        <v>269</v>
      </c>
      <c r="R44">
        <v>269</v>
      </c>
      <c r="S44">
        <v>0</v>
      </c>
      <c r="T44">
        <v>0</v>
      </c>
      <c r="U44">
        <v>0</v>
      </c>
      <c r="V44">
        <v>0.55687732342007434</v>
      </c>
      <c r="W44">
        <v>126187173</v>
      </c>
      <c r="X44" t="s">
        <v>2</v>
      </c>
      <c r="Y44" t="s">
        <v>2</v>
      </c>
      <c r="Z44">
        <v>1.323876049161921</v>
      </c>
      <c r="AA44">
        <v>119</v>
      </c>
      <c r="AB44">
        <v>0</v>
      </c>
      <c r="AC44">
        <v>10</v>
      </c>
      <c r="AD44">
        <v>20</v>
      </c>
      <c r="AE44">
        <v>10</v>
      </c>
      <c r="AF44">
        <v>10</v>
      </c>
      <c r="AG44">
        <v>10</v>
      </c>
      <c r="AH44">
        <v>8</v>
      </c>
      <c r="AI44">
        <v>10</v>
      </c>
      <c r="AJ44">
        <v>9</v>
      </c>
      <c r="AK44">
        <v>10</v>
      </c>
      <c r="AL44">
        <v>12</v>
      </c>
      <c r="AM44">
        <v>10</v>
      </c>
      <c r="AN44" t="s">
        <v>110</v>
      </c>
      <c r="AO44" t="s">
        <v>457</v>
      </c>
      <c r="AP44" t="s">
        <v>458</v>
      </c>
      <c r="AQ44" t="s">
        <v>459</v>
      </c>
      <c r="AR44" t="s">
        <v>458</v>
      </c>
      <c r="AS44" t="s">
        <v>460</v>
      </c>
      <c r="AT44" t="s">
        <v>461</v>
      </c>
      <c r="AU44" t="s">
        <v>462</v>
      </c>
      <c r="AW44" t="s">
        <v>461</v>
      </c>
      <c r="AX44" t="s">
        <v>462</v>
      </c>
      <c r="AY44" t="s">
        <v>57</v>
      </c>
      <c r="AZ44" t="s">
        <v>2</v>
      </c>
      <c r="BA44" t="s">
        <v>2</v>
      </c>
      <c r="BB44">
        <v>110</v>
      </c>
    </row>
    <row r="45" spans="1:54">
      <c r="A45" t="s">
        <v>463</v>
      </c>
      <c r="B45" t="s">
        <v>464</v>
      </c>
      <c r="C45" t="s">
        <v>465</v>
      </c>
      <c r="D45" t="s">
        <v>225</v>
      </c>
      <c r="E45" t="s">
        <v>56</v>
      </c>
      <c r="F45" t="s">
        <v>108</v>
      </c>
      <c r="G45" t="s">
        <v>56</v>
      </c>
      <c r="H45" t="s">
        <v>57</v>
      </c>
      <c r="I45" t="s">
        <v>57</v>
      </c>
      <c r="J45" t="s">
        <v>57</v>
      </c>
      <c r="K45" t="s">
        <v>57</v>
      </c>
      <c r="L45" t="s">
        <v>57</v>
      </c>
      <c r="M45">
        <v>105000000</v>
      </c>
      <c r="N45">
        <v>10668462</v>
      </c>
      <c r="O45">
        <v>8480000</v>
      </c>
      <c r="P45">
        <v>256</v>
      </c>
      <c r="Q45">
        <v>253</v>
      </c>
      <c r="R45">
        <v>100</v>
      </c>
      <c r="S45">
        <v>0</v>
      </c>
      <c r="T45">
        <v>0</v>
      </c>
      <c r="U45">
        <v>0</v>
      </c>
      <c r="V45">
        <v>0.54980237154150191</v>
      </c>
      <c r="W45">
        <v>210846226</v>
      </c>
      <c r="X45" t="s">
        <v>216</v>
      </c>
      <c r="Y45" t="s">
        <v>60</v>
      </c>
      <c r="Z45">
        <v>1.380847088887873</v>
      </c>
      <c r="AA45">
        <v>120</v>
      </c>
      <c r="AB45">
        <v>0</v>
      </c>
      <c r="AC45">
        <v>10</v>
      </c>
      <c r="AD45">
        <v>20</v>
      </c>
      <c r="AE45">
        <v>10</v>
      </c>
      <c r="AF45">
        <v>10</v>
      </c>
      <c r="AG45">
        <v>10</v>
      </c>
      <c r="AH45">
        <v>8</v>
      </c>
      <c r="AI45">
        <v>10</v>
      </c>
      <c r="AJ45">
        <v>10</v>
      </c>
      <c r="AK45">
        <v>10</v>
      </c>
      <c r="AL45">
        <v>12</v>
      </c>
      <c r="AM45">
        <v>10</v>
      </c>
      <c r="AN45" t="s">
        <v>110</v>
      </c>
      <c r="AO45" t="s">
        <v>466</v>
      </c>
      <c r="AP45" t="s">
        <v>467</v>
      </c>
      <c r="AQ45" t="s">
        <v>325</v>
      </c>
      <c r="AR45" t="s">
        <v>326</v>
      </c>
      <c r="AS45" t="s">
        <v>421</v>
      </c>
      <c r="AT45" t="s">
        <v>422</v>
      </c>
      <c r="AU45" t="s">
        <v>423</v>
      </c>
      <c r="AW45" t="s">
        <v>422</v>
      </c>
      <c r="AX45" t="s">
        <v>423</v>
      </c>
      <c r="AY45" t="s">
        <v>57</v>
      </c>
      <c r="AZ45" t="s">
        <v>3</v>
      </c>
      <c r="BA45" t="s">
        <v>3</v>
      </c>
    </row>
    <row r="46" spans="1:54">
      <c r="A46" t="s">
        <v>468</v>
      </c>
      <c r="B46" t="s">
        <v>469</v>
      </c>
      <c r="C46" t="s">
        <v>225</v>
      </c>
      <c r="D46" t="s">
        <v>225</v>
      </c>
      <c r="E46" t="s">
        <v>56</v>
      </c>
      <c r="F46" t="s">
        <v>144</v>
      </c>
      <c r="G46" t="s">
        <v>56</v>
      </c>
      <c r="H46" t="s">
        <v>57</v>
      </c>
      <c r="I46" t="s">
        <v>57</v>
      </c>
      <c r="J46" t="s">
        <v>57</v>
      </c>
      <c r="K46" t="s">
        <v>57</v>
      </c>
      <c r="L46" t="s">
        <v>57</v>
      </c>
      <c r="M46">
        <v>47500000</v>
      </c>
      <c r="N46">
        <v>4830872</v>
      </c>
      <c r="O46">
        <v>0</v>
      </c>
      <c r="P46">
        <v>233</v>
      </c>
      <c r="Q46">
        <v>230</v>
      </c>
      <c r="R46">
        <v>141</v>
      </c>
      <c r="S46">
        <v>0</v>
      </c>
      <c r="T46">
        <v>0</v>
      </c>
      <c r="U46">
        <v>0</v>
      </c>
      <c r="V46">
        <v>0.59695652173913039</v>
      </c>
      <c r="W46">
        <v>101158551</v>
      </c>
      <c r="X46" t="s">
        <v>216</v>
      </c>
      <c r="Y46" t="s">
        <v>60</v>
      </c>
      <c r="Z46">
        <v>1.628844934791108</v>
      </c>
      <c r="AA46">
        <v>119</v>
      </c>
      <c r="AB46">
        <v>0</v>
      </c>
      <c r="AC46">
        <v>10</v>
      </c>
      <c r="AD46">
        <v>20</v>
      </c>
      <c r="AE46">
        <v>10</v>
      </c>
      <c r="AF46">
        <v>10</v>
      </c>
      <c r="AG46">
        <v>10</v>
      </c>
      <c r="AH46">
        <v>8</v>
      </c>
      <c r="AI46">
        <v>10</v>
      </c>
      <c r="AJ46">
        <v>9</v>
      </c>
      <c r="AK46">
        <v>10</v>
      </c>
      <c r="AL46">
        <v>12</v>
      </c>
      <c r="AM46">
        <v>10</v>
      </c>
      <c r="AN46" t="s">
        <v>110</v>
      </c>
      <c r="AO46" t="s">
        <v>470</v>
      </c>
      <c r="AP46" t="s">
        <v>471</v>
      </c>
      <c r="AQ46" t="s">
        <v>472</v>
      </c>
      <c r="AS46" t="s">
        <v>470</v>
      </c>
      <c r="AT46" t="s">
        <v>473</v>
      </c>
      <c r="AU46" t="s">
        <v>474</v>
      </c>
      <c r="AW46" t="s">
        <v>473</v>
      </c>
      <c r="AX46" t="s">
        <v>474</v>
      </c>
      <c r="AY46" t="s">
        <v>57</v>
      </c>
      <c r="AZ46" t="s">
        <v>3</v>
      </c>
      <c r="BA46" t="s">
        <v>3</v>
      </c>
      <c r="BB46">
        <v>110</v>
      </c>
    </row>
    <row r="47" spans="1:54">
      <c r="A47" t="s">
        <v>475</v>
      </c>
      <c r="B47" t="s">
        <v>476</v>
      </c>
      <c r="C47" t="s">
        <v>477</v>
      </c>
      <c r="D47" t="s">
        <v>478</v>
      </c>
      <c r="E47" t="s">
        <v>56</v>
      </c>
      <c r="F47" t="s">
        <v>108</v>
      </c>
      <c r="G47" t="s">
        <v>56</v>
      </c>
      <c r="H47" t="s">
        <v>57</v>
      </c>
      <c r="I47" t="s">
        <v>57</v>
      </c>
      <c r="J47" t="s">
        <v>109</v>
      </c>
      <c r="K47" t="s">
        <v>57</v>
      </c>
      <c r="L47" t="s">
        <v>57</v>
      </c>
      <c r="M47">
        <v>73983017</v>
      </c>
      <c r="N47">
        <v>7655476</v>
      </c>
      <c r="O47">
        <v>26130746</v>
      </c>
      <c r="P47">
        <v>298</v>
      </c>
      <c r="Q47">
        <v>295</v>
      </c>
      <c r="R47">
        <v>260</v>
      </c>
      <c r="S47">
        <v>0</v>
      </c>
      <c r="T47">
        <v>0</v>
      </c>
      <c r="U47">
        <v>0</v>
      </c>
      <c r="V47">
        <v>0.49186440677966109</v>
      </c>
      <c r="W47">
        <v>156327172</v>
      </c>
      <c r="X47" t="s">
        <v>479</v>
      </c>
      <c r="Y47" t="s">
        <v>61</v>
      </c>
      <c r="Z47">
        <v>1.1434262038033829</v>
      </c>
      <c r="AA47">
        <v>120</v>
      </c>
      <c r="AB47">
        <v>0</v>
      </c>
      <c r="AC47">
        <v>10</v>
      </c>
      <c r="AD47">
        <v>20</v>
      </c>
      <c r="AE47">
        <v>10</v>
      </c>
      <c r="AF47">
        <v>10</v>
      </c>
      <c r="AG47">
        <v>10</v>
      </c>
      <c r="AH47">
        <v>8</v>
      </c>
      <c r="AI47">
        <v>10</v>
      </c>
      <c r="AJ47">
        <v>10</v>
      </c>
      <c r="AK47">
        <v>10</v>
      </c>
      <c r="AL47">
        <v>12</v>
      </c>
      <c r="AM47">
        <v>10</v>
      </c>
      <c r="AN47" t="s">
        <v>110</v>
      </c>
      <c r="AO47" t="s">
        <v>318</v>
      </c>
      <c r="AP47" t="s">
        <v>316</v>
      </c>
      <c r="AQ47" t="s">
        <v>317</v>
      </c>
      <c r="AR47" t="s">
        <v>318</v>
      </c>
      <c r="AS47" t="s">
        <v>480</v>
      </c>
      <c r="AT47" t="s">
        <v>481</v>
      </c>
      <c r="AU47" t="s">
        <v>315</v>
      </c>
      <c r="AW47" t="s">
        <v>481</v>
      </c>
      <c r="AX47" t="s">
        <v>315</v>
      </c>
      <c r="AY47" t="s">
        <v>57</v>
      </c>
      <c r="AZ47" t="s">
        <v>4</v>
      </c>
      <c r="BA47" t="s">
        <v>4</v>
      </c>
    </row>
    <row r="48" spans="1:54">
      <c r="A48" t="s">
        <v>482</v>
      </c>
      <c r="B48" t="s">
        <v>483</v>
      </c>
      <c r="C48" t="s">
        <v>484</v>
      </c>
      <c r="D48" t="s">
        <v>478</v>
      </c>
      <c r="E48" t="s">
        <v>56</v>
      </c>
      <c r="F48" t="s">
        <v>108</v>
      </c>
      <c r="G48" t="s">
        <v>56</v>
      </c>
      <c r="H48" t="s">
        <v>57</v>
      </c>
      <c r="I48" t="s">
        <v>57</v>
      </c>
      <c r="J48" t="s">
        <v>57</v>
      </c>
      <c r="K48" t="s">
        <v>57</v>
      </c>
      <c r="L48" t="s">
        <v>57</v>
      </c>
      <c r="M48">
        <v>19254112</v>
      </c>
      <c r="N48">
        <v>1859164</v>
      </c>
      <c r="O48">
        <v>8625951</v>
      </c>
      <c r="P48">
        <v>82</v>
      </c>
      <c r="Q48">
        <v>81</v>
      </c>
      <c r="R48">
        <v>66</v>
      </c>
      <c r="S48">
        <v>0</v>
      </c>
      <c r="T48">
        <v>0</v>
      </c>
      <c r="U48">
        <v>0</v>
      </c>
      <c r="V48">
        <v>0.59259259259259256</v>
      </c>
      <c r="W48">
        <v>39591778</v>
      </c>
      <c r="X48" t="s">
        <v>479</v>
      </c>
      <c r="Y48" t="s">
        <v>61</v>
      </c>
      <c r="Z48">
        <v>1.0535963992037161</v>
      </c>
      <c r="AA48">
        <v>120</v>
      </c>
      <c r="AB48">
        <v>0</v>
      </c>
      <c r="AC48">
        <v>10</v>
      </c>
      <c r="AD48">
        <v>20</v>
      </c>
      <c r="AE48">
        <v>10</v>
      </c>
      <c r="AF48">
        <v>10</v>
      </c>
      <c r="AG48">
        <v>10</v>
      </c>
      <c r="AH48">
        <v>8</v>
      </c>
      <c r="AI48">
        <v>10</v>
      </c>
      <c r="AJ48">
        <v>10</v>
      </c>
      <c r="AK48">
        <v>10</v>
      </c>
      <c r="AL48">
        <v>12</v>
      </c>
      <c r="AM48">
        <v>10</v>
      </c>
      <c r="AN48" t="s">
        <v>110</v>
      </c>
      <c r="AO48" t="s">
        <v>391</v>
      </c>
      <c r="AP48" t="s">
        <v>391</v>
      </c>
      <c r="AQ48" t="s">
        <v>392</v>
      </c>
      <c r="AY48" t="s">
        <v>57</v>
      </c>
      <c r="AZ48" t="s">
        <v>4</v>
      </c>
      <c r="BA48" t="s">
        <v>4</v>
      </c>
      <c r="BB48">
        <v>110</v>
      </c>
    </row>
    <row r="49" spans="1:54">
      <c r="A49" t="s">
        <v>485</v>
      </c>
      <c r="B49" t="s">
        <v>486</v>
      </c>
      <c r="C49" t="s">
        <v>156</v>
      </c>
      <c r="D49" t="s">
        <v>156</v>
      </c>
      <c r="E49" t="s">
        <v>56</v>
      </c>
      <c r="F49" t="s">
        <v>108</v>
      </c>
      <c r="G49" t="s">
        <v>56</v>
      </c>
      <c r="H49" t="s">
        <v>57</v>
      </c>
      <c r="I49" t="s">
        <v>57</v>
      </c>
      <c r="J49" t="s">
        <v>57</v>
      </c>
      <c r="K49" t="s">
        <v>57</v>
      </c>
      <c r="L49" t="s">
        <v>57</v>
      </c>
      <c r="M49">
        <v>19500000</v>
      </c>
      <c r="N49">
        <v>1960254</v>
      </c>
      <c r="O49">
        <v>12063107</v>
      </c>
      <c r="P49">
        <v>54</v>
      </c>
      <c r="Q49">
        <v>53</v>
      </c>
      <c r="R49">
        <v>53</v>
      </c>
      <c r="S49">
        <v>0</v>
      </c>
      <c r="T49">
        <v>0</v>
      </c>
      <c r="U49">
        <v>0</v>
      </c>
      <c r="V49">
        <v>0.48962264150943391</v>
      </c>
      <c r="W49">
        <v>39604644</v>
      </c>
      <c r="X49" t="s">
        <v>158</v>
      </c>
      <c r="Y49" t="s">
        <v>61</v>
      </c>
      <c r="Z49">
        <v>0.6536781499224219</v>
      </c>
      <c r="AA49">
        <v>119</v>
      </c>
      <c r="AB49">
        <v>0</v>
      </c>
      <c r="AC49">
        <v>10</v>
      </c>
      <c r="AD49">
        <v>20</v>
      </c>
      <c r="AE49">
        <v>10</v>
      </c>
      <c r="AF49">
        <v>10</v>
      </c>
      <c r="AG49">
        <v>10</v>
      </c>
      <c r="AH49">
        <v>8</v>
      </c>
      <c r="AI49">
        <v>10</v>
      </c>
      <c r="AJ49">
        <v>9</v>
      </c>
      <c r="AK49">
        <v>10</v>
      </c>
      <c r="AL49">
        <v>12</v>
      </c>
      <c r="AM49">
        <v>10</v>
      </c>
      <c r="AN49" t="s">
        <v>110</v>
      </c>
      <c r="AO49" t="s">
        <v>487</v>
      </c>
      <c r="AP49" t="s">
        <v>488</v>
      </c>
      <c r="AQ49" t="s">
        <v>489</v>
      </c>
      <c r="AS49" t="s">
        <v>490</v>
      </c>
      <c r="AT49" t="s">
        <v>491</v>
      </c>
      <c r="AW49" t="s">
        <v>491</v>
      </c>
      <c r="AY49" t="s">
        <v>109</v>
      </c>
      <c r="AZ49" t="s">
        <v>4</v>
      </c>
      <c r="BA49" t="s">
        <v>4</v>
      </c>
      <c r="BB49">
        <v>110</v>
      </c>
    </row>
    <row r="50" spans="1:54">
      <c r="A50" t="s">
        <v>492</v>
      </c>
      <c r="B50" t="s">
        <v>493</v>
      </c>
      <c r="C50" t="s">
        <v>494</v>
      </c>
      <c r="D50" t="s">
        <v>495</v>
      </c>
      <c r="E50" t="s">
        <v>56</v>
      </c>
      <c r="F50" t="s">
        <v>108</v>
      </c>
      <c r="G50" t="s">
        <v>56</v>
      </c>
      <c r="H50" t="s">
        <v>57</v>
      </c>
      <c r="I50" t="s">
        <v>57</v>
      </c>
      <c r="J50" t="s">
        <v>57</v>
      </c>
      <c r="K50" t="s">
        <v>57</v>
      </c>
      <c r="L50" t="s">
        <v>57</v>
      </c>
      <c r="M50">
        <v>34290026</v>
      </c>
      <c r="N50">
        <v>3137966</v>
      </c>
      <c r="O50">
        <v>0</v>
      </c>
      <c r="P50">
        <v>192</v>
      </c>
      <c r="Q50">
        <v>190</v>
      </c>
      <c r="R50">
        <v>119</v>
      </c>
      <c r="S50">
        <v>0</v>
      </c>
      <c r="T50">
        <v>0</v>
      </c>
      <c r="U50">
        <v>0</v>
      </c>
      <c r="V50">
        <v>0.6</v>
      </c>
      <c r="W50">
        <v>64672225</v>
      </c>
      <c r="X50" t="s">
        <v>496</v>
      </c>
      <c r="Y50" t="s">
        <v>62</v>
      </c>
      <c r="Z50">
        <v>1.342134882208716</v>
      </c>
      <c r="AA50">
        <v>120</v>
      </c>
      <c r="AB50">
        <v>0</v>
      </c>
      <c r="AC50">
        <v>10</v>
      </c>
      <c r="AD50">
        <v>20</v>
      </c>
      <c r="AE50">
        <v>10</v>
      </c>
      <c r="AF50">
        <v>10</v>
      </c>
      <c r="AG50">
        <v>10</v>
      </c>
      <c r="AH50">
        <v>8</v>
      </c>
      <c r="AI50">
        <v>10</v>
      </c>
      <c r="AJ50">
        <v>10</v>
      </c>
      <c r="AK50">
        <v>10</v>
      </c>
      <c r="AL50">
        <v>12</v>
      </c>
      <c r="AM50">
        <v>10</v>
      </c>
      <c r="AN50" t="s">
        <v>451</v>
      </c>
      <c r="AO50" t="s">
        <v>497</v>
      </c>
      <c r="AP50" t="s">
        <v>497</v>
      </c>
      <c r="AQ50" t="s">
        <v>498</v>
      </c>
      <c r="AS50" t="s">
        <v>499</v>
      </c>
      <c r="AT50" t="s">
        <v>500</v>
      </c>
      <c r="AV50" t="s">
        <v>501</v>
      </c>
      <c r="AW50" t="s">
        <v>500</v>
      </c>
      <c r="AY50" t="s">
        <v>57</v>
      </c>
      <c r="AZ50" t="s">
        <v>5</v>
      </c>
      <c r="BA50" t="s">
        <v>5</v>
      </c>
    </row>
    <row r="51" spans="1:54">
      <c r="A51" t="s">
        <v>502</v>
      </c>
      <c r="B51" t="s">
        <v>503</v>
      </c>
      <c r="C51" t="s">
        <v>494</v>
      </c>
      <c r="D51" t="s">
        <v>495</v>
      </c>
      <c r="E51" t="s">
        <v>56</v>
      </c>
      <c r="F51" t="s">
        <v>108</v>
      </c>
      <c r="G51" t="s">
        <v>56</v>
      </c>
      <c r="H51" t="s">
        <v>57</v>
      </c>
      <c r="I51" t="s">
        <v>57</v>
      </c>
      <c r="J51" t="s">
        <v>57</v>
      </c>
      <c r="K51" t="s">
        <v>57</v>
      </c>
      <c r="L51" t="s">
        <v>57</v>
      </c>
      <c r="M51">
        <v>36120000</v>
      </c>
      <c r="N51">
        <v>3643101</v>
      </c>
      <c r="O51">
        <v>0</v>
      </c>
      <c r="P51">
        <v>200</v>
      </c>
      <c r="Q51">
        <v>199</v>
      </c>
      <c r="R51">
        <v>122</v>
      </c>
      <c r="S51">
        <v>0</v>
      </c>
      <c r="T51">
        <v>0</v>
      </c>
      <c r="U51">
        <v>0</v>
      </c>
      <c r="V51">
        <v>0.59648241206030139</v>
      </c>
      <c r="W51">
        <v>73080751</v>
      </c>
      <c r="X51" t="s">
        <v>496</v>
      </c>
      <c r="Y51" t="s">
        <v>62</v>
      </c>
      <c r="Z51">
        <v>1.0414649238743721</v>
      </c>
      <c r="AA51">
        <v>120</v>
      </c>
      <c r="AB51">
        <v>0</v>
      </c>
      <c r="AC51">
        <v>10</v>
      </c>
      <c r="AD51">
        <v>20</v>
      </c>
      <c r="AE51">
        <v>10</v>
      </c>
      <c r="AF51">
        <v>10</v>
      </c>
      <c r="AG51">
        <v>10</v>
      </c>
      <c r="AH51">
        <v>8</v>
      </c>
      <c r="AI51">
        <v>10</v>
      </c>
      <c r="AJ51">
        <v>10</v>
      </c>
      <c r="AK51">
        <v>10</v>
      </c>
      <c r="AL51">
        <v>12</v>
      </c>
      <c r="AM51">
        <v>10</v>
      </c>
      <c r="AN51" t="s">
        <v>504</v>
      </c>
      <c r="AO51" t="s">
        <v>505</v>
      </c>
      <c r="AP51" t="s">
        <v>506</v>
      </c>
      <c r="AQ51" t="s">
        <v>507</v>
      </c>
      <c r="AS51" t="s">
        <v>505</v>
      </c>
      <c r="AT51" t="s">
        <v>508</v>
      </c>
      <c r="AU51" t="s">
        <v>474</v>
      </c>
      <c r="AV51" t="s">
        <v>301</v>
      </c>
      <c r="AW51" t="s">
        <v>508</v>
      </c>
      <c r="AX51" t="s">
        <v>474</v>
      </c>
      <c r="AY51" t="s">
        <v>57</v>
      </c>
      <c r="AZ51" t="s">
        <v>5</v>
      </c>
      <c r="BA5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Simulator</vt:lpstr>
      <vt:lpstr>LAC Deal Line</vt:lpstr>
      <vt:lpstr>CDLAC Regions</vt:lpstr>
      <vt:lpstr>Awarded 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Williams</dc:creator>
  <cp:lastModifiedBy>Jim Williams</cp:lastModifiedBy>
  <dcterms:created xsi:type="dcterms:W3CDTF">2025-07-26T01:57:32Z</dcterms:created>
  <dcterms:modified xsi:type="dcterms:W3CDTF">2025-08-08T18:16:10Z</dcterms:modified>
</cp:coreProperties>
</file>