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4.xml" ContentType="application/vnd.openxmlformats-officedocument.spreadsheetml.comments+xml"/>
  <Override PartName="/xl/worksheets/sheet11.xml" ContentType="application/vnd.openxmlformats-officedocument.spreadsheetml.worksheet+xml"/>
  <Override PartName="/xl/comments/comment5.xml" ContentType="application/vnd.openxmlformats-officedocument.spreadsheetml.comments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2780" windowHeight="14540" tabRatio="600" firstSheet="2" activeTab="2" autoFilterDateGrouping="1"/>
  </bookViews>
  <sheets>
    <sheet name="Read_Me" sheetId="1" state="visible" r:id="rId1"/>
    <sheet name="Applicant_List" sheetId="2" state="visible" r:id="rId2"/>
    <sheet name="Hypothetical_Project" sheetId="3" state="visible" r:id="rId3"/>
    <sheet name="Rules_Output" sheetId="4" state="visible" r:id="rId4"/>
    <sheet name="Funding_Output" sheetId="5" state="visible" r:id="rId5"/>
    <sheet name="Lookup_Lists" sheetId="6" state="visible" r:id="rId6"/>
    <sheet name="Rules_Logic" sheetId="7" state="visible" r:id="rId7"/>
    <sheet name="Engine_Parameters" sheetId="8" state="visible" r:id="rId8"/>
    <sheet name="Rule_Flags" sheetId="9" state="visible" r:id="rId9"/>
    <sheet name="Applicant_List_2025-03-10" sheetId="10" state="visible" r:id="rId10"/>
    <sheet name="Applicant_List_2025-01-30" sheetId="11" state="visible" r:id="rId11"/>
    <sheet name="Column_Map" sheetId="12" state="visible" r:id="rId12"/>
  </sheets>
  <definedNames>
    <definedName name="application_status_current">Lookup_Lists!$C$5:$C$12</definedName>
    <definedName name="bond_issuer_type">Lookup_Lists!$I$5:$I$7</definedName>
    <definedName name="construction_type">Lookup_Lists!$E$5:$E$9</definedName>
    <definedName name="predicted_advance_flag">Lookup_Lists!$O$5:$O$7</definedName>
    <definedName name="predicted_next_path">Lookup_Lists!$M$5:$M$11</definedName>
    <definedName name="predicted_next_status">Lookup_Lists!$K$5:$K$12</definedName>
    <definedName name="target_population">Lookup_Lists!$G$5:$G$8</definedName>
    <definedName name="yes_no">Lookup_Lists!$A$5:$A$6</definedName>
    <definedName name="_xlnm._FilterDatabase" localSheetId="4" hidden="1">'Funding_Output'!$A$11:$N$104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\$#,##0_);[Red]\(\$#,##0\)"/>
    <numFmt numFmtId="165" formatCode="$#,##0_);[Red]($#,##0)"/>
    <numFmt numFmtId="166" formatCode="yyyy-mm-dd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sz val="11"/>
    </font>
    <font>
      <name val="Calibri"/>
      <family val="2"/>
      <color rgb="FF0000FF"/>
      <sz val="11"/>
    </font>
    <font>
      <name val="Calibri"/>
      <family val="2"/>
      <color rgb="FF000000"/>
      <sz val="11"/>
    </font>
    <font>
      <name val="Calibri"/>
      <family val="2"/>
      <b val="1"/>
      <color rgb="FFFFFFFF"/>
      <sz val="14"/>
    </font>
  </fonts>
  <fills count="12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E7E6E6"/>
      </patternFill>
    </fill>
    <fill>
      <patternFill patternType="solid">
        <fgColor rgb="FFD9EAF7"/>
      </patternFill>
    </fill>
    <fill>
      <patternFill patternType="solid">
        <fgColor rgb="FFD9EDEB"/>
      </patternFill>
    </fill>
    <fill>
      <patternFill patternType="solid">
        <fgColor rgb="FFEAF3FB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ADCF8"/>
      </patternFill>
    </fill>
    <fill>
      <patternFill patternType="solid">
        <fgColor rgb="FFF4CCCC"/>
      </patternFill>
    </fill>
  </fills>
  <borders count="6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/>
      <diagonal/>
    </border>
    <border>
      <left/>
      <right style="thin">
        <color rgb="FFC0C0C0"/>
      </right>
      <top style="thin">
        <color rgb="FFC0C0C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0" fontId="1" fillId="2" borderId="1" pivotButton="0" quotePrefix="0" xfId="0"/>
    <xf numFmtId="0" fontId="2" fillId="0" borderId="1" pivotButton="0" quotePrefix="0" xfId="0"/>
    <xf numFmtId="0" fontId="1" fillId="2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wrapText="1"/>
    </xf>
    <xf numFmtId="14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38" fontId="3" fillId="0" borderId="1" applyAlignment="1" pivotButton="0" quotePrefix="0" xfId="0">
      <alignment vertical="top"/>
    </xf>
    <xf numFmtId="164" fontId="3" fillId="0" borderId="1" applyAlignment="1" pivotButton="0" quotePrefix="0" xfId="0">
      <alignment vertical="top"/>
    </xf>
    <xf numFmtId="0" fontId="4" fillId="3" borderId="1" applyAlignment="1" pivotButton="0" quotePrefix="0" xfId="0">
      <alignment vertical="top"/>
    </xf>
    <xf numFmtId="0" fontId="4" fillId="11" borderId="1" applyAlignment="1" pivotButton="0" quotePrefix="0" xfId="0">
      <alignment vertical="top"/>
    </xf>
    <xf numFmtId="38" fontId="4" fillId="11" borderId="1" applyAlignment="1" pivotButton="0" quotePrefix="0" xfId="0">
      <alignment vertical="top"/>
    </xf>
    <xf numFmtId="0" fontId="4" fillId="0" borderId="1" pivotButton="0" quotePrefix="0" xfId="0"/>
    <xf numFmtId="1" fontId="4" fillId="0" borderId="1" pivotButton="0" quotePrefix="0" xfId="0"/>
    <xf numFmtId="0" fontId="2" fillId="4" borderId="0" pivotButton="0" quotePrefix="0" xfId="0"/>
    <xf numFmtId="14" fontId="3" fillId="0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center"/>
    </xf>
    <xf numFmtId="164" fontId="0" fillId="0" borderId="0" pivotButton="0" quotePrefix="0" xfId="0"/>
    <xf numFmtId="0" fontId="2" fillId="5" borderId="1" applyAlignment="1" pivotButton="0" quotePrefix="0" xfId="0">
      <alignment vertical="top" wrapText="1"/>
    </xf>
    <xf numFmtId="0" fontId="1" fillId="2" borderId="0" pivotButton="0" quotePrefix="0" xfId="0"/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3" pivotButton="0" quotePrefix="0" xfId="0"/>
    <xf numFmtId="0" fontId="0" fillId="0" borderId="1" applyAlignment="1" pivotButton="0" quotePrefix="0" xfId="0">
      <alignment wrapText="1"/>
    </xf>
    <xf numFmtId="0" fontId="5" fillId="2" borderId="0" pivotButton="0" quotePrefix="0" xfId="0"/>
    <xf numFmtId="0" fontId="2" fillId="11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5" fontId="3" fillId="0" borderId="1" applyAlignment="1" pivotButton="0" quotePrefix="0" xfId="0">
      <alignment vertical="top"/>
    </xf>
  </cellXfs>
  <cellStyles count="1">
    <cellStyle name="Normal" xfId="0" builtinId="0"/>
  </cellStyles>
  <dxfs count="45"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E2F0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  <dxf>
      <fill>
        <patternFill>
          <bgColor rgb="FFE2F0D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OpenAI</author>
  </authors>
  <commentList>
    <comment ref="A3" authorId="0" shapeId="0">
      <text>
        <t>Section: Identity &amp; Snapshot
Input type: date
Required status: Req
Description: Snapshot date for the input universe (usually the status-log date).</t>
      </text>
    </comment>
    <comment ref="B3" authorId="0" shapeId="0">
      <text>
        <t>Section: Identity &amp; Snapshot
Input type: text
Required status: Req
Description: Identifier for the source log or file, e.g. 2025-03-10.</t>
      </text>
    </comment>
    <comment ref="C3" authorId="0" shapeId="0">
      <text>
        <t>Section: Identity &amp; Snapshot
Input type: text/number
Required status: Req
Description: Unique TDHCA deal ID for the cycle.</t>
      </text>
    </comment>
    <comment ref="D3" authorId="0" shapeId="0">
      <text>
        <t>Section: Identity &amp; Snapshot
Input type: text/number
Required status: Opt
Description: Prior TDHCA number for resubmissions/refis.</t>
      </text>
    </comment>
    <comment ref="E3" authorId="0" shapeId="0">
      <text>
        <t>Section: Identity &amp; Snapshot
Input type: text
Required status: Req
Description: Development name.</t>
      </text>
    </comment>
    <comment ref="F3" authorId="0" shapeId="0">
      <text>
        <t>Section: Identity &amp; Snapshot
Input type: text
Required status: Req
Description: Development city.</t>
      </text>
    </comment>
    <comment ref="G3" authorId="0" shapeId="0">
      <text>
        <t>Section: Identity &amp; Snapshot
Input type: text
Required status: Req
Description: Development county.</t>
      </text>
    </comment>
    <comment ref="H3" authorId="0" shapeId="0">
      <text>
        <t>Section: Identity &amp; Snapshot
Input type: number/text
Required status: Req
Description: Development region used in TDHCA reporting.</t>
      </text>
    </comment>
    <comment ref="I3" authorId="0" shapeId="0">
      <text>
        <t>Section: Identity &amp; Snapshot
Input type: text
Required status: Opt
Description: Project street address.</t>
      </text>
    </comment>
    <comment ref="J3" authorId="0" shapeId="0">
      <text>
        <t>Section: Identity &amp; Snapshot
Input type: text/number
Required status: Opt
Description: Project ZIP Code.</t>
      </text>
    </comment>
    <comment ref="K3" authorId="0" shapeId="0">
      <text>
        <t>Section: Current Public Process
Input type: date
Required status: Req
Description: Date the full 4% application was submitted.</t>
      </text>
    </comment>
    <comment ref="L3" authorId="0" shapeId="0">
      <text>
        <t>Section: Current Public Process
Input type: dropdown
Required status: Req
Allowed values: Submitted,Under Review,Active,Approved,Closed,Withdrawn,Pre-application,Stalled
Description: Current public-log status.</t>
      </text>
    </comment>
    <comment ref="M3" authorId="0" shapeId="0">
      <text>
        <t>Section: Current Public Process
Input type: date
Required status: Opt
Description: Current board meeting date, if any.</t>
      </text>
    </comment>
    <comment ref="N3" authorId="0" shapeId="0">
      <text>
        <t>Section: Current Public Process
Input type: date
Required status: Opt
Description: Current determination notice issuance date, if any.</t>
      </text>
    </comment>
    <comment ref="O3" authorId="0" shapeId="0">
      <text>
        <t>Section: Current Public Process
Input type: date
Required status: Opt
Description: Current bond reservation date.</t>
      </text>
    </comment>
    <comment ref="P3" authorId="0" shapeId="0">
      <text>
        <t>Section: Current Public Process
Input type: date
Required status: Opt
Description: Current bond expiration date.</t>
      </text>
    </comment>
    <comment ref="Q3" authorId="0" shapeId="0">
      <text>
        <t>Section: Current Public Process
Input type: date
Required status: Opt
Description: Date closed, if already closed.</t>
      </text>
    </comment>
    <comment ref="R3" authorId="0" shapeId="0">
      <text>
        <t>Section: Project Characteristics
Input type: dropdown
Required status: Req
Allowed values: New Construction,Acq/Rehab,Rehabilitation,Adaptive Reuse,Reconstruction
Description: Construction type.</t>
      </text>
    </comment>
    <comment ref="S3" authorId="0" shapeId="0">
      <text>
        <t>Section: Project Characteristics
Input type: dropdown
Required status: Req
Allowed values: General,Elderly,Supportive Housing,Other
Description: Target population.</t>
      </text>
    </comment>
    <comment ref="T3" authorId="0" shapeId="0">
      <text>
        <t>Section: Project Characteristics
Input type: number
Required status: Req
Description: Total units.</t>
      </text>
    </comment>
    <comment ref="U3" authorId="0" shapeId="0">
      <text>
        <t>Section: Project Characteristics
Input type: number
Required status: Req
Description: Total low-income units.</t>
      </text>
    </comment>
    <comment ref="V3" authorId="0" shapeId="0">
      <text>
        <t>Section: Project Characteristics
Input type: Y/N
Required status: Opt
Allowed values: Y,N
Description: Whether the development is scattered-site.</t>
      </text>
    </comment>
    <comment ref="W3" authorId="0" shapeId="0">
      <text>
        <t>Section: Project Characteristics
Input type: Y/N
Required status: Opt
Allowed values: Y,N
Description: Whether the site is an existing residential development.</t>
      </text>
    </comment>
    <comment ref="X3" authorId="0" shapeId="0">
      <text>
        <t>Section: Bond &amp; Credit Structure
Input type: text
Required status: Req
Description: Bond issuer name.</t>
      </text>
    </comment>
    <comment ref="Y3" authorId="0" shapeId="0">
      <text>
        <t>Section: Bond &amp; Credit Structure
Input type: dropdown
Required status: Req
Allowed values: Local HFC,TDHCA,Other
Description: Issuer type.</t>
      </text>
    </comment>
    <comment ref="Z3" authorId="0" shapeId="0">
      <text>
        <t>Section: Bond &amp; Credit Structure
Input type: currency
Required status: Opt
Description: Bond reservation amount/requested bond amount.</t>
      </text>
    </comment>
    <comment ref="AA3" authorId="0" shapeId="0">
      <text>
        <t>Section: Bond &amp; Credit Structure
Input type: currency
Required status: Opt
Description: Recommended bond amount, if any.</t>
      </text>
    </comment>
    <comment ref="AB3" authorId="0" shapeId="0">
      <text>
        <t>Section: Bond &amp; Credit Structure
Input type: currency
Required status: Opt
Description: Requested annual HTC amount.</t>
      </text>
    </comment>
    <comment ref="AC3" authorId="0" shapeId="0">
      <text>
        <t>Section: Bond &amp; Credit Structure
Input type: currency
Required status: Opt
Description: Recommended annual HTC amount.</t>
      </text>
    </comment>
    <comment ref="AD3" authorId="0" shapeId="0">
      <text>
        <t>Section: Bond &amp; Credit Structure
Input type: currency
Required status: Opt
Description: Requested state tax credit amount.</t>
      </text>
    </comment>
    <comment ref="AE3" authorId="0" shapeId="0">
      <text>
        <t>Section: Bond &amp; Credit Structure
Input type: currency
Required status: Opt
Description: Recommended state tax credit amount.</t>
      </text>
    </comment>
    <comment ref="AF3" authorId="0" shapeId="0">
      <text>
        <t>Section: Bond &amp; Credit Structure
Input type: Y/N
Required status: Opt
Allowed values: Y,N
Description: Direct loan requested.</t>
      </text>
    </comment>
    <comment ref="AG3" authorId="0" shapeId="0">
      <text>
        <t>Section: Bond &amp; Credit Structure
Input type: Y/N
Required status: Opt
Allowed values: Y,N
Description: Property tax exemption structure.</t>
      </text>
    </comment>
    <comment ref="AH3" authorId="0" shapeId="0">
      <text>
        <t>Section: Bond &amp; Credit Structure
Input type: Y/N
Required status: Opt
Allowed values: Y,N
Description: Public Facility Corporation / related structure.</t>
      </text>
    </comment>
    <comment ref="AI3" authorId="0" shapeId="0">
      <text>
        <t>Section: Manual QAP Thresholds
Input type: Y/N
Required status: Req
Allowed values: Y,N
Description: Manual input: valid site control?</t>
      </text>
    </comment>
    <comment ref="AJ3" authorId="0" shapeId="0">
      <text>
        <t>Section: Manual QAP Thresholds
Input type: date
Required status: Opt
Description: Date of site control document.</t>
      </text>
    </comment>
    <comment ref="AK3" authorId="0" shapeId="0">
      <text>
        <t>Section: Manual QAP Thresholds
Input type: Y/N
Required status: Req
Allowed values: Y,N
Description: All required resolutions complete?</t>
      </text>
    </comment>
    <comment ref="AL3" authorId="0" shapeId="0">
      <text>
        <t>Section: Manual QAP Thresholds
Input type: Y/N
Required status: Req
Allowed values: Y,N
Description: Local approvals complete?</t>
      </text>
    </comment>
    <comment ref="AM3" authorId="0" shapeId="0">
      <text>
        <t>Section: Manual QAP Thresholds
Input type: Y/N
Required status: Req
Allowed values: Y,N
Description: All required third-party reports complete?</t>
      </text>
    </comment>
    <comment ref="AN3" authorId="0" shapeId="0">
      <text>
        <t>Section: Manual QAP Thresholds
Input type: Y/N
Required status: Opt
Allowed values: Y,N
Description: Environmental site assessment complete?</t>
      </text>
    </comment>
    <comment ref="AO3" authorId="0" shapeId="0">
      <text>
        <t>Section: Manual QAP Thresholds
Input type: Y/N
Required status: Opt
Allowed values: Y,N
Description: Market analysis complete?</t>
      </text>
    </comment>
    <comment ref="AP3" authorId="0" shapeId="0">
      <text>
        <t>Section: Manual QAP Thresholds
Input type: Y/N
Required status: Opt
Allowed values: Y,N
Description: Appraisal complete?</t>
      </text>
    </comment>
    <comment ref="AQ3" authorId="0" shapeId="0">
      <text>
        <t>Section: Manual QAP Thresholds
Input type: Y/N
Required status: Opt
Allowed values: Y,N
Description: Site and neighborhood standards / SCR complete?</t>
      </text>
    </comment>
    <comment ref="AR3" authorId="0" shapeId="0">
      <text>
        <t>Section: Manual QAP Thresholds
Input type: Y/N
Required status: Opt
Allowed values: Y,N
Description: Feasibility report complete?</t>
      </text>
    </comment>
    <comment ref="AS3" authorId="0" shapeId="0">
      <text>
        <t>Section: Manual QAP Thresholds
Input type: Y/N
Required status: Opt
Allowed values: Y,N
Description: Was a deficiency notice issued?</t>
      </text>
    </comment>
    <comment ref="AT3" authorId="0" shapeId="0">
      <text>
        <t>Section: Manual QAP Thresholds
Input type: date
Required status: Opt
Description: Deficiency notice date.</t>
      </text>
    </comment>
    <comment ref="AU3" authorId="0" shapeId="0">
      <text>
        <t>Section: Manual QAP Thresholds
Input type: date
Required status: Opt
Description: Deficiency response due date.</t>
      </text>
    </comment>
    <comment ref="AV3" authorId="0" shapeId="0">
      <text>
        <t>Section: Manual QAP Thresholds
Input type: Y/N
Required status: Opt
Allowed values: Y,N
Description: If a deficiency was issued, has it been cleared?</t>
      </text>
    </comment>
    <comment ref="AW3" authorId="0" shapeId="0">
      <text>
        <t>Section: Manual QAP Thresholds
Input type: date
Required status: Opt
Description: Date deficiency cleared.</t>
      </text>
    </comment>
    <comment ref="AX3" authorId="0" shapeId="0">
      <text>
        <t>Section: Manual QAP Thresholds
Input type: Y/N
Required status: Opt
Allowed values: Y,N
Description: Material deficiency present?</t>
      </text>
    </comment>
    <comment ref="AY3" authorId="0" shapeId="0">
      <text>
        <t>Section: Manual QAP Thresholds
Input type: Y/N
Required status: Req
Allowed values: Y,N
Description: Underwriting review complete?</t>
      </text>
    </comment>
    <comment ref="AZ3" authorId="0" shapeId="0">
      <text>
        <t>Section: Manual QAP Thresholds
Input type: Y/N
Required status: Req
Allowed values: Y,N
Description: Underwriting passed?</t>
      </text>
    </comment>
    <comment ref="BA3" authorId="0" shapeId="0">
      <text>
        <t>Section: Manual QAP Thresholds
Input type: Y/N
Required status: Req
Allowed values: Y,N
Description: Financially feasible?</t>
      </text>
    </comment>
    <comment ref="BB3" authorId="0" shapeId="0">
      <text>
        <t>Section: Site / Deconcentration
Input type: Y/N
Required status: Req
Allowed values: Y,N
Description: Passes deconcentration / relevant site restrictions?</t>
      </text>
    </comment>
    <comment ref="BC3" authorId="0" shapeId="0">
      <text>
        <t>Section: Site / Deconcentration
Input type: Y/N
Required status: Req
Allowed values: Y,N
Description: Complies with one-mile rule where applicable?</t>
      </text>
    </comment>
    <comment ref="BD3" authorId="0" shapeId="0">
      <text>
        <t>Section: Site / Deconcentration
Input type: Y/N
Required status: Opt
Allowed values: Y,N
Description: Whether same-year two-mile issue is relevant.</t>
      </text>
    </comment>
    <comment ref="BE3" authorId="0" shapeId="0">
      <text>
        <t>Section: Site / Deconcentration
Input type: Y/N
Required status: Opt
Allowed values: Y,N
Description: Existing LURA or other site conflict present?</t>
      </text>
    </comment>
    <comment ref="BF3" authorId="0" shapeId="0">
      <text>
        <t>Section: Site / Deconcentration
Input type: Y/N
Required status: Opt
Allowed values: Y,N
Description: Rural area flag.</t>
      </text>
    </comment>
    <comment ref="BG3" authorId="0" shapeId="0">
      <text>
        <t>Section: Site / Deconcentration
Input type: Y/N
Required status: Opt
Allowed values: Y,N
Description: Urban area flag.</t>
      </text>
    </comment>
    <comment ref="BH3" authorId="0" shapeId="0">
      <text>
        <t>Section: Site / Deconcentration
Input type: Y/N
Required status: Opt
Allowed values: Y,N
Description: Qualified Census Tract flag.</t>
      </text>
    </comment>
    <comment ref="BI3" authorId="0" shapeId="0">
      <text>
        <t>Section: Site / Deconcentration
Input type: Y/N
Required status: Opt
Allowed values: Y,N
Description: Override / exception flag for opportunity logic.</t>
      </text>
    </comment>
    <comment ref="BJ3" authorId="0" shapeId="0">
      <text>
        <t>Section: Path Selection
Input type: Y/N
Required status: Req
Allowed values: Y,N
Description: Eligible for streamlined determination notice path?</t>
      </text>
    </comment>
    <comment ref="BK3" authorId="0" shapeId="0">
      <text>
        <t>Section: Path Selection
Input type: Y/N
Required status: Req
Allowed values: Y,N
Description: Requires board review/action?</t>
      </text>
    </comment>
    <comment ref="BL3" authorId="0" shapeId="0">
      <text>
        <t>Section: Path Selection
Input type: Y/N
Required status: Opt
Allowed values: Y,N
Description: Open Chapter 12 issue that may block advancement?</t>
      </text>
    </comment>
    <comment ref="BM3" authorId="0" shapeId="0">
      <text>
        <t>Section: Path Selection
Input type: Y/N
Required status: Opt
Allowed values: Y,N
Description: All items complete for DN issuance?</t>
      </text>
    </comment>
    <comment ref="BN3" authorId="0" shapeId="0">
      <text>
        <t>Section: Path Selection
Input type: Y/N
Required status: Opt
Allowed values: Y,N
Description: All items complete for board action?</t>
      </text>
    </comment>
    <comment ref="BO3" authorId="0" shapeId="0">
      <text>
        <t>Section: Queue / Priority
Input type: date
Required status: Req
Description: Date project effectively entered the active pipeline.</t>
      </text>
    </comment>
    <comment ref="BP3" authorId="0" shapeId="0">
      <text>
        <t>Section: Queue / Priority
Input type: Y/N
Required status: Req
Allowed values: Y,N
Description: Was this already present in the prior snapshot?</t>
      </text>
    </comment>
    <comment ref="BQ3" authorId="0" shapeId="0">
      <text>
        <t>Section: Queue / Priority
Input type: Y/N
Required status: Req
Allowed values: Y,N
Description: Was this newly added in the current snapshot?</t>
      </text>
    </comment>
    <comment ref="BR3" authorId="0" shapeId="0">
      <text>
        <t>Section: Queue / Priority
Input type: formula
Required status: Der
Allowed values: Y,N
Description: Derived flag: required manual boxes and blockers are clear.</t>
      </text>
    </comment>
    <comment ref="BS3" authorId="0" shapeId="0">
      <text>
        <t>Section: Queue / Priority
Input type: formula
Required status: Der
Allowed values: Y,N
Description: Derived flag: project appears ready to advance now.</t>
      </text>
    </comment>
    <comment ref="BT3" authorId="0" shapeId="0">
      <text>
        <t>Section: Queue / Priority
Input type: number
Required status: Opt
Description: Optional manual override for queue seniority.</t>
      </text>
    </comment>
    <comment ref="BU3" authorId="0" shapeId="0">
      <text>
        <t>Predicted next status under the current Texas rules engine. Conservative: terminal statuses persist; unresolved blockers force No Advancement.</t>
      </text>
    </comment>
    <comment ref="BV3" authorId="0" shapeId="0">
      <text>
        <t>Predicted path: Determination Notice, Board, Blocked, or Under Review.</t>
      </text>
    </comment>
    <comment ref="BW3" authorId="0" shapeId="0">
      <text>
        <t>Primary blocker code based on first hard-fail encountered in engine logic.</t>
      </text>
    </comment>
    <comment ref="BX3" authorId="0" shapeId="0">
      <text>
        <t>Section: Engine Outputs
Input type: text
Required status: Engine
Description: Reason code / explanation 1.</t>
      </text>
    </comment>
    <comment ref="BY3" authorId="0" shapeId="0">
      <text>
        <t>Section: Engine Outputs
Input type: text
Required status: Engine
Description: Reason code / explanation 2.</t>
      </text>
    </comment>
    <comment ref="BZ3" authorId="0" shapeId="0">
      <text>
        <t>Section: Engine Outputs
Input type: text
Required status: Engine
Description: Reason code / explanation 3.</t>
      </text>
    </comment>
    <comment ref="CA3" authorId="0" shapeId="0">
      <text>
        <t>Relative queue rank based on carryforward priority and earlier pipeline entry. Planning assumption, not an official TDHCA rank.</t>
      </text>
    </comment>
    <comment ref="CB3" authorId="0" shapeId="0">
      <text>
        <t>Section: Engine Outputs
Input type: dropdown
Required status: Engine
Allowed values: Y,N,Conditional
Description: Whether the project advances by the next update.</t>
      </text>
    </comment>
    <comment ref="CC3" authorId="0" shapeId="0">
      <text>
        <t>Section: Notes &amp; Contacts
Input type: text
Required status: Opt
Description: Freeform notes / assumption log.</t>
      </text>
    </comment>
    <comment ref="CD3" authorId="0" shapeId="0">
      <text>
        <t>Section: Notes &amp; Contacts
Input type: text
Required status: Opt
Description: Applicant contact.</t>
      </text>
    </comment>
    <comment ref="CE3" authorId="0" shapeId="0">
      <text>
        <t>Section: Notes &amp; Contacts
Input type: text
Required status: Opt
Description: Applicant phone.</t>
      </text>
    </comment>
    <comment ref="CF3" authorId="0" shapeId="0">
      <text>
        <t>Section: Notes &amp; Contacts
Input type: text
Required status: Opt
Description: Applicant email.</t>
      </text>
    </comment>
    <comment ref="CG3" authorId="0" shapeId="0">
      <text>
        <t>Section: Notes &amp; Contacts
Input type: text
Required status: Opt
Description: Bond issuer contact.</t>
      </text>
    </comment>
    <comment ref="CH3" authorId="0" shapeId="0">
      <text>
        <t>Section: Notes &amp; Contacts
Input type: text
Required status: Opt
Description: Bond issuer phone.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A3" authorId="0" shapeId="0">
      <text>
        <t>Section: Identity &amp; Snapshot
Input type: date
Required status: Req
Description: Snapshot date for the input universe (usually the status-log date).</t>
      </text>
    </comment>
    <comment ref="B3" authorId="0" shapeId="0">
      <text>
        <t>Section: Identity &amp; Snapshot
Input type: text
Required status: Req
Description: Identifier for the source log or file, e.g. 2025-03-10.</t>
      </text>
    </comment>
    <comment ref="C3" authorId="0" shapeId="0">
      <text>
        <t>Section: Identity &amp; Snapshot
Input type: text/number
Required status: Req
Description: Unique TDHCA deal ID for the cycle.</t>
      </text>
    </comment>
    <comment ref="D3" authorId="0" shapeId="0">
      <text>
        <t>Section: Identity &amp; Snapshot
Input type: text/number
Required status: Opt
Description: Prior TDHCA number for resubmissions/refis.</t>
      </text>
    </comment>
    <comment ref="E3" authorId="0" shapeId="0">
      <text>
        <t>Section: Identity &amp; Snapshot
Input type: text
Required status: Req
Description: Development name.</t>
      </text>
    </comment>
    <comment ref="F3" authorId="0" shapeId="0">
      <text>
        <t>Section: Identity &amp; Snapshot
Input type: text
Required status: Req
Description: Development city.</t>
      </text>
    </comment>
    <comment ref="G3" authorId="0" shapeId="0">
      <text>
        <t>Section: Identity &amp; Snapshot
Input type: text
Required status: Req
Description: Development county.</t>
      </text>
    </comment>
    <comment ref="H3" authorId="0" shapeId="0">
      <text>
        <t>Section: Identity &amp; Snapshot
Input type: number/text
Required status: Req
Description: Development region used in TDHCA reporting.</t>
      </text>
    </comment>
    <comment ref="I3" authorId="0" shapeId="0">
      <text>
        <t>Section: Identity &amp; Snapshot
Input type: text
Required status: Opt
Description: Project street address.</t>
      </text>
    </comment>
    <comment ref="J3" authorId="0" shapeId="0">
      <text>
        <t>Section: Identity &amp; Snapshot
Input type: text/number
Required status: Opt
Description: Project ZIP Code.</t>
      </text>
    </comment>
    <comment ref="K3" authorId="0" shapeId="0">
      <text>
        <t>Section: Current Public Process
Input type: date
Required status: Req
Description: Date the full 4% application was submitted.</t>
      </text>
    </comment>
    <comment ref="L3" authorId="0" shapeId="0">
      <text>
        <t>Section: Current Public Process
Input type: dropdown
Required status: Req
Allowed values: Submitted,Under Review,Active,Approved,Closed,Withdrawn,Pre-application,Stalled
Description: Current public-log status.</t>
      </text>
    </comment>
    <comment ref="M3" authorId="0" shapeId="0">
      <text>
        <t>Section: Current Public Process
Input type: date
Required status: Opt
Description: Current board meeting date, if any.</t>
      </text>
    </comment>
    <comment ref="N3" authorId="0" shapeId="0">
      <text>
        <t>Section: Current Public Process
Input type: date
Required status: Opt
Description: Current determination notice issuance date, if any.</t>
      </text>
    </comment>
    <comment ref="O3" authorId="0" shapeId="0">
      <text>
        <t>Section: Current Public Process
Input type: date
Required status: Opt
Description: Current bond reservation date.</t>
      </text>
    </comment>
    <comment ref="P3" authorId="0" shapeId="0">
      <text>
        <t>Section: Current Public Process
Input type: date
Required status: Opt
Description: Current bond expiration date.</t>
      </text>
    </comment>
    <comment ref="Q3" authorId="0" shapeId="0">
      <text>
        <t>Section: Current Public Process
Input type: date
Required status: Opt
Description: Date closed, if already closed.</t>
      </text>
    </comment>
    <comment ref="R3" authorId="0" shapeId="0">
      <text>
        <t>Section: Project Characteristics
Input type: dropdown
Required status: Req
Allowed values: New Construction,Acq/Rehab,Rehabilitation,Adaptive Reuse,Reconstruction
Description: Construction type.</t>
      </text>
    </comment>
    <comment ref="S3" authorId="0" shapeId="0">
      <text>
        <t>Section: Project Characteristics
Input type: dropdown
Required status: Req
Allowed values: General,Elderly,Supportive Housing,Other
Description: Target population.</t>
      </text>
    </comment>
    <comment ref="T3" authorId="0" shapeId="0">
      <text>
        <t>Section: Project Characteristics
Input type: number
Required status: Req
Description: Total units.</t>
      </text>
    </comment>
    <comment ref="U3" authorId="0" shapeId="0">
      <text>
        <t>Section: Project Characteristics
Input type: number
Required status: Req
Description: Total low-income units.</t>
      </text>
    </comment>
    <comment ref="V3" authorId="0" shapeId="0">
      <text>
        <t>Section: Project Characteristics
Input type: Y/N
Required status: Opt
Allowed values: Y,N
Description: Whether the development is scattered-site.</t>
      </text>
    </comment>
    <comment ref="W3" authorId="0" shapeId="0">
      <text>
        <t>Section: Project Characteristics
Input type: Y/N
Required status: Opt
Allowed values: Y,N
Description: Whether the site is an existing residential development.</t>
      </text>
    </comment>
    <comment ref="X3" authorId="0" shapeId="0">
      <text>
        <t>Section: Bond &amp; Credit Structure
Input type: text
Required status: Req
Description: Bond issuer name.</t>
      </text>
    </comment>
    <comment ref="Y3" authorId="0" shapeId="0">
      <text>
        <t>Section: Bond &amp; Credit Structure
Input type: dropdown
Required status: Req
Allowed values: Local HFC,TDHCA,Other
Description: Issuer type.</t>
      </text>
    </comment>
    <comment ref="Z3" authorId="0" shapeId="0">
      <text>
        <t>Section: Bond &amp; Credit Structure
Input type: currency
Required status: Opt
Description: Bond reservation amount/requested bond amount.</t>
      </text>
    </comment>
    <comment ref="AA3" authorId="0" shapeId="0">
      <text>
        <t>Section: Bond &amp; Credit Structure
Input type: currency
Required status: Opt
Description: Recommended bond amount, if any.</t>
      </text>
    </comment>
    <comment ref="AB3" authorId="0" shapeId="0">
      <text>
        <t>Section: Bond &amp; Credit Structure
Input type: currency
Required status: Opt
Description: Requested annual HTC amount.</t>
      </text>
    </comment>
    <comment ref="AC3" authorId="0" shapeId="0">
      <text>
        <t>Section: Bond &amp; Credit Structure
Input type: currency
Required status: Opt
Description: Recommended annual HTC amount.</t>
      </text>
    </comment>
    <comment ref="AD3" authorId="0" shapeId="0">
      <text>
        <t>Section: Bond &amp; Credit Structure
Input type: currency
Required status: Opt
Description: Requested state tax credit amount.</t>
      </text>
    </comment>
    <comment ref="AE3" authorId="0" shapeId="0">
      <text>
        <t>Section: Bond &amp; Credit Structure
Input type: currency
Required status: Opt
Description: Recommended state tax credit amount.</t>
      </text>
    </comment>
    <comment ref="AF3" authorId="0" shapeId="0">
      <text>
        <t>Section: Bond &amp; Credit Structure
Input type: Y/N
Required status: Opt
Allowed values: Y,N
Description: Direct loan requested.</t>
      </text>
    </comment>
    <comment ref="AG3" authorId="0" shapeId="0">
      <text>
        <t>Section: Bond &amp; Credit Structure
Input type: Y/N
Required status: Opt
Allowed values: Y,N
Description: Property tax exemption structure.</t>
      </text>
    </comment>
    <comment ref="AH3" authorId="0" shapeId="0">
      <text>
        <t>Section: Bond &amp; Credit Structure
Input type: Y/N
Required status: Opt
Allowed values: Y,N
Description: Public Facility Corporation / related structure.</t>
      </text>
    </comment>
    <comment ref="AI3" authorId="0" shapeId="0">
      <text>
        <t>Section: Manual QAP Thresholds
Input type: Y/N
Required status: Req
Allowed values: Y,N
Description: Manual input: valid site control?</t>
      </text>
    </comment>
    <comment ref="AJ3" authorId="0" shapeId="0">
      <text>
        <t>Section: Manual QAP Thresholds
Input type: date
Required status: Opt
Description: Date of site control document.</t>
      </text>
    </comment>
    <comment ref="AK3" authorId="0" shapeId="0">
      <text>
        <t>Section: Manual QAP Thresholds
Input type: Y/N
Required status: Req
Allowed values: Y,N
Description: All required resolutions complete?</t>
      </text>
    </comment>
    <comment ref="AL3" authorId="0" shapeId="0">
      <text>
        <t>Section: Manual QAP Thresholds
Input type: Y/N
Required status: Req
Allowed values: Y,N
Description: Local approvals complete?</t>
      </text>
    </comment>
    <comment ref="AM3" authorId="0" shapeId="0">
      <text>
        <t>Section: Manual QAP Thresholds
Input type: Y/N
Required status: Req
Allowed values: Y,N
Description: All required third-party reports complete?</t>
      </text>
    </comment>
    <comment ref="AN3" authorId="0" shapeId="0">
      <text>
        <t>Section: Manual QAP Thresholds
Input type: Y/N
Required status: Opt
Allowed values: Y,N
Description: Environmental site assessment complete?</t>
      </text>
    </comment>
    <comment ref="AO3" authorId="0" shapeId="0">
      <text>
        <t>Section: Manual QAP Thresholds
Input type: Y/N
Required status: Opt
Allowed values: Y,N
Description: Market analysis complete?</t>
      </text>
    </comment>
    <comment ref="AP3" authorId="0" shapeId="0">
      <text>
        <t>Section: Manual QAP Thresholds
Input type: Y/N
Required status: Opt
Allowed values: Y,N
Description: Appraisal complete?</t>
      </text>
    </comment>
    <comment ref="AQ3" authorId="0" shapeId="0">
      <text>
        <t>Section: Manual QAP Thresholds
Input type: Y/N
Required status: Opt
Allowed values: Y,N
Description: Site and neighborhood standards / SCR complete?</t>
      </text>
    </comment>
    <comment ref="AR3" authorId="0" shapeId="0">
      <text>
        <t>Section: Manual QAP Thresholds
Input type: Y/N
Required status: Opt
Allowed values: Y,N
Description: Feasibility report complete?</t>
      </text>
    </comment>
    <comment ref="AS3" authorId="0" shapeId="0">
      <text>
        <t>Section: Manual QAP Thresholds
Input type: Y/N
Required status: Opt
Allowed values: Y,N
Description: Was a deficiency notice issued?</t>
      </text>
    </comment>
    <comment ref="AT3" authorId="0" shapeId="0">
      <text>
        <t>Section: Manual QAP Thresholds
Input type: date
Required status: Opt
Description: Deficiency notice date.</t>
      </text>
    </comment>
    <comment ref="AU3" authorId="0" shapeId="0">
      <text>
        <t>Section: Manual QAP Thresholds
Input type: date
Required status: Opt
Description: Deficiency response due date.</t>
      </text>
    </comment>
    <comment ref="AV3" authorId="0" shapeId="0">
      <text>
        <t>Section: Manual QAP Thresholds
Input type: Y/N
Required status: Opt
Allowed values: Y,N
Description: If a deficiency was issued, has it been cleared?</t>
      </text>
    </comment>
    <comment ref="AW3" authorId="0" shapeId="0">
      <text>
        <t>Section: Manual QAP Thresholds
Input type: date
Required status: Opt
Description: Date deficiency cleared.</t>
      </text>
    </comment>
    <comment ref="AX3" authorId="0" shapeId="0">
      <text>
        <t>Section: Manual QAP Thresholds
Input type: Y/N
Required status: Opt
Allowed values: Y,N
Description: Material deficiency present?</t>
      </text>
    </comment>
    <comment ref="AY3" authorId="0" shapeId="0">
      <text>
        <t>Section: Manual QAP Thresholds
Input type: Y/N
Required status: Req
Allowed values: Y,N
Description: Underwriting review complete?</t>
      </text>
    </comment>
    <comment ref="AZ3" authorId="0" shapeId="0">
      <text>
        <t>Section: Manual QAP Thresholds
Input type: Y/N
Required status: Req
Allowed values: Y,N
Description: Underwriting passed?</t>
      </text>
    </comment>
    <comment ref="BA3" authorId="0" shapeId="0">
      <text>
        <t>Section: Manual QAP Thresholds
Input type: Y/N
Required status: Req
Allowed values: Y,N
Description: Financially feasible?</t>
      </text>
    </comment>
    <comment ref="BB3" authorId="0" shapeId="0">
      <text>
        <t>Section: Site / Deconcentration
Input type: Y/N
Required status: Req
Allowed values: Y,N
Description: Passes deconcentration / relevant site restrictions?</t>
      </text>
    </comment>
    <comment ref="BC3" authorId="0" shapeId="0">
      <text>
        <t>Section: Site / Deconcentration
Input type: Y/N
Required status: Req
Allowed values: Y,N
Description: Complies with one-mile rule where applicable?</t>
      </text>
    </comment>
    <comment ref="BD3" authorId="0" shapeId="0">
      <text>
        <t>Section: Site / Deconcentration
Input type: Y/N
Required status: Opt
Allowed values: Y,N
Description: Whether same-year two-mile issue is relevant.</t>
      </text>
    </comment>
    <comment ref="BE3" authorId="0" shapeId="0">
      <text>
        <t>Section: Site / Deconcentration
Input type: Y/N
Required status: Opt
Allowed values: Y,N
Description: Existing LURA or other site conflict present?</t>
      </text>
    </comment>
    <comment ref="BF3" authorId="0" shapeId="0">
      <text>
        <t>Section: Site / Deconcentration
Input type: Y/N
Required status: Opt
Allowed values: Y,N
Description: Rural area flag.</t>
      </text>
    </comment>
    <comment ref="BG3" authorId="0" shapeId="0">
      <text>
        <t>Section: Site / Deconcentration
Input type: Y/N
Required status: Opt
Allowed values: Y,N
Description: Urban area flag.</t>
      </text>
    </comment>
    <comment ref="BH3" authorId="0" shapeId="0">
      <text>
        <t>Section: Site / Deconcentration
Input type: Y/N
Required status: Opt
Allowed values: Y,N
Description: Qualified Census Tract flag.</t>
      </text>
    </comment>
    <comment ref="BI3" authorId="0" shapeId="0">
      <text>
        <t>Section: Site / Deconcentration
Input type: Y/N
Required status: Opt
Allowed values: Y,N
Description: Override / exception flag for opportunity logic.</t>
      </text>
    </comment>
    <comment ref="BJ3" authorId="0" shapeId="0">
      <text>
        <t>Section: Path Selection
Input type: Y/N
Required status: Req
Allowed values: Y,N
Description: Eligible for streamlined determination notice path?</t>
      </text>
    </comment>
    <comment ref="BK3" authorId="0" shapeId="0">
      <text>
        <t>Section: Path Selection
Input type: Y/N
Required status: Req
Allowed values: Y,N
Description: Requires board review/action?</t>
      </text>
    </comment>
    <comment ref="BL3" authorId="0" shapeId="0">
      <text>
        <t>Section: Path Selection
Input type: Y/N
Required status: Opt
Allowed values: Y,N
Description: Open Chapter 12 issue that may block advancement?</t>
      </text>
    </comment>
    <comment ref="BM3" authorId="0" shapeId="0">
      <text>
        <t>Section: Path Selection
Input type: Y/N
Required status: Opt
Allowed values: Y,N
Description: All items complete for DN issuance?</t>
      </text>
    </comment>
    <comment ref="BN3" authorId="0" shapeId="0">
      <text>
        <t>Section: Path Selection
Input type: Y/N
Required status: Opt
Allowed values: Y,N
Description: All items complete for board action?</t>
      </text>
    </comment>
    <comment ref="BO3" authorId="0" shapeId="0">
      <text>
        <t>Section: Queue / Priority
Input type: date
Required status: Req
Description: Date project effectively entered the active pipeline.</t>
      </text>
    </comment>
    <comment ref="BP3" authorId="0" shapeId="0">
      <text>
        <t>Section: Queue / Priority
Input type: Y/N
Required status: Req
Allowed values: Y,N
Description: Was this already present in the prior snapshot?</t>
      </text>
    </comment>
    <comment ref="BQ3" authorId="0" shapeId="0">
      <text>
        <t>Section: Queue / Priority
Input type: Y/N
Required status: Req
Allowed values: Y,N
Description: Was this newly added in the current snapshot?</t>
      </text>
    </comment>
    <comment ref="BR3" authorId="0" shapeId="0">
      <text>
        <t>Section: Queue / Priority
Input type: formula
Required status: Der
Allowed values: Y,N
Description: Derived flag: required manual boxes and blockers are clear.</t>
      </text>
    </comment>
    <comment ref="BS3" authorId="0" shapeId="0">
      <text>
        <t>Section: Queue / Priority
Input type: formula
Required status: Der
Allowed values: Y,N
Description: Derived flag: project appears ready to advance now.</t>
      </text>
    </comment>
    <comment ref="BT3" authorId="0" shapeId="0">
      <text>
        <t>Section: Queue / Priority
Input type: number
Required status: Opt
Description: Optional manual override for queue seniority.</t>
      </text>
    </comment>
    <comment ref="BU3" authorId="0" shapeId="0">
      <text>
        <t>Section: Engine Outputs
Input type: dropdown
Required status: Engine
Allowed values: Submitted,Under Review,Board,Determination Notice Issued,Closed,Withdrawn,Terminated,No Advancement
Description: Engine output / next predicted status.</t>
      </text>
    </comment>
    <comment ref="BV3" authorId="0" shapeId="0">
      <text>
        <t>Section: Engine Outputs
Input type: dropdown
Required status: Engine
Allowed values: Remain Submitted,Under Review,Board,Determination Notice,Closed,No Advancement,Terminated
Description: Engine output / next path.</t>
      </text>
    </comment>
    <comment ref="BW3" authorId="0" shapeId="0">
      <text>
        <t>Section: Engine Outputs
Input type: text
Required status: Engine
Description: Primary blocker code.</t>
      </text>
    </comment>
    <comment ref="BX3" authorId="0" shapeId="0">
      <text>
        <t>Section: Engine Outputs
Input type: text
Required status: Engine
Description: Reason code / explanation 1.</t>
      </text>
    </comment>
    <comment ref="BY3" authorId="0" shapeId="0">
      <text>
        <t>Section: Engine Outputs
Input type: text
Required status: Engine
Description: Reason code / explanation 2.</t>
      </text>
    </comment>
    <comment ref="BZ3" authorId="0" shapeId="0">
      <text>
        <t>Section: Engine Outputs
Input type: text
Required status: Engine
Description: Reason code / explanation 3.</t>
      </text>
    </comment>
    <comment ref="CA3" authorId="0" shapeId="0">
      <text>
        <t>Section: Engine Outputs
Input type: number
Required status: Engine
Description: Relative standing / rank if modeled.</t>
      </text>
    </comment>
    <comment ref="CB3" authorId="0" shapeId="0">
      <text>
        <t>Section: Engine Outputs
Input type: dropdown
Required status: Engine
Allowed values: Y,N,Conditional
Description: Whether the project advances by the next update.</t>
      </text>
    </comment>
    <comment ref="CC3" authorId="0" shapeId="0">
      <text>
        <t>Section: Notes &amp; Contacts
Input type: text
Required status: Opt
Description: Freeform notes / assumption log.</t>
      </text>
    </comment>
    <comment ref="CD3" authorId="0" shapeId="0">
      <text>
        <t>Section: Notes &amp; Contacts
Input type: text
Required status: Opt
Description: Applicant contact.</t>
      </text>
    </comment>
    <comment ref="CE3" authorId="0" shapeId="0">
      <text>
        <t>Section: Notes &amp; Contacts
Input type: text
Required status: Opt
Description: Applicant phone.</t>
      </text>
    </comment>
    <comment ref="CF3" authorId="0" shapeId="0">
      <text>
        <t>Section: Notes &amp; Contacts
Input type: text
Required status: Opt
Description: Applicant email.</t>
      </text>
    </comment>
    <comment ref="CG3" authorId="0" shapeId="0">
      <text>
        <t>Section: Notes &amp; Contacts
Input type: text
Required status: Opt
Description: Bond issuer contact.</t>
      </text>
    </comment>
    <comment ref="CH3" authorId="0" shapeId="0">
      <text>
        <t>Section: Notes &amp; Contacts
Input type: text
Required status: Opt
Description: Bond issuer phone.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A2" authorId="0" shapeId="0">
      <text>
        <t>Unique project ID</t>
      </text>
    </comment>
    <comment ref="B2" authorId="0" shapeId="0">
      <text>
        <t>Project name</t>
      </text>
    </comment>
    <comment ref="C2" authorId="0" shapeId="0">
      <text>
        <t>Current public/log status</t>
      </text>
    </comment>
    <comment ref="D2" authorId="0" shapeId="0">
      <text>
        <t>Next predicted status</t>
      </text>
    </comment>
    <comment ref="E2" authorId="0" shapeId="0">
      <text>
        <t>Board vs DN path</t>
      </text>
    </comment>
    <comment ref="F2" authorId="0" shapeId="0">
      <text>
        <t>Y/N/Conditional</t>
      </text>
    </comment>
    <comment ref="G2" authorId="0" shapeId="0">
      <text>
        <t>Primary blocker code</t>
      </text>
    </comment>
    <comment ref="H2" authorId="0" shapeId="0">
      <text>
        <t>Secondary blocker</t>
      </text>
    </comment>
    <comment ref="I2" authorId="0" shapeId="0">
      <text>
        <t>Count of missing/failed manual checks</t>
      </text>
    </comment>
    <comment ref="J2" authorId="0" shapeId="0">
      <text>
        <t>Current queue position</t>
      </text>
    </comment>
    <comment ref="K2" authorId="0" shapeId="0">
      <text>
        <t>Predicted queue position</t>
      </text>
    </comment>
    <comment ref="L2" authorId="0" shapeId="0">
      <text>
        <t>Would Advance / Would Not Advance / Conditional</t>
      </text>
    </comment>
  </commentList>
</comments>
</file>

<file path=xl/comments/comment4.xml><?xml version="1.0" encoding="utf-8"?>
<comments xmlns="http://schemas.openxmlformats.org/spreadsheetml/2006/main">
  <authors>
    <author>OpenAI</author>
  </authors>
  <commentList>
    <comment ref="A3" authorId="0" shapeId="0">
      <text>
        <t>Section: Identity &amp; Snapshot
Input type: date
Required status: Req
Description: Snapshot date for the input universe (usually the status-log date).</t>
      </text>
    </comment>
    <comment ref="B3" authorId="0" shapeId="0">
      <text>
        <t>Section: Identity &amp; Snapshot
Input type: text
Required status: Req
Description: Identifier for the source log or file, e.g. 2025-03-10.</t>
      </text>
    </comment>
    <comment ref="C3" authorId="0" shapeId="0">
      <text>
        <t>Section: Identity &amp; Snapshot
Input type: text/number
Required status: Req
Description: Unique TDHCA deal ID for the cycle.</t>
      </text>
    </comment>
    <comment ref="D3" authorId="0" shapeId="0">
      <text>
        <t>Section: Identity &amp; Snapshot
Input type: text/number
Required status: Opt
Description: Prior TDHCA number for resubmissions/refis.</t>
      </text>
    </comment>
    <comment ref="E3" authorId="0" shapeId="0">
      <text>
        <t>Section: Identity &amp; Snapshot
Input type: text
Required status: Req
Description: Development name.</t>
      </text>
    </comment>
    <comment ref="F3" authorId="0" shapeId="0">
      <text>
        <t>Section: Identity &amp; Snapshot
Input type: text
Required status: Req
Description: Development city.</t>
      </text>
    </comment>
    <comment ref="G3" authorId="0" shapeId="0">
      <text>
        <t>Section: Identity &amp; Snapshot
Input type: text
Required status: Req
Description: Development county.</t>
      </text>
    </comment>
    <comment ref="H3" authorId="0" shapeId="0">
      <text>
        <t>Section: Identity &amp; Snapshot
Input type: number/text
Required status: Req
Description: Development region used in TDHCA reporting.</t>
      </text>
    </comment>
    <comment ref="I3" authorId="0" shapeId="0">
      <text>
        <t>Section: Identity &amp; Snapshot
Input type: text
Required status: Opt
Description: Project street address.</t>
      </text>
    </comment>
    <comment ref="J3" authorId="0" shapeId="0">
      <text>
        <t>Section: Identity &amp; Snapshot
Input type: text/number
Required status: Opt
Description: Project ZIP Code.</t>
      </text>
    </comment>
    <comment ref="K3" authorId="0" shapeId="0">
      <text>
        <t>Section: Current Public Process
Input type: date
Required status: Req
Description: Date the full 4% application was submitted.</t>
      </text>
    </comment>
    <comment ref="L3" authorId="0" shapeId="0">
      <text>
        <t>Section: Current Public Process
Input type: dropdown
Required status: Req
Allowed values: Submitted,Under Review,Active,Approved,Closed,Withdrawn,Pre-application,Stalled
Description: Current public-log status.</t>
      </text>
    </comment>
    <comment ref="M3" authorId="0" shapeId="0">
      <text>
        <t>Section: Current Public Process
Input type: date
Required status: Opt
Description: Current board meeting date, if any.</t>
      </text>
    </comment>
    <comment ref="N3" authorId="0" shapeId="0">
      <text>
        <t>Section: Current Public Process
Input type: date
Required status: Opt
Description: Current determination notice issuance date, if any.</t>
      </text>
    </comment>
    <comment ref="O3" authorId="0" shapeId="0">
      <text>
        <t>Section: Current Public Process
Input type: date
Required status: Opt
Description: Current bond reservation date.</t>
      </text>
    </comment>
    <comment ref="P3" authorId="0" shapeId="0">
      <text>
        <t>Section: Current Public Process
Input type: date
Required status: Opt
Description: Current bond expiration date.</t>
      </text>
    </comment>
    <comment ref="Q3" authorId="0" shapeId="0">
      <text>
        <t>Section: Current Public Process
Input type: date
Required status: Opt
Description: Date closed, if already closed.</t>
      </text>
    </comment>
    <comment ref="R3" authorId="0" shapeId="0">
      <text>
        <t>Section: Project Characteristics
Input type: dropdown
Required status: Req
Allowed values: New Construction,Acq/Rehab,Rehabilitation,Adaptive Reuse,Reconstruction
Description: Construction type.</t>
      </text>
    </comment>
    <comment ref="S3" authorId="0" shapeId="0">
      <text>
        <t>Section: Project Characteristics
Input type: dropdown
Required status: Req
Allowed values: General,Elderly,Supportive Housing,Other
Description: Target population.</t>
      </text>
    </comment>
    <comment ref="T3" authorId="0" shapeId="0">
      <text>
        <t>Section: Project Characteristics
Input type: number
Required status: Req
Description: Total units.</t>
      </text>
    </comment>
    <comment ref="U3" authorId="0" shapeId="0">
      <text>
        <t>Section: Project Characteristics
Input type: number
Required status: Req
Description: Total low-income units.</t>
      </text>
    </comment>
    <comment ref="V3" authorId="0" shapeId="0">
      <text>
        <t>Section: Project Characteristics
Input type: Y/N
Required status: Opt
Allowed values: Y,N
Description: Whether the development is scattered-site.</t>
      </text>
    </comment>
    <comment ref="W3" authorId="0" shapeId="0">
      <text>
        <t>Section: Project Characteristics
Input type: Y/N
Required status: Opt
Allowed values: Y,N
Description: Whether the site is an existing residential development.</t>
      </text>
    </comment>
    <comment ref="X3" authorId="0" shapeId="0">
      <text>
        <t>Section: Bond &amp; Credit Structure
Input type: text
Required status: Req
Description: Bond issuer name.</t>
      </text>
    </comment>
    <comment ref="Y3" authorId="0" shapeId="0">
      <text>
        <t>Section: Bond &amp; Credit Structure
Input type: dropdown
Required status: Req
Allowed values: Local HFC,TDHCA,Other
Description: Issuer type.</t>
      </text>
    </comment>
    <comment ref="Z3" authorId="0" shapeId="0">
      <text>
        <t>Section: Bond &amp; Credit Structure
Input type: currency
Required status: Opt
Description: Bond reservation amount/requested bond amount.</t>
      </text>
    </comment>
    <comment ref="AA3" authorId="0" shapeId="0">
      <text>
        <t>Section: Bond &amp; Credit Structure
Input type: currency
Required status: Opt
Description: Recommended bond amount, if any.</t>
      </text>
    </comment>
    <comment ref="AB3" authorId="0" shapeId="0">
      <text>
        <t>Section: Bond &amp; Credit Structure
Input type: currency
Required status: Opt
Description: Requested annual HTC amount.</t>
      </text>
    </comment>
    <comment ref="AC3" authorId="0" shapeId="0">
      <text>
        <t>Section: Bond &amp; Credit Structure
Input type: currency
Required status: Opt
Description: Recommended annual HTC amount.</t>
      </text>
    </comment>
    <comment ref="AD3" authorId="0" shapeId="0">
      <text>
        <t>Section: Bond &amp; Credit Structure
Input type: currency
Required status: Opt
Description: Requested state tax credit amount.</t>
      </text>
    </comment>
    <comment ref="AE3" authorId="0" shapeId="0">
      <text>
        <t>Section: Bond &amp; Credit Structure
Input type: currency
Required status: Opt
Description: Recommended state tax credit amount.</t>
      </text>
    </comment>
    <comment ref="AF3" authorId="0" shapeId="0">
      <text>
        <t>Section: Bond &amp; Credit Structure
Input type: Y/N
Required status: Opt
Allowed values: Y,N
Description: Direct loan requested.</t>
      </text>
    </comment>
    <comment ref="AG3" authorId="0" shapeId="0">
      <text>
        <t>Section: Bond &amp; Credit Structure
Input type: Y/N
Required status: Opt
Allowed values: Y,N
Description: Property tax exemption structure.</t>
      </text>
    </comment>
    <comment ref="AH3" authorId="0" shapeId="0">
      <text>
        <t>Section: Bond &amp; Credit Structure
Input type: Y/N
Required status: Opt
Allowed values: Y,N
Description: Public Facility Corporation / related structure.</t>
      </text>
    </comment>
    <comment ref="AI3" authorId="0" shapeId="0">
      <text>
        <t>Section: Manual QAP Thresholds
Input type: Y/N
Required status: Req
Allowed values: Y,N
Description: Manual input: valid site control?</t>
      </text>
    </comment>
    <comment ref="AJ3" authorId="0" shapeId="0">
      <text>
        <t>Section: Manual QAP Thresholds
Input type: date
Required status: Opt
Description: Date of site control document.</t>
      </text>
    </comment>
    <comment ref="AK3" authorId="0" shapeId="0">
      <text>
        <t>Section: Manual QAP Thresholds
Input type: Y/N
Required status: Req
Allowed values: Y,N
Description: All required resolutions complete?</t>
      </text>
    </comment>
    <comment ref="AL3" authorId="0" shapeId="0">
      <text>
        <t>Section: Manual QAP Thresholds
Input type: Y/N
Required status: Req
Allowed values: Y,N
Description: Local approvals complete?</t>
      </text>
    </comment>
    <comment ref="AM3" authorId="0" shapeId="0">
      <text>
        <t>Section: Manual QAP Thresholds
Input type: Y/N
Required status: Req
Allowed values: Y,N
Description: All required third-party reports complete?</t>
      </text>
    </comment>
    <comment ref="AN3" authorId="0" shapeId="0">
      <text>
        <t>Section: Manual QAP Thresholds
Input type: Y/N
Required status: Opt
Allowed values: Y,N
Description: Environmental site assessment complete?</t>
      </text>
    </comment>
    <comment ref="AO3" authorId="0" shapeId="0">
      <text>
        <t>Section: Manual QAP Thresholds
Input type: Y/N
Required status: Opt
Allowed values: Y,N
Description: Market analysis complete?</t>
      </text>
    </comment>
    <comment ref="AP3" authorId="0" shapeId="0">
      <text>
        <t>Section: Manual QAP Thresholds
Input type: Y/N
Required status: Opt
Allowed values: Y,N
Description: Appraisal complete?</t>
      </text>
    </comment>
    <comment ref="AQ3" authorId="0" shapeId="0">
      <text>
        <t>Section: Manual QAP Thresholds
Input type: Y/N
Required status: Opt
Allowed values: Y,N
Description: Site and neighborhood standards / SCR complete?</t>
      </text>
    </comment>
    <comment ref="AR3" authorId="0" shapeId="0">
      <text>
        <t>Section: Manual QAP Thresholds
Input type: Y/N
Required status: Opt
Allowed values: Y,N
Description: Feasibility report complete?</t>
      </text>
    </comment>
    <comment ref="AS3" authorId="0" shapeId="0">
      <text>
        <t>Section: Manual QAP Thresholds
Input type: Y/N
Required status: Opt
Allowed values: Y,N
Description: Was a deficiency notice issued?</t>
      </text>
    </comment>
    <comment ref="AT3" authorId="0" shapeId="0">
      <text>
        <t>Section: Manual QAP Thresholds
Input type: date
Required status: Opt
Description: Deficiency notice date.</t>
      </text>
    </comment>
    <comment ref="AU3" authorId="0" shapeId="0">
      <text>
        <t>Section: Manual QAP Thresholds
Input type: date
Required status: Opt
Description: Deficiency response due date.</t>
      </text>
    </comment>
    <comment ref="AV3" authorId="0" shapeId="0">
      <text>
        <t>Section: Manual QAP Thresholds
Input type: Y/N
Required status: Opt
Allowed values: Y,N
Description: If a deficiency was issued, has it been cleared?</t>
      </text>
    </comment>
    <comment ref="AW3" authorId="0" shapeId="0">
      <text>
        <t>Section: Manual QAP Thresholds
Input type: date
Required status: Opt
Description: Date deficiency cleared.</t>
      </text>
    </comment>
    <comment ref="AX3" authorId="0" shapeId="0">
      <text>
        <t>Section: Manual QAP Thresholds
Input type: Y/N
Required status: Opt
Allowed values: Y,N
Description: Material deficiency present?</t>
      </text>
    </comment>
    <comment ref="AY3" authorId="0" shapeId="0">
      <text>
        <t>Section: Manual QAP Thresholds
Input type: Y/N
Required status: Req
Allowed values: Y,N
Description: Underwriting review complete?</t>
      </text>
    </comment>
    <comment ref="AZ3" authorId="0" shapeId="0">
      <text>
        <t>Section: Manual QAP Thresholds
Input type: Y/N
Required status: Req
Allowed values: Y,N
Description: Underwriting passed?</t>
      </text>
    </comment>
    <comment ref="BA3" authorId="0" shapeId="0">
      <text>
        <t>Section: Manual QAP Thresholds
Input type: Y/N
Required status: Req
Allowed values: Y,N
Description: Financially feasible?</t>
      </text>
    </comment>
    <comment ref="BB3" authorId="0" shapeId="0">
      <text>
        <t>Section: Site / Deconcentration
Input type: Y/N
Required status: Req
Allowed values: Y,N
Description: Passes deconcentration / relevant site restrictions?</t>
      </text>
    </comment>
    <comment ref="BC3" authorId="0" shapeId="0">
      <text>
        <t>Section: Site / Deconcentration
Input type: Y/N
Required status: Req
Allowed values: Y,N
Description: Complies with one-mile rule where applicable?</t>
      </text>
    </comment>
    <comment ref="BD3" authorId="0" shapeId="0">
      <text>
        <t>Section: Site / Deconcentration
Input type: Y/N
Required status: Opt
Allowed values: Y,N
Description: Whether same-year two-mile issue is relevant.</t>
      </text>
    </comment>
    <comment ref="BE3" authorId="0" shapeId="0">
      <text>
        <t>Section: Site / Deconcentration
Input type: Y/N
Required status: Opt
Allowed values: Y,N
Description: Existing LURA or other site conflict present?</t>
      </text>
    </comment>
    <comment ref="BF3" authorId="0" shapeId="0">
      <text>
        <t>Section: Site / Deconcentration
Input type: Y/N
Required status: Opt
Allowed values: Y,N
Description: Rural area flag.</t>
      </text>
    </comment>
    <comment ref="BG3" authorId="0" shapeId="0">
      <text>
        <t>Section: Site / Deconcentration
Input type: Y/N
Required status: Opt
Allowed values: Y,N
Description: Urban area flag.</t>
      </text>
    </comment>
    <comment ref="BH3" authorId="0" shapeId="0">
      <text>
        <t>Section: Site / Deconcentration
Input type: Y/N
Required status: Opt
Allowed values: Y,N
Description: Qualified Census Tract flag.</t>
      </text>
    </comment>
    <comment ref="BI3" authorId="0" shapeId="0">
      <text>
        <t>Section: Site / Deconcentration
Input type: Y/N
Required status: Opt
Allowed values: Y,N
Description: Override / exception flag for opportunity logic.</t>
      </text>
    </comment>
    <comment ref="BJ3" authorId="0" shapeId="0">
      <text>
        <t>Section: Path Selection
Input type: Y/N
Required status: Req
Allowed values: Y,N
Description: Eligible for streamlined determination notice path?</t>
      </text>
    </comment>
    <comment ref="BK3" authorId="0" shapeId="0">
      <text>
        <t>Section: Path Selection
Input type: Y/N
Required status: Req
Allowed values: Y,N
Description: Requires board review/action?</t>
      </text>
    </comment>
    <comment ref="BL3" authorId="0" shapeId="0">
      <text>
        <t>Section: Path Selection
Input type: Y/N
Required status: Opt
Allowed values: Y,N
Description: Open Chapter 12 issue that may block advancement?</t>
      </text>
    </comment>
    <comment ref="BM3" authorId="0" shapeId="0">
      <text>
        <t>Section: Path Selection
Input type: Y/N
Required status: Opt
Allowed values: Y,N
Description: All items complete for DN issuance?</t>
      </text>
    </comment>
    <comment ref="BN3" authorId="0" shapeId="0">
      <text>
        <t>Section: Path Selection
Input type: Y/N
Required status: Opt
Allowed values: Y,N
Description: All items complete for board action?</t>
      </text>
    </comment>
    <comment ref="BO3" authorId="0" shapeId="0">
      <text>
        <t>Section: Queue / Priority
Input type: date
Required status: Req
Description: Date project effectively entered the active pipeline.</t>
      </text>
    </comment>
    <comment ref="BP3" authorId="0" shapeId="0">
      <text>
        <t>Section: Queue / Priority
Input type: Y/N
Required status: Req
Allowed values: Y,N
Description: Was this already present in the prior snapshot?</t>
      </text>
    </comment>
    <comment ref="BQ3" authorId="0" shapeId="0">
      <text>
        <t>Section: Queue / Priority
Input type: Y/N
Required status: Req
Allowed values: Y,N
Description: Was this newly added in the current snapshot?</t>
      </text>
    </comment>
    <comment ref="BR3" authorId="0" shapeId="0">
      <text>
        <t>Section: Queue / Priority
Input type: formula
Required status: Der
Allowed values: Y,N
Description: Derived flag: required manual boxes and blockers are clear.</t>
      </text>
    </comment>
    <comment ref="BS3" authorId="0" shapeId="0">
      <text>
        <t>Section: Queue / Priority
Input type: formula
Required status: Der
Allowed values: Y,N
Description: Derived flag: project appears ready to advance now.</t>
      </text>
    </comment>
    <comment ref="BT3" authorId="0" shapeId="0">
      <text>
        <t>Section: Queue / Priority
Input type: number
Required status: Opt
Description: Optional manual override for queue seniority.</t>
      </text>
    </comment>
    <comment ref="BU3" authorId="0" shapeId="0">
      <text>
        <t>Section: Engine Outputs
Input type: dropdown
Required status: Engine
Allowed values: Submitted,Under Review,Board,Determination Notice Issued,Closed,Withdrawn,Terminated,No Advancement
Description: Engine output / next predicted status.</t>
      </text>
    </comment>
    <comment ref="BV3" authorId="0" shapeId="0">
      <text>
        <t>Section: Engine Outputs
Input type: dropdown
Required status: Engine
Allowed values: Remain Submitted,Under Review,Board,Determination Notice,Closed,No Advancement,Terminated
Description: Engine output / next path.</t>
      </text>
    </comment>
    <comment ref="BW3" authorId="0" shapeId="0">
      <text>
        <t>Section: Engine Outputs
Input type: text
Required status: Engine
Description: Primary blocker code.</t>
      </text>
    </comment>
    <comment ref="BX3" authorId="0" shapeId="0">
      <text>
        <t>Section: Engine Outputs
Input type: text
Required status: Engine
Description: Reason code / explanation 1.</t>
      </text>
    </comment>
    <comment ref="BY3" authorId="0" shapeId="0">
      <text>
        <t>Section: Engine Outputs
Input type: text
Required status: Engine
Description: Reason code / explanation 2.</t>
      </text>
    </comment>
    <comment ref="BZ3" authorId="0" shapeId="0">
      <text>
        <t>Section: Engine Outputs
Input type: text
Required status: Engine
Description: Reason code / explanation 3.</t>
      </text>
    </comment>
    <comment ref="CA3" authorId="0" shapeId="0">
      <text>
        <t>Section: Engine Outputs
Input type: number
Required status: Engine
Description: Relative standing / rank if modeled.</t>
      </text>
    </comment>
    <comment ref="CB3" authorId="0" shapeId="0">
      <text>
        <t>Section: Engine Outputs
Input type: dropdown
Required status: Engine
Allowed values: Y,N,Conditional
Description: Whether the project advances by the next update.</t>
      </text>
    </comment>
    <comment ref="CC3" authorId="0" shapeId="0">
      <text>
        <t>Section: Notes &amp; Contacts
Input type: text
Required status: Opt
Description: Freeform notes / assumption log.</t>
      </text>
    </comment>
    <comment ref="CD3" authorId="0" shapeId="0">
      <text>
        <t>Section: Notes &amp; Contacts
Input type: text
Required status: Opt
Description: Applicant contact.</t>
      </text>
    </comment>
    <comment ref="CE3" authorId="0" shapeId="0">
      <text>
        <t>Section: Notes &amp; Contacts
Input type: text
Required status: Opt
Description: Applicant phone.</t>
      </text>
    </comment>
    <comment ref="CF3" authorId="0" shapeId="0">
      <text>
        <t>Section: Notes &amp; Contacts
Input type: text
Required status: Opt
Description: Applicant email.</t>
      </text>
    </comment>
    <comment ref="CG3" authorId="0" shapeId="0">
      <text>
        <t>Section: Notes &amp; Contacts
Input type: text
Required status: Opt
Description: Bond issuer contact.</t>
      </text>
    </comment>
    <comment ref="CH3" authorId="0" shapeId="0">
      <text>
        <t>Section: Notes &amp; Contacts
Input type: text
Required status: Opt
Description: Bond issuer phone.</t>
      </text>
    </comment>
  </commentList>
</comments>
</file>

<file path=xl/comments/comment5.xml><?xml version="1.0" encoding="utf-8"?>
<comments xmlns="http://schemas.openxmlformats.org/spreadsheetml/2006/main">
  <authors>
    <author>OpenAI</author>
  </authors>
  <commentList>
    <comment ref="A3" authorId="0" shapeId="0">
      <text>
        <t>Section: Identity &amp; Snapshot
Input type: date
Required status: Req
Description: Snapshot date for the input universe (usually the status-log date).</t>
      </text>
    </comment>
    <comment ref="B3" authorId="0" shapeId="0">
      <text>
        <t>Section: Identity &amp; Snapshot
Input type: text
Required status: Req
Description: Identifier for the source log or file, e.g. 2025-03-10.</t>
      </text>
    </comment>
    <comment ref="C3" authorId="0" shapeId="0">
      <text>
        <t>Section: Identity &amp; Snapshot
Input type: text/number
Required status: Req
Description: Unique TDHCA deal ID for the cycle.</t>
      </text>
    </comment>
    <comment ref="D3" authorId="0" shapeId="0">
      <text>
        <t>Section: Identity &amp; Snapshot
Input type: text/number
Required status: Opt
Description: Prior TDHCA number for resubmissions/refis.</t>
      </text>
    </comment>
    <comment ref="E3" authorId="0" shapeId="0">
      <text>
        <t>Section: Identity &amp; Snapshot
Input type: text
Required status: Req
Description: Development name.</t>
      </text>
    </comment>
    <comment ref="F3" authorId="0" shapeId="0">
      <text>
        <t>Section: Identity &amp; Snapshot
Input type: text
Required status: Req
Description: Development city.</t>
      </text>
    </comment>
    <comment ref="G3" authorId="0" shapeId="0">
      <text>
        <t>Section: Identity &amp; Snapshot
Input type: text
Required status: Req
Description: Development county.</t>
      </text>
    </comment>
    <comment ref="H3" authorId="0" shapeId="0">
      <text>
        <t>Section: Identity &amp; Snapshot
Input type: number/text
Required status: Req
Description: Development region used in TDHCA reporting.</t>
      </text>
    </comment>
    <comment ref="I3" authorId="0" shapeId="0">
      <text>
        <t>Section: Identity &amp; Snapshot
Input type: text
Required status: Opt
Description: Project street address.</t>
      </text>
    </comment>
    <comment ref="J3" authorId="0" shapeId="0">
      <text>
        <t>Section: Identity &amp; Snapshot
Input type: text/number
Required status: Opt
Description: Project ZIP Code.</t>
      </text>
    </comment>
    <comment ref="K3" authorId="0" shapeId="0">
      <text>
        <t>Section: Current Public Process
Input type: date
Required status: Req
Description: Date the full 4% application was submitted.</t>
      </text>
    </comment>
    <comment ref="L3" authorId="0" shapeId="0">
      <text>
        <t>Section: Current Public Process
Input type: dropdown
Required status: Req
Allowed values: Submitted,Under Review,Active,Approved,Closed,Withdrawn,Pre-application,Stalled
Description: Current public-log status.</t>
      </text>
    </comment>
    <comment ref="M3" authorId="0" shapeId="0">
      <text>
        <t>Section: Current Public Process
Input type: date
Required status: Opt
Description: Current board meeting date, if any.</t>
      </text>
    </comment>
    <comment ref="N3" authorId="0" shapeId="0">
      <text>
        <t>Section: Current Public Process
Input type: date
Required status: Opt
Description: Current determination notice issuance date, if any.</t>
      </text>
    </comment>
    <comment ref="O3" authorId="0" shapeId="0">
      <text>
        <t>Section: Current Public Process
Input type: date
Required status: Opt
Description: Current bond reservation date.</t>
      </text>
    </comment>
    <comment ref="P3" authorId="0" shapeId="0">
      <text>
        <t>Section: Current Public Process
Input type: date
Required status: Opt
Description: Current bond expiration date.</t>
      </text>
    </comment>
    <comment ref="Q3" authorId="0" shapeId="0">
      <text>
        <t>Section: Current Public Process
Input type: date
Required status: Opt
Description: Date closed, if already closed.</t>
      </text>
    </comment>
    <comment ref="R3" authorId="0" shapeId="0">
      <text>
        <t>Section: Project Characteristics
Input type: dropdown
Required status: Req
Allowed values: New Construction,Acq/Rehab,Rehabilitation,Adaptive Reuse,Reconstruction
Description: Construction type.</t>
      </text>
    </comment>
    <comment ref="S3" authorId="0" shapeId="0">
      <text>
        <t>Section: Project Characteristics
Input type: dropdown
Required status: Req
Allowed values: General,Elderly,Supportive Housing,Other
Description: Target population.</t>
      </text>
    </comment>
    <comment ref="T3" authorId="0" shapeId="0">
      <text>
        <t>Section: Project Characteristics
Input type: number
Required status: Req
Description: Total units.</t>
      </text>
    </comment>
    <comment ref="U3" authorId="0" shapeId="0">
      <text>
        <t>Section: Project Characteristics
Input type: number
Required status: Req
Description: Total low-income units.</t>
      </text>
    </comment>
    <comment ref="V3" authorId="0" shapeId="0">
      <text>
        <t>Section: Project Characteristics
Input type: Y/N
Required status: Opt
Allowed values: Y,N
Description: Whether the development is scattered-site.</t>
      </text>
    </comment>
    <comment ref="W3" authorId="0" shapeId="0">
      <text>
        <t>Section: Project Characteristics
Input type: Y/N
Required status: Opt
Allowed values: Y,N
Description: Whether the site is an existing residential development.</t>
      </text>
    </comment>
    <comment ref="X3" authorId="0" shapeId="0">
      <text>
        <t>Section: Bond &amp; Credit Structure
Input type: text
Required status: Req
Description: Bond issuer name.</t>
      </text>
    </comment>
    <comment ref="Y3" authorId="0" shapeId="0">
      <text>
        <t>Section: Bond &amp; Credit Structure
Input type: dropdown
Required status: Req
Allowed values: Local HFC,TDHCA,Other
Description: Issuer type.</t>
      </text>
    </comment>
    <comment ref="Z3" authorId="0" shapeId="0">
      <text>
        <t>Section: Bond &amp; Credit Structure
Input type: currency
Required status: Opt
Description: Bond reservation amount/requested bond amount.</t>
      </text>
    </comment>
    <comment ref="AA3" authorId="0" shapeId="0">
      <text>
        <t>Section: Bond &amp; Credit Structure
Input type: currency
Required status: Opt
Description: Recommended bond amount, if any.</t>
      </text>
    </comment>
    <comment ref="AB3" authorId="0" shapeId="0">
      <text>
        <t>Section: Bond &amp; Credit Structure
Input type: currency
Required status: Opt
Description: Requested annual HTC amount.</t>
      </text>
    </comment>
    <comment ref="AC3" authorId="0" shapeId="0">
      <text>
        <t>Section: Bond &amp; Credit Structure
Input type: currency
Required status: Opt
Description: Recommended annual HTC amount.</t>
      </text>
    </comment>
    <comment ref="AD3" authorId="0" shapeId="0">
      <text>
        <t>Section: Bond &amp; Credit Structure
Input type: currency
Required status: Opt
Description: Requested state tax credit amount.</t>
      </text>
    </comment>
    <comment ref="AE3" authorId="0" shapeId="0">
      <text>
        <t>Section: Bond &amp; Credit Structure
Input type: currency
Required status: Opt
Description: Recommended state tax credit amount.</t>
      </text>
    </comment>
    <comment ref="AF3" authorId="0" shapeId="0">
      <text>
        <t>Section: Bond &amp; Credit Structure
Input type: Y/N
Required status: Opt
Allowed values: Y,N
Description: Direct loan requested.</t>
      </text>
    </comment>
    <comment ref="AG3" authorId="0" shapeId="0">
      <text>
        <t>Section: Bond &amp; Credit Structure
Input type: Y/N
Required status: Opt
Allowed values: Y,N
Description: Property tax exemption structure.</t>
      </text>
    </comment>
    <comment ref="AH3" authorId="0" shapeId="0">
      <text>
        <t>Section: Bond &amp; Credit Structure
Input type: Y/N
Required status: Opt
Allowed values: Y,N
Description: Public Facility Corporation / related structure.</t>
      </text>
    </comment>
    <comment ref="AI3" authorId="0" shapeId="0">
      <text>
        <t>Section: Manual QAP Thresholds
Input type: Y/N
Required status: Req
Allowed values: Y,N
Description: Manual input: valid site control?</t>
      </text>
    </comment>
    <comment ref="AJ3" authorId="0" shapeId="0">
      <text>
        <t>Section: Manual QAP Thresholds
Input type: date
Required status: Opt
Description: Date of site control document.</t>
      </text>
    </comment>
    <comment ref="AK3" authorId="0" shapeId="0">
      <text>
        <t>Section: Manual QAP Thresholds
Input type: Y/N
Required status: Req
Allowed values: Y,N
Description: All required resolutions complete?</t>
      </text>
    </comment>
    <comment ref="AL3" authorId="0" shapeId="0">
      <text>
        <t>Section: Manual QAP Thresholds
Input type: Y/N
Required status: Req
Allowed values: Y,N
Description: Local approvals complete?</t>
      </text>
    </comment>
    <comment ref="AM3" authorId="0" shapeId="0">
      <text>
        <t>Section: Manual QAP Thresholds
Input type: Y/N
Required status: Req
Allowed values: Y,N
Description: All required third-party reports complete?</t>
      </text>
    </comment>
    <comment ref="AN3" authorId="0" shapeId="0">
      <text>
        <t>Section: Manual QAP Thresholds
Input type: Y/N
Required status: Opt
Allowed values: Y,N
Description: Environmental site assessment complete?</t>
      </text>
    </comment>
    <comment ref="AO3" authorId="0" shapeId="0">
      <text>
        <t>Section: Manual QAP Thresholds
Input type: Y/N
Required status: Opt
Allowed values: Y,N
Description: Market analysis complete?</t>
      </text>
    </comment>
    <comment ref="AP3" authorId="0" shapeId="0">
      <text>
        <t>Section: Manual QAP Thresholds
Input type: Y/N
Required status: Opt
Allowed values: Y,N
Description: Appraisal complete?</t>
      </text>
    </comment>
    <comment ref="AQ3" authorId="0" shapeId="0">
      <text>
        <t>Section: Manual QAP Thresholds
Input type: Y/N
Required status: Opt
Allowed values: Y,N
Description: Site and neighborhood standards / SCR complete?</t>
      </text>
    </comment>
    <comment ref="AR3" authorId="0" shapeId="0">
      <text>
        <t>Section: Manual QAP Thresholds
Input type: Y/N
Required status: Opt
Allowed values: Y,N
Description: Feasibility report complete?</t>
      </text>
    </comment>
    <comment ref="AS3" authorId="0" shapeId="0">
      <text>
        <t>Section: Manual QAP Thresholds
Input type: Y/N
Required status: Opt
Allowed values: Y,N
Description: Was a deficiency notice issued?</t>
      </text>
    </comment>
    <comment ref="AT3" authorId="0" shapeId="0">
      <text>
        <t>Section: Manual QAP Thresholds
Input type: date
Required status: Opt
Description: Deficiency notice date.</t>
      </text>
    </comment>
    <comment ref="AU3" authorId="0" shapeId="0">
      <text>
        <t>Section: Manual QAP Thresholds
Input type: date
Required status: Opt
Description: Deficiency response due date.</t>
      </text>
    </comment>
    <comment ref="AV3" authorId="0" shapeId="0">
      <text>
        <t>Section: Manual QAP Thresholds
Input type: Y/N
Required status: Opt
Allowed values: Y,N
Description: If a deficiency was issued, has it been cleared?</t>
      </text>
    </comment>
    <comment ref="AW3" authorId="0" shapeId="0">
      <text>
        <t>Section: Manual QAP Thresholds
Input type: date
Required status: Opt
Description: Date deficiency cleared.</t>
      </text>
    </comment>
    <comment ref="AX3" authorId="0" shapeId="0">
      <text>
        <t>Section: Manual QAP Thresholds
Input type: Y/N
Required status: Opt
Allowed values: Y,N
Description: Material deficiency present?</t>
      </text>
    </comment>
    <comment ref="AY3" authorId="0" shapeId="0">
      <text>
        <t>Section: Manual QAP Thresholds
Input type: Y/N
Required status: Req
Allowed values: Y,N
Description: Underwriting review complete?</t>
      </text>
    </comment>
    <comment ref="AZ3" authorId="0" shapeId="0">
      <text>
        <t>Section: Manual QAP Thresholds
Input type: Y/N
Required status: Req
Allowed values: Y,N
Description: Underwriting passed?</t>
      </text>
    </comment>
    <comment ref="BA3" authorId="0" shapeId="0">
      <text>
        <t>Section: Manual QAP Thresholds
Input type: Y/N
Required status: Req
Allowed values: Y,N
Description: Financially feasible?</t>
      </text>
    </comment>
    <comment ref="BB3" authorId="0" shapeId="0">
      <text>
        <t>Section: Site / Deconcentration
Input type: Y/N
Required status: Req
Allowed values: Y,N
Description: Passes deconcentration / relevant site restrictions?</t>
      </text>
    </comment>
    <comment ref="BC3" authorId="0" shapeId="0">
      <text>
        <t>Section: Site / Deconcentration
Input type: Y/N
Required status: Req
Allowed values: Y,N
Description: Complies with one-mile rule where applicable?</t>
      </text>
    </comment>
    <comment ref="BD3" authorId="0" shapeId="0">
      <text>
        <t>Section: Site / Deconcentration
Input type: Y/N
Required status: Opt
Allowed values: Y,N
Description: Whether same-year two-mile issue is relevant.</t>
      </text>
    </comment>
    <comment ref="BE3" authorId="0" shapeId="0">
      <text>
        <t>Section: Site / Deconcentration
Input type: Y/N
Required status: Opt
Allowed values: Y,N
Description: Existing LURA or other site conflict present?</t>
      </text>
    </comment>
    <comment ref="BF3" authorId="0" shapeId="0">
      <text>
        <t>Section: Site / Deconcentration
Input type: Y/N
Required status: Opt
Allowed values: Y,N
Description: Rural area flag.</t>
      </text>
    </comment>
    <comment ref="BG3" authorId="0" shapeId="0">
      <text>
        <t>Section: Site / Deconcentration
Input type: Y/N
Required status: Opt
Allowed values: Y,N
Description: Urban area flag.</t>
      </text>
    </comment>
    <comment ref="BH3" authorId="0" shapeId="0">
      <text>
        <t>Section: Site / Deconcentration
Input type: Y/N
Required status: Opt
Allowed values: Y,N
Description: Qualified Census Tract flag.</t>
      </text>
    </comment>
    <comment ref="BI3" authorId="0" shapeId="0">
      <text>
        <t>Section: Site / Deconcentration
Input type: Y/N
Required status: Opt
Allowed values: Y,N
Description: Override / exception flag for opportunity logic.</t>
      </text>
    </comment>
    <comment ref="BJ3" authorId="0" shapeId="0">
      <text>
        <t>Section: Path Selection
Input type: Y/N
Required status: Req
Allowed values: Y,N
Description: Eligible for streamlined determination notice path?</t>
      </text>
    </comment>
    <comment ref="BK3" authorId="0" shapeId="0">
      <text>
        <t>Section: Path Selection
Input type: Y/N
Required status: Req
Allowed values: Y,N
Description: Requires board review/action?</t>
      </text>
    </comment>
    <comment ref="BL3" authorId="0" shapeId="0">
      <text>
        <t>Section: Path Selection
Input type: Y/N
Required status: Opt
Allowed values: Y,N
Description: Open Chapter 12 issue that may block advancement?</t>
      </text>
    </comment>
    <comment ref="BM3" authorId="0" shapeId="0">
      <text>
        <t>Section: Path Selection
Input type: Y/N
Required status: Opt
Allowed values: Y,N
Description: All items complete for DN issuance?</t>
      </text>
    </comment>
    <comment ref="BN3" authorId="0" shapeId="0">
      <text>
        <t>Section: Path Selection
Input type: Y/N
Required status: Opt
Allowed values: Y,N
Description: All items complete for board action?</t>
      </text>
    </comment>
    <comment ref="BO3" authorId="0" shapeId="0">
      <text>
        <t>Section: Queue / Priority
Input type: date
Required status: Req
Description: Date project effectively entered the active pipeline.</t>
      </text>
    </comment>
    <comment ref="BP3" authorId="0" shapeId="0">
      <text>
        <t>Section: Queue / Priority
Input type: Y/N
Required status: Req
Allowed values: Y,N
Description: Was this already present in the prior snapshot?</t>
      </text>
    </comment>
    <comment ref="BQ3" authorId="0" shapeId="0">
      <text>
        <t>Section: Queue / Priority
Input type: Y/N
Required status: Req
Allowed values: Y,N
Description: Was this newly added in the current snapshot?</t>
      </text>
    </comment>
    <comment ref="BR3" authorId="0" shapeId="0">
      <text>
        <t>Section: Queue / Priority
Input type: formula
Required status: Der
Allowed values: Y,N
Description: Derived flag: required manual boxes and blockers are clear.</t>
      </text>
    </comment>
    <comment ref="BS3" authorId="0" shapeId="0">
      <text>
        <t>Section: Queue / Priority
Input type: formula
Required status: Der
Allowed values: Y,N
Description: Derived flag: project appears ready to advance now.</t>
      </text>
    </comment>
    <comment ref="BT3" authorId="0" shapeId="0">
      <text>
        <t>Section: Queue / Priority
Input type: number
Required status: Opt
Description: Optional manual override for queue seniority.</t>
      </text>
    </comment>
    <comment ref="BU3" authorId="0" shapeId="0">
      <text>
        <t>Section: Engine Outputs
Input type: dropdown
Required status: Engine
Allowed values: Submitted,Under Review,Board,Determination Notice Issued,Closed,Withdrawn,Terminated,No Advancement
Description: Engine output / next predicted status.</t>
      </text>
    </comment>
    <comment ref="BV3" authorId="0" shapeId="0">
      <text>
        <t>Section: Engine Outputs
Input type: dropdown
Required status: Engine
Allowed values: Remain Submitted,Under Review,Board,Determination Notice,Closed,No Advancement,Terminated
Description: Engine output / next path.</t>
      </text>
    </comment>
    <comment ref="BW3" authorId="0" shapeId="0">
      <text>
        <t>Section: Engine Outputs
Input type: text
Required status: Engine
Description: Primary blocker code.</t>
      </text>
    </comment>
    <comment ref="BX3" authorId="0" shapeId="0">
      <text>
        <t>Section: Engine Outputs
Input type: text
Required status: Engine
Description: Reason code / explanation 1.</t>
      </text>
    </comment>
    <comment ref="BY3" authorId="0" shapeId="0">
      <text>
        <t>Section: Engine Outputs
Input type: text
Required status: Engine
Description: Reason code / explanation 2.</t>
      </text>
    </comment>
    <comment ref="BZ3" authorId="0" shapeId="0">
      <text>
        <t>Section: Engine Outputs
Input type: text
Required status: Engine
Description: Reason code / explanation 3.</t>
      </text>
    </comment>
    <comment ref="CA3" authorId="0" shapeId="0">
      <text>
        <t>Section: Engine Outputs
Input type: number
Required status: Engine
Description: Relative standing / rank if modeled.</t>
      </text>
    </comment>
    <comment ref="CB3" authorId="0" shapeId="0">
      <text>
        <t>Section: Engine Outputs
Input type: dropdown
Required status: Engine
Allowed values: Y,N,Conditional
Description: Whether the project advances by the next update.</t>
      </text>
    </comment>
    <comment ref="CC3" authorId="0" shapeId="0">
      <text>
        <t>Section: Notes &amp; Contacts
Input type: text
Required status: Opt
Description: Freeform notes / assumption log.</t>
      </text>
    </comment>
    <comment ref="CD3" authorId="0" shapeId="0">
      <text>
        <t>Section: Notes &amp; Contacts
Input type: text
Required status: Opt
Description: Applicant contact.</t>
      </text>
    </comment>
    <comment ref="CE3" authorId="0" shapeId="0">
      <text>
        <t>Section: Notes &amp; Contacts
Input type: text
Required status: Opt
Description: Applicant phone.</t>
      </text>
    </comment>
    <comment ref="CF3" authorId="0" shapeId="0">
      <text>
        <t>Section: Notes &amp; Contacts
Input type: text
Required status: Opt
Description: Applicant email.</t>
      </text>
    </comment>
    <comment ref="CG3" authorId="0" shapeId="0">
      <text>
        <t>Section: Notes &amp; Contacts
Input type: text
Required status: Opt
Description: Bond issuer contact.</t>
      </text>
    </comment>
    <comment ref="CH3" authorId="0" shapeId="0">
      <text>
        <t>Section: Notes &amp; Contacts
Input type: text
Required status: Opt
Description: Bond issuer phone.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topLeftCell="A7" workbookViewId="0">
      <selection activeCell="A1" sqref="A1:G1"/>
    </sheetView>
  </sheetViews>
  <sheetFormatPr baseColWidth="8" defaultRowHeight="14.5"/>
  <cols>
    <col width="18" customWidth="1" style="23" min="1" max="6"/>
    <col width="40" customWidth="1" style="23" min="7" max="7"/>
  </cols>
  <sheetData>
    <row r="1" ht="18.5" customHeight="1" s="23">
      <c r="A1" s="28" t="inlineStr">
        <is>
          <t>Texas 2025 4% + Tax-Exempt Bond Simulator Template</t>
        </is>
      </c>
    </row>
    <row r="3">
      <c r="A3" s="1" t="inlineStr">
        <is>
          <t>Purpose</t>
        </is>
      </c>
      <c r="B3" s="24" t="inlineStr">
        <is>
          <t>This workbook is a starter input template for a Texas 2025 4% + tax-exempt bond rules engine.</t>
        </is>
      </c>
      <c r="C3" s="25" t="n"/>
      <c r="D3" s="25" t="n"/>
      <c r="E3" s="25" t="n"/>
      <c r="F3" s="25" t="n"/>
      <c r="G3" s="26" t="n"/>
    </row>
    <row r="4">
      <c r="A4" s="1" t="inlineStr">
        <is>
          <t>How to use</t>
        </is>
      </c>
      <c r="B4" s="24" t="inlineStr">
        <is>
          <t>1) Paste the latest status-log universe into Applicant_List. 2) Fill the orange/purple manual QAP fields. 3) Enter one test project in Hypothetical_Project. 4) Have the Python engine write results to Rules_Output or the engine output columns.</t>
        </is>
      </c>
      <c r="C4" s="25" t="n"/>
      <c r="D4" s="25" t="n"/>
      <c r="E4" s="25" t="n"/>
      <c r="F4" s="25" t="n"/>
      <c r="G4" s="26" t="n"/>
    </row>
    <row r="5">
      <c r="A5" s="1" t="inlineStr">
        <is>
          <t>Color key</t>
        </is>
      </c>
      <c r="B5" s="24" t="inlineStr">
        <is>
          <t>Blue font = manual input. Black font = formulas / derived values. Gray fill = derived logic. Light red fill = engine outputs. Orange/purple sections = manual QAP and site rule inputs.</t>
        </is>
      </c>
      <c r="C5" s="25" t="n"/>
      <c r="D5" s="25" t="n"/>
      <c r="E5" s="25" t="n"/>
      <c r="F5" s="25" t="n"/>
      <c r="G5" s="26" t="n"/>
    </row>
    <row r="6">
      <c r="A6" s="1" t="inlineStr">
        <is>
          <t>Required fields</t>
        </is>
      </c>
      <c r="B6" s="24" t="inlineStr">
        <is>
          <t>Columns marked Req in Lookup_Lists should be completed before running the simulator.</t>
        </is>
      </c>
      <c r="C6" s="25" t="n"/>
      <c r="D6" s="25" t="n"/>
      <c r="E6" s="25" t="n"/>
      <c r="F6" s="25" t="n"/>
      <c r="G6" s="26" t="n"/>
    </row>
    <row r="7">
      <c r="A7" s="1" t="inlineStr">
        <is>
          <t>Derived flags</t>
        </is>
      </c>
      <c r="B7" s="24" t="inlineStr">
        <is>
          <t>all_manual_boxes_checked_flag and project_ready_now_flag are formula-driven helper fields. They are intended as starter logic and can be refined as the Texas engine matures.</t>
        </is>
      </c>
      <c r="C7" s="25" t="n"/>
      <c r="D7" s="25" t="n"/>
      <c r="E7" s="25" t="n"/>
      <c r="F7" s="25" t="n"/>
      <c r="G7" s="26" t="n"/>
    </row>
    <row r="8">
      <c r="A8" s="1" t="inlineStr">
        <is>
          <t>Scope note</t>
        </is>
      </c>
      <c r="B8" s="24" t="inlineStr">
        <is>
          <t>This template is for a Texas pipeline/rules engine, not a California-style score-and-award allocator.</t>
        </is>
      </c>
      <c r="C8" s="25" t="n"/>
      <c r="D8" s="25" t="n"/>
      <c r="E8" s="25" t="n"/>
      <c r="F8" s="25" t="n"/>
      <c r="G8" s="26" t="n"/>
    </row>
    <row r="10">
      <c r="A10" s="3" t="inlineStr">
        <is>
          <t>Key tabs</t>
        </is>
      </c>
    </row>
    <row r="11">
      <c r="A11" s="4" t="inlineStr">
        <is>
          <t>Applicant_List</t>
        </is>
      </c>
      <c r="B11" s="27" t="inlineStr">
        <is>
          <t>Main status-log universe plus added QAP/manual fields.</t>
        </is>
      </c>
      <c r="C11" s="25" t="n"/>
      <c r="D11" s="25" t="n"/>
      <c r="E11" s="25" t="n"/>
      <c r="F11" s="25" t="n"/>
      <c r="G11" s="26" t="n"/>
    </row>
    <row r="12">
      <c r="A12" s="4" t="inlineStr">
        <is>
          <t>Hypothetical_Project</t>
        </is>
      </c>
      <c r="B12" s="27" t="inlineStr">
        <is>
          <t>Single-row test project with same schema as Applicant_List.</t>
        </is>
      </c>
      <c r="C12" s="25" t="n"/>
      <c r="D12" s="25" t="n"/>
      <c r="E12" s="25" t="n"/>
      <c r="F12" s="25" t="n"/>
      <c r="G12" s="26" t="n"/>
    </row>
    <row r="13">
      <c r="A13" s="4" t="inlineStr">
        <is>
          <t>Rules_Output</t>
        </is>
      </c>
      <c r="B13" s="27" t="inlineStr">
        <is>
          <t>Output area for the simulator/decision engine.</t>
        </is>
      </c>
      <c r="C13" s="25" t="n"/>
      <c r="D13" s="25" t="n"/>
      <c r="E13" s="25" t="n"/>
      <c r="F13" s="25" t="n"/>
      <c r="G13" s="26" t="n"/>
    </row>
    <row r="14">
      <c r="A14" s="4" t="inlineStr">
        <is>
          <t>Lookup_Lists</t>
        </is>
      </c>
      <c r="B14" s="27" t="inlineStr">
        <is>
          <t>Dropdown values plus full field dictionary.</t>
        </is>
      </c>
      <c r="C14" s="25" t="n"/>
      <c r="D14" s="25" t="n"/>
      <c r="E14" s="25" t="n"/>
      <c r="F14" s="25" t="n"/>
      <c r="G14" s="26" t="n"/>
    </row>
    <row r="16">
      <c r="A16" s="3" t="inlineStr">
        <is>
          <t>New in this version</t>
        </is>
      </c>
      <c r="B16" s="27" t="inlineStr">
        <is>
          <t>Adds a queue-based funding allocation layer: projects are screened by the existing rules engine, sorted by reservation-date priority, and funded until the manual capacity assumption is exhausted.</t>
        </is>
      </c>
      <c r="C16" s="25" t="n"/>
      <c r="D16" s="25" t="n"/>
      <c r="E16" s="25" t="n"/>
      <c r="F16" s="25" t="n"/>
      <c r="G16" s="26" t="n"/>
    </row>
  </sheetData>
  <mergeCells count="12">
    <mergeCell ref="B3:G3"/>
    <mergeCell ref="B16:G16"/>
    <mergeCell ref="A1:G1"/>
    <mergeCell ref="B5:G5"/>
    <mergeCell ref="B14:G14"/>
    <mergeCell ref="B8:G8"/>
    <mergeCell ref="B4:G4"/>
    <mergeCell ref="B12:G12"/>
    <mergeCell ref="B13:G13"/>
    <mergeCell ref="B7:G7"/>
    <mergeCell ref="B11:G11"/>
    <mergeCell ref="B6:G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1F4E78"/>
    <outlinePr summaryBelow="1" summaryRight="1"/>
    <pageSetUpPr/>
  </sheetPr>
  <dimension ref="A1:CH403"/>
  <sheetViews>
    <sheetView showGridLines="0" topLeftCell="BP1" zoomScale="106" workbookViewId="0">
      <pane ySplit="3" topLeftCell="A83" activePane="bottomLeft" state="frozen"/>
      <selection pane="bottomLeft" activeCell="A95" sqref="A95:BQ95"/>
    </sheetView>
  </sheetViews>
  <sheetFormatPr baseColWidth="8" defaultRowHeight="14.5"/>
  <cols>
    <col width="13" customWidth="1" style="23" min="1" max="1"/>
    <col width="24" customWidth="1" style="23" min="2" max="2"/>
    <col width="14" customWidth="1" style="23" min="3" max="4"/>
    <col width="24" customWidth="1" style="23" min="5" max="5"/>
    <col width="18" customWidth="1" style="23" min="6" max="7"/>
    <col width="16" customWidth="1" style="23" min="8" max="8"/>
    <col width="24" customWidth="1" style="23" min="9" max="9"/>
    <col width="14" customWidth="1" style="23" min="10" max="10"/>
    <col width="13" customWidth="1" style="23" min="11" max="11"/>
    <col width="15" customWidth="1" style="23" min="12" max="12"/>
    <col width="13" customWidth="1" style="23" min="13" max="17"/>
    <col width="15" customWidth="1" style="23" min="18" max="19"/>
    <col width="11" customWidth="1" style="23" min="20" max="23"/>
    <col width="18" customWidth="1" style="23" min="24" max="24"/>
    <col width="15" customWidth="1" style="23" min="25" max="25"/>
    <col width="14" customWidth="1" style="23" min="26" max="31"/>
    <col width="11" customWidth="1" style="23" min="32" max="35"/>
    <col width="13" customWidth="1" style="23" min="36" max="36"/>
    <col width="11" customWidth="1" style="23" min="37" max="45"/>
    <col width="13" customWidth="1" style="23" min="46" max="47"/>
    <col width="11" customWidth="1" style="23" min="48" max="48"/>
    <col width="13" customWidth="1" style="23" min="49" max="49"/>
    <col width="11" customWidth="1" style="23" min="50" max="66"/>
    <col width="13" customWidth="1" style="23" min="67" max="67"/>
    <col width="11" customWidth="1" style="23" min="68" max="69"/>
    <col width="13" customWidth="1" style="23" min="70" max="71"/>
    <col width="11" customWidth="1" style="23" min="72" max="72"/>
    <col width="20" customWidth="1" style="23" min="73" max="73"/>
    <col width="18" customWidth="1" style="23" min="74" max="75"/>
    <col width="42" customWidth="1" style="23" min="76" max="76"/>
    <col width="36" customWidth="1" style="23" min="77" max="78"/>
    <col width="14" customWidth="1" style="23" min="79" max="79"/>
    <col width="15" customWidth="1" style="23" min="80" max="80"/>
    <col width="24" customWidth="1" style="23" min="81" max="81"/>
    <col width="18" customWidth="1" style="23" min="82" max="83"/>
    <col width="26" customWidth="1" style="23" min="84" max="84"/>
    <col width="18" customWidth="1" style="23" min="85" max="86"/>
  </cols>
  <sheetData>
    <row r="1" ht="22" customHeight="1" s="23">
      <c r="A1" s="22" t="inlineStr">
        <is>
          <t>Texas 2025 4% + Tax-Exempt Bond Simulator - 2026-02-10 mapped status log</t>
        </is>
      </c>
    </row>
    <row r="2" ht="22" customHeight="1" s="23">
      <c r="A2" s="37" t="inlineStr">
        <is>
          <t>Identity &amp; Snapshot</t>
        </is>
      </c>
      <c r="B2" s="25" t="n"/>
      <c r="C2" s="25" t="n"/>
      <c r="D2" s="25" t="n"/>
      <c r="E2" s="25" t="n"/>
      <c r="F2" s="25" t="n"/>
      <c r="G2" s="25" t="n"/>
      <c r="H2" s="25" t="n"/>
      <c r="I2" s="25" t="n"/>
      <c r="J2" s="26" t="n"/>
      <c r="K2" s="32" t="inlineStr">
        <is>
          <t>Current Public Process</t>
        </is>
      </c>
      <c r="L2" s="25" t="n"/>
      <c r="M2" s="25" t="n"/>
      <c r="N2" s="25" t="n"/>
      <c r="O2" s="25" t="n"/>
      <c r="P2" s="25" t="n"/>
      <c r="Q2" s="26" t="n"/>
      <c r="R2" s="30" t="inlineStr">
        <is>
          <t>Project Characteristics</t>
        </is>
      </c>
      <c r="S2" s="25" t="n"/>
      <c r="T2" s="25" t="n"/>
      <c r="U2" s="25" t="n"/>
      <c r="V2" s="25" t="n"/>
      <c r="W2" s="26" t="n"/>
      <c r="X2" s="34" t="inlineStr">
        <is>
          <t>Bond &amp; Credit Structure</t>
        </is>
      </c>
      <c r="Y2" s="25" t="n"/>
      <c r="Z2" s="25" t="n"/>
      <c r="AA2" s="25" t="n"/>
      <c r="AB2" s="25" t="n"/>
      <c r="AC2" s="25" t="n"/>
      <c r="AD2" s="25" t="n"/>
      <c r="AE2" s="25" t="n"/>
      <c r="AF2" s="25" t="n"/>
      <c r="AG2" s="25" t="n"/>
      <c r="AH2" s="26" t="n"/>
      <c r="AI2" s="33" t="inlineStr">
        <is>
          <t>Manual QAP Thresholds</t>
        </is>
      </c>
      <c r="AJ2" s="25" t="n"/>
      <c r="AK2" s="25" t="n"/>
      <c r="AL2" s="25" t="n"/>
      <c r="AM2" s="25" t="n"/>
      <c r="AN2" s="25" t="n"/>
      <c r="AO2" s="25" t="n"/>
      <c r="AP2" s="25" t="n"/>
      <c r="AQ2" s="25" t="n"/>
      <c r="AR2" s="25" t="n"/>
      <c r="AS2" s="25" t="n"/>
      <c r="AT2" s="25" t="n"/>
      <c r="AU2" s="25" t="n"/>
      <c r="AV2" s="25" t="n"/>
      <c r="AW2" s="25" t="n"/>
      <c r="AX2" s="25" t="n"/>
      <c r="AY2" s="25" t="n"/>
      <c r="AZ2" s="25" t="n"/>
      <c r="BA2" s="26" t="n"/>
      <c r="BB2" s="35" t="inlineStr">
        <is>
          <t>Site / Deconcentration</t>
        </is>
      </c>
      <c r="BC2" s="25" t="n"/>
      <c r="BD2" s="25" t="n"/>
      <c r="BE2" s="25" t="n"/>
      <c r="BF2" s="25" t="n"/>
      <c r="BG2" s="25" t="n"/>
      <c r="BH2" s="25" t="n"/>
      <c r="BI2" s="26" t="n"/>
      <c r="BJ2" s="36" t="inlineStr">
        <is>
          <t>Path Selection</t>
        </is>
      </c>
      <c r="BK2" s="25" t="n"/>
      <c r="BL2" s="25" t="n"/>
      <c r="BM2" s="25" t="n"/>
      <c r="BN2" s="26" t="n"/>
      <c r="BO2" s="31" t="inlineStr">
        <is>
          <t>Queue / Priority</t>
        </is>
      </c>
      <c r="BP2" s="25" t="n"/>
      <c r="BQ2" s="25" t="n"/>
      <c r="BR2" s="25" t="n"/>
      <c r="BS2" s="25" t="n"/>
      <c r="BT2" s="26" t="n"/>
      <c r="BU2" s="29" t="inlineStr">
        <is>
          <t>Engine Outputs</t>
        </is>
      </c>
      <c r="BV2" s="25" t="n"/>
      <c r="BW2" s="25" t="n"/>
      <c r="BX2" s="25" t="n"/>
      <c r="BY2" s="25" t="n"/>
      <c r="BZ2" s="25" t="n"/>
      <c r="CA2" s="25" t="n"/>
      <c r="CB2" s="26" t="n"/>
      <c r="CC2" s="32" t="inlineStr">
        <is>
          <t>Notes &amp; Contacts</t>
        </is>
      </c>
      <c r="CD2" s="25" t="n"/>
      <c r="CE2" s="25" t="n"/>
      <c r="CF2" s="25" t="n"/>
      <c r="CG2" s="25" t="n"/>
      <c r="CH2" s="26" t="n"/>
    </row>
    <row r="3" ht="80" customHeight="1" s="23">
      <c r="A3" s="7" t="inlineStr">
        <is>
          <t>snapshot_date</t>
        </is>
      </c>
      <c r="B3" s="7" t="inlineStr">
        <is>
          <t>application_source_log</t>
        </is>
      </c>
      <c r="C3" s="7" t="inlineStr">
        <is>
          <t>tdhca_number</t>
        </is>
      </c>
      <c r="D3" s="7" t="inlineStr">
        <is>
          <t>previous_tdhca_number</t>
        </is>
      </c>
      <c r="E3" s="7" t="inlineStr">
        <is>
          <t>development_name</t>
        </is>
      </c>
      <c r="F3" s="7" t="inlineStr">
        <is>
          <t>development_city</t>
        </is>
      </c>
      <c r="G3" s="7" t="inlineStr">
        <is>
          <t>development_county</t>
        </is>
      </c>
      <c r="H3" s="7" t="inlineStr">
        <is>
          <t>development_region</t>
        </is>
      </c>
      <c r="I3" s="7" t="inlineStr">
        <is>
          <t>development_address</t>
        </is>
      </c>
      <c r="J3" s="7" t="inlineStr">
        <is>
          <t>zip_code</t>
        </is>
      </c>
      <c r="K3" s="7" t="inlineStr">
        <is>
          <t>full_application_submission_date</t>
        </is>
      </c>
      <c r="L3" s="7" t="inlineStr">
        <is>
          <t>application_status_current</t>
        </is>
      </c>
      <c r="M3" s="7" t="inlineStr">
        <is>
          <t>board_meeting_date_current</t>
        </is>
      </c>
      <c r="N3" s="7" t="inlineStr">
        <is>
          <t>determination_notice_issuance_date_current</t>
        </is>
      </c>
      <c r="O3" s="7" t="inlineStr">
        <is>
          <t>bond_reservation_date_current</t>
        </is>
      </c>
      <c r="P3" s="7" t="inlineStr">
        <is>
          <t>bond_expiration_date_current</t>
        </is>
      </c>
      <c r="Q3" s="7" t="inlineStr">
        <is>
          <t>closed_date_current</t>
        </is>
      </c>
      <c r="R3" s="7" t="inlineStr">
        <is>
          <t>construction_type</t>
        </is>
      </c>
      <c r="S3" s="7" t="inlineStr">
        <is>
          <t>target_population</t>
        </is>
      </c>
      <c r="T3" s="7" t="inlineStr">
        <is>
          <t>total_units</t>
        </is>
      </c>
      <c r="U3" s="7" t="inlineStr">
        <is>
          <t>total_low_income_units</t>
        </is>
      </c>
      <c r="V3" s="7" t="inlineStr">
        <is>
          <t>scattered_site_flag</t>
        </is>
      </c>
      <c r="W3" s="7" t="inlineStr">
        <is>
          <t>existing_residential_development_flag</t>
        </is>
      </c>
      <c r="X3" s="7" t="inlineStr">
        <is>
          <t>bond_issuer</t>
        </is>
      </c>
      <c r="Y3" s="7" t="inlineStr">
        <is>
          <t>bond_issuer_type</t>
        </is>
      </c>
      <c r="Z3" s="7" t="inlineStr">
        <is>
          <t>bond_reservation_amount_requested</t>
        </is>
      </c>
      <c r="AA3" s="7" t="inlineStr">
        <is>
          <t>bond_amount_recommended</t>
        </is>
      </c>
      <c r="AB3" s="7" t="inlineStr">
        <is>
          <t>requested_htc_amount</t>
        </is>
      </c>
      <c r="AC3" s="7" t="inlineStr">
        <is>
          <t>recommended_htc_amount</t>
        </is>
      </c>
      <c r="AD3" s="7" t="inlineStr">
        <is>
          <t>requested_state_tax_credit_amount</t>
        </is>
      </c>
      <c r="AE3" s="7" t="inlineStr">
        <is>
          <t>recommended_state_tax_credit_amount</t>
        </is>
      </c>
      <c r="AF3" s="7" t="inlineStr">
        <is>
          <t>direct_loan_request_flag</t>
        </is>
      </c>
      <c r="AG3" s="7" t="inlineStr">
        <is>
          <t>property_tax_exemption_flag</t>
        </is>
      </c>
      <c r="AH3" s="7" t="inlineStr">
        <is>
          <t>pfc_structure_flag</t>
        </is>
      </c>
      <c r="AI3" s="7" t="inlineStr">
        <is>
          <t>site_control_valid_flag</t>
        </is>
      </c>
      <c r="AJ3" s="7" t="inlineStr">
        <is>
          <t>site_control_document_date</t>
        </is>
      </c>
      <c r="AK3" s="7" t="inlineStr">
        <is>
          <t>resolutions_complete_flag</t>
        </is>
      </c>
      <c r="AL3" s="7" t="inlineStr">
        <is>
          <t>local_approval_complete_flag</t>
        </is>
      </c>
      <c r="AM3" s="7" t="inlineStr">
        <is>
          <t>third_party_reports_complete_flag</t>
        </is>
      </c>
      <c r="AN3" s="7" t="inlineStr">
        <is>
          <t>esa_complete_flag</t>
        </is>
      </c>
      <c r="AO3" s="7" t="inlineStr">
        <is>
          <t>market_analysis_complete_flag</t>
        </is>
      </c>
      <c r="AP3" s="7" t="inlineStr">
        <is>
          <t>appraisal_complete_flag</t>
        </is>
      </c>
      <c r="AQ3" s="7" t="inlineStr">
        <is>
          <t>scr_complete_flag</t>
        </is>
      </c>
      <c r="AR3" s="7" t="inlineStr">
        <is>
          <t>feasibility_report_complete_flag</t>
        </is>
      </c>
      <c r="AS3" s="7" t="inlineStr">
        <is>
          <t>deficiency_notice_issued_flag</t>
        </is>
      </c>
      <c r="AT3" s="7" t="inlineStr">
        <is>
          <t>deficiency_notice_date</t>
        </is>
      </c>
      <c r="AU3" s="7" t="inlineStr">
        <is>
          <t>deficiency_response_due_date</t>
        </is>
      </c>
      <c r="AV3" s="7" t="inlineStr">
        <is>
          <t>deficiency_cleared_flag</t>
        </is>
      </c>
      <c r="AW3" s="7" t="inlineStr">
        <is>
          <t>deficiency_cleared_date</t>
        </is>
      </c>
      <c r="AX3" s="7" t="inlineStr">
        <is>
          <t>material_deficiency_flag</t>
        </is>
      </c>
      <c r="AY3" s="7" t="inlineStr">
        <is>
          <t>underwriting_complete_flag</t>
        </is>
      </c>
      <c r="AZ3" s="7" t="inlineStr">
        <is>
          <t>underwriting_pass_flag</t>
        </is>
      </c>
      <c r="BA3" s="7" t="inlineStr">
        <is>
          <t>financial_feasible_flag</t>
        </is>
      </c>
      <c r="BB3" s="7" t="inlineStr">
        <is>
          <t>deconcentration_compliant_flag</t>
        </is>
      </c>
      <c r="BC3" s="7" t="inlineStr">
        <is>
          <t>one_mile_rule_compliant_flag</t>
        </is>
      </c>
      <c r="BD3" s="7" t="inlineStr">
        <is>
          <t>two_mile_same_year_rule_relevant_flag</t>
        </is>
      </c>
      <c r="BE3" s="7" t="inlineStr">
        <is>
          <t>existing_lura_conflict_flag</t>
        </is>
      </c>
      <c r="BF3" s="7" t="inlineStr">
        <is>
          <t>rural_area_flag</t>
        </is>
      </c>
      <c r="BG3" s="7" t="inlineStr">
        <is>
          <t>urban_area_flag</t>
        </is>
      </c>
      <c r="BH3" s="7" t="inlineStr">
        <is>
          <t>qct_flag</t>
        </is>
      </c>
      <c r="BI3" s="7" t="inlineStr">
        <is>
          <t>high_opportunity_override_flag</t>
        </is>
      </c>
      <c r="BJ3" s="7" t="inlineStr">
        <is>
          <t>streamlined_eligible_flag</t>
        </is>
      </c>
      <c r="BK3" s="7" t="inlineStr">
        <is>
          <t>board_review_required_flag</t>
        </is>
      </c>
      <c r="BL3" s="7" t="inlineStr">
        <is>
          <t>chapter12_issue_flag</t>
        </is>
      </c>
      <c r="BM3" s="7" t="inlineStr">
        <is>
          <t>ready_for_determination_notice_flag</t>
        </is>
      </c>
      <c r="BN3" s="7" t="inlineStr">
        <is>
          <t>ready_for_board_flag</t>
        </is>
      </c>
      <c r="BO3" s="7" t="inlineStr">
        <is>
          <t>pipeline_entry_date</t>
        </is>
      </c>
      <c r="BP3" s="7" t="inlineStr">
        <is>
          <t>carryforward_from_prior_log_flag</t>
        </is>
      </c>
      <c r="BQ3" s="7" t="inlineStr">
        <is>
          <t>new_project_this_snapshot_flag</t>
        </is>
      </c>
      <c r="BR3" s="7" t="inlineStr">
        <is>
          <t>all_manual_boxes_checked_flag</t>
        </is>
      </c>
      <c r="BS3" s="7" t="inlineStr">
        <is>
          <t>project_ready_now_flag</t>
        </is>
      </c>
      <c r="BT3" s="7" t="inlineStr">
        <is>
          <t>pipeline_seniority_rank_manual</t>
        </is>
      </c>
      <c r="BU3" s="7" t="inlineStr">
        <is>
          <t>predicted_next_status</t>
        </is>
      </c>
      <c r="BV3" s="7" t="inlineStr">
        <is>
          <t>predicted_next_path</t>
        </is>
      </c>
      <c r="BW3" s="7" t="inlineStr">
        <is>
          <t>predicted_blocker_code</t>
        </is>
      </c>
      <c r="BX3" s="7" t="inlineStr">
        <is>
          <t>predicted_reason_1</t>
        </is>
      </c>
      <c r="BY3" s="7" t="inlineStr">
        <is>
          <t>predicted_reason_2</t>
        </is>
      </c>
      <c r="BZ3" s="7" t="inlineStr">
        <is>
          <t>predicted_reason_3</t>
        </is>
      </c>
      <c r="CA3" s="7" t="inlineStr">
        <is>
          <t>predicted_relative_rank</t>
        </is>
      </c>
      <c r="CB3" s="7" t="inlineStr">
        <is>
          <t>predicted_advance_flag</t>
        </is>
      </c>
      <c r="CC3" s="7" t="inlineStr">
        <is>
          <t>notes</t>
        </is>
      </c>
      <c r="CD3" s="7" t="inlineStr">
        <is>
          <t>applicant_contact</t>
        </is>
      </c>
      <c r="CE3" s="7" t="inlineStr">
        <is>
          <t>applicant_phone</t>
        </is>
      </c>
      <c r="CF3" s="7" t="inlineStr">
        <is>
          <t>applicant_email</t>
        </is>
      </c>
      <c r="CG3" s="7" t="inlineStr">
        <is>
          <t>bond_issuer_contact</t>
        </is>
      </c>
      <c r="CH3" s="7" t="inlineStr">
        <is>
          <t>bond_issuer_phone</t>
        </is>
      </c>
    </row>
    <row r="4">
      <c r="A4" s="8" t="inlineStr">
        <is>
          <t>2026-02-10</t>
        </is>
      </c>
      <c r="B4" s="9" t="inlineStr">
        <is>
          <t>2026-02-10</t>
        </is>
      </c>
      <c r="C4" s="9" t="inlineStr">
        <is>
          <t>25427</t>
        </is>
      </c>
      <c r="D4" s="9" t="n">
        <v>24426</v>
      </c>
      <c r="E4" s="9" t="inlineStr">
        <is>
          <t>Bay Terrace</t>
        </is>
      </c>
      <c r="F4" s="9" t="inlineStr">
        <is>
          <t>Baytown</t>
        </is>
      </c>
      <c r="G4" s="9" t="inlineStr">
        <is>
          <t>Harris</t>
        </is>
      </c>
      <c r="H4" s="9" t="n">
        <v>6</v>
      </c>
      <c r="I4" s="9" t="inlineStr">
        <is>
          <t>1502 Nolan Road</t>
        </is>
      </c>
      <c r="J4" s="9" t="n">
        <v>77520</v>
      </c>
      <c r="K4" s="8" t="n">
        <v>45659</v>
      </c>
      <c r="L4" s="9" t="inlineStr">
        <is>
          <t>Closed</t>
        </is>
      </c>
      <c r="M4" s="8" t="n">
        <v>45757</v>
      </c>
      <c r="N4" s="8" t="n">
        <v>45834</v>
      </c>
      <c r="O4" s="8" t="n">
        <v>45670</v>
      </c>
      <c r="P4" s="8" t="n">
        <v>45850</v>
      </c>
      <c r="Q4" s="8" t="n"/>
      <c r="R4" s="9" t="inlineStr">
        <is>
          <t>Acq/Rehab</t>
        </is>
      </c>
      <c r="S4" s="9" t="inlineStr">
        <is>
          <t>General</t>
        </is>
      </c>
      <c r="T4" s="10" t="n">
        <v>130</v>
      </c>
      <c r="U4" s="10" t="n">
        <v>130</v>
      </c>
      <c r="V4" s="9" t="n"/>
      <c r="W4" s="9" t="n"/>
      <c r="X4" s="9" t="inlineStr">
        <is>
          <t>Southeast Texas HFC</t>
        </is>
      </c>
      <c r="Y4" s="9" t="inlineStr">
        <is>
          <t>Local HFC</t>
        </is>
      </c>
      <c r="Z4" s="11" t="n">
        <v>22500000</v>
      </c>
      <c r="AA4" s="11" t="n"/>
      <c r="AB4" s="11" t="n">
        <v>1300304</v>
      </c>
      <c r="AC4" s="11" t="n">
        <v>1285865</v>
      </c>
      <c r="AD4" s="11" t="n">
        <v>1250000</v>
      </c>
      <c r="AE4" s="11" t="n">
        <v>1250000</v>
      </c>
      <c r="AF4" s="9" t="inlineStr">
        <is>
          <t>N</t>
        </is>
      </c>
      <c r="AG4" s="9" t="inlineStr">
        <is>
          <t>N</t>
        </is>
      </c>
      <c r="AH4" s="9" t="n"/>
      <c r="AI4" s="9" t="inlineStr">
        <is>
          <t>Y</t>
        </is>
      </c>
      <c r="AJ4" s="8" t="n"/>
      <c r="AK4" s="9" t="inlineStr">
        <is>
          <t>Y</t>
        </is>
      </c>
      <c r="AL4" s="9" t="inlineStr">
        <is>
          <t>Y</t>
        </is>
      </c>
      <c r="AM4" s="9" t="inlineStr">
        <is>
          <t>Y</t>
        </is>
      </c>
      <c r="AN4" s="9" t="n"/>
      <c r="AO4" s="9" t="n"/>
      <c r="AP4" s="9" t="n"/>
      <c r="AQ4" s="9" t="n"/>
      <c r="AR4" s="9" t="n"/>
      <c r="AS4" s="9" t="inlineStr">
        <is>
          <t>N</t>
        </is>
      </c>
      <c r="AT4" s="8" t="n"/>
      <c r="AU4" s="8" t="n"/>
      <c r="AV4" s="9" t="n"/>
      <c r="AW4" s="8" t="n"/>
      <c r="AX4" s="9" t="inlineStr">
        <is>
          <t>N</t>
        </is>
      </c>
      <c r="AY4" s="9" t="inlineStr">
        <is>
          <t>Y</t>
        </is>
      </c>
      <c r="AZ4" s="9" t="inlineStr">
        <is>
          <t>Y</t>
        </is>
      </c>
      <c r="BA4" s="9" t="inlineStr">
        <is>
          <t>Y</t>
        </is>
      </c>
      <c r="BB4" s="9" t="inlineStr">
        <is>
          <t>Y</t>
        </is>
      </c>
      <c r="BC4" s="9" t="inlineStr">
        <is>
          <t>Y</t>
        </is>
      </c>
      <c r="BD4" s="9" t="n"/>
      <c r="BE4" s="9" t="inlineStr">
        <is>
          <t>N</t>
        </is>
      </c>
      <c r="BF4" s="9" t="n"/>
      <c r="BG4" s="9" t="n"/>
      <c r="BH4" s="9" t="n"/>
      <c r="BI4" s="9" t="n"/>
      <c r="BJ4" s="9" t="inlineStr">
        <is>
          <t>Y</t>
        </is>
      </c>
      <c r="BK4" s="9" t="inlineStr">
        <is>
          <t>N</t>
        </is>
      </c>
      <c r="BL4" s="9" t="inlineStr">
        <is>
          <t>N</t>
        </is>
      </c>
      <c r="BM4" s="9" t="inlineStr">
        <is>
          <t>Y</t>
        </is>
      </c>
      <c r="BN4" s="9" t="inlineStr">
        <is>
          <t>Y</t>
        </is>
      </c>
      <c r="BO4" s="8" t="n">
        <v>45659</v>
      </c>
      <c r="BP4" s="9" t="inlineStr">
        <is>
          <t>Y</t>
        </is>
      </c>
      <c r="BQ4" s="9" t="inlineStr">
        <is>
          <t>N</t>
        </is>
      </c>
      <c r="BR4" s="13">
        <f>IF(COUNTIF(AI4:BM4,"N")+COUNTBLANK(AI4:BM4)=0,"Y","N")</f>
        <v/>
      </c>
      <c r="BS4" s="13">
        <f>IF(AND(BR4="Y",OR(L4="Submitted",L4="Under Review")),"Y",IF(L4="Closed","Y","N"))</f>
        <v/>
      </c>
      <c r="BT4" s="10" t="n">
        <v>5</v>
      </c>
      <c r="BU4" s="13">
        <f>Rule_Flags!Q3</f>
        <v/>
      </c>
      <c r="BV4" s="13">
        <f>Rule_Flags!P3</f>
        <v/>
      </c>
      <c r="BW4" s="13">
        <f>IF(Rule_Flags!E3=1,"SITE_CONTROL",IF(Rule_Flags!F3=1,"APPROVALS",IF(Rule_Flags!G3=1,"REPORTS",IF(Rule_Flags!H3=1,"DEFICIENCY",IF(Rule_Flags!I3=1,"UNDERWRITING",IF(Rule_Flags!J3=1,"COMPLIANCE",""))))))</f>
        <v/>
      </c>
      <c r="BX4" s="13">
        <f>IF(BW4="SITE_CONTROL","Site control missing or invalid",IF(BW4="APPROVALS","Required approvals or resolutions incomplete",IF(BW4="REPORTS","Required third-party reports incomplete",IF(BW4="DEFICIENCY","Unresolved deficiency or material deficiency",IF(BW4="UNDERWRITING","Underwriting / feasibility not passed",IF(BW4="COMPLIANCE","Deconcentration, one-mile, LURA, or Chapter 12 issue","Ready under current engine rules"))))))</f>
        <v/>
      </c>
      <c r="BY4" s="13">
        <f>IF(BV4="Determination Notice","Streamlined + DN-ready assumptions satisfied",IF(BV4="Board","Board-required or board-ready assumptions satisfied",""))</f>
        <v/>
      </c>
      <c r="BZ4" s="13">
        <f>IF(AND(BP4="Y",BQ4&lt;&gt;"Y"),"Carryforward project retains queue priority",IF(BQ4="Y","New project enters behind carryforward projects",""))</f>
        <v/>
      </c>
      <c r="CA4" s="13">
        <f>_xludf.RANK.EQ(Rule_Flags!O3,Rule_Flags!$O$3:$O$402,0)</f>
        <v/>
      </c>
      <c r="CB4" s="13">
        <f>IF(OR(BU4="Determination Notice Issued",BU4="Board",BU4="Closed"),"Y","N")</f>
        <v/>
      </c>
      <c r="CC4" s="9" t="n"/>
      <c r="CD4" s="9" t="inlineStr">
        <is>
          <t>Steve Anderson</t>
        </is>
      </c>
      <c r="CE4" s="9" t="inlineStr">
        <is>
          <t>(650) 400-8553</t>
        </is>
      </c>
      <c r="CF4" s="9" t="inlineStr">
        <is>
          <t>steve@anderson.org</t>
        </is>
      </c>
      <c r="CG4" s="9" t="inlineStr">
        <is>
          <t>Ron Williams</t>
        </is>
      </c>
      <c r="CH4" s="9" t="inlineStr">
        <is>
          <t>(281) 484-4663</t>
        </is>
      </c>
    </row>
    <row r="5">
      <c r="A5" s="8" t="inlineStr">
        <is>
          <t>2026-02-10</t>
        </is>
      </c>
      <c r="B5" s="9" t="inlineStr">
        <is>
          <t>2026-02-10</t>
        </is>
      </c>
      <c r="C5" s="9" t="inlineStr">
        <is>
          <t>25428</t>
        </is>
      </c>
      <c r="D5" s="9" t="n">
        <v>24434</v>
      </c>
      <c r="E5" s="9" t="inlineStr">
        <is>
          <t>Independence Village</t>
        </is>
      </c>
      <c r="F5" s="9" t="inlineStr">
        <is>
          <t>Amarillo</t>
        </is>
      </c>
      <c r="G5" s="9" t="inlineStr">
        <is>
          <t>Randall</t>
        </is>
      </c>
      <c r="H5" s="9" t="n">
        <v>1</v>
      </c>
      <c r="I5" s="9" t="inlineStr">
        <is>
          <t>4700 Virginia</t>
        </is>
      </c>
      <c r="J5" s="9" t="n">
        <v>79109</v>
      </c>
      <c r="K5" s="8" t="n">
        <v>45659</v>
      </c>
      <c r="L5" s="9" t="inlineStr">
        <is>
          <t>Withdrawn</t>
        </is>
      </c>
      <c r="M5" s="8" t="n">
        <v>45820</v>
      </c>
      <c r="N5" s="8" t="n"/>
      <c r="O5" s="8" t="n">
        <v>45723</v>
      </c>
      <c r="P5" s="8" t="n">
        <v>45903</v>
      </c>
      <c r="Q5" s="8" t="n"/>
      <c r="R5" s="9" t="inlineStr">
        <is>
          <t>Acq/Rehab</t>
        </is>
      </c>
      <c r="S5" s="9" t="inlineStr">
        <is>
          <t>Elderly</t>
        </is>
      </c>
      <c r="T5" s="10" t="n">
        <v>150</v>
      </c>
      <c r="U5" s="10" t="n">
        <v>150</v>
      </c>
      <c r="V5" s="9" t="n"/>
      <c r="W5" s="9" t="n"/>
      <c r="X5" s="9" t="inlineStr">
        <is>
          <t>Panhandle Regional HFC</t>
        </is>
      </c>
      <c r="Y5" s="9" t="inlineStr">
        <is>
          <t>Local HFC</t>
        </is>
      </c>
      <c r="Z5" s="11" t="n">
        <v>25000000</v>
      </c>
      <c r="AA5" s="11" t="n"/>
      <c r="AB5" s="11" t="n">
        <v>1324312</v>
      </c>
      <c r="AC5" s="11" t="n"/>
      <c r="AD5" s="11" t="n">
        <v>463534</v>
      </c>
      <c r="AE5" s="11" t="n"/>
      <c r="AF5" s="9" t="inlineStr">
        <is>
          <t>N</t>
        </is>
      </c>
      <c r="AG5" s="9" t="inlineStr">
        <is>
          <t>N</t>
        </is>
      </c>
      <c r="AH5" s="9" t="n"/>
      <c r="AI5" s="9" t="inlineStr">
        <is>
          <t>Y</t>
        </is>
      </c>
      <c r="AJ5" s="8" t="n"/>
      <c r="AK5" s="9" t="inlineStr">
        <is>
          <t>Y</t>
        </is>
      </c>
      <c r="AL5" s="9" t="inlineStr">
        <is>
          <t>Y</t>
        </is>
      </c>
      <c r="AM5" s="9" t="inlineStr">
        <is>
          <t>Y</t>
        </is>
      </c>
      <c r="AN5" s="9" t="n"/>
      <c r="AO5" s="9" t="n"/>
      <c r="AP5" s="9" t="n"/>
      <c r="AQ5" s="9" t="n"/>
      <c r="AR5" s="9" t="n"/>
      <c r="AS5" s="9" t="inlineStr">
        <is>
          <t>N</t>
        </is>
      </c>
      <c r="AT5" s="8" t="n"/>
      <c r="AU5" s="8" t="n"/>
      <c r="AV5" s="9" t="n"/>
      <c r="AW5" s="8" t="n"/>
      <c r="AX5" s="9" t="inlineStr">
        <is>
          <t>N</t>
        </is>
      </c>
      <c r="AY5" s="9" t="inlineStr">
        <is>
          <t>Y</t>
        </is>
      </c>
      <c r="AZ5" s="9" t="inlineStr">
        <is>
          <t>Y</t>
        </is>
      </c>
      <c r="BA5" s="9" t="inlineStr">
        <is>
          <t>Y</t>
        </is>
      </c>
      <c r="BB5" s="9" t="inlineStr">
        <is>
          <t>Y</t>
        </is>
      </c>
      <c r="BC5" s="9" t="inlineStr">
        <is>
          <t>Y</t>
        </is>
      </c>
      <c r="BD5" s="9" t="n"/>
      <c r="BE5" s="9" t="inlineStr">
        <is>
          <t>N</t>
        </is>
      </c>
      <c r="BF5" s="9" t="n"/>
      <c r="BG5" s="9" t="n"/>
      <c r="BH5" s="9" t="n"/>
      <c r="BI5" s="9" t="n"/>
      <c r="BJ5" s="9" t="inlineStr">
        <is>
          <t>Y</t>
        </is>
      </c>
      <c r="BK5" s="9" t="inlineStr">
        <is>
          <t>N</t>
        </is>
      </c>
      <c r="BL5" s="9" t="inlineStr">
        <is>
          <t>N</t>
        </is>
      </c>
      <c r="BM5" s="9" t="inlineStr">
        <is>
          <t>Y</t>
        </is>
      </c>
      <c r="BN5" s="9" t="inlineStr">
        <is>
          <t>Y</t>
        </is>
      </c>
      <c r="BO5" s="8" t="n">
        <v>45659</v>
      </c>
      <c r="BP5" s="9" t="inlineStr">
        <is>
          <t>Y</t>
        </is>
      </c>
      <c r="BQ5" s="9" t="inlineStr">
        <is>
          <t>N</t>
        </is>
      </c>
      <c r="BR5" s="13">
        <f>IF(COUNTIF(AI5:BM5,"N")+COUNTBLANK(AI5:BM5)=0,"Y","N")</f>
        <v/>
      </c>
      <c r="BS5" s="13">
        <f>IF(AND(BR5="Y",OR(L5="Submitted",L5="Under Review")),"Y",IF(L5="Closed","Y","N"))</f>
        <v/>
      </c>
      <c r="BT5" s="10" t="n">
        <v>6</v>
      </c>
      <c r="BU5" s="13">
        <f>Rule_Flags!Q4</f>
        <v/>
      </c>
      <c r="BV5" s="13">
        <f>Rule_Flags!P4</f>
        <v/>
      </c>
      <c r="BW5" s="13">
        <f>IF(Rule_Flags!E4=1,"SITE_CONTROL",IF(Rule_Flags!F4=1,"APPROVALS",IF(Rule_Flags!G4=1,"REPORTS",IF(Rule_Flags!H4=1,"DEFICIENCY",IF(Rule_Flags!I4=1,"UNDERWRITING",IF(Rule_Flags!J4=1,"COMPLIANCE",""))))))</f>
        <v/>
      </c>
      <c r="BX5" s="13">
        <f>IF(BW5="SITE_CONTROL","Site control missing or invalid",IF(BW5="APPROVALS","Required approvals or resolutions incomplete",IF(BW5="REPORTS","Required third-party reports incomplete",IF(BW5="DEFICIENCY","Unresolved deficiency or material deficiency",IF(BW5="UNDERWRITING","Underwriting / feasibility not passed",IF(BW5="COMPLIANCE","Deconcentration, one-mile, LURA, or Chapter 12 issue","Ready under current engine rules"))))))</f>
        <v/>
      </c>
      <c r="BY5" s="13">
        <f>IF(BV5="Determination Notice","Streamlined + DN-ready assumptions satisfied",IF(BV5="Board","Board-required or board-ready assumptions satisfied",""))</f>
        <v/>
      </c>
      <c r="BZ5" s="13">
        <f>IF(AND(BP5="Y",BQ5&lt;&gt;"Y"),"Carryforward project retains queue priority",IF(BQ5="Y","New project enters behind carryforward projects",""))</f>
        <v/>
      </c>
      <c r="CA5" s="13">
        <f>_xludf.RANK.EQ(Rule_Flags!O4,Rule_Flags!$O$3:$O$402,0)</f>
        <v/>
      </c>
      <c r="CB5" s="13">
        <f>IF(OR(BU5="Determination Notice Issued",BU5="Board",BU5="Closed"),"Y","N")</f>
        <v/>
      </c>
      <c r="CC5" s="9" t="n"/>
      <c r="CD5" s="9" t="inlineStr">
        <is>
          <t>Rae Wilder</t>
        </is>
      </c>
      <c r="CE5" s="9" t="inlineStr">
        <is>
          <t>(805) 413-0672</t>
        </is>
      </c>
      <c r="CF5" s="9" t="inlineStr">
        <is>
          <t>rachel.posthumus@ccinvest.com</t>
        </is>
      </c>
      <c r="CG5" s="9" t="inlineStr">
        <is>
          <t>Michael Carr</t>
        </is>
      </c>
      <c r="CH5" s="9" t="inlineStr">
        <is>
          <t>(806) 360-2060</t>
        </is>
      </c>
    </row>
    <row r="6">
      <c r="A6" s="8" t="inlineStr">
        <is>
          <t>2026-02-10</t>
        </is>
      </c>
      <c r="B6" s="9" t="inlineStr">
        <is>
          <t>2026-02-10</t>
        </is>
      </c>
      <c r="C6" s="9" t="inlineStr">
        <is>
          <t>25420</t>
        </is>
      </c>
      <c r="D6" s="9" t="n"/>
      <c r="E6" s="9" t="inlineStr">
        <is>
          <t>The Bloom at Lamar Square</t>
        </is>
      </c>
      <c r="F6" s="9" t="inlineStr">
        <is>
          <t>Austin</t>
        </is>
      </c>
      <c r="G6" s="9" t="inlineStr">
        <is>
          <t>Travis</t>
        </is>
      </c>
      <c r="H6" s="9" t="n">
        <v>7</v>
      </c>
      <c r="I6" s="9" t="inlineStr">
        <is>
          <t>1326 &amp; 1328 Lamar Square Drive</t>
        </is>
      </c>
      <c r="J6" s="9" t="n">
        <v>78704</v>
      </c>
      <c r="K6" s="8" t="n">
        <v>45659</v>
      </c>
      <c r="L6" s="9" t="inlineStr">
        <is>
          <t>Withdrawn</t>
        </is>
      </c>
      <c r="M6" s="8" t="n">
        <v>45757</v>
      </c>
      <c r="N6" s="8" t="n">
        <v>45880</v>
      </c>
      <c r="O6" s="8" t="n">
        <v>45880</v>
      </c>
      <c r="P6" s="8" t="n">
        <v>46060</v>
      </c>
      <c r="Q6" s="8" t="n"/>
      <c r="R6" s="9" t="inlineStr">
        <is>
          <t>New Construction</t>
        </is>
      </c>
      <c r="S6" s="9" t="inlineStr">
        <is>
          <t>Supportive Housing</t>
        </is>
      </c>
      <c r="T6" s="10" t="n">
        <v>58</v>
      </c>
      <c r="U6" s="10" t="n">
        <v>58</v>
      </c>
      <c r="V6" s="9" t="n"/>
      <c r="W6" s="9" t="n"/>
      <c r="X6" s="9" t="inlineStr">
        <is>
          <t>TSAHC</t>
        </is>
      </c>
      <c r="Y6" s="9" t="inlineStr">
        <is>
          <t>Other</t>
        </is>
      </c>
      <c r="Z6" s="11" t="n">
        <v>16500000</v>
      </c>
      <c r="AA6" s="11" t="n"/>
      <c r="AB6" s="11" t="n">
        <v>903744</v>
      </c>
      <c r="AC6" s="11" t="n">
        <v>903744</v>
      </c>
      <c r="AD6" s="11" t="n">
        <v>900000</v>
      </c>
      <c r="AE6" s="11" t="n"/>
      <c r="AF6" s="9" t="inlineStr">
        <is>
          <t>N</t>
        </is>
      </c>
      <c r="AG6" s="9" t="inlineStr">
        <is>
          <t>Y</t>
        </is>
      </c>
      <c r="AH6" s="9" t="n"/>
      <c r="AI6" s="9" t="inlineStr">
        <is>
          <t>Y</t>
        </is>
      </c>
      <c r="AJ6" s="8" t="n"/>
      <c r="AK6" s="9" t="inlineStr">
        <is>
          <t>Y</t>
        </is>
      </c>
      <c r="AL6" s="9" t="inlineStr">
        <is>
          <t>Y</t>
        </is>
      </c>
      <c r="AM6" s="9" t="inlineStr">
        <is>
          <t>Y</t>
        </is>
      </c>
      <c r="AN6" s="9" t="n"/>
      <c r="AO6" s="9" t="n"/>
      <c r="AP6" s="9" t="n"/>
      <c r="AQ6" s="9" t="n"/>
      <c r="AR6" s="9" t="n"/>
      <c r="AS6" s="9" t="inlineStr">
        <is>
          <t>N</t>
        </is>
      </c>
      <c r="AT6" s="8" t="n"/>
      <c r="AU6" s="8" t="n"/>
      <c r="AV6" s="9" t="n"/>
      <c r="AW6" s="8" t="n"/>
      <c r="AX6" s="9" t="inlineStr">
        <is>
          <t>N</t>
        </is>
      </c>
      <c r="AY6" s="9" t="inlineStr">
        <is>
          <t>Y</t>
        </is>
      </c>
      <c r="AZ6" s="9" t="inlineStr">
        <is>
          <t>Y</t>
        </is>
      </c>
      <c r="BA6" s="9" t="inlineStr">
        <is>
          <t>Y</t>
        </is>
      </c>
      <c r="BB6" s="9" t="inlineStr">
        <is>
          <t>Y</t>
        </is>
      </c>
      <c r="BC6" s="9" t="inlineStr">
        <is>
          <t>Y</t>
        </is>
      </c>
      <c r="BD6" s="9" t="n"/>
      <c r="BE6" s="9" t="inlineStr">
        <is>
          <t>N</t>
        </is>
      </c>
      <c r="BF6" s="9" t="n"/>
      <c r="BG6" s="9" t="n"/>
      <c r="BH6" s="9" t="n"/>
      <c r="BI6" s="9" t="n"/>
      <c r="BJ6" s="9" t="inlineStr">
        <is>
          <t>Y</t>
        </is>
      </c>
      <c r="BK6" s="9" t="inlineStr">
        <is>
          <t>N</t>
        </is>
      </c>
      <c r="BL6" s="9" t="inlineStr">
        <is>
          <t>N</t>
        </is>
      </c>
      <c r="BM6" s="9" t="inlineStr">
        <is>
          <t>Y</t>
        </is>
      </c>
      <c r="BN6" s="9" t="inlineStr">
        <is>
          <t>Y</t>
        </is>
      </c>
      <c r="BO6" s="8" t="n">
        <v>45659</v>
      </c>
      <c r="BP6" s="9" t="inlineStr">
        <is>
          <t>Y</t>
        </is>
      </c>
      <c r="BQ6" s="9" t="inlineStr">
        <is>
          <t>N</t>
        </is>
      </c>
      <c r="BR6" s="13">
        <f>IF(COUNTIF(AI6:BM6,"N")+COUNTBLANK(AI6:BM6)=0,"Y","N")</f>
        <v/>
      </c>
      <c r="BS6" s="13">
        <f>IF(AND(BR6="Y",OR(L6="Submitted",L6="Under Review")),"Y",IF(L6="Closed","Y","N"))</f>
        <v/>
      </c>
      <c r="BT6" s="10" t="n">
        <v>4</v>
      </c>
      <c r="BU6" s="13">
        <f>Rule_Flags!Q5</f>
        <v/>
      </c>
      <c r="BV6" s="13">
        <f>Rule_Flags!P5</f>
        <v/>
      </c>
      <c r="BW6" s="13">
        <f>IF(Rule_Flags!E5=1,"SITE_CONTROL",IF(Rule_Flags!F5=1,"APPROVALS",IF(Rule_Flags!G5=1,"REPORTS",IF(Rule_Flags!H5=1,"DEFICIENCY",IF(Rule_Flags!I5=1,"UNDERWRITING",IF(Rule_Flags!J5=1,"COMPLIANCE",""))))))</f>
        <v/>
      </c>
      <c r="BX6" s="13">
        <f>IF(BW6="SITE_CONTROL","Site control missing or invalid",IF(BW6="APPROVALS","Required approvals or resolutions incomplete",IF(BW6="REPORTS","Required third-party reports incomplete",IF(BW6="DEFICIENCY","Unresolved deficiency or material deficiency",IF(BW6="UNDERWRITING","Underwriting / feasibility not passed",IF(BW6="COMPLIANCE","Deconcentration, one-mile, LURA, or Chapter 12 issue","Ready under current engine rules"))))))</f>
        <v/>
      </c>
      <c r="BY6" s="13">
        <f>IF(BV6="Determination Notice","Streamlined + DN-ready assumptions satisfied",IF(BV6="Board","Board-required or board-ready assumptions satisfied",""))</f>
        <v/>
      </c>
      <c r="BZ6" s="13">
        <f>IF(AND(BP6="Y",BQ6&lt;&gt;"Y"),"Carryforward project retains queue priority",IF(BQ6="Y","New project enters behind carryforward projects",""))</f>
        <v/>
      </c>
      <c r="CA6" s="13">
        <f>_xludf.RANK.EQ(Rule_Flags!O5,Rule_Flags!$O$3:$O$402,0)</f>
        <v/>
      </c>
      <c r="CB6" s="13">
        <f>IF(OR(BU6="Determination Notice Issued",BU6="Board",BU6="Closed"),"Y","N")</f>
        <v/>
      </c>
      <c r="CC6" s="9" t="inlineStr">
        <is>
          <t>construction_type mapped from raw 'NC' to 'New Construction'; property_tax_exemption normalized from 'Y (50%)' to 'Y'</t>
        </is>
      </c>
      <c r="CD6" s="9" t="inlineStr">
        <is>
          <t>Walter Moreau</t>
        </is>
      </c>
      <c r="CE6" s="9" t="inlineStr">
        <is>
          <t>(512) 610-4016</t>
        </is>
      </c>
      <c r="CF6" s="9" t="inlineStr">
        <is>
          <t>walter.moreau@foundcom.org</t>
        </is>
      </c>
      <c r="CG6" s="9" t="inlineStr">
        <is>
          <t>David Danenfelzer</t>
        </is>
      </c>
      <c r="CH6" s="9" t="inlineStr">
        <is>
          <t>(512) 477-3562</t>
        </is>
      </c>
    </row>
    <row r="7">
      <c r="A7" s="8" t="inlineStr">
        <is>
          <t>2026-02-10</t>
        </is>
      </c>
      <c r="B7" s="9" t="inlineStr">
        <is>
          <t>2026-02-10</t>
        </is>
      </c>
      <c r="C7" s="9" t="inlineStr">
        <is>
          <t>25429</t>
        </is>
      </c>
      <c r="D7" s="9" t="n"/>
      <c r="E7" s="9" t="inlineStr">
        <is>
          <t>Huntington Place Senior Little Elm</t>
        </is>
      </c>
      <c r="F7" s="9" t="inlineStr">
        <is>
          <t>Little Elm</t>
        </is>
      </c>
      <c r="G7" s="9" t="inlineStr">
        <is>
          <t>Denton</t>
        </is>
      </c>
      <c r="H7" s="9" t="n">
        <v>3</v>
      </c>
      <c r="I7" s="9" t="inlineStr">
        <is>
          <t>NEQ Navo Road and Union Park Blvd</t>
        </is>
      </c>
      <c r="J7" s="9" t="n">
        <v>76227</v>
      </c>
      <c r="K7" s="8" t="n">
        <v>45663</v>
      </c>
      <c r="L7" s="9" t="inlineStr">
        <is>
          <t>Closed</t>
        </is>
      </c>
      <c r="M7" s="8" t="n">
        <v>45757</v>
      </c>
      <c r="N7" s="8" t="n">
        <v>45769</v>
      </c>
      <c r="O7" s="8" t="n">
        <v>45670</v>
      </c>
      <c r="P7" s="8" t="n">
        <v>45850</v>
      </c>
      <c r="Q7" s="8" t="n"/>
      <c r="R7" s="9" t="inlineStr">
        <is>
          <t>New Construction</t>
        </is>
      </c>
      <c r="S7" s="9" t="inlineStr">
        <is>
          <t>Elderly</t>
        </is>
      </c>
      <c r="T7" s="10" t="n">
        <v>198</v>
      </c>
      <c r="U7" s="10" t="n">
        <v>198</v>
      </c>
      <c r="V7" s="9" t="n"/>
      <c r="W7" s="9" t="n"/>
      <c r="X7" s="9" t="inlineStr">
        <is>
          <t>THF PFC</t>
        </is>
      </c>
      <c r="Y7" s="9" t="inlineStr">
        <is>
          <t>Other</t>
        </is>
      </c>
      <c r="Z7" s="11" t="n">
        <v>35000000</v>
      </c>
      <c r="AA7" s="11" t="n"/>
      <c r="AB7" s="11" t="n">
        <v>1987061</v>
      </c>
      <c r="AC7" s="11" t="n">
        <v>1987061</v>
      </c>
      <c r="AD7" s="11" t="n"/>
      <c r="AE7" s="11" t="n"/>
      <c r="AF7" s="9" t="inlineStr">
        <is>
          <t>N</t>
        </is>
      </c>
      <c r="AG7" s="9" t="inlineStr">
        <is>
          <t>Y</t>
        </is>
      </c>
      <c r="AH7" s="9" t="inlineStr">
        <is>
          <t>Y</t>
        </is>
      </c>
      <c r="AI7" s="9" t="inlineStr">
        <is>
          <t>Y</t>
        </is>
      </c>
      <c r="AJ7" s="8" t="n"/>
      <c r="AK7" s="9" t="inlineStr">
        <is>
          <t>Y</t>
        </is>
      </c>
      <c r="AL7" s="9" t="inlineStr">
        <is>
          <t>Y</t>
        </is>
      </c>
      <c r="AM7" s="9" t="inlineStr">
        <is>
          <t>Y</t>
        </is>
      </c>
      <c r="AN7" s="9" t="n"/>
      <c r="AO7" s="9" t="n"/>
      <c r="AP7" s="9" t="n"/>
      <c r="AQ7" s="9" t="n"/>
      <c r="AR7" s="9" t="n"/>
      <c r="AS7" s="9" t="inlineStr">
        <is>
          <t>N</t>
        </is>
      </c>
      <c r="AT7" s="8" t="n"/>
      <c r="AU7" s="8" t="n"/>
      <c r="AV7" s="9" t="n"/>
      <c r="AW7" s="8" t="n"/>
      <c r="AX7" s="9" t="inlineStr">
        <is>
          <t>N</t>
        </is>
      </c>
      <c r="AY7" s="9" t="inlineStr">
        <is>
          <t>Y</t>
        </is>
      </c>
      <c r="AZ7" s="9" t="inlineStr">
        <is>
          <t>Y</t>
        </is>
      </c>
      <c r="BA7" s="9" t="inlineStr">
        <is>
          <t>Y</t>
        </is>
      </c>
      <c r="BB7" s="9" t="inlineStr">
        <is>
          <t>Y</t>
        </is>
      </c>
      <c r="BC7" s="9" t="inlineStr">
        <is>
          <t>Y</t>
        </is>
      </c>
      <c r="BD7" s="9" t="n"/>
      <c r="BE7" s="9" t="inlineStr">
        <is>
          <t>N</t>
        </is>
      </c>
      <c r="BF7" s="9" t="n"/>
      <c r="BG7" s="9" t="n"/>
      <c r="BH7" s="9" t="n"/>
      <c r="BI7" s="9" t="n"/>
      <c r="BJ7" s="9" t="inlineStr">
        <is>
          <t>Y</t>
        </is>
      </c>
      <c r="BK7" s="9" t="inlineStr">
        <is>
          <t>N</t>
        </is>
      </c>
      <c r="BL7" s="9" t="inlineStr">
        <is>
          <t>N</t>
        </is>
      </c>
      <c r="BM7" s="9" t="inlineStr">
        <is>
          <t>Y</t>
        </is>
      </c>
      <c r="BN7" s="9" t="inlineStr">
        <is>
          <t>Y</t>
        </is>
      </c>
      <c r="BO7" s="8" t="n">
        <v>45663</v>
      </c>
      <c r="BP7" s="9" t="inlineStr">
        <is>
          <t>Y</t>
        </is>
      </c>
      <c r="BQ7" s="9" t="inlineStr">
        <is>
          <t>N</t>
        </is>
      </c>
      <c r="BR7" s="13">
        <f>IF(COUNTIF(AI7:BM7,"N")+COUNTBLANK(AI7:BM7)=0,"Y","N")</f>
        <v/>
      </c>
      <c r="BS7" s="13">
        <f>IF(AND(BR7="Y",OR(L7="Submitted",L7="Under Review")),"Y",IF(L7="Closed","Y","N"))</f>
        <v/>
      </c>
      <c r="BT7" s="10" t="n">
        <v>7</v>
      </c>
      <c r="BU7" s="13">
        <f>Rule_Flags!Q6</f>
        <v/>
      </c>
      <c r="BV7" s="13">
        <f>Rule_Flags!P6</f>
        <v/>
      </c>
      <c r="BW7" s="13">
        <f>IF(Rule_Flags!E6=1,"SITE_CONTROL",IF(Rule_Flags!F6=1,"APPROVALS",IF(Rule_Flags!G6=1,"REPORTS",IF(Rule_Flags!H6=1,"DEFICIENCY",IF(Rule_Flags!I6=1,"UNDERWRITING",IF(Rule_Flags!J6=1,"COMPLIANCE",""))))))</f>
        <v/>
      </c>
      <c r="BX7" s="13">
        <f>IF(BW7="SITE_CONTROL","Site control missing or invalid",IF(BW7="APPROVALS","Required approvals or resolutions incomplete",IF(BW7="REPORTS","Required third-party reports incomplete",IF(BW7="DEFICIENCY","Unresolved deficiency or material deficiency",IF(BW7="UNDERWRITING","Underwriting / feasibility not passed",IF(BW7="COMPLIANCE","Deconcentration, one-mile, LURA, or Chapter 12 issue","Ready under current engine rules"))))))</f>
        <v/>
      </c>
      <c r="BY7" s="13">
        <f>IF(BV7="Determination Notice","Streamlined + DN-ready assumptions satisfied",IF(BV7="Board","Board-required or board-ready assumptions satisfied",""))</f>
        <v/>
      </c>
      <c r="BZ7" s="13">
        <f>IF(AND(BP7="Y",BQ7&lt;&gt;"Y"),"Carryforward project retains queue priority",IF(BQ7="Y","New project enters behind carryforward projects",""))</f>
        <v/>
      </c>
      <c r="CA7" s="13">
        <f>_xludf.RANK.EQ(Rule_Flags!O6,Rule_Flags!$O$3:$O$402,0)</f>
        <v/>
      </c>
      <c r="CB7" s="13">
        <f>IF(OR(BU7="Determination Notice Issued",BU7="Board",BU7="Closed"),"Y","N")</f>
        <v/>
      </c>
      <c r="CC7" s="9" t="inlineStr">
        <is>
          <t>construction_type mapped from raw 'NC' to 'New Construction'</t>
        </is>
      </c>
      <c r="CD7" s="9" t="inlineStr">
        <is>
          <t>Ryan Combs</t>
        </is>
      </c>
      <c r="CE7" s="9" t="inlineStr">
        <is>
          <t>(512) 983-0422</t>
        </is>
      </c>
      <c r="CF7" s="9" t="inlineStr">
        <is>
          <t>ryan@crossdevelopment.net</t>
        </is>
      </c>
      <c r="CG7" s="9" t="inlineStr">
        <is>
          <t>Jonathan Coreas</t>
        </is>
      </c>
      <c r="CH7" s="9" t="inlineStr">
        <is>
          <t>(830) 693-8100</t>
        </is>
      </c>
    </row>
    <row r="8">
      <c r="A8" s="8" t="inlineStr">
        <is>
          <t>2026-02-10</t>
        </is>
      </c>
      <c r="B8" s="9" t="inlineStr">
        <is>
          <t>2026-02-10</t>
        </is>
      </c>
      <c r="C8" s="9" t="inlineStr">
        <is>
          <t>25415</t>
        </is>
      </c>
      <c r="D8" s="9" t="n">
        <v>8417</v>
      </c>
      <c r="E8" s="9" t="inlineStr">
        <is>
          <t>Seville Apartments</t>
        </is>
      </c>
      <c r="F8" s="9" t="inlineStr">
        <is>
          <t>Beaumont</t>
        </is>
      </c>
      <c r="G8" s="9" t="inlineStr">
        <is>
          <t>Jefferson</t>
        </is>
      </c>
      <c r="H8" s="9" t="n">
        <v>5</v>
      </c>
      <c r="I8" s="9" t="inlineStr">
        <is>
          <t>4325 Crow Road</t>
        </is>
      </c>
      <c r="J8" s="9" t="n">
        <v>77706</v>
      </c>
      <c r="K8" s="8" t="n">
        <v>45665</v>
      </c>
      <c r="L8" s="9" t="inlineStr">
        <is>
          <t>Closed</t>
        </is>
      </c>
      <c r="M8" s="8" t="n">
        <v>45785</v>
      </c>
      <c r="N8" s="8" t="n">
        <v>45811</v>
      </c>
      <c r="O8" s="8" t="n">
        <v>45667</v>
      </c>
      <c r="P8" s="8" t="n">
        <v>45847</v>
      </c>
      <c r="Q8" s="8" t="n"/>
      <c r="R8" s="9" t="inlineStr">
        <is>
          <t>Acq/Rehab</t>
        </is>
      </c>
      <c r="S8" s="9" t="inlineStr">
        <is>
          <t>Elderly</t>
        </is>
      </c>
      <c r="T8" s="10" t="n">
        <v>90</v>
      </c>
      <c r="U8" s="10" t="n">
        <v>90</v>
      </c>
      <c r="V8" s="9" t="n"/>
      <c r="W8" s="9" t="n"/>
      <c r="X8" s="9" t="inlineStr">
        <is>
          <t>Jefferson County HFC</t>
        </is>
      </c>
      <c r="Y8" s="9" t="inlineStr">
        <is>
          <t>Local HFC</t>
        </is>
      </c>
      <c r="Z8" s="11" t="n">
        <v>10000000</v>
      </c>
      <c r="AA8" s="11" t="n"/>
      <c r="AB8" s="11" t="n">
        <v>645144</v>
      </c>
      <c r="AC8" s="11" t="n">
        <v>645144</v>
      </c>
      <c r="AD8" s="11" t="n"/>
      <c r="AE8" s="11" t="n"/>
      <c r="AF8" s="9" t="inlineStr">
        <is>
          <t>N</t>
        </is>
      </c>
      <c r="AG8" s="9" t="inlineStr">
        <is>
          <t>Y</t>
        </is>
      </c>
      <c r="AH8" s="9" t="n"/>
      <c r="AI8" s="9" t="inlineStr">
        <is>
          <t>Y</t>
        </is>
      </c>
      <c r="AJ8" s="8" t="n"/>
      <c r="AK8" s="9" t="inlineStr">
        <is>
          <t>Y</t>
        </is>
      </c>
      <c r="AL8" s="9" t="inlineStr">
        <is>
          <t>Y</t>
        </is>
      </c>
      <c r="AM8" s="9" t="inlineStr">
        <is>
          <t>Y</t>
        </is>
      </c>
      <c r="AN8" s="9" t="n"/>
      <c r="AO8" s="9" t="n"/>
      <c r="AP8" s="9" t="n"/>
      <c r="AQ8" s="9" t="n"/>
      <c r="AR8" s="9" t="n"/>
      <c r="AS8" s="9" t="inlineStr">
        <is>
          <t>N</t>
        </is>
      </c>
      <c r="AT8" s="8" t="n"/>
      <c r="AU8" s="8" t="n"/>
      <c r="AV8" s="9" t="n"/>
      <c r="AW8" s="8" t="n"/>
      <c r="AX8" s="9" t="inlineStr">
        <is>
          <t>N</t>
        </is>
      </c>
      <c r="AY8" s="9" t="inlineStr">
        <is>
          <t>Y</t>
        </is>
      </c>
      <c r="AZ8" s="9" t="inlineStr">
        <is>
          <t>Y</t>
        </is>
      </c>
      <c r="BA8" s="9" t="inlineStr">
        <is>
          <t>Y</t>
        </is>
      </c>
      <c r="BB8" s="9" t="inlineStr">
        <is>
          <t>Y</t>
        </is>
      </c>
      <c r="BC8" s="9" t="inlineStr">
        <is>
          <t>Y</t>
        </is>
      </c>
      <c r="BD8" s="9" t="n"/>
      <c r="BE8" s="9" t="inlineStr">
        <is>
          <t>N</t>
        </is>
      </c>
      <c r="BF8" s="9" t="n"/>
      <c r="BG8" s="9" t="n"/>
      <c r="BH8" s="9" t="n"/>
      <c r="BI8" s="9" t="n"/>
      <c r="BJ8" s="9" t="inlineStr">
        <is>
          <t>Y</t>
        </is>
      </c>
      <c r="BK8" s="9" t="inlineStr">
        <is>
          <t>N</t>
        </is>
      </c>
      <c r="BL8" s="9" t="inlineStr">
        <is>
          <t>N</t>
        </is>
      </c>
      <c r="BM8" s="9" t="inlineStr">
        <is>
          <t>Y</t>
        </is>
      </c>
      <c r="BN8" s="9" t="inlineStr">
        <is>
          <t>Y</t>
        </is>
      </c>
      <c r="BO8" s="8" t="n">
        <v>45665</v>
      </c>
      <c r="BP8" s="9" t="inlineStr">
        <is>
          <t>Y</t>
        </is>
      </c>
      <c r="BQ8" s="9" t="inlineStr">
        <is>
          <t>N</t>
        </is>
      </c>
      <c r="BR8" s="13">
        <f>IF(COUNTIF(AI8:BM8,"N")+COUNTBLANK(AI8:BM8)=0,"Y","N")</f>
        <v/>
      </c>
      <c r="BS8" s="13">
        <f>IF(AND(BR8="Y",OR(L8="Submitted",L8="Under Review")),"Y",IF(L8="Closed","Y","N"))</f>
        <v/>
      </c>
      <c r="BT8" s="10" t="n">
        <v>11</v>
      </c>
      <c r="BU8" s="13">
        <f>Rule_Flags!Q7</f>
        <v/>
      </c>
      <c r="BV8" s="13">
        <f>Rule_Flags!P7</f>
        <v/>
      </c>
      <c r="BW8" s="13">
        <f>IF(Rule_Flags!E7=1,"SITE_CONTROL",IF(Rule_Flags!F7=1,"APPROVALS",IF(Rule_Flags!G7=1,"REPORTS",IF(Rule_Flags!H7=1,"DEFICIENCY",IF(Rule_Flags!I7=1,"UNDERWRITING",IF(Rule_Flags!J7=1,"COMPLIANCE",""))))))</f>
        <v/>
      </c>
      <c r="BX8" s="13">
        <f>IF(BW8="SITE_CONTROL","Site control missing or invalid",IF(BW8="APPROVALS","Required approvals or resolutions incomplete",IF(BW8="REPORTS","Required third-party reports incomplete",IF(BW8="DEFICIENCY","Unresolved deficiency or material deficiency",IF(BW8="UNDERWRITING","Underwriting / feasibility not passed",IF(BW8="COMPLIANCE","Deconcentration, one-mile, LURA, or Chapter 12 issue","Ready under current engine rules"))))))</f>
        <v/>
      </c>
      <c r="BY8" s="13">
        <f>IF(BV8="Determination Notice","Streamlined + DN-ready assumptions satisfied",IF(BV8="Board","Board-required or board-ready assumptions satisfied",""))</f>
        <v/>
      </c>
      <c r="BZ8" s="13">
        <f>IF(AND(BP8="Y",BQ8&lt;&gt;"Y"),"Carryforward project retains queue priority",IF(BQ8="Y","New project enters behind carryforward projects",""))</f>
        <v/>
      </c>
      <c r="CA8" s="13">
        <f>_xludf.RANK.EQ(Rule_Flags!O7,Rule_Flags!$O$3:$O$402,0)</f>
        <v/>
      </c>
      <c r="CB8" s="13">
        <f>IF(OR(BU8="Determination Notice Issued",BU8="Board",BU8="Closed"),"Y","N")</f>
        <v/>
      </c>
      <c r="CC8" s="9" t="n"/>
      <c r="CD8" s="9" t="inlineStr">
        <is>
          <t>Andrew Bennett</t>
        </is>
      </c>
      <c r="CE8" s="9" t="inlineStr">
        <is>
          <t>(720) 749-3206</t>
        </is>
      </c>
      <c r="CF8" s="9" t="inlineStr">
        <is>
          <t>abennett@steelellc.com</t>
        </is>
      </c>
      <c r="CG8" s="9" t="inlineStr">
        <is>
          <t>Jeff Branick</t>
        </is>
      </c>
      <c r="CH8" s="9" t="inlineStr">
        <is>
          <t>(409) 654-6730</t>
        </is>
      </c>
    </row>
    <row r="9">
      <c r="A9" s="8" t="inlineStr">
        <is>
          <t>2026-02-10</t>
        </is>
      </c>
      <c r="B9" s="9" t="inlineStr">
        <is>
          <t>2026-02-10</t>
        </is>
      </c>
      <c r="C9" s="9" t="inlineStr">
        <is>
          <t>25409</t>
        </is>
      </c>
      <c r="D9" s="9" t="inlineStr">
        <is>
          <t>060628</t>
        </is>
      </c>
      <c r="E9" s="9" t="inlineStr">
        <is>
          <t>Lancaster Apartments</t>
        </is>
      </c>
      <c r="F9" s="9" t="inlineStr">
        <is>
          <t>Katy</t>
        </is>
      </c>
      <c r="G9" s="9" t="inlineStr">
        <is>
          <t>Harris</t>
        </is>
      </c>
      <c r="H9" s="9" t="n">
        <v>6</v>
      </c>
      <c r="I9" s="9" t="inlineStr">
        <is>
          <t>20100 Park Row Boulevard</t>
        </is>
      </c>
      <c r="J9" s="9" t="n">
        <v>77449</v>
      </c>
      <c r="K9" s="8" t="n">
        <v>45665</v>
      </c>
      <c r="L9" s="9" t="inlineStr">
        <is>
          <t>Closed</t>
        </is>
      </c>
      <c r="M9" s="8" t="n">
        <v>45757</v>
      </c>
      <c r="N9" s="8" t="n">
        <v>45772</v>
      </c>
      <c r="O9" s="8" t="n">
        <v>45670</v>
      </c>
      <c r="P9" s="8" t="n">
        <v>45850</v>
      </c>
      <c r="Q9" s="8" t="n"/>
      <c r="R9" s="9" t="inlineStr">
        <is>
          <t>Acq/Rehab</t>
        </is>
      </c>
      <c r="S9" s="9" t="inlineStr">
        <is>
          <t>General</t>
        </is>
      </c>
      <c r="T9" s="10" t="n">
        <v>252</v>
      </c>
      <c r="U9" s="10" t="n">
        <v>252</v>
      </c>
      <c r="V9" s="9" t="n"/>
      <c r="W9" s="9" t="n"/>
      <c r="X9" s="9" t="inlineStr">
        <is>
          <t>HHA Fountainview PFC</t>
        </is>
      </c>
      <c r="Y9" s="9" t="inlineStr">
        <is>
          <t>Other</t>
        </is>
      </c>
      <c r="Z9" s="11" t="n">
        <v>30000000</v>
      </c>
      <c r="AA9" s="11" t="n"/>
      <c r="AB9" s="11" t="n">
        <v>1710060</v>
      </c>
      <c r="AC9" s="11" t="n">
        <v>1710060</v>
      </c>
      <c r="AD9" s="11" t="n">
        <v>350000</v>
      </c>
      <c r="AE9" s="11" t="n"/>
      <c r="AF9" s="9" t="inlineStr">
        <is>
          <t>N</t>
        </is>
      </c>
      <c r="AG9" s="9" t="inlineStr">
        <is>
          <t>Y</t>
        </is>
      </c>
      <c r="AH9" s="9" t="inlineStr">
        <is>
          <t>Y</t>
        </is>
      </c>
      <c r="AI9" s="9" t="inlineStr">
        <is>
          <t>Y</t>
        </is>
      </c>
      <c r="AJ9" s="8" t="n"/>
      <c r="AK9" s="9" t="inlineStr">
        <is>
          <t>Y</t>
        </is>
      </c>
      <c r="AL9" s="9" t="inlineStr">
        <is>
          <t>Y</t>
        </is>
      </c>
      <c r="AM9" s="9" t="inlineStr">
        <is>
          <t>Y</t>
        </is>
      </c>
      <c r="AN9" s="9" t="n"/>
      <c r="AO9" s="9" t="n"/>
      <c r="AP9" s="9" t="n"/>
      <c r="AQ9" s="9" t="n"/>
      <c r="AR9" s="9" t="n"/>
      <c r="AS9" s="9" t="inlineStr">
        <is>
          <t>N</t>
        </is>
      </c>
      <c r="AT9" s="8" t="n"/>
      <c r="AU9" s="8" t="n"/>
      <c r="AV9" s="9" t="n"/>
      <c r="AW9" s="8" t="n"/>
      <c r="AX9" s="9" t="inlineStr">
        <is>
          <t>N</t>
        </is>
      </c>
      <c r="AY9" s="9" t="inlineStr">
        <is>
          <t>Y</t>
        </is>
      </c>
      <c r="AZ9" s="9" t="inlineStr">
        <is>
          <t>Y</t>
        </is>
      </c>
      <c r="BA9" s="9" t="inlineStr">
        <is>
          <t>Y</t>
        </is>
      </c>
      <c r="BB9" s="9" t="inlineStr">
        <is>
          <t>Y</t>
        </is>
      </c>
      <c r="BC9" s="9" t="inlineStr">
        <is>
          <t>Y</t>
        </is>
      </c>
      <c r="BD9" s="9" t="n"/>
      <c r="BE9" s="9" t="inlineStr">
        <is>
          <t>N</t>
        </is>
      </c>
      <c r="BF9" s="9" t="n"/>
      <c r="BG9" s="9" t="n"/>
      <c r="BH9" s="9" t="n"/>
      <c r="BI9" s="9" t="n"/>
      <c r="BJ9" s="9" t="inlineStr">
        <is>
          <t>Y</t>
        </is>
      </c>
      <c r="BK9" s="9" t="inlineStr">
        <is>
          <t>N</t>
        </is>
      </c>
      <c r="BL9" s="9" t="inlineStr">
        <is>
          <t>N</t>
        </is>
      </c>
      <c r="BM9" s="9" t="inlineStr">
        <is>
          <t>Y</t>
        </is>
      </c>
      <c r="BN9" s="9" t="inlineStr">
        <is>
          <t>Y</t>
        </is>
      </c>
      <c r="BO9" s="8" t="n">
        <v>45665</v>
      </c>
      <c r="BP9" s="9" t="inlineStr">
        <is>
          <t>Y</t>
        </is>
      </c>
      <c r="BQ9" s="9" t="inlineStr">
        <is>
          <t>N</t>
        </is>
      </c>
      <c r="BR9" s="13">
        <f>IF(COUNTIF(AI9:BM9,"N")+COUNTBLANK(AI9:BM9)=0,"Y","N")</f>
        <v/>
      </c>
      <c r="BS9" s="13">
        <f>IF(AND(BR9="Y",OR(L9="Submitted",L9="Under Review")),"Y",IF(L9="Closed","Y","N"))</f>
        <v/>
      </c>
      <c r="BT9" s="10" t="n">
        <v>8</v>
      </c>
      <c r="BU9" s="13">
        <f>Rule_Flags!Q8</f>
        <v/>
      </c>
      <c r="BV9" s="13">
        <f>Rule_Flags!P8</f>
        <v/>
      </c>
      <c r="BW9" s="13">
        <f>IF(Rule_Flags!E8=1,"SITE_CONTROL",IF(Rule_Flags!F8=1,"APPROVALS",IF(Rule_Flags!G8=1,"REPORTS",IF(Rule_Flags!H8=1,"DEFICIENCY",IF(Rule_Flags!I8=1,"UNDERWRITING",IF(Rule_Flags!J8=1,"COMPLIANCE",""))))))</f>
        <v/>
      </c>
      <c r="BX9" s="13">
        <f>IF(BW9="SITE_CONTROL","Site control missing or invalid",IF(BW9="APPROVALS","Required approvals or resolutions incomplete",IF(BW9="REPORTS","Required third-party reports incomplete",IF(BW9="DEFICIENCY","Unresolved deficiency or material deficiency",IF(BW9="UNDERWRITING","Underwriting / feasibility not passed",IF(BW9="COMPLIANCE","Deconcentration, one-mile, LURA, or Chapter 12 issue","Ready under current engine rules"))))))</f>
        <v/>
      </c>
      <c r="BY9" s="13">
        <f>IF(BV9="Determination Notice","Streamlined + DN-ready assumptions satisfied",IF(BV9="Board","Board-required or board-ready assumptions satisfied",""))</f>
        <v/>
      </c>
      <c r="BZ9" s="13">
        <f>IF(AND(BP9="Y",BQ9&lt;&gt;"Y"),"Carryforward project retains queue priority",IF(BQ9="Y","New project enters behind carryforward projects",""))</f>
        <v/>
      </c>
      <c r="CA9" s="13">
        <f>_xludf.RANK.EQ(Rule_Flags!O8,Rule_Flags!$O$3:$O$402,0)</f>
        <v/>
      </c>
      <c r="CB9" s="13">
        <f>IF(OR(BU9="Determination Notice Issued",BU9="Board",BU9="Closed"),"Y","N")</f>
        <v/>
      </c>
      <c r="CC9" s="9" t="n"/>
      <c r="CD9" s="9" t="inlineStr">
        <is>
          <t>Jeremy Bartholomew</t>
        </is>
      </c>
      <c r="CE9" s="9" t="inlineStr">
        <is>
          <t>(713) 334-5514</t>
        </is>
      </c>
      <c r="CF9" s="9" t="inlineStr">
        <is>
          <t>jeremy@resolutioncompanies.com</t>
        </is>
      </c>
      <c r="CG9" s="9" t="inlineStr">
        <is>
          <t>Jennine Hovell-Cox</t>
        </is>
      </c>
      <c r="CH9" s="9" t="inlineStr">
        <is>
          <t>(713) 260-0501</t>
        </is>
      </c>
    </row>
    <row r="10">
      <c r="A10" s="8" t="inlineStr">
        <is>
          <t>2026-02-10</t>
        </is>
      </c>
      <c r="B10" s="9" t="inlineStr">
        <is>
          <t>2026-02-10</t>
        </is>
      </c>
      <c r="C10" s="9" t="inlineStr">
        <is>
          <t>25410</t>
        </is>
      </c>
      <c r="D10" s="9" t="inlineStr">
        <is>
          <t>07433</t>
        </is>
      </c>
      <c r="E10" s="9" t="inlineStr">
        <is>
          <t>Regency Park</t>
        </is>
      </c>
      <c r="F10" s="9" t="inlineStr">
        <is>
          <t>Houston</t>
        </is>
      </c>
      <c r="G10" s="9" t="inlineStr">
        <is>
          <t>Harris</t>
        </is>
      </c>
      <c r="H10" s="9" t="n">
        <v>6</v>
      </c>
      <c r="I10" s="9" t="inlineStr">
        <is>
          <t>10600 Southown Trace Trail</t>
        </is>
      </c>
      <c r="J10" s="9" t="n">
        <v>77034</v>
      </c>
      <c r="K10" s="8" t="n">
        <v>45665</v>
      </c>
      <c r="L10" s="9" t="inlineStr">
        <is>
          <t>Closed</t>
        </is>
      </c>
      <c r="M10" s="8" t="n">
        <v>45757</v>
      </c>
      <c r="N10" s="8" t="n">
        <v>45772</v>
      </c>
      <c r="O10" s="8" t="n">
        <v>45670</v>
      </c>
      <c r="P10" s="8" t="n">
        <v>45850</v>
      </c>
      <c r="Q10" s="8" t="n"/>
      <c r="R10" s="9" t="inlineStr">
        <is>
          <t>Acq/Rehab</t>
        </is>
      </c>
      <c r="S10" s="9" t="inlineStr">
        <is>
          <t>General</t>
        </is>
      </c>
      <c r="T10" s="10" t="n">
        <v>252</v>
      </c>
      <c r="U10" s="10" t="n">
        <v>252</v>
      </c>
      <c r="V10" s="9" t="n"/>
      <c r="W10" s="9" t="n"/>
      <c r="X10" s="9" t="inlineStr">
        <is>
          <t>HHA Fountainview PFC</t>
        </is>
      </c>
      <c r="Y10" s="9" t="inlineStr">
        <is>
          <t>Other</t>
        </is>
      </c>
      <c r="Z10" s="11" t="n">
        <v>30000000</v>
      </c>
      <c r="AA10" s="11" t="n"/>
      <c r="AB10" s="11" t="n">
        <v>1408353</v>
      </c>
      <c r="AC10" s="11" t="n">
        <v>1408353</v>
      </c>
      <c r="AD10" s="11" t="n">
        <v>470000</v>
      </c>
      <c r="AE10" s="11" t="n"/>
      <c r="AF10" s="9" t="inlineStr">
        <is>
          <t>N</t>
        </is>
      </c>
      <c r="AG10" s="9" t="inlineStr">
        <is>
          <t>Y</t>
        </is>
      </c>
      <c r="AH10" s="9" t="inlineStr">
        <is>
          <t>Y</t>
        </is>
      </c>
      <c r="AI10" s="9" t="inlineStr">
        <is>
          <t>Y</t>
        </is>
      </c>
      <c r="AJ10" s="8" t="n"/>
      <c r="AK10" s="9" t="inlineStr">
        <is>
          <t>Y</t>
        </is>
      </c>
      <c r="AL10" s="9" t="inlineStr">
        <is>
          <t>Y</t>
        </is>
      </c>
      <c r="AM10" s="9" t="inlineStr">
        <is>
          <t>Y</t>
        </is>
      </c>
      <c r="AN10" s="9" t="n"/>
      <c r="AO10" s="9" t="n"/>
      <c r="AP10" s="9" t="n"/>
      <c r="AQ10" s="9" t="n"/>
      <c r="AR10" s="9" t="n"/>
      <c r="AS10" s="9" t="inlineStr">
        <is>
          <t>N</t>
        </is>
      </c>
      <c r="AT10" s="8" t="n"/>
      <c r="AU10" s="8" t="n"/>
      <c r="AV10" s="9" t="n"/>
      <c r="AW10" s="8" t="n"/>
      <c r="AX10" s="9" t="inlineStr">
        <is>
          <t>N</t>
        </is>
      </c>
      <c r="AY10" s="9" t="inlineStr">
        <is>
          <t>Y</t>
        </is>
      </c>
      <c r="AZ10" s="9" t="inlineStr">
        <is>
          <t>Y</t>
        </is>
      </c>
      <c r="BA10" s="9" t="inlineStr">
        <is>
          <t>Y</t>
        </is>
      </c>
      <c r="BB10" s="9" t="inlineStr">
        <is>
          <t>Y</t>
        </is>
      </c>
      <c r="BC10" s="9" t="inlineStr">
        <is>
          <t>Y</t>
        </is>
      </c>
      <c r="BD10" s="9" t="n"/>
      <c r="BE10" s="9" t="inlineStr">
        <is>
          <t>N</t>
        </is>
      </c>
      <c r="BF10" s="9" t="n"/>
      <c r="BG10" s="9" t="n"/>
      <c r="BH10" s="9" t="n"/>
      <c r="BI10" s="9" t="n"/>
      <c r="BJ10" s="9" t="inlineStr">
        <is>
          <t>Y</t>
        </is>
      </c>
      <c r="BK10" s="9" t="inlineStr">
        <is>
          <t>N</t>
        </is>
      </c>
      <c r="BL10" s="9" t="inlineStr">
        <is>
          <t>N</t>
        </is>
      </c>
      <c r="BM10" s="9" t="inlineStr">
        <is>
          <t>Y</t>
        </is>
      </c>
      <c r="BN10" s="9" t="inlineStr">
        <is>
          <t>Y</t>
        </is>
      </c>
      <c r="BO10" s="8" t="n">
        <v>45665</v>
      </c>
      <c r="BP10" s="9" t="inlineStr">
        <is>
          <t>Y</t>
        </is>
      </c>
      <c r="BQ10" s="9" t="inlineStr">
        <is>
          <t>N</t>
        </is>
      </c>
      <c r="BR10" s="13">
        <f>IF(COUNTIF(AI10:BM10,"N")+COUNTBLANK(AI10:BM10)=0,"Y","N")</f>
        <v/>
      </c>
      <c r="BS10" s="13">
        <f>IF(AND(BR10="Y",OR(L10="Submitted",L10="Under Review")),"Y",IF(L10="Closed","Y","N"))</f>
        <v/>
      </c>
      <c r="BT10" s="10" t="n">
        <v>9</v>
      </c>
      <c r="BU10" s="13">
        <f>Rule_Flags!Q9</f>
        <v/>
      </c>
      <c r="BV10" s="13">
        <f>Rule_Flags!P9</f>
        <v/>
      </c>
      <c r="BW10" s="13">
        <f>IF(Rule_Flags!E9=1,"SITE_CONTROL",IF(Rule_Flags!F9=1,"APPROVALS",IF(Rule_Flags!G9=1,"REPORTS",IF(Rule_Flags!H9=1,"DEFICIENCY",IF(Rule_Flags!I9=1,"UNDERWRITING",IF(Rule_Flags!J9=1,"COMPLIANCE",""))))))</f>
        <v/>
      </c>
      <c r="BX10" s="13">
        <f>IF(BW10="SITE_CONTROL","Site control missing or invalid",IF(BW10="APPROVALS","Required approvals or resolutions incomplete",IF(BW10="REPORTS","Required third-party reports incomplete",IF(BW10="DEFICIENCY","Unresolved deficiency or material deficiency",IF(BW10="UNDERWRITING","Underwriting / feasibility not passed",IF(BW10="COMPLIANCE","Deconcentration, one-mile, LURA, or Chapter 12 issue","Ready under current engine rules"))))))</f>
        <v/>
      </c>
      <c r="BY10" s="13">
        <f>IF(BV10="Determination Notice","Streamlined + DN-ready assumptions satisfied",IF(BV10="Board","Board-required or board-ready assumptions satisfied",""))</f>
        <v/>
      </c>
      <c r="BZ10" s="13">
        <f>IF(AND(BP10="Y",BQ10&lt;&gt;"Y"),"Carryforward project retains queue priority",IF(BQ10="Y","New project enters behind carryforward projects",""))</f>
        <v/>
      </c>
      <c r="CA10" s="13">
        <f>_xludf.RANK.EQ(Rule_Flags!O9,Rule_Flags!$O$3:$O$402,0)</f>
        <v/>
      </c>
      <c r="CB10" s="13">
        <f>IF(OR(BU10="Determination Notice Issued",BU10="Board",BU10="Closed"),"Y","N")</f>
        <v/>
      </c>
      <c r="CC10" s="9" t="n"/>
      <c r="CD10" s="9" t="inlineStr">
        <is>
          <t>Jeremy Bartholomew</t>
        </is>
      </c>
      <c r="CE10" s="9" t="inlineStr">
        <is>
          <t>(713) 334-5514</t>
        </is>
      </c>
      <c r="CF10" s="9" t="inlineStr">
        <is>
          <t>jeremy@resolutioncompanies.com</t>
        </is>
      </c>
      <c r="CG10" s="9" t="inlineStr">
        <is>
          <t>Jennine Hovell-Cox</t>
        </is>
      </c>
      <c r="CH10" s="9" t="inlineStr">
        <is>
          <t>(713) 260-0501</t>
        </is>
      </c>
    </row>
    <row r="11">
      <c r="A11" s="8" t="inlineStr">
        <is>
          <t>2026-02-10</t>
        </is>
      </c>
      <c r="B11" s="9" t="inlineStr">
        <is>
          <t>2026-02-10</t>
        </is>
      </c>
      <c r="C11" s="9" t="inlineStr">
        <is>
          <t>25411</t>
        </is>
      </c>
      <c r="D11" s="9" t="inlineStr">
        <is>
          <t>01456</t>
        </is>
      </c>
      <c r="E11" s="9" t="inlineStr">
        <is>
          <t>Sugar Creek</t>
        </is>
      </c>
      <c r="F11" s="9" t="inlineStr">
        <is>
          <t>Houston</t>
        </is>
      </c>
      <c r="G11" s="9" t="inlineStr">
        <is>
          <t>Harris</t>
        </is>
      </c>
      <c r="H11" s="9" t="n">
        <v>6</v>
      </c>
      <c r="I11" s="9" t="inlineStr">
        <is>
          <t>11501 West Road</t>
        </is>
      </c>
      <c r="J11" s="9" t="n">
        <v>77065</v>
      </c>
      <c r="K11" s="8" t="n">
        <v>45665</v>
      </c>
      <c r="L11" s="9" t="inlineStr">
        <is>
          <t>Closed</t>
        </is>
      </c>
      <c r="M11" s="8" t="n">
        <v>45757</v>
      </c>
      <c r="N11" s="8" t="n">
        <v>45772</v>
      </c>
      <c r="O11" s="8" t="n">
        <v>45672</v>
      </c>
      <c r="P11" s="8" t="n">
        <v>45852</v>
      </c>
      <c r="Q11" s="8" t="n"/>
      <c r="R11" s="9" t="inlineStr">
        <is>
          <t>Acq/Rehab</t>
        </is>
      </c>
      <c r="S11" s="9" t="inlineStr">
        <is>
          <t>General</t>
        </is>
      </c>
      <c r="T11" s="10" t="n">
        <v>240</v>
      </c>
      <c r="U11" s="10" t="n">
        <v>240</v>
      </c>
      <c r="V11" s="9" t="n"/>
      <c r="W11" s="9" t="n"/>
      <c r="X11" s="9" t="inlineStr">
        <is>
          <t>HHA Fountainview PFC</t>
        </is>
      </c>
      <c r="Y11" s="9" t="inlineStr">
        <is>
          <t>Other</t>
        </is>
      </c>
      <c r="Z11" s="11" t="n">
        <v>28000000</v>
      </c>
      <c r="AA11" s="11" t="n"/>
      <c r="AB11" s="11" t="n">
        <v>1442123</v>
      </c>
      <c r="AC11" s="11" t="n">
        <v>1442123</v>
      </c>
      <c r="AD11" s="11" t="n"/>
      <c r="AE11" s="11" t="n"/>
      <c r="AF11" s="9" t="inlineStr">
        <is>
          <t>N</t>
        </is>
      </c>
      <c r="AG11" s="9" t="inlineStr">
        <is>
          <t>Y</t>
        </is>
      </c>
      <c r="AH11" s="9" t="inlineStr">
        <is>
          <t>Y</t>
        </is>
      </c>
      <c r="AI11" s="9" t="inlineStr">
        <is>
          <t>Y</t>
        </is>
      </c>
      <c r="AJ11" s="8" t="n"/>
      <c r="AK11" s="9" t="inlineStr">
        <is>
          <t>Y</t>
        </is>
      </c>
      <c r="AL11" s="9" t="inlineStr">
        <is>
          <t>Y</t>
        </is>
      </c>
      <c r="AM11" s="9" t="inlineStr">
        <is>
          <t>Y</t>
        </is>
      </c>
      <c r="AN11" s="9" t="n"/>
      <c r="AO11" s="9" t="n"/>
      <c r="AP11" s="9" t="n"/>
      <c r="AQ11" s="9" t="n"/>
      <c r="AR11" s="9" t="n"/>
      <c r="AS11" s="9" t="inlineStr">
        <is>
          <t>N</t>
        </is>
      </c>
      <c r="AT11" s="8" t="n"/>
      <c r="AU11" s="8" t="n"/>
      <c r="AV11" s="9" t="n"/>
      <c r="AW11" s="8" t="n"/>
      <c r="AX11" s="9" t="inlineStr">
        <is>
          <t>N</t>
        </is>
      </c>
      <c r="AY11" s="9" t="inlineStr">
        <is>
          <t>Y</t>
        </is>
      </c>
      <c r="AZ11" s="9" t="inlineStr">
        <is>
          <t>Y</t>
        </is>
      </c>
      <c r="BA11" s="9" t="inlineStr">
        <is>
          <t>Y</t>
        </is>
      </c>
      <c r="BB11" s="9" t="inlineStr">
        <is>
          <t>Y</t>
        </is>
      </c>
      <c r="BC11" s="9" t="inlineStr">
        <is>
          <t>Y</t>
        </is>
      </c>
      <c r="BD11" s="9" t="n"/>
      <c r="BE11" s="9" t="inlineStr">
        <is>
          <t>N</t>
        </is>
      </c>
      <c r="BF11" s="9" t="n"/>
      <c r="BG11" s="9" t="n"/>
      <c r="BH11" s="9" t="n"/>
      <c r="BI11" s="9" t="n"/>
      <c r="BJ11" s="9" t="inlineStr">
        <is>
          <t>Y</t>
        </is>
      </c>
      <c r="BK11" s="9" t="inlineStr">
        <is>
          <t>N</t>
        </is>
      </c>
      <c r="BL11" s="9" t="inlineStr">
        <is>
          <t>N</t>
        </is>
      </c>
      <c r="BM11" s="9" t="inlineStr">
        <is>
          <t>Y</t>
        </is>
      </c>
      <c r="BN11" s="9" t="inlineStr">
        <is>
          <t>Y</t>
        </is>
      </c>
      <c r="BO11" s="8" t="n">
        <v>45665</v>
      </c>
      <c r="BP11" s="9" t="inlineStr">
        <is>
          <t>Y</t>
        </is>
      </c>
      <c r="BQ11" s="9" t="inlineStr">
        <is>
          <t>N</t>
        </is>
      </c>
      <c r="BR11" s="13">
        <f>IF(COUNTIF(AI11:BM11,"N")+COUNTBLANK(AI11:BM11)=0,"Y","N")</f>
        <v/>
      </c>
      <c r="BS11" s="13">
        <f>IF(AND(BR11="Y",OR(L11="Submitted",L11="Under Review")),"Y",IF(L11="Closed","Y","N"))</f>
        <v/>
      </c>
      <c r="BT11" s="10" t="n">
        <v>10</v>
      </c>
      <c r="BU11" s="13">
        <f>Rule_Flags!Q10</f>
        <v/>
      </c>
      <c r="BV11" s="13">
        <f>Rule_Flags!P10</f>
        <v/>
      </c>
      <c r="BW11" s="13">
        <f>IF(Rule_Flags!E10=1,"SITE_CONTROL",IF(Rule_Flags!F10=1,"APPROVALS",IF(Rule_Flags!G10=1,"REPORTS",IF(Rule_Flags!H10=1,"DEFICIENCY",IF(Rule_Flags!I10=1,"UNDERWRITING",IF(Rule_Flags!J10=1,"COMPLIANCE",""))))))</f>
        <v/>
      </c>
      <c r="BX11" s="13">
        <f>IF(BW11="SITE_CONTROL","Site control missing or invalid",IF(BW11="APPROVALS","Required approvals or resolutions incomplete",IF(BW11="REPORTS","Required third-party reports incomplete",IF(BW11="DEFICIENCY","Unresolved deficiency or material deficiency",IF(BW11="UNDERWRITING","Underwriting / feasibility not passed",IF(BW11="COMPLIANCE","Deconcentration, one-mile, LURA, or Chapter 12 issue","Ready under current engine rules"))))))</f>
        <v/>
      </c>
      <c r="BY11" s="13">
        <f>IF(BV11="Determination Notice","Streamlined + DN-ready assumptions satisfied",IF(BV11="Board","Board-required or board-ready assumptions satisfied",""))</f>
        <v/>
      </c>
      <c r="BZ11" s="13">
        <f>IF(AND(BP11="Y",BQ11&lt;&gt;"Y"),"Carryforward project retains queue priority",IF(BQ11="Y","New project enters behind carryforward projects",""))</f>
        <v/>
      </c>
      <c r="CA11" s="13">
        <f>_xludf.RANK.EQ(Rule_Flags!O10,Rule_Flags!$O$3:$O$402,0)</f>
        <v/>
      </c>
      <c r="CB11" s="13">
        <f>IF(OR(BU11="Determination Notice Issued",BU11="Board",BU11="Closed"),"Y","N")</f>
        <v/>
      </c>
      <c r="CC11" s="9" t="n"/>
      <c r="CD11" s="9" t="inlineStr">
        <is>
          <t>Jeremy Bartholomew</t>
        </is>
      </c>
      <c r="CE11" s="9" t="inlineStr">
        <is>
          <t>(713) 334-5514</t>
        </is>
      </c>
      <c r="CF11" s="9" t="inlineStr">
        <is>
          <t>jeremy@resolutioncompanies.com</t>
        </is>
      </c>
      <c r="CG11" s="9" t="inlineStr">
        <is>
          <t>Jennine Hovell-Cox</t>
        </is>
      </c>
      <c r="CH11" s="9" t="inlineStr">
        <is>
          <t>(713) 260-0501</t>
        </is>
      </c>
    </row>
    <row r="12">
      <c r="A12" s="8" t="inlineStr">
        <is>
          <t>2026-02-10</t>
        </is>
      </c>
      <c r="B12" s="9" t="inlineStr">
        <is>
          <t>2026-02-10</t>
        </is>
      </c>
      <c r="C12" s="9" t="inlineStr">
        <is>
          <t>25433</t>
        </is>
      </c>
      <c r="D12" s="9" t="n"/>
      <c r="E12" s="9" t="inlineStr">
        <is>
          <t>Brady Village</t>
        </is>
      </c>
      <c r="F12" s="9" t="inlineStr">
        <is>
          <t>Lancaster</t>
        </is>
      </c>
      <c r="G12" s="9" t="inlineStr">
        <is>
          <t>Dallas</t>
        </is>
      </c>
      <c r="H12" s="9" t="n">
        <v>3</v>
      </c>
      <c r="I12" s="9" t="inlineStr">
        <is>
          <t>Brady Drive and McKinney Drive</t>
        </is>
      </c>
      <c r="J12" s="9" t="n">
        <v>75146</v>
      </c>
      <c r="K12" s="8" t="n">
        <v>45666</v>
      </c>
      <c r="L12" s="9" t="inlineStr">
        <is>
          <t>Withdrawn</t>
        </is>
      </c>
      <c r="M12" s="8" t="n">
        <v>45820</v>
      </c>
      <c r="N12" s="8" t="n"/>
      <c r="O12" s="8" t="n">
        <v>45667</v>
      </c>
      <c r="P12" s="8" t="n">
        <v>45847</v>
      </c>
      <c r="Q12" s="8" t="n"/>
      <c r="R12" s="9" t="inlineStr">
        <is>
          <t>Acq/Rehab</t>
        </is>
      </c>
      <c r="S12" s="9" t="inlineStr">
        <is>
          <t>General</t>
        </is>
      </c>
      <c r="T12" s="10" t="n">
        <v>60</v>
      </c>
      <c r="U12" s="10" t="n">
        <v>60</v>
      </c>
      <c r="V12" s="9" t="n"/>
      <c r="W12" s="9" t="n"/>
      <c r="X12" s="9" t="inlineStr">
        <is>
          <t>Texas Home Collaborative</t>
        </is>
      </c>
      <c r="Y12" s="9" t="inlineStr">
        <is>
          <t>Other</t>
        </is>
      </c>
      <c r="Z12" s="11" t="n">
        <v>25000000</v>
      </c>
      <c r="AA12" s="11" t="n"/>
      <c r="AB12" s="11" t="n">
        <v>752709</v>
      </c>
      <c r="AC12" s="11" t="n"/>
      <c r="AD12" s="11" t="n"/>
      <c r="AE12" s="11" t="n"/>
      <c r="AF12" s="9" t="inlineStr">
        <is>
          <t>N</t>
        </is>
      </c>
      <c r="AG12" s="9" t="inlineStr">
        <is>
          <t>N</t>
        </is>
      </c>
      <c r="AH12" s="9" t="n"/>
      <c r="AI12" s="9" t="inlineStr">
        <is>
          <t>Y</t>
        </is>
      </c>
      <c r="AJ12" s="8" t="n"/>
      <c r="AK12" s="9" t="inlineStr">
        <is>
          <t>Y</t>
        </is>
      </c>
      <c r="AL12" s="9" t="inlineStr">
        <is>
          <t>Y</t>
        </is>
      </c>
      <c r="AM12" s="9" t="inlineStr">
        <is>
          <t>Y</t>
        </is>
      </c>
      <c r="AN12" s="9" t="n"/>
      <c r="AO12" s="9" t="n"/>
      <c r="AP12" s="9" t="n"/>
      <c r="AQ12" s="9" t="n"/>
      <c r="AR12" s="9" t="n"/>
      <c r="AS12" s="9" t="inlineStr">
        <is>
          <t>N</t>
        </is>
      </c>
      <c r="AT12" s="8" t="n"/>
      <c r="AU12" s="8" t="n"/>
      <c r="AV12" s="9" t="n"/>
      <c r="AW12" s="8" t="n"/>
      <c r="AX12" s="9" t="inlineStr">
        <is>
          <t>N</t>
        </is>
      </c>
      <c r="AY12" s="9" t="inlineStr">
        <is>
          <t>Y</t>
        </is>
      </c>
      <c r="AZ12" s="9" t="inlineStr">
        <is>
          <t>Y</t>
        </is>
      </c>
      <c r="BA12" s="9" t="inlineStr">
        <is>
          <t>Y</t>
        </is>
      </c>
      <c r="BB12" s="9" t="inlineStr">
        <is>
          <t>Y</t>
        </is>
      </c>
      <c r="BC12" s="9" t="inlineStr">
        <is>
          <t>Y</t>
        </is>
      </c>
      <c r="BD12" s="9" t="n"/>
      <c r="BE12" s="9" t="inlineStr">
        <is>
          <t>N</t>
        </is>
      </c>
      <c r="BF12" s="9" t="n"/>
      <c r="BG12" s="9" t="n"/>
      <c r="BH12" s="9" t="n"/>
      <c r="BI12" s="9" t="n"/>
      <c r="BJ12" s="9" t="inlineStr">
        <is>
          <t>Y</t>
        </is>
      </c>
      <c r="BK12" s="9" t="inlineStr">
        <is>
          <t>N</t>
        </is>
      </c>
      <c r="BL12" s="9" t="inlineStr">
        <is>
          <t>N</t>
        </is>
      </c>
      <c r="BM12" s="9" t="inlineStr">
        <is>
          <t>Y</t>
        </is>
      </c>
      <c r="BN12" s="9" t="inlineStr">
        <is>
          <t>Y</t>
        </is>
      </c>
      <c r="BO12" s="8" t="n">
        <v>45666</v>
      </c>
      <c r="BP12" s="9" t="inlineStr">
        <is>
          <t>Y</t>
        </is>
      </c>
      <c r="BQ12" s="9" t="inlineStr">
        <is>
          <t>N</t>
        </is>
      </c>
      <c r="BR12" s="13">
        <f>IF(COUNTIF(AI12:BM12,"N")+COUNTBLANK(AI12:BM12)=0,"Y","N")</f>
        <v/>
      </c>
      <c r="BS12" s="13">
        <f>IF(AND(BR12="Y",OR(L12="Submitted",L12="Under Review")),"Y",IF(L12="Closed","Y","N"))</f>
        <v/>
      </c>
      <c r="BT12" s="10" t="n">
        <v>12</v>
      </c>
      <c r="BU12" s="13">
        <f>Rule_Flags!Q11</f>
        <v/>
      </c>
      <c r="BV12" s="13">
        <f>Rule_Flags!P11</f>
        <v/>
      </c>
      <c r="BW12" s="13">
        <f>IF(Rule_Flags!E11=1,"SITE_CONTROL",IF(Rule_Flags!F11=1,"APPROVALS",IF(Rule_Flags!G11=1,"REPORTS",IF(Rule_Flags!H11=1,"DEFICIENCY",IF(Rule_Flags!I11=1,"UNDERWRITING",IF(Rule_Flags!J11=1,"COMPLIANCE",""))))))</f>
        <v/>
      </c>
      <c r="BX12" s="13">
        <f>IF(BW12="SITE_CONTROL","Site control missing or invalid",IF(BW12="APPROVALS","Required approvals or resolutions incomplete",IF(BW12="REPORTS","Required third-party reports incomplete",IF(BW12="DEFICIENCY","Unresolved deficiency or material deficiency",IF(BW12="UNDERWRITING","Underwriting / feasibility not passed",IF(BW12="COMPLIANCE","Deconcentration, one-mile, LURA, or Chapter 12 issue","Ready under current engine rules"))))))</f>
        <v/>
      </c>
      <c r="BY12" s="13">
        <f>IF(BV12="Determination Notice","Streamlined + DN-ready assumptions satisfied",IF(BV12="Board","Board-required or board-ready assumptions satisfied",""))</f>
        <v/>
      </c>
      <c r="BZ12" s="13">
        <f>IF(AND(BP12="Y",BQ12&lt;&gt;"Y"),"Carryforward project retains queue priority",IF(BQ12="Y","New project enters behind carryforward projects",""))</f>
        <v/>
      </c>
      <c r="CA12" s="13">
        <f>_xludf.RANK.EQ(Rule_Flags!O11,Rule_Flags!$O$3:$O$402,0)</f>
        <v/>
      </c>
      <c r="CB12" s="13">
        <f>IF(OR(BU12="Determination Notice Issued",BU12="Board",BU12="Closed"),"Y","N")</f>
        <v/>
      </c>
      <c r="CC12" s="9" t="n"/>
      <c r="CD12" s="9" t="inlineStr">
        <is>
          <t>Melissa Fisher</t>
        </is>
      </c>
      <c r="CE12" s="9" t="inlineStr">
        <is>
          <t>(972) 701-5555</t>
        </is>
      </c>
      <c r="CF12" s="9" t="inlineStr">
        <is>
          <t>mfisher@rise-residential.com</t>
        </is>
      </c>
      <c r="CG12" s="9" t="inlineStr">
        <is>
          <t>Antonio Williams</t>
        </is>
      </c>
      <c r="CH12" s="9" t="inlineStr">
        <is>
          <t>(903) 276-7557</t>
        </is>
      </c>
    </row>
    <row r="13">
      <c r="A13" s="8" t="inlineStr">
        <is>
          <t>2026-02-10</t>
        </is>
      </c>
      <c r="B13" s="9" t="inlineStr">
        <is>
          <t>2026-02-10</t>
        </is>
      </c>
      <c r="C13" s="9" t="inlineStr">
        <is>
          <t>25434</t>
        </is>
      </c>
      <c r="D13" s="9" t="n">
        <v>9989</v>
      </c>
      <c r="E13" s="9" t="inlineStr">
        <is>
          <t>Seaport Village</t>
        </is>
      </c>
      <c r="F13" s="9" t="inlineStr">
        <is>
          <t>Galveston</t>
        </is>
      </c>
      <c r="G13" s="9" t="inlineStr">
        <is>
          <t>Galveston</t>
        </is>
      </c>
      <c r="H13" s="9" t="n">
        <v>6</v>
      </c>
      <c r="I13" s="9" t="inlineStr">
        <is>
          <t>7200 Heards Lane</t>
        </is>
      </c>
      <c r="J13" s="9" t="n">
        <v>77551</v>
      </c>
      <c r="K13" s="8" t="n">
        <v>45666</v>
      </c>
      <c r="L13" s="9" t="inlineStr">
        <is>
          <t>Withdrawn</t>
        </is>
      </c>
      <c r="M13" s="8" t="n">
        <v>45820</v>
      </c>
      <c r="N13" s="8" t="n"/>
      <c r="O13" s="8" t="n">
        <v>45667</v>
      </c>
      <c r="P13" s="8" t="n">
        <v>45847</v>
      </c>
      <c r="Q13" s="8" t="n"/>
      <c r="R13" s="9" t="inlineStr">
        <is>
          <t>Acq/Rehab</t>
        </is>
      </c>
      <c r="S13" s="9" t="inlineStr">
        <is>
          <t>General</t>
        </is>
      </c>
      <c r="T13" s="10" t="n">
        <v>192</v>
      </c>
      <c r="U13" s="10" t="n">
        <v>192</v>
      </c>
      <c r="V13" s="9" t="n"/>
      <c r="W13" s="9" t="n"/>
      <c r="X13" s="9" t="inlineStr">
        <is>
          <t>Texas Home Collaborative</t>
        </is>
      </c>
      <c r="Y13" s="9" t="inlineStr">
        <is>
          <t>Other</t>
        </is>
      </c>
      <c r="Z13" s="11" t="n">
        <v>25000000</v>
      </c>
      <c r="AA13" s="11" t="n"/>
      <c r="AB13" s="11" t="n">
        <v>1267031</v>
      </c>
      <c r="AC13" s="11" t="n"/>
      <c r="AD13" s="11" t="n"/>
      <c r="AE13" s="11" t="n"/>
      <c r="AF13" s="9" t="inlineStr">
        <is>
          <t>N</t>
        </is>
      </c>
      <c r="AG13" s="9" t="inlineStr">
        <is>
          <t>N</t>
        </is>
      </c>
      <c r="AH13" s="9" t="n"/>
      <c r="AI13" s="9" t="inlineStr">
        <is>
          <t>Y</t>
        </is>
      </c>
      <c r="AJ13" s="8" t="n"/>
      <c r="AK13" s="9" t="inlineStr">
        <is>
          <t>Y</t>
        </is>
      </c>
      <c r="AL13" s="9" t="inlineStr">
        <is>
          <t>Y</t>
        </is>
      </c>
      <c r="AM13" s="9" t="inlineStr">
        <is>
          <t>Y</t>
        </is>
      </c>
      <c r="AN13" s="9" t="n"/>
      <c r="AO13" s="9" t="n"/>
      <c r="AP13" s="9" t="n"/>
      <c r="AQ13" s="9" t="n"/>
      <c r="AR13" s="9" t="n"/>
      <c r="AS13" s="9" t="inlineStr">
        <is>
          <t>N</t>
        </is>
      </c>
      <c r="AT13" s="8" t="n"/>
      <c r="AU13" s="8" t="n"/>
      <c r="AV13" s="9" t="n"/>
      <c r="AW13" s="8" t="n"/>
      <c r="AX13" s="9" t="inlineStr">
        <is>
          <t>N</t>
        </is>
      </c>
      <c r="AY13" s="9" t="inlineStr">
        <is>
          <t>Y</t>
        </is>
      </c>
      <c r="AZ13" s="9" t="inlineStr">
        <is>
          <t>Y</t>
        </is>
      </c>
      <c r="BA13" s="9" t="inlineStr">
        <is>
          <t>Y</t>
        </is>
      </c>
      <c r="BB13" s="9" t="inlineStr">
        <is>
          <t>Y</t>
        </is>
      </c>
      <c r="BC13" s="9" t="inlineStr">
        <is>
          <t>Y</t>
        </is>
      </c>
      <c r="BD13" s="9" t="n"/>
      <c r="BE13" s="9" t="inlineStr">
        <is>
          <t>N</t>
        </is>
      </c>
      <c r="BF13" s="9" t="n"/>
      <c r="BG13" s="9" t="n"/>
      <c r="BH13" s="9" t="n"/>
      <c r="BI13" s="9" t="n"/>
      <c r="BJ13" s="9" t="inlineStr">
        <is>
          <t>Y</t>
        </is>
      </c>
      <c r="BK13" s="9" t="inlineStr">
        <is>
          <t>N</t>
        </is>
      </c>
      <c r="BL13" s="9" t="inlineStr">
        <is>
          <t>N</t>
        </is>
      </c>
      <c r="BM13" s="9" t="inlineStr">
        <is>
          <t>Y</t>
        </is>
      </c>
      <c r="BN13" s="9" t="inlineStr">
        <is>
          <t>Y</t>
        </is>
      </c>
      <c r="BO13" s="8" t="n">
        <v>45666</v>
      </c>
      <c r="BP13" s="9" t="inlineStr">
        <is>
          <t>Y</t>
        </is>
      </c>
      <c r="BQ13" s="9" t="inlineStr">
        <is>
          <t>N</t>
        </is>
      </c>
      <c r="BR13" s="13">
        <f>IF(COUNTIF(AI13:BM13,"N")+COUNTBLANK(AI13:BM13)=0,"Y","N")</f>
        <v/>
      </c>
      <c r="BS13" s="13">
        <f>IF(AND(BR13="Y",OR(L13="Submitted",L13="Under Review")),"Y",IF(L13="Closed","Y","N"))</f>
        <v/>
      </c>
      <c r="BT13" s="10" t="n">
        <v>13</v>
      </c>
      <c r="BU13" s="13">
        <f>Rule_Flags!Q12</f>
        <v/>
      </c>
      <c r="BV13" s="13">
        <f>Rule_Flags!P12</f>
        <v/>
      </c>
      <c r="BW13" s="13">
        <f>IF(Rule_Flags!E12=1,"SITE_CONTROL",IF(Rule_Flags!F12=1,"APPROVALS",IF(Rule_Flags!G12=1,"REPORTS",IF(Rule_Flags!H12=1,"DEFICIENCY",IF(Rule_Flags!I12=1,"UNDERWRITING",IF(Rule_Flags!J12=1,"COMPLIANCE",""))))))</f>
        <v/>
      </c>
      <c r="BX13" s="13">
        <f>IF(BW13="SITE_CONTROL","Site control missing or invalid",IF(BW13="APPROVALS","Required approvals or resolutions incomplete",IF(BW13="REPORTS","Required third-party reports incomplete",IF(BW13="DEFICIENCY","Unresolved deficiency or material deficiency",IF(BW13="UNDERWRITING","Underwriting / feasibility not passed",IF(BW13="COMPLIANCE","Deconcentration, one-mile, LURA, or Chapter 12 issue","Ready under current engine rules"))))))</f>
        <v/>
      </c>
      <c r="BY13" s="13">
        <f>IF(BV13="Determination Notice","Streamlined + DN-ready assumptions satisfied",IF(BV13="Board","Board-required or board-ready assumptions satisfied",""))</f>
        <v/>
      </c>
      <c r="BZ13" s="13">
        <f>IF(AND(BP13="Y",BQ13&lt;&gt;"Y"),"Carryforward project retains queue priority",IF(BQ13="Y","New project enters behind carryforward projects",""))</f>
        <v/>
      </c>
      <c r="CA13" s="13">
        <f>_xludf.RANK.EQ(Rule_Flags!O12,Rule_Flags!$O$3:$O$402,0)</f>
        <v/>
      </c>
      <c r="CB13" s="13">
        <f>IF(OR(BU13="Determination Notice Issued",BU13="Board",BU13="Closed"),"Y","N")</f>
        <v/>
      </c>
      <c r="CC13" s="9" t="n"/>
      <c r="CD13" s="9" t="inlineStr">
        <is>
          <t>Bill Fisher</t>
        </is>
      </c>
      <c r="CE13" s="9" t="inlineStr">
        <is>
          <t>(214) 608-7201</t>
        </is>
      </c>
      <c r="CF13" s="9" t="inlineStr">
        <is>
          <t>bill.fisher@sonomaadvisors.com</t>
        </is>
      </c>
      <c r="CG13" s="9" t="inlineStr">
        <is>
          <t>Antonio Williams</t>
        </is>
      </c>
      <c r="CH13" s="9" t="inlineStr">
        <is>
          <t>(903) 276-7557</t>
        </is>
      </c>
    </row>
    <row r="14">
      <c r="A14" s="8" t="inlineStr">
        <is>
          <t>2026-02-10</t>
        </is>
      </c>
      <c r="B14" s="9" t="inlineStr">
        <is>
          <t>2026-02-10</t>
        </is>
      </c>
      <c r="C14" s="9" t="inlineStr">
        <is>
          <t>25435</t>
        </is>
      </c>
      <c r="D14" s="9" t="n"/>
      <c r="E14" s="9" t="inlineStr">
        <is>
          <t>Sienna Villas</t>
        </is>
      </c>
      <c r="F14" s="9" t="inlineStr">
        <is>
          <t>Freeport</t>
        </is>
      </c>
      <c r="G14" s="9" t="inlineStr">
        <is>
          <t>Brazoria</t>
        </is>
      </c>
      <c r="H14" s="9" t="n">
        <v>6</v>
      </c>
      <c r="I14" s="9" t="inlineStr">
        <is>
          <t>902 North Avenue J</t>
        </is>
      </c>
      <c r="J14" s="9" t="n">
        <v>77541</v>
      </c>
      <c r="K14" s="8" t="n">
        <v>45666</v>
      </c>
      <c r="L14" s="9" t="inlineStr">
        <is>
          <t>Withdrawn</t>
        </is>
      </c>
      <c r="M14" s="8" t="n">
        <v>45820</v>
      </c>
      <c r="N14" s="8" t="n"/>
      <c r="O14" s="8" t="n">
        <v>45883</v>
      </c>
      <c r="P14" s="8" t="n">
        <v>46063</v>
      </c>
      <c r="Q14" s="8" t="n"/>
      <c r="R14" s="9" t="inlineStr">
        <is>
          <t>Acq/Rehab</t>
        </is>
      </c>
      <c r="S14" s="9" t="inlineStr">
        <is>
          <t>General</t>
        </is>
      </c>
      <c r="T14" s="10" t="n">
        <v>156</v>
      </c>
      <c r="U14" s="10" t="n">
        <v>156</v>
      </c>
      <c r="V14" s="9" t="n"/>
      <c r="W14" s="9" t="n"/>
      <c r="X14" s="9" t="inlineStr">
        <is>
          <t>Texas Home Collaborative</t>
        </is>
      </c>
      <c r="Y14" s="9" t="inlineStr">
        <is>
          <t>Other</t>
        </is>
      </c>
      <c r="Z14" s="11" t="n">
        <v>20000000</v>
      </c>
      <c r="AA14" s="11" t="n"/>
      <c r="AB14" s="11" t="n">
        <v>1183699</v>
      </c>
      <c r="AC14" s="11" t="n"/>
      <c r="AD14" s="11" t="n"/>
      <c r="AE14" s="11" t="n"/>
      <c r="AF14" s="9" t="inlineStr">
        <is>
          <t>N</t>
        </is>
      </c>
      <c r="AG14" s="9" t="inlineStr">
        <is>
          <t>N</t>
        </is>
      </c>
      <c r="AH14" s="9" t="n"/>
      <c r="AI14" s="9" t="inlineStr">
        <is>
          <t>Y</t>
        </is>
      </c>
      <c r="AJ14" s="8" t="n"/>
      <c r="AK14" s="9" t="inlineStr">
        <is>
          <t>Y</t>
        </is>
      </c>
      <c r="AL14" s="9" t="inlineStr">
        <is>
          <t>Y</t>
        </is>
      </c>
      <c r="AM14" s="9" t="inlineStr">
        <is>
          <t>Y</t>
        </is>
      </c>
      <c r="AN14" s="9" t="n"/>
      <c r="AO14" s="9" t="n"/>
      <c r="AP14" s="9" t="n"/>
      <c r="AQ14" s="9" t="n"/>
      <c r="AR14" s="9" t="n"/>
      <c r="AS14" s="9" t="inlineStr">
        <is>
          <t>N</t>
        </is>
      </c>
      <c r="AT14" s="8" t="n"/>
      <c r="AU14" s="8" t="n"/>
      <c r="AV14" s="9" t="n"/>
      <c r="AW14" s="8" t="n"/>
      <c r="AX14" s="9" t="inlineStr">
        <is>
          <t>N</t>
        </is>
      </c>
      <c r="AY14" s="9" t="inlineStr">
        <is>
          <t>Y</t>
        </is>
      </c>
      <c r="AZ14" s="9" t="inlineStr">
        <is>
          <t>Y</t>
        </is>
      </c>
      <c r="BA14" s="9" t="inlineStr">
        <is>
          <t>Y</t>
        </is>
      </c>
      <c r="BB14" s="9" t="inlineStr">
        <is>
          <t>Y</t>
        </is>
      </c>
      <c r="BC14" s="9" t="inlineStr">
        <is>
          <t>Y</t>
        </is>
      </c>
      <c r="BD14" s="9" t="n"/>
      <c r="BE14" s="9" t="inlineStr">
        <is>
          <t>N</t>
        </is>
      </c>
      <c r="BF14" s="9" t="n"/>
      <c r="BG14" s="9" t="n"/>
      <c r="BH14" s="9" t="n"/>
      <c r="BI14" s="9" t="n"/>
      <c r="BJ14" s="9" t="inlineStr">
        <is>
          <t>Y</t>
        </is>
      </c>
      <c r="BK14" s="9" t="inlineStr">
        <is>
          <t>N</t>
        </is>
      </c>
      <c r="BL14" s="9" t="inlineStr">
        <is>
          <t>N</t>
        </is>
      </c>
      <c r="BM14" s="9" t="inlineStr">
        <is>
          <t>Y</t>
        </is>
      </c>
      <c r="BN14" s="9" t="inlineStr">
        <is>
          <t>Y</t>
        </is>
      </c>
      <c r="BO14" s="8" t="n">
        <v>45666</v>
      </c>
      <c r="BP14" s="9" t="inlineStr">
        <is>
          <t>Y</t>
        </is>
      </c>
      <c r="BQ14" s="9" t="inlineStr">
        <is>
          <t>N</t>
        </is>
      </c>
      <c r="BR14" s="13">
        <f>IF(COUNTIF(AI14:BM14,"N")+COUNTBLANK(AI14:BM14)=0,"Y","N")</f>
        <v/>
      </c>
      <c r="BS14" s="13">
        <f>IF(AND(BR14="Y",OR(L14="Submitted",L14="Under Review")),"Y",IF(L14="Closed","Y","N"))</f>
        <v/>
      </c>
      <c r="BT14" s="10" t="n">
        <v>14</v>
      </c>
      <c r="BU14" s="13">
        <f>Rule_Flags!Q13</f>
        <v/>
      </c>
      <c r="BV14" s="13">
        <f>Rule_Flags!P13</f>
        <v/>
      </c>
      <c r="BW14" s="13">
        <f>IF(Rule_Flags!E13=1,"SITE_CONTROL",IF(Rule_Flags!F13=1,"APPROVALS",IF(Rule_Flags!G13=1,"REPORTS",IF(Rule_Flags!H13=1,"DEFICIENCY",IF(Rule_Flags!I13=1,"UNDERWRITING",IF(Rule_Flags!J13=1,"COMPLIANCE",""))))))</f>
        <v/>
      </c>
      <c r="BX14" s="13">
        <f>IF(BW14="SITE_CONTROL","Site control missing or invalid",IF(BW14="APPROVALS","Required approvals or resolutions incomplete",IF(BW14="REPORTS","Required third-party reports incomplete",IF(BW14="DEFICIENCY","Unresolved deficiency or material deficiency",IF(BW14="UNDERWRITING","Underwriting / feasibility not passed",IF(BW14="COMPLIANCE","Deconcentration, one-mile, LURA, or Chapter 12 issue","Ready under current engine rules"))))))</f>
        <v/>
      </c>
      <c r="BY14" s="13">
        <f>IF(BV14="Determination Notice","Streamlined + DN-ready assumptions satisfied",IF(BV14="Board","Board-required or board-ready assumptions satisfied",""))</f>
        <v/>
      </c>
      <c r="BZ14" s="13">
        <f>IF(AND(BP14="Y",BQ14&lt;&gt;"Y"),"Carryforward project retains queue priority",IF(BQ14="Y","New project enters behind carryforward projects",""))</f>
        <v/>
      </c>
      <c r="CA14" s="13">
        <f>_xludf.RANK.EQ(Rule_Flags!O13,Rule_Flags!$O$3:$O$402,0)</f>
        <v/>
      </c>
      <c r="CB14" s="13">
        <f>IF(OR(BU14="Determination Notice Issued",BU14="Board",BU14="Closed"),"Y","N")</f>
        <v/>
      </c>
      <c r="CC14" s="9" t="n"/>
      <c r="CD14" s="9" t="inlineStr">
        <is>
          <t>Bill Fisher</t>
        </is>
      </c>
      <c r="CE14" s="9" t="inlineStr">
        <is>
          <t>(214) 608-7201</t>
        </is>
      </c>
      <c r="CF14" s="9" t="inlineStr">
        <is>
          <t>bill.fisher@sonomaadvisors.com</t>
        </is>
      </c>
      <c r="CG14" s="9" t="inlineStr">
        <is>
          <t>Antonio Williams</t>
        </is>
      </c>
      <c r="CH14" s="9" t="inlineStr">
        <is>
          <t>(903) 276-7557</t>
        </is>
      </c>
    </row>
    <row r="15">
      <c r="A15" s="8" t="inlineStr">
        <is>
          <t>2026-02-10</t>
        </is>
      </c>
      <c r="B15" s="9" t="inlineStr">
        <is>
          <t>2026-02-10</t>
        </is>
      </c>
      <c r="C15" s="9" t="inlineStr">
        <is>
          <t>25441</t>
        </is>
      </c>
      <c r="D15" s="9" t="n">
        <v>24445</v>
      </c>
      <c r="E15" s="9" t="inlineStr">
        <is>
          <t>Aureus at Whisper Hills</t>
        </is>
      </c>
      <c r="F15" s="9" t="inlineStr">
        <is>
          <t>San Marcos</t>
        </is>
      </c>
      <c r="G15" s="9" t="inlineStr">
        <is>
          <t>Hays</t>
        </is>
      </c>
      <c r="H15" s="9" t="n">
        <v>7</v>
      </c>
      <c r="I15" s="9" t="inlineStr">
        <is>
          <t>538 Celebration Way</t>
        </is>
      </c>
      <c r="J15" s="9" t="n">
        <v>78666</v>
      </c>
      <c r="K15" s="8" t="n">
        <v>45667</v>
      </c>
      <c r="L15" s="9" t="inlineStr">
        <is>
          <t>Withdrawn</t>
        </is>
      </c>
      <c r="M15" s="8" t="n">
        <v>45785</v>
      </c>
      <c r="N15" s="8" t="n"/>
      <c r="O15" s="8" t="n">
        <v>45671</v>
      </c>
      <c r="P15" s="8" t="n">
        <v>45851</v>
      </c>
      <c r="Q15" s="8" t="n"/>
      <c r="R15" s="9" t="inlineStr">
        <is>
          <t>New Construction</t>
        </is>
      </c>
      <c r="S15" s="9" t="inlineStr">
        <is>
          <t>Elderly</t>
        </is>
      </c>
      <c r="T15" s="10" t="n">
        <v>267</v>
      </c>
      <c r="U15" s="10" t="n">
        <v>267</v>
      </c>
      <c r="V15" s="9" t="n"/>
      <c r="W15" s="9" t="n"/>
      <c r="X15" s="9" t="inlineStr">
        <is>
          <t>SMHA Finance PFC</t>
        </is>
      </c>
      <c r="Y15" s="9" t="inlineStr">
        <is>
          <t>Other</t>
        </is>
      </c>
      <c r="Z15" s="11" t="n">
        <v>40000000</v>
      </c>
      <c r="AA15" s="11" t="n"/>
      <c r="AB15" s="11" t="n">
        <v>2915592</v>
      </c>
      <c r="AC15" s="11" t="n"/>
      <c r="AD15" s="11" t="n"/>
      <c r="AE15" s="11" t="n"/>
      <c r="AF15" s="9" t="inlineStr">
        <is>
          <t>N</t>
        </is>
      </c>
      <c r="AG15" s="9" t="inlineStr">
        <is>
          <t>Y</t>
        </is>
      </c>
      <c r="AH15" s="9" t="inlineStr">
        <is>
          <t>Y</t>
        </is>
      </c>
      <c r="AI15" s="9" t="inlineStr">
        <is>
          <t>Y</t>
        </is>
      </c>
      <c r="AJ15" s="8" t="n"/>
      <c r="AK15" s="9" t="inlineStr">
        <is>
          <t>Y</t>
        </is>
      </c>
      <c r="AL15" s="9" t="inlineStr">
        <is>
          <t>Y</t>
        </is>
      </c>
      <c r="AM15" s="9" t="inlineStr">
        <is>
          <t>Y</t>
        </is>
      </c>
      <c r="AN15" s="9" t="n"/>
      <c r="AO15" s="9" t="n"/>
      <c r="AP15" s="9" t="n"/>
      <c r="AQ15" s="9" t="n"/>
      <c r="AR15" s="9" t="n"/>
      <c r="AS15" s="9" t="inlineStr">
        <is>
          <t>N</t>
        </is>
      </c>
      <c r="AT15" s="8" t="n"/>
      <c r="AU15" s="8" t="n"/>
      <c r="AV15" s="9" t="n"/>
      <c r="AW15" s="8" t="n"/>
      <c r="AX15" s="9" t="inlineStr">
        <is>
          <t>N</t>
        </is>
      </c>
      <c r="AY15" s="9" t="inlineStr">
        <is>
          <t>Y</t>
        </is>
      </c>
      <c r="AZ15" s="9" t="inlineStr">
        <is>
          <t>Y</t>
        </is>
      </c>
      <c r="BA15" s="9" t="inlineStr">
        <is>
          <t>Y</t>
        </is>
      </c>
      <c r="BB15" s="9" t="inlineStr">
        <is>
          <t>Y</t>
        </is>
      </c>
      <c r="BC15" s="9" t="inlineStr">
        <is>
          <t>Y</t>
        </is>
      </c>
      <c r="BD15" s="9" t="n"/>
      <c r="BE15" s="9" t="inlineStr">
        <is>
          <t>N</t>
        </is>
      </c>
      <c r="BF15" s="9" t="n"/>
      <c r="BG15" s="9" t="n"/>
      <c r="BH15" s="9" t="n"/>
      <c r="BI15" s="9" t="n"/>
      <c r="BJ15" s="9" t="inlineStr">
        <is>
          <t>Y</t>
        </is>
      </c>
      <c r="BK15" s="9" t="inlineStr">
        <is>
          <t>N</t>
        </is>
      </c>
      <c r="BL15" s="9" t="inlineStr">
        <is>
          <t>N</t>
        </is>
      </c>
      <c r="BM15" s="9" t="inlineStr">
        <is>
          <t>Y</t>
        </is>
      </c>
      <c r="BN15" s="9" t="inlineStr">
        <is>
          <t>Y</t>
        </is>
      </c>
      <c r="BO15" s="8" t="n">
        <v>45667</v>
      </c>
      <c r="BP15" s="9" t="inlineStr">
        <is>
          <t>Y</t>
        </is>
      </c>
      <c r="BQ15" s="9" t="inlineStr">
        <is>
          <t>N</t>
        </is>
      </c>
      <c r="BR15" s="13">
        <f>IF(COUNTIF(AI15:BM15,"N")+COUNTBLANK(AI15:BM15)=0,"Y","N")</f>
        <v/>
      </c>
      <c r="BS15" s="13">
        <f>IF(AND(BR15="Y",OR(L15="Submitted",L15="Under Review")),"Y",IF(L15="Closed","Y","N"))</f>
        <v/>
      </c>
      <c r="BT15" s="10" t="n">
        <v>19</v>
      </c>
      <c r="BU15" s="13">
        <f>Rule_Flags!Q14</f>
        <v/>
      </c>
      <c r="BV15" s="13">
        <f>Rule_Flags!P14</f>
        <v/>
      </c>
      <c r="BW15" s="13">
        <f>IF(Rule_Flags!E14=1,"SITE_CONTROL",IF(Rule_Flags!F14=1,"APPROVALS",IF(Rule_Flags!G14=1,"REPORTS",IF(Rule_Flags!H14=1,"DEFICIENCY",IF(Rule_Flags!I14=1,"UNDERWRITING",IF(Rule_Flags!J14=1,"COMPLIANCE",""))))))</f>
        <v/>
      </c>
      <c r="BX15" s="13">
        <f>IF(BW15="SITE_CONTROL","Site control missing or invalid",IF(BW15="APPROVALS","Required approvals or resolutions incomplete",IF(BW15="REPORTS","Required third-party reports incomplete",IF(BW15="DEFICIENCY","Unresolved deficiency or material deficiency",IF(BW15="UNDERWRITING","Underwriting / feasibility not passed",IF(BW15="COMPLIANCE","Deconcentration, one-mile, LURA, or Chapter 12 issue","Ready under current engine rules"))))))</f>
        <v/>
      </c>
      <c r="BY15" s="13">
        <f>IF(BV15="Determination Notice","Streamlined + DN-ready assumptions satisfied",IF(BV15="Board","Board-required or board-ready assumptions satisfied",""))</f>
        <v/>
      </c>
      <c r="BZ15" s="13">
        <f>IF(AND(BP15="Y",BQ15&lt;&gt;"Y"),"Carryforward project retains queue priority",IF(BQ15="Y","New project enters behind carryforward projects",""))</f>
        <v/>
      </c>
      <c r="CA15" s="13">
        <f>_xludf.RANK.EQ(Rule_Flags!O14,Rule_Flags!$O$3:$O$402,0)</f>
        <v/>
      </c>
      <c r="CB15" s="13">
        <f>IF(OR(BU15="Determination Notice Issued",BU15="Board",BU15="Closed"),"Y","N")</f>
        <v/>
      </c>
      <c r="CC15" s="9" t="inlineStr">
        <is>
          <t>construction_type mapped from raw 'NC' to 'New Construction'</t>
        </is>
      </c>
      <c r="CD15" s="9" t="inlineStr">
        <is>
          <t>John Latham</t>
        </is>
      </c>
      <c r="CE15" s="9" t="inlineStr">
        <is>
          <t>(210) 354-3705</t>
        </is>
      </c>
      <c r="CF15" s="9" t="inlineStr">
        <is>
          <t>john@missiondg.com</t>
        </is>
      </c>
      <c r="CG15" s="9" t="inlineStr">
        <is>
          <t>Lana Wagner</t>
        </is>
      </c>
      <c r="CH15" s="9" t="inlineStr">
        <is>
          <t>(512) 353-5058</t>
        </is>
      </c>
    </row>
    <row r="16">
      <c r="A16" s="8" t="inlineStr">
        <is>
          <t>2026-02-10</t>
        </is>
      </c>
      <c r="B16" s="9" t="inlineStr">
        <is>
          <t>2026-02-10</t>
        </is>
      </c>
      <c r="C16" s="9" t="inlineStr">
        <is>
          <t>25406</t>
        </is>
      </c>
      <c r="D16" s="9" t="inlineStr">
        <is>
          <t>04475</t>
        </is>
      </c>
      <c r="E16" s="9" t="inlineStr">
        <is>
          <t>Fairlake Cove</t>
        </is>
      </c>
      <c r="F16" s="9" t="inlineStr">
        <is>
          <t>Houston</t>
        </is>
      </c>
      <c r="G16" s="9" t="inlineStr">
        <is>
          <t>Harris</t>
        </is>
      </c>
      <c r="H16" s="9" t="n">
        <v>6</v>
      </c>
      <c r="I16" s="9" t="inlineStr">
        <is>
          <t>11100 E FM 1960</t>
        </is>
      </c>
      <c r="J16" s="9" t="n">
        <v>77336</v>
      </c>
      <c r="K16" s="8" t="n">
        <v>45667</v>
      </c>
      <c r="L16" s="9" t="inlineStr">
        <is>
          <t>Withdrawn</t>
        </is>
      </c>
      <c r="M16" s="8" t="n">
        <v>45785</v>
      </c>
      <c r="N16" s="8" t="n"/>
      <c r="O16" s="8" t="n">
        <v>45671</v>
      </c>
      <c r="P16" s="8" t="n">
        <v>45851</v>
      </c>
      <c r="Q16" s="8" t="n"/>
      <c r="R16" s="9" t="inlineStr">
        <is>
          <t>Acq/Rehab</t>
        </is>
      </c>
      <c r="S16" s="9" t="inlineStr">
        <is>
          <t>General</t>
        </is>
      </c>
      <c r="T16" s="10" t="n">
        <v>200</v>
      </c>
      <c r="U16" s="10" t="n">
        <v>200</v>
      </c>
      <c r="V16" s="9" t="n"/>
      <c r="W16" s="9" t="n"/>
      <c r="X16" s="9" t="inlineStr">
        <is>
          <t>HHA Fountainview PFC</t>
        </is>
      </c>
      <c r="Y16" s="9" t="inlineStr">
        <is>
          <t>Other</t>
        </is>
      </c>
      <c r="Z16" s="11" t="n">
        <v>40000000</v>
      </c>
      <c r="AA16" s="11" t="n"/>
      <c r="AB16" s="11" t="n">
        <v>1686761</v>
      </c>
      <c r="AC16" s="11" t="n"/>
      <c r="AD16" s="11" t="n"/>
      <c r="AE16" s="11" t="n"/>
      <c r="AF16" s="9" t="inlineStr">
        <is>
          <t>N</t>
        </is>
      </c>
      <c r="AG16" s="9" t="inlineStr">
        <is>
          <t>Y</t>
        </is>
      </c>
      <c r="AH16" s="9" t="inlineStr">
        <is>
          <t>Y</t>
        </is>
      </c>
      <c r="AI16" s="9" t="inlineStr">
        <is>
          <t>Y</t>
        </is>
      </c>
      <c r="AJ16" s="8" t="n"/>
      <c r="AK16" s="9" t="inlineStr">
        <is>
          <t>Y</t>
        </is>
      </c>
      <c r="AL16" s="9" t="inlineStr">
        <is>
          <t>Y</t>
        </is>
      </c>
      <c r="AM16" s="9" t="inlineStr">
        <is>
          <t>Y</t>
        </is>
      </c>
      <c r="AN16" s="9" t="n"/>
      <c r="AO16" s="9" t="n"/>
      <c r="AP16" s="9" t="n"/>
      <c r="AQ16" s="9" t="n"/>
      <c r="AR16" s="9" t="n"/>
      <c r="AS16" s="9" t="inlineStr">
        <is>
          <t>N</t>
        </is>
      </c>
      <c r="AT16" s="8" t="n"/>
      <c r="AU16" s="8" t="n"/>
      <c r="AV16" s="9" t="n"/>
      <c r="AW16" s="8" t="n"/>
      <c r="AX16" s="9" t="inlineStr">
        <is>
          <t>N</t>
        </is>
      </c>
      <c r="AY16" s="9" t="inlineStr">
        <is>
          <t>Y</t>
        </is>
      </c>
      <c r="AZ16" s="9" t="inlineStr">
        <is>
          <t>Y</t>
        </is>
      </c>
      <c r="BA16" s="9" t="inlineStr">
        <is>
          <t>Y</t>
        </is>
      </c>
      <c r="BB16" s="9" t="inlineStr">
        <is>
          <t>Y</t>
        </is>
      </c>
      <c r="BC16" s="9" t="inlineStr">
        <is>
          <t>Y</t>
        </is>
      </c>
      <c r="BD16" s="9" t="n"/>
      <c r="BE16" s="9" t="inlineStr">
        <is>
          <t>N</t>
        </is>
      </c>
      <c r="BF16" s="9" t="n"/>
      <c r="BG16" s="9" t="n"/>
      <c r="BH16" s="9" t="n"/>
      <c r="BI16" s="9" t="n"/>
      <c r="BJ16" s="9" t="inlineStr">
        <is>
          <t>Y</t>
        </is>
      </c>
      <c r="BK16" s="9" t="inlineStr">
        <is>
          <t>N</t>
        </is>
      </c>
      <c r="BL16" s="9" t="inlineStr">
        <is>
          <t>N</t>
        </is>
      </c>
      <c r="BM16" s="9" t="inlineStr">
        <is>
          <t>Y</t>
        </is>
      </c>
      <c r="BN16" s="9" t="inlineStr">
        <is>
          <t>Y</t>
        </is>
      </c>
      <c r="BO16" s="8" t="n">
        <v>45667</v>
      </c>
      <c r="BP16" s="9" t="inlineStr">
        <is>
          <t>Y</t>
        </is>
      </c>
      <c r="BQ16" s="9" t="inlineStr">
        <is>
          <t>N</t>
        </is>
      </c>
      <c r="BR16" s="13">
        <f>IF(COUNTIF(AI16:BM16,"N")+COUNTBLANK(AI16:BM16)=0,"Y","N")</f>
        <v/>
      </c>
      <c r="BS16" s="13">
        <f>IF(AND(BR16="Y",OR(L16="Submitted",L16="Under Review")),"Y",IF(L16="Closed","Y","N"))</f>
        <v/>
      </c>
      <c r="BT16" s="10" t="n">
        <v>16</v>
      </c>
      <c r="BU16" s="13">
        <f>Rule_Flags!Q15</f>
        <v/>
      </c>
      <c r="BV16" s="13">
        <f>Rule_Flags!P15</f>
        <v/>
      </c>
      <c r="BW16" s="13">
        <f>IF(Rule_Flags!E15=1,"SITE_CONTROL",IF(Rule_Flags!F15=1,"APPROVALS",IF(Rule_Flags!G15=1,"REPORTS",IF(Rule_Flags!H15=1,"DEFICIENCY",IF(Rule_Flags!I15=1,"UNDERWRITING",IF(Rule_Flags!J15=1,"COMPLIANCE",""))))))</f>
        <v/>
      </c>
      <c r="BX16" s="13">
        <f>IF(BW16="SITE_CONTROL","Site control missing or invalid",IF(BW16="APPROVALS","Required approvals or resolutions incomplete",IF(BW16="REPORTS","Required third-party reports incomplete",IF(BW16="DEFICIENCY","Unresolved deficiency or material deficiency",IF(BW16="UNDERWRITING","Underwriting / feasibility not passed",IF(BW16="COMPLIANCE","Deconcentration, one-mile, LURA, or Chapter 12 issue","Ready under current engine rules"))))))</f>
        <v/>
      </c>
      <c r="BY16" s="13">
        <f>IF(BV16="Determination Notice","Streamlined + DN-ready assumptions satisfied",IF(BV16="Board","Board-required or board-ready assumptions satisfied",""))</f>
        <v/>
      </c>
      <c r="BZ16" s="13">
        <f>IF(AND(BP16="Y",BQ16&lt;&gt;"Y"),"Carryforward project retains queue priority",IF(BQ16="Y","New project enters behind carryforward projects",""))</f>
        <v/>
      </c>
      <c r="CA16" s="13">
        <f>_xludf.RANK.EQ(Rule_Flags!O15,Rule_Flags!$O$3:$O$402,0)</f>
        <v/>
      </c>
      <c r="CB16" s="13">
        <f>IF(OR(BU16="Determination Notice Issued",BU16="Board",BU16="Closed"),"Y","N")</f>
        <v/>
      </c>
      <c r="CC16" s="9" t="n"/>
      <c r="CD16" s="9" t="inlineStr">
        <is>
          <t>Brad Fisher</t>
        </is>
      </c>
      <c r="CE16" s="9" t="inlineStr">
        <is>
          <t>(913) 787-1676</t>
        </is>
      </c>
      <c r="CF16" s="9" t="inlineStr">
        <is>
          <t>bfisher@aprilhousing.com</t>
        </is>
      </c>
      <c r="CG16" s="9" t="inlineStr">
        <is>
          <t>Jennine Hovell-Cox</t>
        </is>
      </c>
      <c r="CH16" s="9" t="inlineStr">
        <is>
          <t>(713) 260-0501</t>
        </is>
      </c>
    </row>
    <row r="17">
      <c r="A17" s="8" t="inlineStr">
        <is>
          <t>2026-02-10</t>
        </is>
      </c>
      <c r="B17" s="9" t="inlineStr">
        <is>
          <t>2026-02-10</t>
        </is>
      </c>
      <c r="C17" s="9" t="inlineStr">
        <is>
          <t>25436</t>
        </is>
      </c>
      <c r="D17" s="9" t="n"/>
      <c r="E17" s="9" t="inlineStr">
        <is>
          <t>Jackson Apartments</t>
        </is>
      </c>
      <c r="F17" s="9" t="inlineStr">
        <is>
          <t>McAllen</t>
        </is>
      </c>
      <c r="G17" s="9" t="inlineStr">
        <is>
          <t>Hidalgo</t>
        </is>
      </c>
      <c r="H17" s="9" t="n">
        <v>11</v>
      </c>
      <c r="I17" s="9" t="inlineStr">
        <is>
          <t>2200 W Jackson Avenue</t>
        </is>
      </c>
      <c r="J17" s="9" t="n">
        <v>78503</v>
      </c>
      <c r="K17" s="8" t="n">
        <v>45667</v>
      </c>
      <c r="L17" s="9" t="inlineStr">
        <is>
          <t>Withdrawn</t>
        </is>
      </c>
      <c r="M17" s="8" t="n">
        <v>45820</v>
      </c>
      <c r="N17" s="8" t="n"/>
      <c r="O17" s="8" t="n">
        <v>45883</v>
      </c>
      <c r="P17" s="8" t="n">
        <v>46063</v>
      </c>
      <c r="Q17" s="8" t="n"/>
      <c r="R17" s="9" t="inlineStr">
        <is>
          <t>New Construction</t>
        </is>
      </c>
      <c r="S17" s="9" t="inlineStr">
        <is>
          <t>General</t>
        </is>
      </c>
      <c r="T17" s="10" t="n">
        <v>88</v>
      </c>
      <c r="U17" s="10" t="n">
        <v>88</v>
      </c>
      <c r="V17" s="9" t="n"/>
      <c r="W17" s="9" t="n"/>
      <c r="X17" s="9" t="inlineStr">
        <is>
          <t>Texas Home Collaborative</t>
        </is>
      </c>
      <c r="Y17" s="9" t="inlineStr">
        <is>
          <t>Other</t>
        </is>
      </c>
      <c r="Z17" s="11" t="n">
        <v>12000000</v>
      </c>
      <c r="AA17" s="11" t="n"/>
      <c r="AB17" s="11" t="n">
        <v>776722</v>
      </c>
      <c r="AC17" s="11" t="n"/>
      <c r="AD17" s="11" t="n"/>
      <c r="AE17" s="11" t="n"/>
      <c r="AF17" s="9" t="inlineStr">
        <is>
          <t>N</t>
        </is>
      </c>
      <c r="AG17" s="9" t="inlineStr">
        <is>
          <t>N</t>
        </is>
      </c>
      <c r="AH17" s="9" t="n"/>
      <c r="AI17" s="9" t="inlineStr">
        <is>
          <t>Y</t>
        </is>
      </c>
      <c r="AJ17" s="8" t="n"/>
      <c r="AK17" s="9" t="inlineStr">
        <is>
          <t>Y</t>
        </is>
      </c>
      <c r="AL17" s="9" t="inlineStr">
        <is>
          <t>Y</t>
        </is>
      </c>
      <c r="AM17" s="9" t="inlineStr">
        <is>
          <t>Y</t>
        </is>
      </c>
      <c r="AN17" s="9" t="n"/>
      <c r="AO17" s="9" t="n"/>
      <c r="AP17" s="9" t="n"/>
      <c r="AQ17" s="9" t="n"/>
      <c r="AR17" s="9" t="n"/>
      <c r="AS17" s="9" t="inlineStr">
        <is>
          <t>N</t>
        </is>
      </c>
      <c r="AT17" s="8" t="n"/>
      <c r="AU17" s="8" t="n"/>
      <c r="AV17" s="9" t="n"/>
      <c r="AW17" s="8" t="n"/>
      <c r="AX17" s="9" t="inlineStr">
        <is>
          <t>N</t>
        </is>
      </c>
      <c r="AY17" s="9" t="inlineStr">
        <is>
          <t>Y</t>
        </is>
      </c>
      <c r="AZ17" s="9" t="inlineStr">
        <is>
          <t>Y</t>
        </is>
      </c>
      <c r="BA17" s="9" t="inlineStr">
        <is>
          <t>Y</t>
        </is>
      </c>
      <c r="BB17" s="9" t="inlineStr">
        <is>
          <t>Y</t>
        </is>
      </c>
      <c r="BC17" s="9" t="inlineStr">
        <is>
          <t>Y</t>
        </is>
      </c>
      <c r="BD17" s="9" t="n"/>
      <c r="BE17" s="9" t="inlineStr">
        <is>
          <t>N</t>
        </is>
      </c>
      <c r="BF17" s="9" t="n"/>
      <c r="BG17" s="9" t="n"/>
      <c r="BH17" s="9" t="n"/>
      <c r="BI17" s="9" t="n"/>
      <c r="BJ17" s="9" t="inlineStr">
        <is>
          <t>Y</t>
        </is>
      </c>
      <c r="BK17" s="9" t="inlineStr">
        <is>
          <t>N</t>
        </is>
      </c>
      <c r="BL17" s="9" t="inlineStr">
        <is>
          <t>N</t>
        </is>
      </c>
      <c r="BM17" s="9" t="inlineStr">
        <is>
          <t>Y</t>
        </is>
      </c>
      <c r="BN17" s="9" t="inlineStr">
        <is>
          <t>Y</t>
        </is>
      </c>
      <c r="BO17" s="8" t="n">
        <v>45667</v>
      </c>
      <c r="BP17" s="9" t="inlineStr">
        <is>
          <t>Y</t>
        </is>
      </c>
      <c r="BQ17" s="9" t="inlineStr">
        <is>
          <t>N</t>
        </is>
      </c>
      <c r="BR17" s="13">
        <f>IF(COUNTIF(AI17:BM17,"N")+COUNTBLANK(AI17:BM17)=0,"Y","N")</f>
        <v/>
      </c>
      <c r="BS17" s="13">
        <f>IF(AND(BR17="Y",OR(L17="Submitted",L17="Under Review")),"Y",IF(L17="Closed","Y","N"))</f>
        <v/>
      </c>
      <c r="BT17" s="10" t="n">
        <v>18</v>
      </c>
      <c r="BU17" s="13">
        <f>Rule_Flags!Q16</f>
        <v/>
      </c>
      <c r="BV17" s="13">
        <f>Rule_Flags!P16</f>
        <v/>
      </c>
      <c r="BW17" s="13">
        <f>IF(Rule_Flags!E16=1,"SITE_CONTROL",IF(Rule_Flags!F16=1,"APPROVALS",IF(Rule_Flags!G16=1,"REPORTS",IF(Rule_Flags!H16=1,"DEFICIENCY",IF(Rule_Flags!I16=1,"UNDERWRITING",IF(Rule_Flags!J16=1,"COMPLIANCE",""))))))</f>
        <v/>
      </c>
      <c r="BX17" s="13">
        <f>IF(BW17="SITE_CONTROL","Site control missing or invalid",IF(BW17="APPROVALS","Required approvals or resolutions incomplete",IF(BW17="REPORTS","Required third-party reports incomplete",IF(BW17="DEFICIENCY","Unresolved deficiency or material deficiency",IF(BW17="UNDERWRITING","Underwriting / feasibility not passed",IF(BW17="COMPLIANCE","Deconcentration, one-mile, LURA, or Chapter 12 issue","Ready under current engine rules"))))))</f>
        <v/>
      </c>
      <c r="BY17" s="13">
        <f>IF(BV17="Determination Notice","Streamlined + DN-ready assumptions satisfied",IF(BV17="Board","Board-required or board-ready assumptions satisfied",""))</f>
        <v/>
      </c>
      <c r="BZ17" s="13">
        <f>IF(AND(BP17="Y",BQ17&lt;&gt;"Y"),"Carryforward project retains queue priority",IF(BQ17="Y","New project enters behind carryforward projects",""))</f>
        <v/>
      </c>
      <c r="CA17" s="13">
        <f>_xludf.RANK.EQ(Rule_Flags!O16,Rule_Flags!$O$3:$O$402,0)</f>
        <v/>
      </c>
      <c r="CB17" s="13">
        <f>IF(OR(BU17="Determination Notice Issued",BU17="Board",BU17="Closed"),"Y","N")</f>
        <v/>
      </c>
      <c r="CC17" s="9" t="inlineStr">
        <is>
          <t>construction_type mapped from raw 'NC' to 'New Construction'</t>
        </is>
      </c>
      <c r="CD17" s="9" t="inlineStr">
        <is>
          <t>Melissa Fisher</t>
        </is>
      </c>
      <c r="CE17" s="9" t="inlineStr">
        <is>
          <t>(972) 701-5555</t>
        </is>
      </c>
      <c r="CF17" s="9" t="inlineStr">
        <is>
          <t>mfisher@rise-residential.com</t>
        </is>
      </c>
      <c r="CG17" s="9" t="inlineStr">
        <is>
          <t>Antonio Williams</t>
        </is>
      </c>
      <c r="CH17" s="9" t="inlineStr">
        <is>
          <t>(903) 276-7557</t>
        </is>
      </c>
    </row>
    <row r="18">
      <c r="A18" s="8" t="inlineStr">
        <is>
          <t>2026-02-10</t>
        </is>
      </c>
      <c r="B18" s="9" t="inlineStr">
        <is>
          <t>2026-02-10</t>
        </is>
      </c>
      <c r="C18" s="9" t="inlineStr">
        <is>
          <t>25405</t>
        </is>
      </c>
      <c r="D18" s="9" t="n"/>
      <c r="E18" s="9" t="inlineStr">
        <is>
          <t>HiLine Illinois</t>
        </is>
      </c>
      <c r="F18" s="9" t="inlineStr">
        <is>
          <t>Dallas</t>
        </is>
      </c>
      <c r="G18" s="9" t="inlineStr">
        <is>
          <t>Dallas</t>
        </is>
      </c>
      <c r="H18" s="9" t="n">
        <v>3</v>
      </c>
      <c r="I18" s="9" t="inlineStr">
        <is>
          <t>4710 W Illinois Avenue</t>
        </is>
      </c>
      <c r="J18" s="9" t="n">
        <v>75211</v>
      </c>
      <c r="K18" s="8" t="n">
        <v>45667</v>
      </c>
      <c r="L18" s="9" t="inlineStr">
        <is>
          <t>Closed</t>
        </is>
      </c>
      <c r="M18" s="8" t="n">
        <v>45785</v>
      </c>
      <c r="N18" s="8" t="n">
        <v>45825</v>
      </c>
      <c r="O18" s="8" t="n">
        <v>45672</v>
      </c>
      <c r="P18" s="8" t="n">
        <v>45852</v>
      </c>
      <c r="Q18" s="8" t="n"/>
      <c r="R18" s="9" t="inlineStr">
        <is>
          <t>New Construction</t>
        </is>
      </c>
      <c r="S18" s="9" t="inlineStr">
        <is>
          <t>General</t>
        </is>
      </c>
      <c r="T18" s="10" t="n">
        <v>200</v>
      </c>
      <c r="U18" s="10" t="n">
        <v>200</v>
      </c>
      <c r="V18" s="9" t="n"/>
      <c r="W18" s="9" t="n"/>
      <c r="X18" s="9" t="inlineStr">
        <is>
          <t>Dallas HFC</t>
        </is>
      </c>
      <c r="Y18" s="9" t="inlineStr">
        <is>
          <t>Local HFC</t>
        </is>
      </c>
      <c r="Z18" s="11" t="n">
        <v>35000000</v>
      </c>
      <c r="AA18" s="11" t="n"/>
      <c r="AB18" s="11" t="n">
        <v>2784011</v>
      </c>
      <c r="AC18" s="11" t="n">
        <v>2784011</v>
      </c>
      <c r="AD18" s="11" t="n"/>
      <c r="AE18" s="11" t="n"/>
      <c r="AF18" s="9" t="inlineStr">
        <is>
          <t>N</t>
        </is>
      </c>
      <c r="AG18" s="9" t="inlineStr">
        <is>
          <t>Y</t>
        </is>
      </c>
      <c r="AH18" s="9" t="n"/>
      <c r="AI18" s="9" t="inlineStr">
        <is>
          <t>Y</t>
        </is>
      </c>
      <c r="AJ18" s="8" t="n"/>
      <c r="AK18" s="9" t="inlineStr">
        <is>
          <t>Y</t>
        </is>
      </c>
      <c r="AL18" s="9" t="inlineStr">
        <is>
          <t>Y</t>
        </is>
      </c>
      <c r="AM18" s="9" t="inlineStr">
        <is>
          <t>Y</t>
        </is>
      </c>
      <c r="AN18" s="9" t="n"/>
      <c r="AO18" s="9" t="n"/>
      <c r="AP18" s="9" t="n"/>
      <c r="AQ18" s="9" t="n"/>
      <c r="AR18" s="9" t="n"/>
      <c r="AS18" s="9" t="inlineStr">
        <is>
          <t>N</t>
        </is>
      </c>
      <c r="AT18" s="8" t="n"/>
      <c r="AU18" s="8" t="n"/>
      <c r="AV18" s="9" t="n"/>
      <c r="AW18" s="8" t="n"/>
      <c r="AX18" s="9" t="inlineStr">
        <is>
          <t>N</t>
        </is>
      </c>
      <c r="AY18" s="9" t="inlineStr">
        <is>
          <t>Y</t>
        </is>
      </c>
      <c r="AZ18" s="9" t="inlineStr">
        <is>
          <t>Y</t>
        </is>
      </c>
      <c r="BA18" s="9" t="inlineStr">
        <is>
          <t>Y</t>
        </is>
      </c>
      <c r="BB18" s="9" t="inlineStr">
        <is>
          <t>Y</t>
        </is>
      </c>
      <c r="BC18" s="9" t="inlineStr">
        <is>
          <t>Y</t>
        </is>
      </c>
      <c r="BD18" s="9" t="n"/>
      <c r="BE18" s="9" t="inlineStr">
        <is>
          <t>N</t>
        </is>
      </c>
      <c r="BF18" s="9" t="n"/>
      <c r="BG18" s="9" t="n"/>
      <c r="BH18" s="9" t="n"/>
      <c r="BI18" s="9" t="n"/>
      <c r="BJ18" s="9" t="inlineStr">
        <is>
          <t>Y</t>
        </is>
      </c>
      <c r="BK18" s="9" t="inlineStr">
        <is>
          <t>N</t>
        </is>
      </c>
      <c r="BL18" s="9" t="inlineStr">
        <is>
          <t>N</t>
        </is>
      </c>
      <c r="BM18" s="9" t="inlineStr">
        <is>
          <t>Y</t>
        </is>
      </c>
      <c r="BN18" s="9" t="inlineStr">
        <is>
          <t>Y</t>
        </is>
      </c>
      <c r="BO18" s="8" t="n">
        <v>45667</v>
      </c>
      <c r="BP18" s="9" t="inlineStr">
        <is>
          <t>Y</t>
        </is>
      </c>
      <c r="BQ18" s="9" t="inlineStr">
        <is>
          <t>N</t>
        </is>
      </c>
      <c r="BR18" s="13">
        <f>IF(COUNTIF(AI18:BM18,"N")+COUNTBLANK(AI18:BM18)=0,"Y","N")</f>
        <v/>
      </c>
      <c r="BS18" s="13">
        <f>IF(AND(BR18="Y",OR(L18="Submitted",L18="Under Review")),"Y",IF(L18="Closed","Y","N"))</f>
        <v/>
      </c>
      <c r="BT18" s="10" t="n">
        <v>15</v>
      </c>
      <c r="BU18" s="13">
        <f>Rule_Flags!Q17</f>
        <v/>
      </c>
      <c r="BV18" s="13">
        <f>Rule_Flags!P17</f>
        <v/>
      </c>
      <c r="BW18" s="13">
        <f>IF(Rule_Flags!E17=1,"SITE_CONTROL",IF(Rule_Flags!F17=1,"APPROVALS",IF(Rule_Flags!G17=1,"REPORTS",IF(Rule_Flags!H17=1,"DEFICIENCY",IF(Rule_Flags!I17=1,"UNDERWRITING",IF(Rule_Flags!J17=1,"COMPLIANCE",""))))))</f>
        <v/>
      </c>
      <c r="BX18" s="13">
        <f>IF(BW18="SITE_CONTROL","Site control missing or invalid",IF(BW18="APPROVALS","Required approvals or resolutions incomplete",IF(BW18="REPORTS","Required third-party reports incomplete",IF(BW18="DEFICIENCY","Unresolved deficiency or material deficiency",IF(BW18="UNDERWRITING","Underwriting / feasibility not passed",IF(BW18="COMPLIANCE","Deconcentration, one-mile, LURA, or Chapter 12 issue","Ready under current engine rules"))))))</f>
        <v/>
      </c>
      <c r="BY18" s="13">
        <f>IF(BV18="Determination Notice","Streamlined + DN-ready assumptions satisfied",IF(BV18="Board","Board-required or board-ready assumptions satisfied",""))</f>
        <v/>
      </c>
      <c r="BZ18" s="13">
        <f>IF(AND(BP18="Y",BQ18&lt;&gt;"Y"),"Carryforward project retains queue priority",IF(BQ18="Y","New project enters behind carryforward projects",""))</f>
        <v/>
      </c>
      <c r="CA18" s="13">
        <f>_xludf.RANK.EQ(Rule_Flags!O17,Rule_Flags!$O$3:$O$402,0)</f>
        <v/>
      </c>
      <c r="CB18" s="13">
        <f>IF(OR(BU18="Determination Notice Issued",BU18="Board",BU18="Closed"),"Y","N")</f>
        <v/>
      </c>
      <c r="CC18" s="9" t="inlineStr">
        <is>
          <t>construction_type mapped from raw 'NC' to 'New Construction'</t>
        </is>
      </c>
      <c r="CD18" s="9" t="inlineStr">
        <is>
          <t>Adrian Iglesias</t>
        </is>
      </c>
      <c r="CE18" s="9" t="inlineStr">
        <is>
          <t>(214)613-6569</t>
        </is>
      </c>
      <c r="CF18" s="9" t="inlineStr">
        <is>
          <t>aiglesias@ghdevelopment.com</t>
        </is>
      </c>
      <c r="CG18" s="9" t="inlineStr">
        <is>
          <t>Aaron Eaquinto</t>
        </is>
      </c>
      <c r="CH18" s="9" t="inlineStr">
        <is>
          <t>(214) 670-4941</t>
        </is>
      </c>
    </row>
    <row r="19">
      <c r="A19" s="8" t="inlineStr">
        <is>
          <t>2026-02-10</t>
        </is>
      </c>
      <c r="B19" s="9" t="inlineStr">
        <is>
          <t>2026-02-10</t>
        </is>
      </c>
      <c r="C19" s="9" t="inlineStr">
        <is>
          <t>25413</t>
        </is>
      </c>
      <c r="D19" s="9" t="n"/>
      <c r="E19" s="9" t="inlineStr">
        <is>
          <t>Sunflower Terrace</t>
        </is>
      </c>
      <c r="F19" s="9" t="inlineStr">
        <is>
          <t>Houston</t>
        </is>
      </c>
      <c r="G19" s="9" t="inlineStr">
        <is>
          <t>Harris</t>
        </is>
      </c>
      <c r="H19" s="9" t="n">
        <v>6</v>
      </c>
      <c r="I19" s="9" t="inlineStr">
        <is>
          <t>5050 Sunflower Street</t>
        </is>
      </c>
      <c r="J19" s="9" t="n">
        <v>77033</v>
      </c>
      <c r="K19" s="8" t="n">
        <v>45667</v>
      </c>
      <c r="L19" s="9" t="inlineStr">
        <is>
          <t>Closed</t>
        </is>
      </c>
      <c r="M19" s="8" t="n">
        <v>45757</v>
      </c>
      <c r="N19" s="8" t="n">
        <v>45779</v>
      </c>
      <c r="O19" s="8" t="n">
        <v>45671</v>
      </c>
      <c r="P19" s="8" t="n">
        <v>45851</v>
      </c>
      <c r="Q19" s="8" t="n"/>
      <c r="R19" s="9" t="inlineStr">
        <is>
          <t>Acq/Rehab</t>
        </is>
      </c>
      <c r="S19" s="9" t="inlineStr">
        <is>
          <t>General</t>
        </is>
      </c>
      <c r="T19" s="10" t="n">
        <v>160</v>
      </c>
      <c r="U19" s="10" t="n">
        <v>160</v>
      </c>
      <c r="V19" s="9" t="n"/>
      <c r="W19" s="9" t="n"/>
      <c r="X19" s="9" t="inlineStr">
        <is>
          <t>Houston HFC</t>
        </is>
      </c>
      <c r="Y19" s="9" t="inlineStr">
        <is>
          <t>Local HFC</t>
        </is>
      </c>
      <c r="Z19" s="11" t="n">
        <v>28000000</v>
      </c>
      <c r="AA19" s="11" t="n"/>
      <c r="AB19" s="11" t="n">
        <v>1996896</v>
      </c>
      <c r="AC19" s="11" t="n">
        <v>1996896</v>
      </c>
      <c r="AD19" s="11" t="n"/>
      <c r="AE19" s="11" t="n"/>
      <c r="AF19" s="9" t="inlineStr">
        <is>
          <t>N</t>
        </is>
      </c>
      <c r="AG19" s="9" t="inlineStr">
        <is>
          <t>Y</t>
        </is>
      </c>
      <c r="AH19" s="9" t="n"/>
      <c r="AI19" s="9" t="inlineStr">
        <is>
          <t>Y</t>
        </is>
      </c>
      <c r="AJ19" s="8" t="n"/>
      <c r="AK19" s="9" t="inlineStr">
        <is>
          <t>Y</t>
        </is>
      </c>
      <c r="AL19" s="9" t="inlineStr">
        <is>
          <t>Y</t>
        </is>
      </c>
      <c r="AM19" s="9" t="inlineStr">
        <is>
          <t>Y</t>
        </is>
      </c>
      <c r="AN19" s="9" t="n"/>
      <c r="AO19" s="9" t="n"/>
      <c r="AP19" s="9" t="n"/>
      <c r="AQ19" s="9" t="n"/>
      <c r="AR19" s="9" t="n"/>
      <c r="AS19" s="9" t="inlineStr">
        <is>
          <t>N</t>
        </is>
      </c>
      <c r="AT19" s="8" t="n"/>
      <c r="AU19" s="8" t="n"/>
      <c r="AV19" s="9" t="n"/>
      <c r="AW19" s="8" t="n"/>
      <c r="AX19" s="9" t="inlineStr">
        <is>
          <t>N</t>
        </is>
      </c>
      <c r="AY19" s="9" t="inlineStr">
        <is>
          <t>Y</t>
        </is>
      </c>
      <c r="AZ19" s="9" t="inlineStr">
        <is>
          <t>Y</t>
        </is>
      </c>
      <c r="BA19" s="9" t="inlineStr">
        <is>
          <t>Y</t>
        </is>
      </c>
      <c r="BB19" s="9" t="inlineStr">
        <is>
          <t>Y</t>
        </is>
      </c>
      <c r="BC19" s="9" t="inlineStr">
        <is>
          <t>Y</t>
        </is>
      </c>
      <c r="BD19" s="9" t="n"/>
      <c r="BE19" s="9" t="inlineStr">
        <is>
          <t>N</t>
        </is>
      </c>
      <c r="BF19" s="9" t="n"/>
      <c r="BG19" s="9" t="n"/>
      <c r="BH19" s="9" t="n"/>
      <c r="BI19" s="9" t="n"/>
      <c r="BJ19" s="9" t="inlineStr">
        <is>
          <t>Y</t>
        </is>
      </c>
      <c r="BK19" s="9" t="inlineStr">
        <is>
          <t>N</t>
        </is>
      </c>
      <c r="BL19" s="9" t="inlineStr">
        <is>
          <t>N</t>
        </is>
      </c>
      <c r="BM19" s="9" t="inlineStr">
        <is>
          <t>Y</t>
        </is>
      </c>
      <c r="BN19" s="9" t="inlineStr">
        <is>
          <t>Y</t>
        </is>
      </c>
      <c r="BO19" s="8" t="n">
        <v>45667</v>
      </c>
      <c r="BP19" s="9" t="inlineStr">
        <is>
          <t>Y</t>
        </is>
      </c>
      <c r="BQ19" s="9" t="inlineStr">
        <is>
          <t>N</t>
        </is>
      </c>
      <c r="BR19" s="13">
        <f>IF(COUNTIF(AI19:BM19,"N")+COUNTBLANK(AI19:BM19)=0,"Y","N")</f>
        <v/>
      </c>
      <c r="BS19" s="13">
        <f>IF(AND(BR19="Y",OR(L19="Submitted",L19="Under Review")),"Y",IF(L19="Closed","Y","N"))</f>
        <v/>
      </c>
      <c r="BT19" s="10" t="n">
        <v>17</v>
      </c>
      <c r="BU19" s="13">
        <f>Rule_Flags!Q18</f>
        <v/>
      </c>
      <c r="BV19" s="13">
        <f>Rule_Flags!P18</f>
        <v/>
      </c>
      <c r="BW19" s="13">
        <f>IF(Rule_Flags!E18=1,"SITE_CONTROL",IF(Rule_Flags!F18=1,"APPROVALS",IF(Rule_Flags!G18=1,"REPORTS",IF(Rule_Flags!H18=1,"DEFICIENCY",IF(Rule_Flags!I18=1,"UNDERWRITING",IF(Rule_Flags!J18=1,"COMPLIANCE",""))))))</f>
        <v/>
      </c>
      <c r="BX19" s="13">
        <f>IF(BW19="SITE_CONTROL","Site control missing or invalid",IF(BW19="APPROVALS","Required approvals or resolutions incomplete",IF(BW19="REPORTS","Required third-party reports incomplete",IF(BW19="DEFICIENCY","Unresolved deficiency or material deficiency",IF(BW19="UNDERWRITING","Underwriting / feasibility not passed",IF(BW19="COMPLIANCE","Deconcentration, one-mile, LURA, or Chapter 12 issue","Ready under current engine rules"))))))</f>
        <v/>
      </c>
      <c r="BY19" s="13">
        <f>IF(BV19="Determination Notice","Streamlined + DN-ready assumptions satisfied",IF(BV19="Board","Board-required or board-ready assumptions satisfied",""))</f>
        <v/>
      </c>
      <c r="BZ19" s="13">
        <f>IF(AND(BP19="Y",BQ19&lt;&gt;"Y"),"Carryforward project retains queue priority",IF(BQ19="Y","New project enters behind carryforward projects",""))</f>
        <v/>
      </c>
      <c r="CA19" s="13">
        <f>_xludf.RANK.EQ(Rule_Flags!O18,Rule_Flags!$O$3:$O$402,0)</f>
        <v/>
      </c>
      <c r="CB19" s="13">
        <f>IF(OR(BU19="Determination Notice Issued",BU19="Board",BU19="Closed"),"Y","N")</f>
        <v/>
      </c>
      <c r="CC19" s="9" t="n"/>
      <c r="CD19" s="9" t="inlineStr">
        <is>
          <t>Allan Izzo</t>
        </is>
      </c>
      <c r="CE19" s="9" t="inlineStr">
        <is>
          <t>(646) 825-7106</t>
        </is>
      </c>
      <c r="CF19" s="9" t="inlineStr">
        <is>
          <t>allan.izzo@fairstead.com</t>
        </is>
      </c>
      <c r="CG19" s="9" t="inlineStr">
        <is>
          <t>Richard Mudd, Sr.</t>
        </is>
      </c>
      <c r="CH19" s="9" t="inlineStr">
        <is>
          <t>(713) 461-2749</t>
        </is>
      </c>
    </row>
    <row r="20">
      <c r="A20" s="8" t="inlineStr">
        <is>
          <t>2026-02-10</t>
        </is>
      </c>
      <c r="B20" s="9" t="inlineStr">
        <is>
          <t>2026-02-10</t>
        </is>
      </c>
      <c r="C20" s="9" t="inlineStr">
        <is>
          <t>25439</t>
        </is>
      </c>
      <c r="D20" s="9" t="n">
        <v>95157</v>
      </c>
      <c r="E20" s="9" t="inlineStr">
        <is>
          <t>Pleasant Hill Village</t>
        </is>
      </c>
      <c r="F20" s="9" t="inlineStr">
        <is>
          <t>Houston</t>
        </is>
      </c>
      <c r="G20" s="9" t="inlineStr">
        <is>
          <t>Harris</t>
        </is>
      </c>
      <c r="H20" s="9" t="n">
        <v>6</v>
      </c>
      <c r="I20" s="9" t="inlineStr">
        <is>
          <t>3814 Lyons Avenue</t>
        </is>
      </c>
      <c r="J20" s="9" t="n">
        <v>77020</v>
      </c>
      <c r="K20" s="8" t="n">
        <v>45670</v>
      </c>
      <c r="L20" s="9" t="inlineStr">
        <is>
          <t>Approved</t>
        </is>
      </c>
      <c r="M20" s="8" t="n">
        <v>45820</v>
      </c>
      <c r="N20" s="8" t="n">
        <v>45826</v>
      </c>
      <c r="O20" s="8" t="n">
        <v>45880</v>
      </c>
      <c r="P20" s="8" t="n">
        <v>46060</v>
      </c>
      <c r="Q20" s="8" t="n"/>
      <c r="R20" s="9" t="inlineStr">
        <is>
          <t>Acq/Rehab</t>
        </is>
      </c>
      <c r="S20" s="9" t="inlineStr">
        <is>
          <t>Elderly</t>
        </is>
      </c>
      <c r="T20" s="10" t="n">
        <v>165</v>
      </c>
      <c r="U20" s="10" t="n">
        <v>165</v>
      </c>
      <c r="V20" s="9" t="n"/>
      <c r="W20" s="9" t="n"/>
      <c r="X20" s="9" t="inlineStr">
        <is>
          <t>HHA Fountainview PFC</t>
        </is>
      </c>
      <c r="Y20" s="9" t="inlineStr">
        <is>
          <t>Other</t>
        </is>
      </c>
      <c r="Z20" s="11" t="n">
        <v>20000000</v>
      </c>
      <c r="AA20" s="11" t="n"/>
      <c r="AB20" s="11" t="n">
        <v>1176012</v>
      </c>
      <c r="AC20" s="11" t="n">
        <v>1176012</v>
      </c>
      <c r="AD20" s="11" t="n"/>
      <c r="AE20" s="11" t="n"/>
      <c r="AF20" s="9" t="inlineStr">
        <is>
          <t>N</t>
        </is>
      </c>
      <c r="AG20" s="9" t="inlineStr">
        <is>
          <t>Y</t>
        </is>
      </c>
      <c r="AH20" s="9" t="inlineStr">
        <is>
          <t>Y</t>
        </is>
      </c>
      <c r="AI20" s="9" t="inlineStr">
        <is>
          <t>Y</t>
        </is>
      </c>
      <c r="AJ20" s="8" t="n"/>
      <c r="AK20" s="9" t="inlineStr">
        <is>
          <t>Y</t>
        </is>
      </c>
      <c r="AL20" s="9" t="inlineStr">
        <is>
          <t>Y</t>
        </is>
      </c>
      <c r="AM20" s="9" t="inlineStr">
        <is>
          <t>Y</t>
        </is>
      </c>
      <c r="AN20" s="9" t="n"/>
      <c r="AO20" s="9" t="n"/>
      <c r="AP20" s="9" t="n"/>
      <c r="AQ20" s="9" t="n"/>
      <c r="AR20" s="9" t="n"/>
      <c r="AS20" s="9" t="inlineStr">
        <is>
          <t>N</t>
        </is>
      </c>
      <c r="AT20" s="8" t="n"/>
      <c r="AU20" s="8" t="n"/>
      <c r="AV20" s="9" t="n"/>
      <c r="AW20" s="8" t="n"/>
      <c r="AX20" s="9" t="inlineStr">
        <is>
          <t>N</t>
        </is>
      </c>
      <c r="AY20" s="9" t="inlineStr">
        <is>
          <t>Y</t>
        </is>
      </c>
      <c r="AZ20" s="9" t="inlineStr">
        <is>
          <t>Y</t>
        </is>
      </c>
      <c r="BA20" s="9" t="inlineStr">
        <is>
          <t>Y</t>
        </is>
      </c>
      <c r="BB20" s="9" t="inlineStr">
        <is>
          <t>Y</t>
        </is>
      </c>
      <c r="BC20" s="9" t="inlineStr">
        <is>
          <t>Y</t>
        </is>
      </c>
      <c r="BD20" s="9" t="n"/>
      <c r="BE20" s="9" t="inlineStr">
        <is>
          <t>N</t>
        </is>
      </c>
      <c r="BF20" s="9" t="n"/>
      <c r="BG20" s="9" t="n"/>
      <c r="BH20" s="9" t="n"/>
      <c r="BI20" s="9" t="n"/>
      <c r="BJ20" s="9" t="inlineStr">
        <is>
          <t>Y</t>
        </is>
      </c>
      <c r="BK20" s="9" t="inlineStr">
        <is>
          <t>N</t>
        </is>
      </c>
      <c r="BL20" s="9" t="inlineStr">
        <is>
          <t>N</t>
        </is>
      </c>
      <c r="BM20" s="9" t="inlineStr">
        <is>
          <t>Y</t>
        </is>
      </c>
      <c r="BN20" s="9" t="inlineStr">
        <is>
          <t>Y</t>
        </is>
      </c>
      <c r="BO20" s="8" t="n">
        <v>45670</v>
      </c>
      <c r="BP20" s="9" t="inlineStr">
        <is>
          <t>Y</t>
        </is>
      </c>
      <c r="BQ20" s="9" t="inlineStr">
        <is>
          <t>N</t>
        </is>
      </c>
      <c r="BR20" s="13">
        <f>IF(COUNTIF(AI20:BM20,"N")+COUNTBLANK(AI20:BM20)=0,"Y","N")</f>
        <v/>
      </c>
      <c r="BS20" s="13">
        <f>IF(AND(BR20="Y",OR(L20="Submitted",L20="Under Review")),"Y",IF(L20="Closed","Y","N"))</f>
        <v/>
      </c>
      <c r="BT20" s="10" t="n">
        <v>25</v>
      </c>
      <c r="BU20" s="13">
        <f>Rule_Flags!Q19</f>
        <v/>
      </c>
      <c r="BV20" s="13">
        <f>Rule_Flags!P19</f>
        <v/>
      </c>
      <c r="BW20" s="13">
        <f>IF(Rule_Flags!E19=1,"SITE_CONTROL",IF(Rule_Flags!F19=1,"APPROVALS",IF(Rule_Flags!G19=1,"REPORTS",IF(Rule_Flags!H19=1,"DEFICIENCY",IF(Rule_Flags!I19=1,"UNDERWRITING",IF(Rule_Flags!J19=1,"COMPLIANCE",""))))))</f>
        <v/>
      </c>
      <c r="BX20" s="13">
        <f>IF(BW20="SITE_CONTROL","Site control missing or invalid",IF(BW20="APPROVALS","Required approvals or resolutions incomplete",IF(BW20="REPORTS","Required third-party reports incomplete",IF(BW20="DEFICIENCY","Unresolved deficiency or material deficiency",IF(BW20="UNDERWRITING","Underwriting / feasibility not passed",IF(BW20="COMPLIANCE","Deconcentration, one-mile, LURA, or Chapter 12 issue","Ready under current engine rules"))))))</f>
        <v/>
      </c>
      <c r="BY20" s="13">
        <f>IF(BV20="Determination Notice","Streamlined + DN-ready assumptions satisfied",IF(BV20="Board","Board-required or board-ready assumptions satisfied",""))</f>
        <v/>
      </c>
      <c r="BZ20" s="13">
        <f>IF(AND(BP20="Y",BQ20&lt;&gt;"Y"),"Carryforward project retains queue priority",IF(BQ20="Y","New project enters behind carryforward projects",""))</f>
        <v/>
      </c>
      <c r="CA20" s="13">
        <f>_xludf.RANK.EQ(Rule_Flags!O19,Rule_Flags!$O$3:$O$402,0)</f>
        <v/>
      </c>
      <c r="CB20" s="13">
        <f>IF(OR(BU20="Determination Notice Issued",BU20="Board",BU20="Closed"),"Y","N")</f>
        <v/>
      </c>
      <c r="CC20" s="9" t="n"/>
      <c r="CD20" s="9" t="inlineStr">
        <is>
          <t>Harvey Clemons, Jr.</t>
        </is>
      </c>
      <c r="CE20" s="9" t="inlineStr">
        <is>
          <t>(713) 224-0052</t>
        </is>
      </c>
      <c r="CF20" s="9" t="inlineStr">
        <is>
          <t>hclemons@aol.com</t>
        </is>
      </c>
      <c r="CG20" s="9" t="inlineStr">
        <is>
          <t>David Northern, Sr.</t>
        </is>
      </c>
      <c r="CH20" s="9" t="inlineStr">
        <is>
          <t>(713) 260-0522</t>
        </is>
      </c>
    </row>
    <row r="21">
      <c r="A21" s="8" t="inlineStr">
        <is>
          <t>2026-02-10</t>
        </is>
      </c>
      <c r="B21" s="9" t="inlineStr">
        <is>
          <t>2026-02-10</t>
        </is>
      </c>
      <c r="C21" s="9" t="inlineStr">
        <is>
          <t>25437</t>
        </is>
      </c>
      <c r="D21" s="9" t="n"/>
      <c r="E21" s="9" t="inlineStr">
        <is>
          <t>Manor Apartments</t>
        </is>
      </c>
      <c r="F21" s="9" t="inlineStr">
        <is>
          <t>Austin</t>
        </is>
      </c>
      <c r="G21" s="9" t="inlineStr">
        <is>
          <t>Travis</t>
        </is>
      </c>
      <c r="H21" s="9" t="n">
        <v>7</v>
      </c>
      <c r="I21" s="9" t="inlineStr">
        <is>
          <t>6705 Manor Road</t>
        </is>
      </c>
      <c r="J21" s="9" t="n">
        <v>78723</v>
      </c>
      <c r="K21" s="8" t="n">
        <v>45670</v>
      </c>
      <c r="L21" s="9" t="inlineStr">
        <is>
          <t>Withdrawn</t>
        </is>
      </c>
      <c r="M21" s="8" t="n">
        <v>45785</v>
      </c>
      <c r="N21" s="8" t="n">
        <v>45800</v>
      </c>
      <c r="O21" s="8" t="n">
        <v>45671</v>
      </c>
      <c r="P21" s="8" t="n">
        <v>45851</v>
      </c>
      <c r="Q21" s="8" t="n"/>
      <c r="R21" s="9" t="inlineStr">
        <is>
          <t>New Construction</t>
        </is>
      </c>
      <c r="S21" s="9" t="inlineStr">
        <is>
          <t>General</t>
        </is>
      </c>
      <c r="T21" s="10" t="n">
        <v>181</v>
      </c>
      <c r="U21" s="10" t="n">
        <v>179</v>
      </c>
      <c r="V21" s="9" t="n"/>
      <c r="W21" s="9" t="n"/>
      <c r="X21" s="9" t="inlineStr">
        <is>
          <t>Travis County HFC</t>
        </is>
      </c>
      <c r="Y21" s="9" t="inlineStr">
        <is>
          <t>Local HFC</t>
        </is>
      </c>
      <c r="Z21" s="11" t="n">
        <v>35000000</v>
      </c>
      <c r="AA21" s="11" t="n"/>
      <c r="AB21" s="11" t="n">
        <v>2902773</v>
      </c>
      <c r="AC21" s="11" t="n">
        <v>2902773</v>
      </c>
      <c r="AD21" s="11" t="n"/>
      <c r="AE21" s="11" t="n"/>
      <c r="AF21" s="9" t="inlineStr">
        <is>
          <t>N</t>
        </is>
      </c>
      <c r="AG21" s="9" t="inlineStr">
        <is>
          <t>Y</t>
        </is>
      </c>
      <c r="AH21" s="9" t="n"/>
      <c r="AI21" s="9" t="inlineStr">
        <is>
          <t>Y</t>
        </is>
      </c>
      <c r="AJ21" s="8" t="n"/>
      <c r="AK21" s="9" t="inlineStr">
        <is>
          <t>Y</t>
        </is>
      </c>
      <c r="AL21" s="9" t="inlineStr">
        <is>
          <t>Y</t>
        </is>
      </c>
      <c r="AM21" s="9" t="inlineStr">
        <is>
          <t>Y</t>
        </is>
      </c>
      <c r="AN21" s="9" t="n"/>
      <c r="AO21" s="9" t="n"/>
      <c r="AP21" s="9" t="n"/>
      <c r="AQ21" s="9" t="n"/>
      <c r="AR21" s="9" t="n"/>
      <c r="AS21" s="9" t="inlineStr">
        <is>
          <t>N</t>
        </is>
      </c>
      <c r="AT21" s="8" t="n"/>
      <c r="AU21" s="8" t="n"/>
      <c r="AV21" s="9" t="n"/>
      <c r="AW21" s="8" t="n"/>
      <c r="AX21" s="9" t="inlineStr">
        <is>
          <t>N</t>
        </is>
      </c>
      <c r="AY21" s="9" t="inlineStr">
        <is>
          <t>Y</t>
        </is>
      </c>
      <c r="AZ21" s="9" t="inlineStr">
        <is>
          <t>Y</t>
        </is>
      </c>
      <c r="BA21" s="9" t="inlineStr">
        <is>
          <t>Y</t>
        </is>
      </c>
      <c r="BB21" s="9" t="inlineStr">
        <is>
          <t>Y</t>
        </is>
      </c>
      <c r="BC21" s="9" t="inlineStr">
        <is>
          <t>Y</t>
        </is>
      </c>
      <c r="BD21" s="9" t="n"/>
      <c r="BE21" s="9" t="inlineStr">
        <is>
          <t>N</t>
        </is>
      </c>
      <c r="BF21" s="9" t="n"/>
      <c r="BG21" s="9" t="n"/>
      <c r="BH21" s="9" t="n"/>
      <c r="BI21" s="9" t="n"/>
      <c r="BJ21" s="9" t="inlineStr">
        <is>
          <t>Y</t>
        </is>
      </c>
      <c r="BK21" s="9" t="inlineStr">
        <is>
          <t>N</t>
        </is>
      </c>
      <c r="BL21" s="9" t="inlineStr">
        <is>
          <t>N</t>
        </is>
      </c>
      <c r="BM21" s="9" t="inlineStr">
        <is>
          <t>Y</t>
        </is>
      </c>
      <c r="BN21" s="9" t="inlineStr">
        <is>
          <t>Y</t>
        </is>
      </c>
      <c r="BO21" s="8" t="n">
        <v>45670</v>
      </c>
      <c r="BP21" s="9" t="inlineStr">
        <is>
          <t>Y</t>
        </is>
      </c>
      <c r="BQ21" s="9" t="inlineStr">
        <is>
          <t>N</t>
        </is>
      </c>
      <c r="BR21" s="13">
        <f>IF(COUNTIF(AI21:BM21,"N")+COUNTBLANK(AI21:BM21)=0,"Y","N")</f>
        <v/>
      </c>
      <c r="BS21" s="13">
        <f>IF(AND(BR21="Y",OR(L21="Submitted",L21="Under Review")),"Y",IF(L21="Closed","Y","N"))</f>
        <v/>
      </c>
      <c r="BT21" s="10" t="n">
        <v>23</v>
      </c>
      <c r="BU21" s="13">
        <f>Rule_Flags!Q20</f>
        <v/>
      </c>
      <c r="BV21" s="13">
        <f>Rule_Flags!P20</f>
        <v/>
      </c>
      <c r="BW21" s="13">
        <f>IF(Rule_Flags!E20=1,"SITE_CONTROL",IF(Rule_Flags!F20=1,"APPROVALS",IF(Rule_Flags!G20=1,"REPORTS",IF(Rule_Flags!H20=1,"DEFICIENCY",IF(Rule_Flags!I20=1,"UNDERWRITING",IF(Rule_Flags!J20=1,"COMPLIANCE",""))))))</f>
        <v/>
      </c>
      <c r="BX21" s="13">
        <f>IF(BW21="SITE_CONTROL","Site control missing or invalid",IF(BW21="APPROVALS","Required approvals or resolutions incomplete",IF(BW21="REPORTS","Required third-party reports incomplete",IF(BW21="DEFICIENCY","Unresolved deficiency or material deficiency",IF(BW21="UNDERWRITING","Underwriting / feasibility not passed",IF(BW21="COMPLIANCE","Deconcentration, one-mile, LURA, or Chapter 12 issue","Ready under current engine rules"))))))</f>
        <v/>
      </c>
      <c r="BY21" s="13">
        <f>IF(BV21="Determination Notice","Streamlined + DN-ready assumptions satisfied",IF(BV21="Board","Board-required or board-ready assumptions satisfied",""))</f>
        <v/>
      </c>
      <c r="BZ21" s="13">
        <f>IF(AND(BP21="Y",BQ21&lt;&gt;"Y"),"Carryforward project retains queue priority",IF(BQ21="Y","New project enters behind carryforward projects",""))</f>
        <v/>
      </c>
      <c r="CA21" s="13">
        <f>_xludf.RANK.EQ(Rule_Flags!O20,Rule_Flags!$O$3:$O$402,0)</f>
        <v/>
      </c>
      <c r="CB21" s="13">
        <f>IF(OR(BU21="Determination Notice Issued",BU21="Board",BU21="Closed"),"Y","N")</f>
        <v/>
      </c>
      <c r="CC21" s="9" t="inlineStr">
        <is>
          <t>construction_type mapped from raw 'NC' to 'New Construction'</t>
        </is>
      </c>
      <c r="CD21" s="9" t="inlineStr">
        <is>
          <t>Chad Baker</t>
        </is>
      </c>
      <c r="CE21" s="9" t="inlineStr">
        <is>
          <t>(214) 295-5645</t>
        </is>
      </c>
      <c r="CF21" s="9" t="inlineStr">
        <is>
          <t>cbaker@amtexhousing.com</t>
        </is>
      </c>
      <c r="CG21" s="9" t="inlineStr">
        <is>
          <t>Ana Everett</t>
        </is>
      </c>
      <c r="CH21" s="9" t="inlineStr">
        <is>
          <t>(512) 854-1745</t>
        </is>
      </c>
    </row>
    <row r="22">
      <c r="A22" s="8" t="inlineStr">
        <is>
          <t>2026-02-10</t>
        </is>
      </c>
      <c r="B22" s="9" t="inlineStr">
        <is>
          <t>2026-02-10</t>
        </is>
      </c>
      <c r="C22" s="9" t="inlineStr">
        <is>
          <t>25438</t>
        </is>
      </c>
      <c r="D22" s="9" t="n">
        <v>538613</v>
      </c>
      <c r="E22" s="9" t="inlineStr">
        <is>
          <t>Britton's Place</t>
        </is>
      </c>
      <c r="F22" s="9" t="inlineStr">
        <is>
          <t>Houston</t>
        </is>
      </c>
      <c r="G22" s="9" t="inlineStr">
        <is>
          <t>Harris</t>
        </is>
      </c>
      <c r="H22" s="9" t="n">
        <v>6</v>
      </c>
      <c r="I22" s="9" t="inlineStr">
        <is>
          <t>3730 Lyons Avenue</t>
        </is>
      </c>
      <c r="J22" s="9" t="n">
        <v>77020</v>
      </c>
      <c r="K22" s="8" t="n">
        <v>45670</v>
      </c>
      <c r="L22" s="9" t="inlineStr">
        <is>
          <t>Approved</t>
        </is>
      </c>
      <c r="M22" s="8" t="n">
        <v>45820</v>
      </c>
      <c r="N22" s="8" t="n">
        <v>45833</v>
      </c>
      <c r="O22" s="8" t="n">
        <v>45880</v>
      </c>
      <c r="P22" s="8" t="n">
        <v>46060</v>
      </c>
      <c r="Q22" s="8" t="n"/>
      <c r="R22" s="9" t="inlineStr">
        <is>
          <t>Acq/Rehab</t>
        </is>
      </c>
      <c r="S22" s="9" t="inlineStr">
        <is>
          <t>General</t>
        </is>
      </c>
      <c r="T22" s="10" t="n">
        <v>48</v>
      </c>
      <c r="U22" s="10" t="n">
        <v>48</v>
      </c>
      <c r="V22" s="9" t="n"/>
      <c r="W22" s="9" t="n"/>
      <c r="X22" s="9" t="inlineStr">
        <is>
          <t>HHA Fountainview PFC</t>
        </is>
      </c>
      <c r="Y22" s="9" t="inlineStr">
        <is>
          <t>Other</t>
        </is>
      </c>
      <c r="Z22" s="11" t="n">
        <v>20000000</v>
      </c>
      <c r="AA22" s="11" t="n"/>
      <c r="AB22" s="11" t="n">
        <v>466454</v>
      </c>
      <c r="AC22" s="11" t="n">
        <v>466454</v>
      </c>
      <c r="AD22" s="11" t="n"/>
      <c r="AE22" s="11" t="n"/>
      <c r="AF22" s="9" t="inlineStr">
        <is>
          <t>N</t>
        </is>
      </c>
      <c r="AG22" s="9" t="inlineStr">
        <is>
          <t>Y</t>
        </is>
      </c>
      <c r="AH22" s="9" t="inlineStr">
        <is>
          <t>Y</t>
        </is>
      </c>
      <c r="AI22" s="9" t="inlineStr">
        <is>
          <t>Y</t>
        </is>
      </c>
      <c r="AJ22" s="8" t="n"/>
      <c r="AK22" s="9" t="inlineStr">
        <is>
          <t>Y</t>
        </is>
      </c>
      <c r="AL22" s="9" t="inlineStr">
        <is>
          <t>Y</t>
        </is>
      </c>
      <c r="AM22" s="9" t="inlineStr">
        <is>
          <t>Y</t>
        </is>
      </c>
      <c r="AN22" s="9" t="n"/>
      <c r="AO22" s="9" t="n"/>
      <c r="AP22" s="9" t="n"/>
      <c r="AQ22" s="9" t="n"/>
      <c r="AR22" s="9" t="n"/>
      <c r="AS22" s="9" t="inlineStr">
        <is>
          <t>N</t>
        </is>
      </c>
      <c r="AT22" s="8" t="n"/>
      <c r="AU22" s="8" t="n"/>
      <c r="AV22" s="9" t="n"/>
      <c r="AW22" s="8" t="n"/>
      <c r="AX22" s="9" t="inlineStr">
        <is>
          <t>N</t>
        </is>
      </c>
      <c r="AY22" s="9" t="inlineStr">
        <is>
          <t>Y</t>
        </is>
      </c>
      <c r="AZ22" s="9" t="inlineStr">
        <is>
          <t>Y</t>
        </is>
      </c>
      <c r="BA22" s="9" t="inlineStr">
        <is>
          <t>Y</t>
        </is>
      </c>
      <c r="BB22" s="9" t="inlineStr">
        <is>
          <t>Y</t>
        </is>
      </c>
      <c r="BC22" s="9" t="inlineStr">
        <is>
          <t>Y</t>
        </is>
      </c>
      <c r="BD22" s="9" t="n"/>
      <c r="BE22" s="9" t="inlineStr">
        <is>
          <t>N</t>
        </is>
      </c>
      <c r="BF22" s="9" t="n"/>
      <c r="BG22" s="9" t="n"/>
      <c r="BH22" s="9" t="n"/>
      <c r="BI22" s="9" t="n"/>
      <c r="BJ22" s="9" t="inlineStr">
        <is>
          <t>Y</t>
        </is>
      </c>
      <c r="BK22" s="9" t="inlineStr">
        <is>
          <t>N</t>
        </is>
      </c>
      <c r="BL22" s="9" t="inlineStr">
        <is>
          <t>N</t>
        </is>
      </c>
      <c r="BM22" s="9" t="inlineStr">
        <is>
          <t>Y</t>
        </is>
      </c>
      <c r="BN22" s="9" t="inlineStr">
        <is>
          <t>Y</t>
        </is>
      </c>
      <c r="BO22" s="8" t="n">
        <v>45670</v>
      </c>
      <c r="BP22" s="9" t="inlineStr">
        <is>
          <t>Y</t>
        </is>
      </c>
      <c r="BQ22" s="9" t="inlineStr">
        <is>
          <t>N</t>
        </is>
      </c>
      <c r="BR22" s="13">
        <f>IF(COUNTIF(AI22:BM22,"N")+COUNTBLANK(AI22:BM22)=0,"Y","N")</f>
        <v/>
      </c>
      <c r="BS22" s="13">
        <f>IF(AND(BR22="Y",OR(L22="Submitted",L22="Under Review")),"Y",IF(L22="Closed","Y","N"))</f>
        <v/>
      </c>
      <c r="BT22" s="10" t="n">
        <v>24</v>
      </c>
      <c r="BU22" s="13">
        <f>Rule_Flags!Q21</f>
        <v/>
      </c>
      <c r="BV22" s="13">
        <f>Rule_Flags!P21</f>
        <v/>
      </c>
      <c r="BW22" s="13">
        <f>IF(Rule_Flags!E21=1,"SITE_CONTROL",IF(Rule_Flags!F21=1,"APPROVALS",IF(Rule_Flags!G21=1,"REPORTS",IF(Rule_Flags!H21=1,"DEFICIENCY",IF(Rule_Flags!I21=1,"UNDERWRITING",IF(Rule_Flags!J21=1,"COMPLIANCE",""))))))</f>
        <v/>
      </c>
      <c r="BX22" s="13">
        <f>IF(BW22="SITE_CONTROL","Site control missing or invalid",IF(BW22="APPROVALS","Required approvals or resolutions incomplete",IF(BW22="REPORTS","Required third-party reports incomplete",IF(BW22="DEFICIENCY","Unresolved deficiency or material deficiency",IF(BW22="UNDERWRITING","Underwriting / feasibility not passed",IF(BW22="COMPLIANCE","Deconcentration, one-mile, LURA, or Chapter 12 issue","Ready under current engine rules"))))))</f>
        <v/>
      </c>
      <c r="BY22" s="13">
        <f>IF(BV22="Determination Notice","Streamlined + DN-ready assumptions satisfied",IF(BV22="Board","Board-required or board-ready assumptions satisfied",""))</f>
        <v/>
      </c>
      <c r="BZ22" s="13">
        <f>IF(AND(BP22="Y",BQ22&lt;&gt;"Y"),"Carryforward project retains queue priority",IF(BQ22="Y","New project enters behind carryforward projects",""))</f>
        <v/>
      </c>
      <c r="CA22" s="13">
        <f>_xludf.RANK.EQ(Rule_Flags!O21,Rule_Flags!$O$3:$O$402,0)</f>
        <v/>
      </c>
      <c r="CB22" s="13">
        <f>IF(OR(BU22="Determination Notice Issued",BU22="Board",BU22="Closed"),"Y","N")</f>
        <v/>
      </c>
      <c r="CC22" s="9" t="n"/>
      <c r="CD22" s="9" t="inlineStr">
        <is>
          <t>Harvey Clemons, Jr.</t>
        </is>
      </c>
      <c r="CE22" s="9" t="inlineStr">
        <is>
          <t>(713) 224-0052</t>
        </is>
      </c>
      <c r="CF22" s="9" t="inlineStr">
        <is>
          <t>hclemons@aol.com</t>
        </is>
      </c>
      <c r="CG22" s="9" t="inlineStr">
        <is>
          <t>David Northern, Sr.</t>
        </is>
      </c>
      <c r="CH22" s="9" t="inlineStr">
        <is>
          <t>(713) 260-0522</t>
        </is>
      </c>
    </row>
    <row r="23">
      <c r="A23" s="8" t="inlineStr">
        <is>
          <t>2026-02-10</t>
        </is>
      </c>
      <c r="B23" s="9" t="inlineStr">
        <is>
          <t>2026-02-10</t>
        </is>
      </c>
      <c r="C23" s="9" t="inlineStr">
        <is>
          <t>25417</t>
        </is>
      </c>
      <c r="D23" s="9" t="n"/>
      <c r="E23" s="9" t="inlineStr">
        <is>
          <t>Reserve at Ella</t>
        </is>
      </c>
      <c r="F23" s="9" t="inlineStr">
        <is>
          <t>Houston</t>
        </is>
      </c>
      <c r="G23" s="9" t="inlineStr">
        <is>
          <t>Harris</t>
        </is>
      </c>
      <c r="H23" s="9" t="n">
        <v>6</v>
      </c>
      <c r="I23" s="9" t="inlineStr">
        <is>
          <t>867 Rushcreek Drive</t>
        </is>
      </c>
      <c r="J23" s="9" t="n">
        <v>77067</v>
      </c>
      <c r="K23" s="8" t="n">
        <v>45670</v>
      </c>
      <c r="L23" s="9" t="inlineStr">
        <is>
          <t>Withdrawn</t>
        </is>
      </c>
      <c r="M23" s="8" t="n">
        <v>45820</v>
      </c>
      <c r="N23" s="8" t="n"/>
      <c r="O23" s="8" t="n">
        <v>45671</v>
      </c>
      <c r="P23" s="8" t="n">
        <v>45851</v>
      </c>
      <c r="Q23" s="8" t="n"/>
      <c r="R23" s="9" t="inlineStr">
        <is>
          <t>New Construction</t>
        </is>
      </c>
      <c r="S23" s="9" t="inlineStr">
        <is>
          <t>General</t>
        </is>
      </c>
      <c r="T23" s="10" t="n">
        <v>344</v>
      </c>
      <c r="U23" s="10" t="n">
        <v>344</v>
      </c>
      <c r="V23" s="9" t="n"/>
      <c r="W23" s="9" t="n"/>
      <c r="X23" s="9" t="inlineStr">
        <is>
          <t>HHA Fountainview PFC</t>
        </is>
      </c>
      <c r="Y23" s="9" t="inlineStr">
        <is>
          <t>Other</t>
        </is>
      </c>
      <c r="Z23" s="11" t="n">
        <v>50000000</v>
      </c>
      <c r="AA23" s="11" t="n"/>
      <c r="AB23" s="11" t="n">
        <v>3405323</v>
      </c>
      <c r="AC23" s="11" t="n"/>
      <c r="AD23" s="11" t="n"/>
      <c r="AE23" s="11" t="n"/>
      <c r="AF23" s="9" t="inlineStr">
        <is>
          <t>N</t>
        </is>
      </c>
      <c r="AG23" s="9" t="inlineStr">
        <is>
          <t>Y</t>
        </is>
      </c>
      <c r="AH23" s="9" t="inlineStr">
        <is>
          <t>Y</t>
        </is>
      </c>
      <c r="AI23" s="9" t="inlineStr">
        <is>
          <t>Y</t>
        </is>
      </c>
      <c r="AJ23" s="8" t="n"/>
      <c r="AK23" s="9" t="inlineStr">
        <is>
          <t>Y</t>
        </is>
      </c>
      <c r="AL23" s="9" t="inlineStr">
        <is>
          <t>Y</t>
        </is>
      </c>
      <c r="AM23" s="9" t="inlineStr">
        <is>
          <t>Y</t>
        </is>
      </c>
      <c r="AN23" s="9" t="n"/>
      <c r="AO23" s="9" t="n"/>
      <c r="AP23" s="9" t="n"/>
      <c r="AQ23" s="9" t="n"/>
      <c r="AR23" s="9" t="n"/>
      <c r="AS23" s="9" t="inlineStr">
        <is>
          <t>N</t>
        </is>
      </c>
      <c r="AT23" s="8" t="n"/>
      <c r="AU23" s="8" t="n"/>
      <c r="AV23" s="9" t="n"/>
      <c r="AW23" s="8" t="n"/>
      <c r="AX23" s="9" t="inlineStr">
        <is>
          <t>N</t>
        </is>
      </c>
      <c r="AY23" s="9" t="inlineStr">
        <is>
          <t>Y</t>
        </is>
      </c>
      <c r="AZ23" s="9" t="inlineStr">
        <is>
          <t>Y</t>
        </is>
      </c>
      <c r="BA23" s="9" t="inlineStr">
        <is>
          <t>Y</t>
        </is>
      </c>
      <c r="BB23" s="9" t="inlineStr">
        <is>
          <t>Y</t>
        </is>
      </c>
      <c r="BC23" s="9" t="inlineStr">
        <is>
          <t>Y</t>
        </is>
      </c>
      <c r="BD23" s="9" t="n"/>
      <c r="BE23" s="9" t="inlineStr">
        <is>
          <t>N</t>
        </is>
      </c>
      <c r="BF23" s="9" t="n"/>
      <c r="BG23" s="9" t="n"/>
      <c r="BH23" s="9" t="n"/>
      <c r="BI23" s="9" t="n"/>
      <c r="BJ23" s="9" t="inlineStr">
        <is>
          <t>Y</t>
        </is>
      </c>
      <c r="BK23" s="9" t="inlineStr">
        <is>
          <t>N</t>
        </is>
      </c>
      <c r="BL23" s="9" t="inlineStr">
        <is>
          <t>N</t>
        </is>
      </c>
      <c r="BM23" s="9" t="inlineStr">
        <is>
          <t>Y</t>
        </is>
      </c>
      <c r="BN23" s="9" t="inlineStr">
        <is>
          <t>Y</t>
        </is>
      </c>
      <c r="BO23" s="8" t="n">
        <v>45670</v>
      </c>
      <c r="BP23" s="9" t="inlineStr">
        <is>
          <t>Y</t>
        </is>
      </c>
      <c r="BQ23" s="9" t="inlineStr">
        <is>
          <t>N</t>
        </is>
      </c>
      <c r="BR23" s="13">
        <f>IF(COUNTIF(AI23:BM23,"N")+COUNTBLANK(AI23:BM23)=0,"Y","N")</f>
        <v/>
      </c>
      <c r="BS23" s="13">
        <f>IF(AND(BR23="Y",OR(L23="Submitted",L23="Under Review")),"Y",IF(L23="Closed","Y","N"))</f>
        <v/>
      </c>
      <c r="BT23" s="10" t="n">
        <v>22</v>
      </c>
      <c r="BU23" s="13">
        <f>Rule_Flags!Q22</f>
        <v/>
      </c>
      <c r="BV23" s="13">
        <f>Rule_Flags!P22</f>
        <v/>
      </c>
      <c r="BW23" s="13">
        <f>IF(Rule_Flags!E22=1,"SITE_CONTROL",IF(Rule_Flags!F22=1,"APPROVALS",IF(Rule_Flags!G22=1,"REPORTS",IF(Rule_Flags!H22=1,"DEFICIENCY",IF(Rule_Flags!I22=1,"UNDERWRITING",IF(Rule_Flags!J22=1,"COMPLIANCE",""))))))</f>
        <v/>
      </c>
      <c r="BX23" s="13">
        <f>IF(BW23="SITE_CONTROL","Site control missing or invalid",IF(BW23="APPROVALS","Required approvals or resolutions incomplete",IF(BW23="REPORTS","Required third-party reports incomplete",IF(BW23="DEFICIENCY","Unresolved deficiency or material deficiency",IF(BW23="UNDERWRITING","Underwriting / feasibility not passed",IF(BW23="COMPLIANCE","Deconcentration, one-mile, LURA, or Chapter 12 issue","Ready under current engine rules"))))))</f>
        <v/>
      </c>
      <c r="BY23" s="13">
        <f>IF(BV23="Determination Notice","Streamlined + DN-ready assumptions satisfied",IF(BV23="Board","Board-required or board-ready assumptions satisfied",""))</f>
        <v/>
      </c>
      <c r="BZ23" s="13">
        <f>IF(AND(BP23="Y",BQ23&lt;&gt;"Y"),"Carryforward project retains queue priority",IF(BQ23="Y","New project enters behind carryforward projects",""))</f>
        <v/>
      </c>
      <c r="CA23" s="13">
        <f>_xludf.RANK.EQ(Rule_Flags!O22,Rule_Flags!$O$3:$O$402,0)</f>
        <v/>
      </c>
      <c r="CB23" s="13">
        <f>IF(OR(BU23="Determination Notice Issued",BU23="Board",BU23="Closed"),"Y","N")</f>
        <v/>
      </c>
      <c r="CC23" s="9" t="inlineStr">
        <is>
          <t>construction_type mapped from raw 'NC' to 'New Construction'</t>
        </is>
      </c>
      <c r="CD23" s="9" t="inlineStr">
        <is>
          <t>Tony Ly</t>
        </is>
      </c>
      <c r="CE23" s="9" t="inlineStr">
        <is>
          <t>(713) 980-1622</t>
        </is>
      </c>
      <c r="CF23" s="9" t="inlineStr">
        <is>
          <t>tonyly@stoacapitalpartners.com</t>
        </is>
      </c>
      <c r="CG23" s="9" t="inlineStr">
        <is>
          <t>Bill Walter</t>
        </is>
      </c>
      <c r="CH23" s="9" t="inlineStr">
        <is>
          <t>(512) 684-3842</t>
        </is>
      </c>
    </row>
    <row r="24">
      <c r="A24" s="8" t="inlineStr">
        <is>
          <t>2026-02-10</t>
        </is>
      </c>
      <c r="B24" s="9" t="inlineStr">
        <is>
          <t>2026-02-10</t>
        </is>
      </c>
      <c r="C24" s="9" t="inlineStr">
        <is>
          <t>25404</t>
        </is>
      </c>
      <c r="D24" s="9" t="n"/>
      <c r="E24" s="9" t="inlineStr">
        <is>
          <t>Torrington Briarwood</t>
        </is>
      </c>
      <c r="F24" s="9" t="inlineStr">
        <is>
          <t>Mesquite</t>
        </is>
      </c>
      <c r="G24" s="9" t="inlineStr">
        <is>
          <t>Dallas</t>
        </is>
      </c>
      <c r="H24" s="9" t="n">
        <v>3</v>
      </c>
      <c r="I24" s="9" t="inlineStr">
        <is>
          <t>2250 Dean Street</t>
        </is>
      </c>
      <c r="J24" s="9" t="n">
        <v>75180</v>
      </c>
      <c r="K24" s="8" t="n">
        <v>45670</v>
      </c>
      <c r="L24" s="9" t="inlineStr">
        <is>
          <t>Closed</t>
        </is>
      </c>
      <c r="M24" s="8" t="n">
        <v>45785</v>
      </c>
      <c r="N24" s="8" t="n">
        <v>45433</v>
      </c>
      <c r="O24" s="8" t="n">
        <v>45671</v>
      </c>
      <c r="P24" s="8" t="n">
        <v>45851</v>
      </c>
      <c r="Q24" s="8" t="n"/>
      <c r="R24" s="9" t="inlineStr">
        <is>
          <t>New Construction</t>
        </is>
      </c>
      <c r="S24" s="9" t="inlineStr">
        <is>
          <t>General</t>
        </is>
      </c>
      <c r="T24" s="10" t="n">
        <v>313</v>
      </c>
      <c r="U24" s="10" t="n">
        <v>313</v>
      </c>
      <c r="V24" s="9" t="n"/>
      <c r="W24" s="9" t="n"/>
      <c r="X24" s="9" t="inlineStr">
        <is>
          <t>The Mesquite HFC</t>
        </is>
      </c>
      <c r="Y24" s="9" t="inlineStr">
        <is>
          <t>Local HFC</t>
        </is>
      </c>
      <c r="Z24" s="11" t="n">
        <v>50000000</v>
      </c>
      <c r="AA24" s="11" t="n"/>
      <c r="AB24" s="11" t="n">
        <v>4371047</v>
      </c>
      <c r="AC24" s="11" t="n">
        <v>4331927</v>
      </c>
      <c r="AD24" s="11" t="n"/>
      <c r="AE24" s="11" t="n"/>
      <c r="AF24" s="9" t="inlineStr">
        <is>
          <t>N</t>
        </is>
      </c>
      <c r="AG24" s="9" t="inlineStr">
        <is>
          <t>Y</t>
        </is>
      </c>
      <c r="AH24" s="9" t="n"/>
      <c r="AI24" s="9" t="inlineStr">
        <is>
          <t>Y</t>
        </is>
      </c>
      <c r="AJ24" s="8" t="n"/>
      <c r="AK24" s="9" t="inlineStr">
        <is>
          <t>Y</t>
        </is>
      </c>
      <c r="AL24" s="9" t="inlineStr">
        <is>
          <t>Y</t>
        </is>
      </c>
      <c r="AM24" s="9" t="inlineStr">
        <is>
          <t>Y</t>
        </is>
      </c>
      <c r="AN24" s="9" t="n"/>
      <c r="AO24" s="9" t="n"/>
      <c r="AP24" s="9" t="n"/>
      <c r="AQ24" s="9" t="n"/>
      <c r="AR24" s="9" t="n"/>
      <c r="AS24" s="9" t="inlineStr">
        <is>
          <t>N</t>
        </is>
      </c>
      <c r="AT24" s="8" t="n"/>
      <c r="AU24" s="8" t="n"/>
      <c r="AV24" s="9" t="n"/>
      <c r="AW24" s="8" t="n"/>
      <c r="AX24" s="9" t="inlineStr">
        <is>
          <t>N</t>
        </is>
      </c>
      <c r="AY24" s="9" t="inlineStr">
        <is>
          <t>Y</t>
        </is>
      </c>
      <c r="AZ24" s="9" t="inlineStr">
        <is>
          <t>Y</t>
        </is>
      </c>
      <c r="BA24" s="9" t="inlineStr">
        <is>
          <t>Y</t>
        </is>
      </c>
      <c r="BB24" s="9" t="inlineStr">
        <is>
          <t>Y</t>
        </is>
      </c>
      <c r="BC24" s="9" t="inlineStr">
        <is>
          <t>Y</t>
        </is>
      </c>
      <c r="BD24" s="9" t="n"/>
      <c r="BE24" s="9" t="inlineStr">
        <is>
          <t>N</t>
        </is>
      </c>
      <c r="BF24" s="9" t="n"/>
      <c r="BG24" s="9" t="n"/>
      <c r="BH24" s="9" t="n"/>
      <c r="BI24" s="9" t="n"/>
      <c r="BJ24" s="9" t="inlineStr">
        <is>
          <t>Y</t>
        </is>
      </c>
      <c r="BK24" s="9" t="inlineStr">
        <is>
          <t>N</t>
        </is>
      </c>
      <c r="BL24" s="9" t="inlineStr">
        <is>
          <t>N</t>
        </is>
      </c>
      <c r="BM24" s="9" t="inlineStr">
        <is>
          <t>Y</t>
        </is>
      </c>
      <c r="BN24" s="9" t="inlineStr">
        <is>
          <t>Y</t>
        </is>
      </c>
      <c r="BO24" s="8" t="n">
        <v>45670</v>
      </c>
      <c r="BP24" s="9" t="inlineStr">
        <is>
          <t>Y</t>
        </is>
      </c>
      <c r="BQ24" s="9" t="inlineStr">
        <is>
          <t>N</t>
        </is>
      </c>
      <c r="BR24" s="13">
        <f>IF(COUNTIF(AI24:BM24,"N")+COUNTBLANK(AI24:BM24)=0,"Y","N")</f>
        <v/>
      </c>
      <c r="BS24" s="13">
        <f>IF(AND(BR24="Y",OR(L24="Submitted",L24="Under Review")),"Y",IF(L24="Closed","Y","N"))</f>
        <v/>
      </c>
      <c r="BT24" s="10" t="n">
        <v>20</v>
      </c>
      <c r="BU24" s="13">
        <f>Rule_Flags!Q23</f>
        <v/>
      </c>
      <c r="BV24" s="13">
        <f>Rule_Flags!P23</f>
        <v/>
      </c>
      <c r="BW24" s="13">
        <f>IF(Rule_Flags!E23=1,"SITE_CONTROL",IF(Rule_Flags!F23=1,"APPROVALS",IF(Rule_Flags!G23=1,"REPORTS",IF(Rule_Flags!H23=1,"DEFICIENCY",IF(Rule_Flags!I23=1,"UNDERWRITING",IF(Rule_Flags!J23=1,"COMPLIANCE",""))))))</f>
        <v/>
      </c>
      <c r="BX24" s="13">
        <f>IF(BW24="SITE_CONTROL","Site control missing or invalid",IF(BW24="APPROVALS","Required approvals or resolutions incomplete",IF(BW24="REPORTS","Required third-party reports incomplete",IF(BW24="DEFICIENCY","Unresolved deficiency or material deficiency",IF(BW24="UNDERWRITING","Underwriting / feasibility not passed",IF(BW24="COMPLIANCE","Deconcentration, one-mile, LURA, or Chapter 12 issue","Ready under current engine rules"))))))</f>
        <v/>
      </c>
      <c r="BY24" s="13">
        <f>IF(BV24="Determination Notice","Streamlined + DN-ready assumptions satisfied",IF(BV24="Board","Board-required or board-ready assumptions satisfied",""))</f>
        <v/>
      </c>
      <c r="BZ24" s="13">
        <f>IF(AND(BP24="Y",BQ24&lt;&gt;"Y"),"Carryforward project retains queue priority",IF(BQ24="Y","New project enters behind carryforward projects",""))</f>
        <v/>
      </c>
      <c r="CA24" s="13">
        <f>_xludf.RANK.EQ(Rule_Flags!O23,Rule_Flags!$O$3:$O$402,0)</f>
        <v/>
      </c>
      <c r="CB24" s="13">
        <f>IF(OR(BU24="Determination Notice Issued",BU24="Board",BU24="Closed"),"Y","N")</f>
        <v/>
      </c>
      <c r="CC24" s="9" t="inlineStr">
        <is>
          <t>construction_type mapped from raw 'NC' to 'New Construction'</t>
        </is>
      </c>
      <c r="CD24" s="9" t="inlineStr">
        <is>
          <t>Karsten Lowe</t>
        </is>
      </c>
      <c r="CE24" s="9" t="inlineStr">
        <is>
          <t>(210) 493-8633</t>
        </is>
      </c>
      <c r="CF24" s="9" t="inlineStr">
        <is>
          <t>Karsten.Lowe@jpi.com</t>
        </is>
      </c>
      <c r="CG24" s="9" t="inlineStr">
        <is>
          <t>Ted Chinn</t>
        </is>
      </c>
      <c r="CH24" s="9" t="inlineStr">
        <is>
          <t>(972) 216-6287</t>
        </is>
      </c>
    </row>
    <row r="25">
      <c r="A25" s="8" t="inlineStr">
        <is>
          <t>2026-02-10</t>
        </is>
      </c>
      <c r="B25" s="9" t="inlineStr">
        <is>
          <t>2026-02-10</t>
        </is>
      </c>
      <c r="C25" s="9" t="inlineStr">
        <is>
          <t>25412</t>
        </is>
      </c>
      <c r="D25" s="9" t="inlineStr">
        <is>
          <t>07457</t>
        </is>
      </c>
      <c r="E25" s="9" t="inlineStr">
        <is>
          <t>Wyndham Park</t>
        </is>
      </c>
      <c r="F25" s="9" t="inlineStr">
        <is>
          <t>Baytown</t>
        </is>
      </c>
      <c r="G25" s="9" t="inlineStr">
        <is>
          <t>Harris</t>
        </is>
      </c>
      <c r="H25" s="9" t="n">
        <v>6</v>
      </c>
      <c r="I25" s="9" t="inlineStr">
        <is>
          <t>2700 Rollingbrook Drive</t>
        </is>
      </c>
      <c r="J25" s="9" t="n">
        <v>77521</v>
      </c>
      <c r="K25" s="8" t="n">
        <v>45670</v>
      </c>
      <c r="L25" s="9" t="inlineStr">
        <is>
          <t>Closed</t>
        </is>
      </c>
      <c r="M25" s="8" t="n">
        <v>45785</v>
      </c>
      <c r="N25" s="8" t="n">
        <v>45811</v>
      </c>
      <c r="O25" s="8" t="n">
        <v>45673</v>
      </c>
      <c r="P25" s="8" t="n">
        <v>45853</v>
      </c>
      <c r="Q25" s="8" t="n"/>
      <c r="R25" s="9" t="inlineStr">
        <is>
          <t>Acq/Rehab</t>
        </is>
      </c>
      <c r="S25" s="9" t="inlineStr">
        <is>
          <t>Elderly</t>
        </is>
      </c>
      <c r="T25" s="10" t="n">
        <v>184</v>
      </c>
      <c r="U25" s="10" t="n">
        <v>184</v>
      </c>
      <c r="V25" s="9" t="n"/>
      <c r="W25" s="9" t="n"/>
      <c r="X25" s="9" t="inlineStr">
        <is>
          <t>Southeast Texas HFC</t>
        </is>
      </c>
      <c r="Y25" s="9" t="inlineStr">
        <is>
          <t>Local HFC</t>
        </is>
      </c>
      <c r="Z25" s="11" t="n">
        <v>20000000</v>
      </c>
      <c r="AA25" s="11" t="n"/>
      <c r="AB25" s="11" t="n">
        <v>986417</v>
      </c>
      <c r="AC25" s="11" t="n">
        <v>986417</v>
      </c>
      <c r="AD25" s="11" t="n"/>
      <c r="AE25" s="11" t="n"/>
      <c r="AF25" s="9" t="inlineStr">
        <is>
          <t>N</t>
        </is>
      </c>
      <c r="AG25" s="9" t="inlineStr">
        <is>
          <t>Y</t>
        </is>
      </c>
      <c r="AH25" s="9" t="n"/>
      <c r="AI25" s="9" t="inlineStr">
        <is>
          <t>Y</t>
        </is>
      </c>
      <c r="AJ25" s="8" t="n"/>
      <c r="AK25" s="9" t="inlineStr">
        <is>
          <t>Y</t>
        </is>
      </c>
      <c r="AL25" s="9" t="inlineStr">
        <is>
          <t>Y</t>
        </is>
      </c>
      <c r="AM25" s="9" t="inlineStr">
        <is>
          <t>Y</t>
        </is>
      </c>
      <c r="AN25" s="9" t="n"/>
      <c r="AO25" s="9" t="n"/>
      <c r="AP25" s="9" t="n"/>
      <c r="AQ25" s="9" t="n"/>
      <c r="AR25" s="9" t="n"/>
      <c r="AS25" s="9" t="inlineStr">
        <is>
          <t>N</t>
        </is>
      </c>
      <c r="AT25" s="8" t="n"/>
      <c r="AU25" s="8" t="n"/>
      <c r="AV25" s="9" t="n"/>
      <c r="AW25" s="8" t="n"/>
      <c r="AX25" s="9" t="inlineStr">
        <is>
          <t>N</t>
        </is>
      </c>
      <c r="AY25" s="9" t="inlineStr">
        <is>
          <t>Y</t>
        </is>
      </c>
      <c r="AZ25" s="9" t="inlineStr">
        <is>
          <t>Y</t>
        </is>
      </c>
      <c r="BA25" s="9" t="inlineStr">
        <is>
          <t>Y</t>
        </is>
      </c>
      <c r="BB25" s="9" t="inlineStr">
        <is>
          <t>Y</t>
        </is>
      </c>
      <c r="BC25" s="9" t="inlineStr">
        <is>
          <t>Y</t>
        </is>
      </c>
      <c r="BD25" s="9" t="n"/>
      <c r="BE25" s="9" t="inlineStr">
        <is>
          <t>N</t>
        </is>
      </c>
      <c r="BF25" s="9" t="n"/>
      <c r="BG25" s="9" t="n"/>
      <c r="BH25" s="9" t="n"/>
      <c r="BI25" s="9" t="n"/>
      <c r="BJ25" s="9" t="inlineStr">
        <is>
          <t>Y</t>
        </is>
      </c>
      <c r="BK25" s="9" t="inlineStr">
        <is>
          <t>N</t>
        </is>
      </c>
      <c r="BL25" s="9" t="inlineStr">
        <is>
          <t>N</t>
        </is>
      </c>
      <c r="BM25" s="9" t="inlineStr">
        <is>
          <t>Y</t>
        </is>
      </c>
      <c r="BN25" s="9" t="inlineStr">
        <is>
          <t>Y</t>
        </is>
      </c>
      <c r="BO25" s="8" t="n">
        <v>45670</v>
      </c>
      <c r="BP25" s="9" t="inlineStr">
        <is>
          <t>Y</t>
        </is>
      </c>
      <c r="BQ25" s="9" t="inlineStr">
        <is>
          <t>N</t>
        </is>
      </c>
      <c r="BR25" s="13">
        <f>IF(COUNTIF(AI25:BM25,"N")+COUNTBLANK(AI25:BM25)=0,"Y","N")</f>
        <v/>
      </c>
      <c r="BS25" s="13">
        <f>IF(AND(BR25="Y",OR(L25="Submitted",L25="Under Review")),"Y",IF(L25="Closed","Y","N"))</f>
        <v/>
      </c>
      <c r="BT25" s="10" t="n">
        <v>21</v>
      </c>
      <c r="BU25" s="13">
        <f>Rule_Flags!Q24</f>
        <v/>
      </c>
      <c r="BV25" s="13">
        <f>Rule_Flags!P24</f>
        <v/>
      </c>
      <c r="BW25" s="13">
        <f>IF(Rule_Flags!E24=1,"SITE_CONTROL",IF(Rule_Flags!F24=1,"APPROVALS",IF(Rule_Flags!G24=1,"REPORTS",IF(Rule_Flags!H24=1,"DEFICIENCY",IF(Rule_Flags!I24=1,"UNDERWRITING",IF(Rule_Flags!J24=1,"COMPLIANCE",""))))))</f>
        <v/>
      </c>
      <c r="BX25" s="13">
        <f>IF(BW25="SITE_CONTROL","Site control missing or invalid",IF(BW25="APPROVALS","Required approvals or resolutions incomplete",IF(BW25="REPORTS","Required third-party reports incomplete",IF(BW25="DEFICIENCY","Unresolved deficiency or material deficiency",IF(BW25="UNDERWRITING","Underwriting / feasibility not passed",IF(BW25="COMPLIANCE","Deconcentration, one-mile, LURA, or Chapter 12 issue","Ready under current engine rules"))))))</f>
        <v/>
      </c>
      <c r="BY25" s="13">
        <f>IF(BV25="Determination Notice","Streamlined + DN-ready assumptions satisfied",IF(BV25="Board","Board-required or board-ready assumptions satisfied",""))</f>
        <v/>
      </c>
      <c r="BZ25" s="13">
        <f>IF(AND(BP25="Y",BQ25&lt;&gt;"Y"),"Carryforward project retains queue priority",IF(BQ25="Y","New project enters behind carryforward projects",""))</f>
        <v/>
      </c>
      <c r="CA25" s="13">
        <f>_xludf.RANK.EQ(Rule_Flags!O24,Rule_Flags!$O$3:$O$402,0)</f>
        <v/>
      </c>
      <c r="CB25" s="13">
        <f>IF(OR(BU25="Determination Notice Issued",BU25="Board",BU25="Closed"),"Y","N")</f>
        <v/>
      </c>
      <c r="CC25" s="9" t="n"/>
      <c r="CD25" s="9" t="inlineStr">
        <is>
          <t>Jeremy Bartholomew</t>
        </is>
      </c>
      <c r="CE25" s="9" t="inlineStr">
        <is>
          <t>(713) 334-5514</t>
        </is>
      </c>
      <c r="CF25" s="9" t="inlineStr">
        <is>
          <t>jeremy@resolutioncompanies.com</t>
        </is>
      </c>
      <c r="CG25" s="9" t="inlineStr">
        <is>
          <t>Ron Williams</t>
        </is>
      </c>
      <c r="CH25" s="9" t="inlineStr">
        <is>
          <t>(281) 484-4663</t>
        </is>
      </c>
    </row>
    <row r="26">
      <c r="A26" s="8" t="inlineStr">
        <is>
          <t>2026-02-10</t>
        </is>
      </c>
      <c r="B26" s="9" t="inlineStr">
        <is>
          <t>2026-02-10</t>
        </is>
      </c>
      <c r="C26" s="9" t="inlineStr">
        <is>
          <t>21608S</t>
        </is>
      </c>
      <c r="D26" s="9" t="n">
        <v>21608</v>
      </c>
      <c r="E26" s="9" t="inlineStr">
        <is>
          <t>Fiji Lofts</t>
        </is>
      </c>
      <c r="F26" s="9" t="inlineStr">
        <is>
          <t>Dallas</t>
        </is>
      </c>
      <c r="G26" s="9" t="inlineStr">
        <is>
          <t>Dallas</t>
        </is>
      </c>
      <c r="H26" s="9" t="n">
        <v>3</v>
      </c>
      <c r="I26" s="9" t="inlineStr">
        <is>
          <t>301 S. Corinth Road</t>
        </is>
      </c>
      <c r="J26" s="9" t="n">
        <v>75203</v>
      </c>
      <c r="K26" s="8" t="n">
        <v>45525</v>
      </c>
      <c r="L26" s="9" t="inlineStr">
        <is>
          <t>Active</t>
        </is>
      </c>
      <c r="M26" s="8" t="n">
        <v>46037</v>
      </c>
      <c r="N26" s="8" t="n"/>
      <c r="O26" s="8" t="n">
        <v>46057</v>
      </c>
      <c r="P26" s="8" t="n">
        <v>46229</v>
      </c>
      <c r="Q26" s="8" t="n"/>
      <c r="R26" s="9" t="inlineStr">
        <is>
          <t>New Construction</t>
        </is>
      </c>
      <c r="S26" s="9" t="inlineStr">
        <is>
          <t>General</t>
        </is>
      </c>
      <c r="T26" s="10" t="n">
        <v>204</v>
      </c>
      <c r="U26" s="10" t="n">
        <v>204</v>
      </c>
      <c r="V26" s="9" t="n"/>
      <c r="W26" s="9" t="n"/>
      <c r="X26" s="9" t="inlineStr">
        <is>
          <t>TDHCA</t>
        </is>
      </c>
      <c r="Y26" s="9" t="inlineStr">
        <is>
          <t>TDHCA</t>
        </is>
      </c>
      <c r="Z26" s="11" t="n">
        <v>6000000</v>
      </c>
      <c r="AA26" s="11" t="n"/>
      <c r="AB26" s="11" t="n">
        <v>2885077</v>
      </c>
      <c r="AC26" s="11" t="n"/>
      <c r="AD26" s="11" t="n"/>
      <c r="AE26" s="11" t="n"/>
      <c r="AF26" s="9" t="inlineStr">
        <is>
          <t>N</t>
        </is>
      </c>
      <c r="AG26" s="9" t="inlineStr">
        <is>
          <t>Y</t>
        </is>
      </c>
      <c r="AH26" s="9" t="n"/>
      <c r="AI26" s="9" t="inlineStr">
        <is>
          <t>Y</t>
        </is>
      </c>
      <c r="AJ26" s="8" t="n"/>
      <c r="AK26" s="9" t="inlineStr">
        <is>
          <t>Y</t>
        </is>
      </c>
      <c r="AL26" s="9" t="inlineStr">
        <is>
          <t>Y</t>
        </is>
      </c>
      <c r="AM26" s="9" t="inlineStr">
        <is>
          <t>Y</t>
        </is>
      </c>
      <c r="AN26" s="9" t="n"/>
      <c r="AO26" s="9" t="n"/>
      <c r="AP26" s="9" t="n"/>
      <c r="AQ26" s="9" t="n"/>
      <c r="AR26" s="9" t="n"/>
      <c r="AS26" s="9" t="inlineStr">
        <is>
          <t>N</t>
        </is>
      </c>
      <c r="AT26" s="8" t="n"/>
      <c r="AU26" s="8" t="n"/>
      <c r="AV26" s="9" t="n"/>
      <c r="AW26" s="8" t="n"/>
      <c r="AX26" s="9" t="inlineStr">
        <is>
          <t>N</t>
        </is>
      </c>
      <c r="AY26" s="9" t="inlineStr">
        <is>
          <t>Y</t>
        </is>
      </c>
      <c r="AZ26" s="9" t="inlineStr">
        <is>
          <t>Y</t>
        </is>
      </c>
      <c r="BA26" s="9" t="inlineStr">
        <is>
          <t>Y</t>
        </is>
      </c>
      <c r="BB26" s="9" t="inlineStr">
        <is>
          <t>Y</t>
        </is>
      </c>
      <c r="BC26" s="9" t="inlineStr">
        <is>
          <t>Y</t>
        </is>
      </c>
      <c r="BD26" s="9" t="n"/>
      <c r="BE26" s="9" t="inlineStr">
        <is>
          <t>N</t>
        </is>
      </c>
      <c r="BF26" s="9" t="n"/>
      <c r="BG26" s="9" t="n"/>
      <c r="BH26" s="9" t="n"/>
      <c r="BI26" s="9" t="n"/>
      <c r="BJ26" s="9" t="inlineStr">
        <is>
          <t>Y</t>
        </is>
      </c>
      <c r="BK26" s="9" t="inlineStr">
        <is>
          <t>N</t>
        </is>
      </c>
      <c r="BL26" s="9" t="inlineStr">
        <is>
          <t>N</t>
        </is>
      </c>
      <c r="BM26" s="9" t="inlineStr">
        <is>
          <t>Y</t>
        </is>
      </c>
      <c r="BN26" s="9" t="inlineStr">
        <is>
          <t>Y</t>
        </is>
      </c>
      <c r="BO26" s="8" t="n">
        <v>45525</v>
      </c>
      <c r="BP26" s="9" t="inlineStr">
        <is>
          <t>Y</t>
        </is>
      </c>
      <c r="BQ26" s="9" t="inlineStr">
        <is>
          <t>N</t>
        </is>
      </c>
      <c r="BR26" s="13">
        <f>IF(COUNTIF(AI26:BM26,"N")+COUNTBLANK(AI26:BM26)=0,"Y","N")</f>
        <v/>
      </c>
      <c r="BS26" s="13">
        <f>IF(AND(BR26="Y",OR(L26="Submitted",L26="Under Review")),"Y",IF(L26="Closed","Y","N"))</f>
        <v/>
      </c>
      <c r="BT26" s="10" t="n">
        <v>1</v>
      </c>
      <c r="BU26" s="13">
        <f>Rule_Flags!Q25</f>
        <v/>
      </c>
      <c r="BV26" s="13">
        <f>Rule_Flags!P25</f>
        <v/>
      </c>
      <c r="BW26" s="13">
        <f>IF(Rule_Flags!E25=1,"SITE_CONTROL",IF(Rule_Flags!F25=1,"APPROVALS",IF(Rule_Flags!G25=1,"REPORTS",IF(Rule_Flags!H25=1,"DEFICIENCY",IF(Rule_Flags!I25=1,"UNDERWRITING",IF(Rule_Flags!J25=1,"COMPLIANCE",""))))))</f>
        <v/>
      </c>
      <c r="BX26" s="13">
        <f>IF(BW26="SITE_CONTROL","Site control missing or invalid",IF(BW26="APPROVALS","Required approvals or resolutions incomplete",IF(BW26="REPORTS","Required third-party reports incomplete",IF(BW26="DEFICIENCY","Unresolved deficiency or material deficiency",IF(BW26="UNDERWRITING","Underwriting / feasibility not passed",IF(BW26="COMPLIANCE","Deconcentration, one-mile, LURA, or Chapter 12 issue","Ready under current engine rules"))))))</f>
        <v/>
      </c>
      <c r="BY26" s="13">
        <f>IF(BV26="Determination Notice","Streamlined + DN-ready assumptions satisfied",IF(BV26="Board","Board-required or board-ready assumptions satisfied",""))</f>
        <v/>
      </c>
      <c r="BZ26" s="13">
        <f>IF(AND(BP26="Y",BQ26&lt;&gt;"Y"),"Carryforward project retains queue priority",IF(BQ26="Y","New project enters behind carryforward projects",""))</f>
        <v/>
      </c>
      <c r="CA26" s="13">
        <f>_xludf.RANK.EQ(Rule_Flags!O25,Rule_Flags!$O$3:$O$402,0)</f>
        <v/>
      </c>
      <c r="CB26" s="13">
        <f>IF(OR(BU26="Determination Notice Issued",BU26="Board",BU26="Closed"),"Y","N")</f>
        <v/>
      </c>
      <c r="CC26" s="9" t="inlineStr">
        <is>
          <t>construction_type mapped from raw 'NC' to 'New Construction'</t>
        </is>
      </c>
      <c r="CD26" s="9" t="inlineStr">
        <is>
          <t>Joseph Agumadu</t>
        </is>
      </c>
      <c r="CE26" s="9" t="inlineStr">
        <is>
          <t>(214) 342-1400</t>
        </is>
      </c>
      <c r="CF26" s="9" t="inlineStr">
        <is>
          <t>development@sdcus.com</t>
        </is>
      </c>
      <c r="CG26" s="9" t="inlineStr">
        <is>
          <t>Teresa Morales</t>
        </is>
      </c>
      <c r="CH26" s="9" t="inlineStr">
        <is>
          <t>(512) 475-3344</t>
        </is>
      </c>
    </row>
    <row r="27">
      <c r="A27" s="8" t="inlineStr">
        <is>
          <t>2026-02-10</t>
        </is>
      </c>
      <c r="B27" s="9" t="inlineStr">
        <is>
          <t>2026-02-10</t>
        </is>
      </c>
      <c r="C27" s="9" t="inlineStr">
        <is>
          <t>21614S</t>
        </is>
      </c>
      <c r="D27" s="9" t="n">
        <v>21614</v>
      </c>
      <c r="E27" s="9" t="inlineStr">
        <is>
          <t>Murdeaux Villas</t>
        </is>
      </c>
      <c r="F27" s="9" t="inlineStr">
        <is>
          <t>Dallas</t>
        </is>
      </c>
      <c r="G27" s="9" t="inlineStr">
        <is>
          <t>Dallas</t>
        </is>
      </c>
      <c r="H27" s="9" t="n">
        <v>3</v>
      </c>
      <c r="I27" s="9" t="inlineStr">
        <is>
          <t>125 S. Murdeaux Lane</t>
        </is>
      </c>
      <c r="J27" s="9" t="n">
        <v>75217</v>
      </c>
      <c r="K27" s="8" t="n">
        <v>45540</v>
      </c>
      <c r="L27" s="9" t="inlineStr">
        <is>
          <t>Active</t>
        </is>
      </c>
      <c r="M27" s="8" t="n">
        <v>46058</v>
      </c>
      <c r="N27" s="8" t="n"/>
      <c r="O27" s="8" t="n">
        <v>46049</v>
      </c>
      <c r="P27" s="8" t="n">
        <v>46229</v>
      </c>
      <c r="Q27" s="8" t="n"/>
      <c r="R27" s="9" t="inlineStr">
        <is>
          <t>Acq/Rehab</t>
        </is>
      </c>
      <c r="S27" s="9" t="inlineStr">
        <is>
          <t>General</t>
        </is>
      </c>
      <c r="T27" s="10" t="n">
        <v>301</v>
      </c>
      <c r="U27" s="10" t="n">
        <v>301</v>
      </c>
      <c r="V27" s="9" t="n"/>
      <c r="W27" s="9" t="n"/>
      <c r="X27" s="9" t="inlineStr">
        <is>
          <t>TDHCA</t>
        </is>
      </c>
      <c r="Y27" s="9" t="inlineStr">
        <is>
          <t>TDHCA</t>
        </is>
      </c>
      <c r="Z27" s="11" t="n">
        <v>5000000</v>
      </c>
      <c r="AA27" s="11" t="n"/>
      <c r="AB27" s="11" t="n">
        <v>3687762</v>
      </c>
      <c r="AC27" s="11" t="n"/>
      <c r="AD27" s="11" t="n"/>
      <c r="AE27" s="11" t="n"/>
      <c r="AF27" s="9" t="inlineStr">
        <is>
          <t>N</t>
        </is>
      </c>
      <c r="AG27" s="9" t="inlineStr">
        <is>
          <t>Y</t>
        </is>
      </c>
      <c r="AH27" s="9" t="n"/>
      <c r="AI27" s="9" t="inlineStr">
        <is>
          <t>Y</t>
        </is>
      </c>
      <c r="AJ27" s="8" t="n"/>
      <c r="AK27" s="9" t="inlineStr">
        <is>
          <t>Y</t>
        </is>
      </c>
      <c r="AL27" s="9" t="inlineStr">
        <is>
          <t>Y</t>
        </is>
      </c>
      <c r="AM27" s="9" t="inlineStr">
        <is>
          <t>Y</t>
        </is>
      </c>
      <c r="AN27" s="9" t="n"/>
      <c r="AO27" s="9" t="n"/>
      <c r="AP27" s="9" t="n"/>
      <c r="AQ27" s="9" t="n"/>
      <c r="AR27" s="9" t="n"/>
      <c r="AS27" s="9" t="inlineStr">
        <is>
          <t>N</t>
        </is>
      </c>
      <c r="AT27" s="8" t="n"/>
      <c r="AU27" s="8" t="n"/>
      <c r="AV27" s="9" t="n"/>
      <c r="AW27" s="8" t="n"/>
      <c r="AX27" s="9" t="inlineStr">
        <is>
          <t>N</t>
        </is>
      </c>
      <c r="AY27" s="9" t="inlineStr">
        <is>
          <t>Y</t>
        </is>
      </c>
      <c r="AZ27" s="9" t="inlineStr">
        <is>
          <t>Y</t>
        </is>
      </c>
      <c r="BA27" s="9" t="inlineStr">
        <is>
          <t>Y</t>
        </is>
      </c>
      <c r="BB27" s="9" t="inlineStr">
        <is>
          <t>Y</t>
        </is>
      </c>
      <c r="BC27" s="9" t="inlineStr">
        <is>
          <t>Y</t>
        </is>
      </c>
      <c r="BD27" s="9" t="n"/>
      <c r="BE27" s="9" t="inlineStr">
        <is>
          <t>N</t>
        </is>
      </c>
      <c r="BF27" s="9" t="n"/>
      <c r="BG27" s="9" t="n"/>
      <c r="BH27" s="9" t="n"/>
      <c r="BI27" s="9" t="n"/>
      <c r="BJ27" s="9" t="inlineStr">
        <is>
          <t>Y</t>
        </is>
      </c>
      <c r="BK27" s="9" t="inlineStr">
        <is>
          <t>N</t>
        </is>
      </c>
      <c r="BL27" s="9" t="inlineStr">
        <is>
          <t>N</t>
        </is>
      </c>
      <c r="BM27" s="9" t="inlineStr">
        <is>
          <t>Y</t>
        </is>
      </c>
      <c r="BN27" s="9" t="inlineStr">
        <is>
          <t>Y</t>
        </is>
      </c>
      <c r="BO27" s="8" t="n">
        <v>45540</v>
      </c>
      <c r="BP27" s="9" t="inlineStr">
        <is>
          <t>Y</t>
        </is>
      </c>
      <c r="BQ27" s="9" t="inlineStr">
        <is>
          <t>N</t>
        </is>
      </c>
      <c r="BR27" s="13">
        <f>IF(COUNTIF(AI27:BM27,"N")+COUNTBLANK(AI27:BM27)=0,"Y","N")</f>
        <v/>
      </c>
      <c r="BS27" s="13">
        <f>IF(AND(BR27="Y",OR(L27="Submitted",L27="Under Review")),"Y",IF(L27="Closed","Y","N"))</f>
        <v/>
      </c>
      <c r="BT27" s="10" t="n">
        <v>2</v>
      </c>
      <c r="BU27" s="13">
        <f>Rule_Flags!Q26</f>
        <v/>
      </c>
      <c r="BV27" s="13">
        <f>Rule_Flags!P26</f>
        <v/>
      </c>
      <c r="BW27" s="13">
        <f>IF(Rule_Flags!E26=1,"SITE_CONTROL",IF(Rule_Flags!F26=1,"APPROVALS",IF(Rule_Flags!G26=1,"REPORTS",IF(Rule_Flags!H26=1,"DEFICIENCY",IF(Rule_Flags!I26=1,"UNDERWRITING",IF(Rule_Flags!J26=1,"COMPLIANCE",""))))))</f>
        <v/>
      </c>
      <c r="BX27" s="13">
        <f>IF(BW27="SITE_CONTROL","Site control missing or invalid",IF(BW27="APPROVALS","Required approvals or resolutions incomplete",IF(BW27="REPORTS","Required third-party reports incomplete",IF(BW27="DEFICIENCY","Unresolved deficiency or material deficiency",IF(BW27="UNDERWRITING","Underwriting / feasibility not passed",IF(BW27="COMPLIANCE","Deconcentration, one-mile, LURA, or Chapter 12 issue","Ready under current engine rules"))))))</f>
        <v/>
      </c>
      <c r="BY27" s="13">
        <f>IF(BV27="Determination Notice","Streamlined + DN-ready assumptions satisfied",IF(BV27="Board","Board-required or board-ready assumptions satisfied",""))</f>
        <v/>
      </c>
      <c r="BZ27" s="13">
        <f>IF(AND(BP27="Y",BQ27&lt;&gt;"Y"),"Carryforward project retains queue priority",IF(BQ27="Y","New project enters behind carryforward projects",""))</f>
        <v/>
      </c>
      <c r="CA27" s="13">
        <f>_xludf.RANK.EQ(Rule_Flags!O26,Rule_Flags!$O$3:$O$402,0)</f>
        <v/>
      </c>
      <c r="CB27" s="13">
        <f>IF(OR(BU27="Determination Notice Issued",BU27="Board",BU27="Closed"),"Y","N")</f>
        <v/>
      </c>
      <c r="CC27" s="9" t="n"/>
      <c r="CD27" s="9" t="inlineStr">
        <is>
          <t>Ryan Hamilton</t>
        </is>
      </c>
      <c r="CE27" s="9" t="inlineStr">
        <is>
          <t>(417) 882-1701</t>
        </is>
      </c>
      <c r="CF27" s="9" t="inlineStr">
        <is>
          <t>ryanhamilton@hamiltoncorporation.com</t>
        </is>
      </c>
      <c r="CG27" s="9" t="inlineStr">
        <is>
          <t>Teresa Morales</t>
        </is>
      </c>
      <c r="CH27" s="9" t="inlineStr">
        <is>
          <t>(512) 475-3344</t>
        </is>
      </c>
    </row>
    <row r="28">
      <c r="A28" s="8" t="inlineStr">
        <is>
          <t>2026-02-10</t>
        </is>
      </c>
      <c r="B28" s="9" t="inlineStr">
        <is>
          <t>2026-02-10</t>
        </is>
      </c>
      <c r="C28" s="9" t="inlineStr">
        <is>
          <t>25425</t>
        </is>
      </c>
      <c r="D28" s="9" t="n"/>
      <c r="E28" s="9" t="inlineStr">
        <is>
          <t>Bridge at Treeline</t>
        </is>
      </c>
      <c r="F28" s="9" t="inlineStr">
        <is>
          <t>Austin</t>
        </is>
      </c>
      <c r="G28" s="9" t="inlineStr">
        <is>
          <t>Travis</t>
        </is>
      </c>
      <c r="H28" s="9" t="n">
        <v>7</v>
      </c>
      <c r="I28" s="9" t="inlineStr">
        <is>
          <t>12201 Heatherly Drive</t>
        </is>
      </c>
      <c r="J28" s="9" t="n">
        <v>78747</v>
      </c>
      <c r="K28" s="8" t="n">
        <v>45671</v>
      </c>
      <c r="L28" s="9" t="inlineStr">
        <is>
          <t>Withdrawn</t>
        </is>
      </c>
      <c r="M28" s="8" t="n">
        <v>45757</v>
      </c>
      <c r="N28" s="8" t="n"/>
      <c r="O28" s="8" t="n">
        <v>45672</v>
      </c>
      <c r="P28" s="8" t="n">
        <v>45852</v>
      </c>
      <c r="Q28" s="8" t="n"/>
      <c r="R28" s="9" t="inlineStr">
        <is>
          <t>New Construction</t>
        </is>
      </c>
      <c r="S28" s="9" t="inlineStr">
        <is>
          <t>General</t>
        </is>
      </c>
      <c r="T28" s="10" t="n">
        <v>330</v>
      </c>
      <c r="U28" s="10" t="n">
        <v>330</v>
      </c>
      <c r="V28" s="9" t="n"/>
      <c r="W28" s="9" t="n"/>
      <c r="X28" s="9" t="inlineStr">
        <is>
          <t>Austin Affordable PFC</t>
        </is>
      </c>
      <c r="Y28" s="9" t="inlineStr">
        <is>
          <t>Other</t>
        </is>
      </c>
      <c r="Z28" s="11" t="n">
        <v>40000000</v>
      </c>
      <c r="AA28" s="11" t="n"/>
      <c r="AB28" s="11" t="n">
        <v>2443032</v>
      </c>
      <c r="AC28" s="11" t="n"/>
      <c r="AD28" s="11" t="n"/>
      <c r="AE28" s="11" t="n"/>
      <c r="AF28" s="9" t="inlineStr">
        <is>
          <t>N</t>
        </is>
      </c>
      <c r="AG28" s="9" t="inlineStr">
        <is>
          <t>Y</t>
        </is>
      </c>
      <c r="AH28" s="9" t="inlineStr">
        <is>
          <t>Y</t>
        </is>
      </c>
      <c r="AI28" s="9" t="inlineStr">
        <is>
          <t>Y</t>
        </is>
      </c>
      <c r="AJ28" s="8" t="n"/>
      <c r="AK28" s="9" t="inlineStr">
        <is>
          <t>Y</t>
        </is>
      </c>
      <c r="AL28" s="9" t="inlineStr">
        <is>
          <t>Y</t>
        </is>
      </c>
      <c r="AM28" s="9" t="inlineStr">
        <is>
          <t>Y</t>
        </is>
      </c>
      <c r="AN28" s="9" t="n"/>
      <c r="AO28" s="9" t="n"/>
      <c r="AP28" s="9" t="n"/>
      <c r="AQ28" s="9" t="n"/>
      <c r="AR28" s="9" t="n"/>
      <c r="AS28" s="9" t="inlineStr">
        <is>
          <t>N</t>
        </is>
      </c>
      <c r="AT28" s="8" t="n"/>
      <c r="AU28" s="8" t="n"/>
      <c r="AV28" s="9" t="n"/>
      <c r="AW28" s="8" t="n"/>
      <c r="AX28" s="9" t="inlineStr">
        <is>
          <t>N</t>
        </is>
      </c>
      <c r="AY28" s="9" t="inlineStr">
        <is>
          <t>Y</t>
        </is>
      </c>
      <c r="AZ28" s="9" t="inlineStr">
        <is>
          <t>Y</t>
        </is>
      </c>
      <c r="BA28" s="9" t="inlineStr">
        <is>
          <t>Y</t>
        </is>
      </c>
      <c r="BB28" s="9" t="inlineStr">
        <is>
          <t>Y</t>
        </is>
      </c>
      <c r="BC28" s="9" t="inlineStr">
        <is>
          <t>Y</t>
        </is>
      </c>
      <c r="BD28" s="9" t="n"/>
      <c r="BE28" s="9" t="inlineStr">
        <is>
          <t>N</t>
        </is>
      </c>
      <c r="BF28" s="9" t="n"/>
      <c r="BG28" s="9" t="n"/>
      <c r="BH28" s="9" t="n"/>
      <c r="BI28" s="9" t="n"/>
      <c r="BJ28" s="9" t="inlineStr">
        <is>
          <t>Y</t>
        </is>
      </c>
      <c r="BK28" s="9" t="inlineStr">
        <is>
          <t>N</t>
        </is>
      </c>
      <c r="BL28" s="9" t="inlineStr">
        <is>
          <t>N</t>
        </is>
      </c>
      <c r="BM28" s="9" t="inlineStr">
        <is>
          <t>Y</t>
        </is>
      </c>
      <c r="BN28" s="9" t="inlineStr">
        <is>
          <t>Y</t>
        </is>
      </c>
      <c r="BO28" s="8" t="n">
        <v>45671</v>
      </c>
      <c r="BP28" s="9" t="inlineStr">
        <is>
          <t>Y</t>
        </is>
      </c>
      <c r="BQ28" s="9" t="inlineStr">
        <is>
          <t>N</t>
        </is>
      </c>
      <c r="BR28" s="13">
        <f>IF(COUNTIF(AI28:BM28,"N")+COUNTBLANK(AI28:BM28)=0,"Y","N")</f>
        <v/>
      </c>
      <c r="BS28" s="13">
        <f>IF(AND(BR28="Y",OR(L28="Submitted",L28="Under Review")),"Y",IF(L28="Closed","Y","N"))</f>
        <v/>
      </c>
      <c r="BT28" s="10" t="n">
        <v>29</v>
      </c>
      <c r="BU28" s="13">
        <f>Rule_Flags!Q27</f>
        <v/>
      </c>
      <c r="BV28" s="13">
        <f>Rule_Flags!P27</f>
        <v/>
      </c>
      <c r="BW28" s="13">
        <f>IF(Rule_Flags!E27=1,"SITE_CONTROL",IF(Rule_Flags!F27=1,"APPROVALS",IF(Rule_Flags!G27=1,"REPORTS",IF(Rule_Flags!H27=1,"DEFICIENCY",IF(Rule_Flags!I27=1,"UNDERWRITING",IF(Rule_Flags!J27=1,"COMPLIANCE",""))))))</f>
        <v/>
      </c>
      <c r="BX28" s="13">
        <f>IF(BW28="SITE_CONTROL","Site control missing or invalid",IF(BW28="APPROVALS","Required approvals or resolutions incomplete",IF(BW28="REPORTS","Required third-party reports incomplete",IF(BW28="DEFICIENCY","Unresolved deficiency or material deficiency",IF(BW28="UNDERWRITING","Underwriting / feasibility not passed",IF(BW28="COMPLIANCE","Deconcentration, one-mile, LURA, or Chapter 12 issue","Ready under current engine rules"))))))</f>
        <v/>
      </c>
      <c r="BY28" s="13">
        <f>IF(BV28="Determination Notice","Streamlined + DN-ready assumptions satisfied",IF(BV28="Board","Board-required or board-ready assumptions satisfied",""))</f>
        <v/>
      </c>
      <c r="BZ28" s="13">
        <f>IF(AND(BP28="Y",BQ28&lt;&gt;"Y"),"Carryforward project retains queue priority",IF(BQ28="Y","New project enters behind carryforward projects",""))</f>
        <v/>
      </c>
      <c r="CA28" s="13">
        <f>_xludf.RANK.EQ(Rule_Flags!O27,Rule_Flags!$O$3:$O$402,0)</f>
        <v/>
      </c>
      <c r="CB28" s="13">
        <f>IF(OR(BU28="Determination Notice Issued",BU28="Board",BU28="Closed"),"Y","N")</f>
        <v/>
      </c>
      <c r="CC28" s="9" t="inlineStr">
        <is>
          <t>construction_type mapped from raw 'NC' to 'New Construction'</t>
        </is>
      </c>
      <c r="CD28" s="9" t="inlineStr">
        <is>
          <t>Sam Kumar</t>
        </is>
      </c>
      <c r="CE28" s="9" t="inlineStr">
        <is>
          <t>(512) 247-7000</t>
        </is>
      </c>
      <c r="CF28" s="9" t="inlineStr">
        <is>
          <t>SKumar@journeymangroup.com</t>
        </is>
      </c>
      <c r="CG28" s="9" t="inlineStr">
        <is>
          <t>Ron Kowal</t>
        </is>
      </c>
      <c r="CH28" s="9" t="inlineStr">
        <is>
          <t>512‐477‐4488</t>
        </is>
      </c>
    </row>
    <row r="29">
      <c r="A29" s="8" t="inlineStr">
        <is>
          <t>2026-02-10</t>
        </is>
      </c>
      <c r="B29" s="9" t="inlineStr">
        <is>
          <t>2026-02-10</t>
        </is>
      </c>
      <c r="C29" s="9" t="inlineStr">
        <is>
          <t>25431</t>
        </is>
      </c>
      <c r="D29" s="9" t="n">
        <v>93101</v>
      </c>
      <c r="E29" s="9" t="inlineStr">
        <is>
          <t>The Meadows</t>
        </is>
      </c>
      <c r="F29" s="9" t="inlineStr">
        <is>
          <t>Garland</t>
        </is>
      </c>
      <c r="G29" s="9" t="inlineStr">
        <is>
          <t>Dallas</t>
        </is>
      </c>
      <c r="H29" s="9" t="n">
        <v>3</v>
      </c>
      <c r="I29" s="9" t="inlineStr">
        <is>
          <t>3826 Easton Meadows Drive</t>
        </is>
      </c>
      <c r="J29" s="9" t="n">
        <v>75043</v>
      </c>
      <c r="K29" s="8" t="n">
        <v>45671</v>
      </c>
      <c r="L29" s="9" t="inlineStr">
        <is>
          <t>Withdrawn</t>
        </is>
      </c>
      <c r="M29" s="8" t="n">
        <v>45820</v>
      </c>
      <c r="N29" s="8" t="n"/>
      <c r="O29" s="8" t="n">
        <v>45672</v>
      </c>
      <c r="P29" s="8" t="n">
        <v>45852</v>
      </c>
      <c r="Q29" s="8" t="n"/>
      <c r="R29" s="9" t="inlineStr">
        <is>
          <t>Acq/Rehab</t>
        </is>
      </c>
      <c r="S29" s="9" t="inlineStr">
        <is>
          <t>General</t>
        </is>
      </c>
      <c r="T29" s="10" t="n">
        <v>152</v>
      </c>
      <c r="U29" s="10" t="n">
        <v>152</v>
      </c>
      <c r="V29" s="9" t="n"/>
      <c r="W29" s="9" t="n"/>
      <c r="X29" s="9" t="inlineStr">
        <is>
          <t>Texas Home Collaborative</t>
        </is>
      </c>
      <c r="Y29" s="9" t="inlineStr">
        <is>
          <t>Other</t>
        </is>
      </c>
      <c r="Z29" s="11" t="n">
        <v>25000000</v>
      </c>
      <c r="AA29" s="11" t="n"/>
      <c r="AB29" s="11" t="n">
        <v>1527490</v>
      </c>
      <c r="AC29" s="11" t="n"/>
      <c r="AD29" s="11" t="n"/>
      <c r="AE29" s="11" t="n"/>
      <c r="AF29" s="9" t="inlineStr">
        <is>
          <t>N</t>
        </is>
      </c>
      <c r="AG29" s="9" t="inlineStr">
        <is>
          <t>Y</t>
        </is>
      </c>
      <c r="AH29" s="9" t="n"/>
      <c r="AI29" s="9" t="inlineStr">
        <is>
          <t>Y</t>
        </is>
      </c>
      <c r="AJ29" s="8" t="n"/>
      <c r="AK29" s="9" t="inlineStr">
        <is>
          <t>Y</t>
        </is>
      </c>
      <c r="AL29" s="9" t="inlineStr">
        <is>
          <t>Y</t>
        </is>
      </c>
      <c r="AM29" s="9" t="inlineStr">
        <is>
          <t>Y</t>
        </is>
      </c>
      <c r="AN29" s="9" t="n"/>
      <c r="AO29" s="9" t="n"/>
      <c r="AP29" s="9" t="n"/>
      <c r="AQ29" s="9" t="n"/>
      <c r="AR29" s="9" t="n"/>
      <c r="AS29" s="9" t="inlineStr">
        <is>
          <t>N</t>
        </is>
      </c>
      <c r="AT29" s="8" t="n"/>
      <c r="AU29" s="8" t="n"/>
      <c r="AV29" s="9" t="n"/>
      <c r="AW29" s="8" t="n"/>
      <c r="AX29" s="9" t="inlineStr">
        <is>
          <t>N</t>
        </is>
      </c>
      <c r="AY29" s="9" t="inlineStr">
        <is>
          <t>Y</t>
        </is>
      </c>
      <c r="AZ29" s="9" t="inlineStr">
        <is>
          <t>Y</t>
        </is>
      </c>
      <c r="BA29" s="9" t="inlineStr">
        <is>
          <t>Y</t>
        </is>
      </c>
      <c r="BB29" s="9" t="inlineStr">
        <is>
          <t>Y</t>
        </is>
      </c>
      <c r="BC29" s="9" t="inlineStr">
        <is>
          <t>Y</t>
        </is>
      </c>
      <c r="BD29" s="9" t="n"/>
      <c r="BE29" s="9" t="inlineStr">
        <is>
          <t>N</t>
        </is>
      </c>
      <c r="BF29" s="9" t="n"/>
      <c r="BG29" s="9" t="n"/>
      <c r="BH29" s="9" t="n"/>
      <c r="BI29" s="9" t="n"/>
      <c r="BJ29" s="9" t="inlineStr">
        <is>
          <t>Y</t>
        </is>
      </c>
      <c r="BK29" s="9" t="inlineStr">
        <is>
          <t>N</t>
        </is>
      </c>
      <c r="BL29" s="9" t="inlineStr">
        <is>
          <t>N</t>
        </is>
      </c>
      <c r="BM29" s="9" t="inlineStr">
        <is>
          <t>Y</t>
        </is>
      </c>
      <c r="BN29" s="9" t="inlineStr">
        <is>
          <t>Y</t>
        </is>
      </c>
      <c r="BO29" s="8" t="n">
        <v>45671</v>
      </c>
      <c r="BP29" s="9" t="inlineStr">
        <is>
          <t>Y</t>
        </is>
      </c>
      <c r="BQ29" s="9" t="inlineStr">
        <is>
          <t>N</t>
        </is>
      </c>
      <c r="BR29" s="13">
        <f>IF(COUNTIF(AI29:BM29,"N")+COUNTBLANK(AI29:BM29)=0,"Y","N")</f>
        <v/>
      </c>
      <c r="BS29" s="13">
        <f>IF(AND(BR29="Y",OR(L29="Submitted",L29="Under Review")),"Y",IF(L29="Closed","Y","N"))</f>
        <v/>
      </c>
      <c r="BT29" s="10" t="n">
        <v>30</v>
      </c>
      <c r="BU29" s="13">
        <f>Rule_Flags!Q28</f>
        <v/>
      </c>
      <c r="BV29" s="13">
        <f>Rule_Flags!P28</f>
        <v/>
      </c>
      <c r="BW29" s="13">
        <f>IF(Rule_Flags!E28=1,"SITE_CONTROL",IF(Rule_Flags!F28=1,"APPROVALS",IF(Rule_Flags!G28=1,"REPORTS",IF(Rule_Flags!H28=1,"DEFICIENCY",IF(Rule_Flags!I28=1,"UNDERWRITING",IF(Rule_Flags!J28=1,"COMPLIANCE",""))))))</f>
        <v/>
      </c>
      <c r="BX29" s="13">
        <f>IF(BW29="SITE_CONTROL","Site control missing or invalid",IF(BW29="APPROVALS","Required approvals or resolutions incomplete",IF(BW29="REPORTS","Required third-party reports incomplete",IF(BW29="DEFICIENCY","Unresolved deficiency or material deficiency",IF(BW29="UNDERWRITING","Underwriting / feasibility not passed",IF(BW29="COMPLIANCE","Deconcentration, one-mile, LURA, or Chapter 12 issue","Ready under current engine rules"))))))</f>
        <v/>
      </c>
      <c r="BY29" s="13">
        <f>IF(BV29="Determination Notice","Streamlined + DN-ready assumptions satisfied",IF(BV29="Board","Board-required or board-ready assumptions satisfied",""))</f>
        <v/>
      </c>
      <c r="BZ29" s="13">
        <f>IF(AND(BP29="Y",BQ29&lt;&gt;"Y"),"Carryforward project retains queue priority",IF(BQ29="Y","New project enters behind carryforward projects",""))</f>
        <v/>
      </c>
      <c r="CA29" s="13">
        <f>_xludf.RANK.EQ(Rule_Flags!O28,Rule_Flags!$O$3:$O$402,0)</f>
        <v/>
      </c>
      <c r="CB29" s="13">
        <f>IF(OR(BU29="Determination Notice Issued",BU29="Board",BU29="Closed"),"Y","N")</f>
        <v/>
      </c>
      <c r="CC29" s="9" t="n"/>
      <c r="CD29" s="9" t="inlineStr">
        <is>
          <t>Brad Fisher</t>
        </is>
      </c>
      <c r="CE29" s="9" t="inlineStr">
        <is>
          <t>(913) 787-1676</t>
        </is>
      </c>
      <c r="CF29" s="9" t="inlineStr">
        <is>
          <t>bfisher@aprilhousing.com</t>
        </is>
      </c>
      <c r="CG29" s="9" t="inlineStr">
        <is>
          <t>Antonio Williams</t>
        </is>
      </c>
      <c r="CH29" s="9" t="inlineStr">
        <is>
          <t>(903) 276-7557</t>
        </is>
      </c>
    </row>
    <row r="30">
      <c r="A30" s="8" t="inlineStr">
        <is>
          <t>2026-02-10</t>
        </is>
      </c>
      <c r="B30" s="9" t="inlineStr">
        <is>
          <t>2026-02-10</t>
        </is>
      </c>
      <c r="C30" s="9" t="inlineStr">
        <is>
          <t>25401</t>
        </is>
      </c>
      <c r="D30" s="9" t="n"/>
      <c r="E30" s="9" t="inlineStr">
        <is>
          <t>Enclave at Cypress</t>
        </is>
      </c>
      <c r="F30" s="9" t="inlineStr">
        <is>
          <t>Cypress</t>
        </is>
      </c>
      <c r="G30" s="9" t="inlineStr">
        <is>
          <t>Harris</t>
        </is>
      </c>
      <c r="H30" s="9" t="n">
        <v>6</v>
      </c>
      <c r="I30" s="9" t="inlineStr">
        <is>
          <t>15815 Merle Road</t>
        </is>
      </c>
      <c r="J30" s="9" t="n">
        <v>77433</v>
      </c>
      <c r="K30" s="8" t="n">
        <v>45671</v>
      </c>
      <c r="L30" s="9" t="inlineStr">
        <is>
          <t>Withdrawn</t>
        </is>
      </c>
      <c r="M30" s="8" t="n">
        <v>45785</v>
      </c>
      <c r="N30" s="8" t="n"/>
      <c r="O30" s="8" t="n">
        <v>45672</v>
      </c>
      <c r="P30" s="8" t="n">
        <v>45852</v>
      </c>
      <c r="Q30" s="8" t="n"/>
      <c r="R30" s="9" t="inlineStr">
        <is>
          <t>New Construction</t>
        </is>
      </c>
      <c r="S30" s="9" t="inlineStr">
        <is>
          <t>General</t>
        </is>
      </c>
      <c r="T30" s="10" t="n">
        <v>363</v>
      </c>
      <c r="U30" s="10" t="n">
        <v>363</v>
      </c>
      <c r="V30" s="9" t="n"/>
      <c r="W30" s="9" t="n"/>
      <c r="X30" s="9" t="inlineStr">
        <is>
          <t>Harris County HFC</t>
        </is>
      </c>
      <c r="Y30" s="9" t="inlineStr">
        <is>
          <t>Local HFC</t>
        </is>
      </c>
      <c r="Z30" s="11" t="n">
        <v>50000000</v>
      </c>
      <c r="AA30" s="11" t="n"/>
      <c r="AB30" s="11" t="n">
        <v>3570057</v>
      </c>
      <c r="AC30" s="11" t="n"/>
      <c r="AD30" s="11" t="n"/>
      <c r="AE30" s="11" t="n"/>
      <c r="AF30" s="9" t="inlineStr">
        <is>
          <t>N</t>
        </is>
      </c>
      <c r="AG30" s="9" t="inlineStr">
        <is>
          <t>Y</t>
        </is>
      </c>
      <c r="AH30" s="9" t="n"/>
      <c r="AI30" s="9" t="inlineStr">
        <is>
          <t>Y</t>
        </is>
      </c>
      <c r="AJ30" s="8" t="n"/>
      <c r="AK30" s="9" t="inlineStr">
        <is>
          <t>Y</t>
        </is>
      </c>
      <c r="AL30" s="9" t="inlineStr">
        <is>
          <t>Y</t>
        </is>
      </c>
      <c r="AM30" s="9" t="inlineStr">
        <is>
          <t>Y</t>
        </is>
      </c>
      <c r="AN30" s="9" t="n"/>
      <c r="AO30" s="9" t="n"/>
      <c r="AP30" s="9" t="n"/>
      <c r="AQ30" s="9" t="n"/>
      <c r="AR30" s="9" t="n"/>
      <c r="AS30" s="9" t="inlineStr">
        <is>
          <t>N</t>
        </is>
      </c>
      <c r="AT30" s="8" t="n"/>
      <c r="AU30" s="8" t="n"/>
      <c r="AV30" s="9" t="n"/>
      <c r="AW30" s="8" t="n"/>
      <c r="AX30" s="9" t="inlineStr">
        <is>
          <t>N</t>
        </is>
      </c>
      <c r="AY30" s="9" t="inlineStr">
        <is>
          <t>Y</t>
        </is>
      </c>
      <c r="AZ30" s="9" t="inlineStr">
        <is>
          <t>Y</t>
        </is>
      </c>
      <c r="BA30" s="9" t="inlineStr">
        <is>
          <t>Y</t>
        </is>
      </c>
      <c r="BB30" s="9" t="inlineStr">
        <is>
          <t>Y</t>
        </is>
      </c>
      <c r="BC30" s="9" t="inlineStr">
        <is>
          <t>Y</t>
        </is>
      </c>
      <c r="BD30" s="9" t="n"/>
      <c r="BE30" s="9" t="inlineStr">
        <is>
          <t>N</t>
        </is>
      </c>
      <c r="BF30" s="9" t="n"/>
      <c r="BG30" s="9" t="n"/>
      <c r="BH30" s="9" t="n"/>
      <c r="BI30" s="9" t="n"/>
      <c r="BJ30" s="9" t="inlineStr">
        <is>
          <t>Y</t>
        </is>
      </c>
      <c r="BK30" s="9" t="inlineStr">
        <is>
          <t>N</t>
        </is>
      </c>
      <c r="BL30" s="9" t="inlineStr">
        <is>
          <t>N</t>
        </is>
      </c>
      <c r="BM30" s="9" t="inlineStr">
        <is>
          <t>Y</t>
        </is>
      </c>
      <c r="BN30" s="9" t="inlineStr">
        <is>
          <t>Y</t>
        </is>
      </c>
      <c r="BO30" s="8" t="n">
        <v>45671</v>
      </c>
      <c r="BP30" s="9" t="inlineStr">
        <is>
          <t>Y</t>
        </is>
      </c>
      <c r="BQ30" s="9" t="inlineStr">
        <is>
          <t>N</t>
        </is>
      </c>
      <c r="BR30" s="13">
        <f>IF(COUNTIF(AI30:BM30,"N")+COUNTBLANK(AI30:BM30)=0,"Y","N")</f>
        <v/>
      </c>
      <c r="BS30" s="13">
        <f>IF(AND(BR30="Y",OR(L30="Submitted",L30="Under Review")),"Y",IF(L30="Closed","Y","N"))</f>
        <v/>
      </c>
      <c r="BT30" s="10" t="n">
        <v>26</v>
      </c>
      <c r="BU30" s="13">
        <f>Rule_Flags!Q29</f>
        <v/>
      </c>
      <c r="BV30" s="13">
        <f>Rule_Flags!P29</f>
        <v/>
      </c>
      <c r="BW30" s="13">
        <f>IF(Rule_Flags!E29=1,"SITE_CONTROL",IF(Rule_Flags!F29=1,"APPROVALS",IF(Rule_Flags!G29=1,"REPORTS",IF(Rule_Flags!H29=1,"DEFICIENCY",IF(Rule_Flags!I29=1,"UNDERWRITING",IF(Rule_Flags!J29=1,"COMPLIANCE",""))))))</f>
        <v/>
      </c>
      <c r="BX30" s="13">
        <f>IF(BW30="SITE_CONTROL","Site control missing or invalid",IF(BW30="APPROVALS","Required approvals or resolutions incomplete",IF(BW30="REPORTS","Required third-party reports incomplete",IF(BW30="DEFICIENCY","Unresolved deficiency or material deficiency",IF(BW30="UNDERWRITING","Underwriting / feasibility not passed",IF(BW30="COMPLIANCE","Deconcentration, one-mile, LURA, or Chapter 12 issue","Ready under current engine rules"))))))</f>
        <v/>
      </c>
      <c r="BY30" s="13">
        <f>IF(BV30="Determination Notice","Streamlined + DN-ready assumptions satisfied",IF(BV30="Board","Board-required or board-ready assumptions satisfied",""))</f>
        <v/>
      </c>
      <c r="BZ30" s="13">
        <f>IF(AND(BP30="Y",BQ30&lt;&gt;"Y"),"Carryforward project retains queue priority",IF(BQ30="Y","New project enters behind carryforward projects",""))</f>
        <v/>
      </c>
      <c r="CA30" s="13">
        <f>_xludf.RANK.EQ(Rule_Flags!O29,Rule_Flags!$O$3:$O$402,0)</f>
        <v/>
      </c>
      <c r="CB30" s="13">
        <f>IF(OR(BU30="Determination Notice Issued",BU30="Board",BU30="Closed"),"Y","N")</f>
        <v/>
      </c>
      <c r="CC30" s="9" t="inlineStr">
        <is>
          <t>construction_type mapped from raw 'NC' to 'New Construction'</t>
        </is>
      </c>
      <c r="CD30" s="9" t="inlineStr">
        <is>
          <t>Mark Gregg</t>
        </is>
      </c>
      <c r="CE30" s="9" t="inlineStr">
        <is>
          <t>(210) 771-4127</t>
        </is>
      </c>
      <c r="CF30" s="9" t="inlineStr">
        <is>
          <t>mgregg@streamlineap.com</t>
        </is>
      </c>
      <c r="CG30" s="9" t="inlineStr">
        <is>
          <t>Rene Martinez</t>
        </is>
      </c>
      <c r="CH30" s="9" t="inlineStr">
        <is>
          <t>(832) 927-4955</t>
        </is>
      </c>
    </row>
    <row r="31">
      <c r="A31" s="8" t="inlineStr">
        <is>
          <t>2026-02-10</t>
        </is>
      </c>
      <c r="B31" s="9" t="inlineStr">
        <is>
          <t>2026-02-10</t>
        </is>
      </c>
      <c r="C31" s="9" t="inlineStr">
        <is>
          <t>25432</t>
        </is>
      </c>
      <c r="D31" s="9" t="n"/>
      <c r="E31" s="9" t="inlineStr">
        <is>
          <t>Village at Meadowbend</t>
        </is>
      </c>
      <c r="F31" s="9" t="inlineStr">
        <is>
          <t>Temple</t>
        </is>
      </c>
      <c r="G31" s="9" t="inlineStr">
        <is>
          <t>Bell</t>
        </is>
      </c>
      <c r="H31" s="9" t="n">
        <v>8</v>
      </c>
      <c r="I31" s="9" t="inlineStr">
        <is>
          <t>2787 S. Martin Luther King Drive</t>
        </is>
      </c>
      <c r="J31" s="9" t="n">
        <v>76504</v>
      </c>
      <c r="K31" s="8" t="n">
        <v>45671</v>
      </c>
      <c r="L31" s="9" t="inlineStr">
        <is>
          <t>Withdrawn</t>
        </is>
      </c>
      <c r="M31" s="8" t="n">
        <v>45820</v>
      </c>
      <c r="N31" s="8" t="n"/>
      <c r="O31" s="8" t="n">
        <v>45672</v>
      </c>
      <c r="P31" s="8" t="n">
        <v>45852</v>
      </c>
      <c r="Q31" s="8" t="n"/>
      <c r="R31" s="9" t="inlineStr">
        <is>
          <t>Acq/Rehab</t>
        </is>
      </c>
      <c r="S31" s="9" t="inlineStr">
        <is>
          <t>General</t>
        </is>
      </c>
      <c r="T31" s="10" t="n">
        <v>237</v>
      </c>
      <c r="U31" s="10" t="n">
        <v>237</v>
      </c>
      <c r="V31" s="9" t="n"/>
      <c r="W31" s="9" t="n"/>
      <c r="X31" s="9" t="inlineStr">
        <is>
          <t>Texas Home Collaborative</t>
        </is>
      </c>
      <c r="Y31" s="9" t="inlineStr">
        <is>
          <t>Other</t>
        </is>
      </c>
      <c r="Z31" s="11" t="n">
        <v>25000000</v>
      </c>
      <c r="AA31" s="11" t="n"/>
      <c r="AB31" s="11" t="n">
        <v>2052801</v>
      </c>
      <c r="AC31" s="11" t="n"/>
      <c r="AD31" s="11" t="n"/>
      <c r="AE31" s="11" t="n"/>
      <c r="AF31" s="9" t="inlineStr">
        <is>
          <t>N</t>
        </is>
      </c>
      <c r="AG31" s="9" t="inlineStr">
        <is>
          <t>Y</t>
        </is>
      </c>
      <c r="AH31" s="9" t="n"/>
      <c r="AI31" s="9" t="inlineStr">
        <is>
          <t>Y</t>
        </is>
      </c>
      <c r="AJ31" s="8" t="n"/>
      <c r="AK31" s="9" t="inlineStr">
        <is>
          <t>Y</t>
        </is>
      </c>
      <c r="AL31" s="9" t="inlineStr">
        <is>
          <t>Y</t>
        </is>
      </c>
      <c r="AM31" s="9" t="inlineStr">
        <is>
          <t>Y</t>
        </is>
      </c>
      <c r="AN31" s="9" t="n"/>
      <c r="AO31" s="9" t="n"/>
      <c r="AP31" s="9" t="n"/>
      <c r="AQ31" s="9" t="n"/>
      <c r="AR31" s="9" t="n"/>
      <c r="AS31" s="9" t="inlineStr">
        <is>
          <t>N</t>
        </is>
      </c>
      <c r="AT31" s="8" t="n"/>
      <c r="AU31" s="8" t="n"/>
      <c r="AV31" s="9" t="n"/>
      <c r="AW31" s="8" t="n"/>
      <c r="AX31" s="9" t="inlineStr">
        <is>
          <t>N</t>
        </is>
      </c>
      <c r="AY31" s="9" t="inlineStr">
        <is>
          <t>Y</t>
        </is>
      </c>
      <c r="AZ31" s="9" t="inlineStr">
        <is>
          <t>Y</t>
        </is>
      </c>
      <c r="BA31" s="9" t="inlineStr">
        <is>
          <t>Y</t>
        </is>
      </c>
      <c r="BB31" s="9" t="inlineStr">
        <is>
          <t>Y</t>
        </is>
      </c>
      <c r="BC31" s="9" t="inlineStr">
        <is>
          <t>Y</t>
        </is>
      </c>
      <c r="BD31" s="9" t="n"/>
      <c r="BE31" s="9" t="inlineStr">
        <is>
          <t>N</t>
        </is>
      </c>
      <c r="BF31" s="9" t="n"/>
      <c r="BG31" s="9" t="n"/>
      <c r="BH31" s="9" t="n"/>
      <c r="BI31" s="9" t="n"/>
      <c r="BJ31" s="9" t="inlineStr">
        <is>
          <t>Y</t>
        </is>
      </c>
      <c r="BK31" s="9" t="inlineStr">
        <is>
          <t>N</t>
        </is>
      </c>
      <c r="BL31" s="9" t="inlineStr">
        <is>
          <t>N</t>
        </is>
      </c>
      <c r="BM31" s="9" t="inlineStr">
        <is>
          <t>Y</t>
        </is>
      </c>
      <c r="BN31" s="9" t="inlineStr">
        <is>
          <t>Y</t>
        </is>
      </c>
      <c r="BO31" s="8" t="n">
        <v>45671</v>
      </c>
      <c r="BP31" s="9" t="inlineStr">
        <is>
          <t>Y</t>
        </is>
      </c>
      <c r="BQ31" s="9" t="inlineStr">
        <is>
          <t>N</t>
        </is>
      </c>
      <c r="BR31" s="13">
        <f>IF(COUNTIF(AI31:BM31,"N")+COUNTBLANK(AI31:BM31)=0,"Y","N")</f>
        <v/>
      </c>
      <c r="BS31" s="13">
        <f>IF(AND(BR31="Y",OR(L31="Submitted",L31="Under Review")),"Y",IF(L31="Closed","Y","N"))</f>
        <v/>
      </c>
      <c r="BT31" s="10" t="n">
        <v>31</v>
      </c>
      <c r="BU31" s="13">
        <f>Rule_Flags!Q30</f>
        <v/>
      </c>
      <c r="BV31" s="13">
        <f>Rule_Flags!P30</f>
        <v/>
      </c>
      <c r="BW31" s="13">
        <f>IF(Rule_Flags!E30=1,"SITE_CONTROL",IF(Rule_Flags!F30=1,"APPROVALS",IF(Rule_Flags!G30=1,"REPORTS",IF(Rule_Flags!H30=1,"DEFICIENCY",IF(Rule_Flags!I30=1,"UNDERWRITING",IF(Rule_Flags!J30=1,"COMPLIANCE",""))))))</f>
        <v/>
      </c>
      <c r="BX31" s="13">
        <f>IF(BW31="SITE_CONTROL","Site control missing or invalid",IF(BW31="APPROVALS","Required approvals or resolutions incomplete",IF(BW31="REPORTS","Required third-party reports incomplete",IF(BW31="DEFICIENCY","Unresolved deficiency or material deficiency",IF(BW31="UNDERWRITING","Underwriting / feasibility not passed",IF(BW31="COMPLIANCE","Deconcentration, one-mile, LURA, or Chapter 12 issue","Ready under current engine rules"))))))</f>
        <v/>
      </c>
      <c r="BY31" s="13">
        <f>IF(BV31="Determination Notice","Streamlined + DN-ready assumptions satisfied",IF(BV31="Board","Board-required or board-ready assumptions satisfied",""))</f>
        <v/>
      </c>
      <c r="BZ31" s="13">
        <f>IF(AND(BP31="Y",BQ31&lt;&gt;"Y"),"Carryforward project retains queue priority",IF(BQ31="Y","New project enters behind carryforward projects",""))</f>
        <v/>
      </c>
      <c r="CA31" s="13">
        <f>_xludf.RANK.EQ(Rule_Flags!O30,Rule_Flags!$O$3:$O$402,0)</f>
        <v/>
      </c>
      <c r="CB31" s="13">
        <f>IF(OR(BU31="Determination Notice Issued",BU31="Board",BU31="Closed"),"Y","N")</f>
        <v/>
      </c>
      <c r="CC31" s="9" t="n"/>
      <c r="CD31" s="9" t="inlineStr">
        <is>
          <t>Asia Williams</t>
        </is>
      </c>
      <c r="CE31" s="9" t="inlineStr">
        <is>
          <t>(213) 362-0260</t>
        </is>
      </c>
      <c r="CF31" s="9" t="inlineStr">
        <is>
          <t>awilliams@chavezfoundation.org</t>
        </is>
      </c>
      <c r="CG31" s="9" t="inlineStr">
        <is>
          <t>Antonio Williams</t>
        </is>
      </c>
      <c r="CH31" s="9" t="inlineStr">
        <is>
          <t>(903) 276-7557</t>
        </is>
      </c>
    </row>
    <row r="32">
      <c r="A32" s="8" t="inlineStr">
        <is>
          <t>2026-02-10</t>
        </is>
      </c>
      <c r="B32" s="9" t="inlineStr">
        <is>
          <t>2026-02-10</t>
        </is>
      </c>
      <c r="C32" s="9" t="inlineStr">
        <is>
          <t>25407</t>
        </is>
      </c>
      <c r="D32" s="9" t="inlineStr">
        <is>
          <t>03436</t>
        </is>
      </c>
      <c r="E32" s="9" t="inlineStr">
        <is>
          <t>Northland Woods</t>
        </is>
      </c>
      <c r="F32" s="9" t="inlineStr">
        <is>
          <t>Houston</t>
        </is>
      </c>
      <c r="G32" s="9" t="inlineStr">
        <is>
          <t>Harris</t>
        </is>
      </c>
      <c r="H32" s="9" t="n">
        <v>6</v>
      </c>
      <c r="I32" s="9" t="inlineStr">
        <is>
          <t>15165 Vickery Drive</t>
        </is>
      </c>
      <c r="J32" s="9" t="n">
        <v>77032</v>
      </c>
      <c r="K32" s="8" t="n">
        <v>45671</v>
      </c>
      <c r="L32" s="9" t="inlineStr">
        <is>
          <t>Withdrawn</t>
        </is>
      </c>
      <c r="M32" s="8" t="n">
        <v>45785</v>
      </c>
      <c r="N32" s="8" t="n"/>
      <c r="O32" s="8" t="n">
        <v>45673</v>
      </c>
      <c r="P32" s="8" t="n">
        <v>45853</v>
      </c>
      <c r="Q32" s="8" t="n"/>
      <c r="R32" s="9" t="inlineStr">
        <is>
          <t>Acq/Rehab</t>
        </is>
      </c>
      <c r="S32" s="9" t="inlineStr">
        <is>
          <t>General</t>
        </is>
      </c>
      <c r="T32" s="10" t="n">
        <v>280</v>
      </c>
      <c r="U32" s="10" t="n">
        <v>280</v>
      </c>
      <c r="V32" s="9" t="n"/>
      <c r="W32" s="9" t="n"/>
      <c r="X32" s="9" t="inlineStr">
        <is>
          <t>HHA Fountainview PFC</t>
        </is>
      </c>
      <c r="Y32" s="9" t="inlineStr">
        <is>
          <t>Other</t>
        </is>
      </c>
      <c r="Z32" s="11" t="n">
        <v>45000000</v>
      </c>
      <c r="AA32" s="11" t="n"/>
      <c r="AB32" s="11" t="n">
        <v>3400940</v>
      </c>
      <c r="AC32" s="11" t="n"/>
      <c r="AD32" s="11" t="n"/>
      <c r="AE32" s="11" t="n"/>
      <c r="AF32" s="9" t="inlineStr">
        <is>
          <t>N</t>
        </is>
      </c>
      <c r="AG32" s="9" t="inlineStr">
        <is>
          <t>Y</t>
        </is>
      </c>
      <c r="AH32" s="9" t="inlineStr">
        <is>
          <t>Y</t>
        </is>
      </c>
      <c r="AI32" s="9" t="inlineStr">
        <is>
          <t>Y</t>
        </is>
      </c>
      <c r="AJ32" s="8" t="n"/>
      <c r="AK32" s="9" t="inlineStr">
        <is>
          <t>Y</t>
        </is>
      </c>
      <c r="AL32" s="9" t="inlineStr">
        <is>
          <t>Y</t>
        </is>
      </c>
      <c r="AM32" s="9" t="inlineStr">
        <is>
          <t>Y</t>
        </is>
      </c>
      <c r="AN32" s="9" t="n"/>
      <c r="AO32" s="9" t="n"/>
      <c r="AP32" s="9" t="n"/>
      <c r="AQ32" s="9" t="n"/>
      <c r="AR32" s="9" t="n"/>
      <c r="AS32" s="9" t="inlineStr">
        <is>
          <t>N</t>
        </is>
      </c>
      <c r="AT32" s="8" t="n"/>
      <c r="AU32" s="8" t="n"/>
      <c r="AV32" s="9" t="n"/>
      <c r="AW32" s="8" t="n"/>
      <c r="AX32" s="9" t="inlineStr">
        <is>
          <t>N</t>
        </is>
      </c>
      <c r="AY32" s="9" t="inlineStr">
        <is>
          <t>Y</t>
        </is>
      </c>
      <c r="AZ32" s="9" t="inlineStr">
        <is>
          <t>Y</t>
        </is>
      </c>
      <c r="BA32" s="9" t="inlineStr">
        <is>
          <t>Y</t>
        </is>
      </c>
      <c r="BB32" s="9" t="inlineStr">
        <is>
          <t>Y</t>
        </is>
      </c>
      <c r="BC32" s="9" t="inlineStr">
        <is>
          <t>Y</t>
        </is>
      </c>
      <c r="BD32" s="9" t="n"/>
      <c r="BE32" s="9" t="inlineStr">
        <is>
          <t>N</t>
        </is>
      </c>
      <c r="BF32" s="9" t="n"/>
      <c r="BG32" s="9" t="n"/>
      <c r="BH32" s="9" t="n"/>
      <c r="BI32" s="9" t="n"/>
      <c r="BJ32" s="9" t="inlineStr">
        <is>
          <t>Y</t>
        </is>
      </c>
      <c r="BK32" s="9" t="inlineStr">
        <is>
          <t>N</t>
        </is>
      </c>
      <c r="BL32" s="9" t="inlineStr">
        <is>
          <t>N</t>
        </is>
      </c>
      <c r="BM32" s="9" t="inlineStr">
        <is>
          <t>Y</t>
        </is>
      </c>
      <c r="BN32" s="9" t="inlineStr">
        <is>
          <t>Y</t>
        </is>
      </c>
      <c r="BO32" s="8" t="n">
        <v>45671</v>
      </c>
      <c r="BP32" s="9" t="inlineStr">
        <is>
          <t>Y</t>
        </is>
      </c>
      <c r="BQ32" s="9" t="inlineStr">
        <is>
          <t>N</t>
        </is>
      </c>
      <c r="BR32" s="13">
        <f>IF(COUNTIF(AI32:BM32,"N")+COUNTBLANK(AI32:BM32)=0,"Y","N")</f>
        <v/>
      </c>
      <c r="BS32" s="13">
        <f>IF(AND(BR32="Y",OR(L32="Submitted",L32="Under Review")),"Y",IF(L32="Closed","Y","N"))</f>
        <v/>
      </c>
      <c r="BT32" s="10" t="n">
        <v>28</v>
      </c>
      <c r="BU32" s="13">
        <f>Rule_Flags!Q31</f>
        <v/>
      </c>
      <c r="BV32" s="13">
        <f>Rule_Flags!P31</f>
        <v/>
      </c>
      <c r="BW32" s="13">
        <f>IF(Rule_Flags!E31=1,"SITE_CONTROL",IF(Rule_Flags!F31=1,"APPROVALS",IF(Rule_Flags!G31=1,"REPORTS",IF(Rule_Flags!H31=1,"DEFICIENCY",IF(Rule_Flags!I31=1,"UNDERWRITING",IF(Rule_Flags!J31=1,"COMPLIANCE",""))))))</f>
        <v/>
      </c>
      <c r="BX32" s="13">
        <f>IF(BW32="SITE_CONTROL","Site control missing or invalid",IF(BW32="APPROVALS","Required approvals or resolutions incomplete",IF(BW32="REPORTS","Required third-party reports incomplete",IF(BW32="DEFICIENCY","Unresolved deficiency or material deficiency",IF(BW32="UNDERWRITING","Underwriting / feasibility not passed",IF(BW32="COMPLIANCE","Deconcentration, one-mile, LURA, or Chapter 12 issue","Ready under current engine rules"))))))</f>
        <v/>
      </c>
      <c r="BY32" s="13">
        <f>IF(BV32="Determination Notice","Streamlined + DN-ready assumptions satisfied",IF(BV32="Board","Board-required or board-ready assumptions satisfied",""))</f>
        <v/>
      </c>
      <c r="BZ32" s="13">
        <f>IF(AND(BP32="Y",BQ32&lt;&gt;"Y"),"Carryforward project retains queue priority",IF(BQ32="Y","New project enters behind carryforward projects",""))</f>
        <v/>
      </c>
      <c r="CA32" s="13">
        <f>_xludf.RANK.EQ(Rule_Flags!O31,Rule_Flags!$O$3:$O$402,0)</f>
        <v/>
      </c>
      <c r="CB32" s="13">
        <f>IF(OR(BU32="Determination Notice Issued",BU32="Board",BU32="Closed"),"Y","N")</f>
        <v/>
      </c>
      <c r="CC32" s="9" t="n"/>
      <c r="CD32" s="9" t="inlineStr">
        <is>
          <t>Brad Fisher</t>
        </is>
      </c>
      <c r="CE32" s="9" t="inlineStr">
        <is>
          <t>(913) 787-1676</t>
        </is>
      </c>
      <c r="CF32" s="9" t="inlineStr">
        <is>
          <t>bfisher@aprilhousing.com</t>
        </is>
      </c>
      <c r="CG32" s="9" t="inlineStr">
        <is>
          <t>Jennine Hovell-Cox</t>
        </is>
      </c>
      <c r="CH32" s="9" t="inlineStr">
        <is>
          <t>(713) 260-0501</t>
        </is>
      </c>
    </row>
    <row r="33">
      <c r="A33" s="8" t="inlineStr">
        <is>
          <t>2026-02-10</t>
        </is>
      </c>
      <c r="B33" s="9" t="inlineStr">
        <is>
          <t>2026-02-10</t>
        </is>
      </c>
      <c r="C33" s="9" t="inlineStr">
        <is>
          <t>25403</t>
        </is>
      </c>
      <c r="D33" s="9" t="inlineStr">
        <is>
          <t>CMTS 2514</t>
        </is>
      </c>
      <c r="E33" s="9" t="inlineStr">
        <is>
          <t>Waters at Stone Creek</t>
        </is>
      </c>
      <c r="F33" s="9" t="inlineStr">
        <is>
          <t>Lewisville</t>
        </is>
      </c>
      <c r="G33" s="9" t="inlineStr">
        <is>
          <t>Denton</t>
        </is>
      </c>
      <c r="H33" s="9" t="n">
        <v>3</v>
      </c>
      <c r="I33" s="9" t="inlineStr">
        <is>
          <t>328 E Southwest Parkway</t>
        </is>
      </c>
      <c r="J33" s="9" t="n">
        <v>75067</v>
      </c>
      <c r="K33" s="8" t="n">
        <v>45671</v>
      </c>
      <c r="L33" s="9" t="inlineStr">
        <is>
          <t>Approved</t>
        </is>
      </c>
      <c r="M33" s="8" t="n">
        <v>45757</v>
      </c>
      <c r="N33" s="8" t="n">
        <v>45789</v>
      </c>
      <c r="O33" s="8" t="n">
        <v>45882</v>
      </c>
      <c r="P33" s="8" t="n">
        <v>46062</v>
      </c>
      <c r="Q33" s="8" t="n"/>
      <c r="R33" s="9" t="inlineStr">
        <is>
          <t>Acq/Rehab</t>
        </is>
      </c>
      <c r="S33" s="9" t="inlineStr">
        <is>
          <t>General</t>
        </is>
      </c>
      <c r="T33" s="10" t="n">
        <v>199</v>
      </c>
      <c r="U33" s="10" t="n">
        <v>199</v>
      </c>
      <c r="V33" s="9" t="n"/>
      <c r="W33" s="9" t="n"/>
      <c r="X33" s="9" t="inlineStr">
        <is>
          <t>Denton County HFC</t>
        </is>
      </c>
      <c r="Y33" s="9" t="inlineStr">
        <is>
          <t>Local HFC</t>
        </is>
      </c>
      <c r="Z33" s="11" t="n">
        <v>30000000</v>
      </c>
      <c r="AA33" s="11" t="n"/>
      <c r="AB33" s="11" t="n">
        <v>2213923</v>
      </c>
      <c r="AC33" s="11" t="n">
        <v>2213923</v>
      </c>
      <c r="AD33" s="11" t="n"/>
      <c r="AE33" s="11" t="n"/>
      <c r="AF33" s="9" t="inlineStr">
        <is>
          <t>N</t>
        </is>
      </c>
      <c r="AG33" s="9" t="inlineStr">
        <is>
          <t>Y</t>
        </is>
      </c>
      <c r="AH33" s="9" t="n"/>
      <c r="AI33" s="9" t="inlineStr">
        <is>
          <t>Y</t>
        </is>
      </c>
      <c r="AJ33" s="8" t="n"/>
      <c r="AK33" s="9" t="inlineStr">
        <is>
          <t>Y</t>
        </is>
      </c>
      <c r="AL33" s="9" t="inlineStr">
        <is>
          <t>Y</t>
        </is>
      </c>
      <c r="AM33" s="9" t="inlineStr">
        <is>
          <t>Y</t>
        </is>
      </c>
      <c r="AN33" s="9" t="n"/>
      <c r="AO33" s="9" t="n"/>
      <c r="AP33" s="9" t="n"/>
      <c r="AQ33" s="9" t="n"/>
      <c r="AR33" s="9" t="n"/>
      <c r="AS33" s="9" t="inlineStr">
        <is>
          <t>N</t>
        </is>
      </c>
      <c r="AT33" s="8" t="n"/>
      <c r="AU33" s="8" t="n"/>
      <c r="AV33" s="9" t="n"/>
      <c r="AW33" s="8" t="n"/>
      <c r="AX33" s="9" t="inlineStr">
        <is>
          <t>N</t>
        </is>
      </c>
      <c r="AY33" s="9" t="inlineStr">
        <is>
          <t>Y</t>
        </is>
      </c>
      <c r="AZ33" s="9" t="inlineStr">
        <is>
          <t>Y</t>
        </is>
      </c>
      <c r="BA33" s="9" t="inlineStr">
        <is>
          <t>Y</t>
        </is>
      </c>
      <c r="BB33" s="9" t="inlineStr">
        <is>
          <t>Y</t>
        </is>
      </c>
      <c r="BC33" s="9" t="inlineStr">
        <is>
          <t>Y</t>
        </is>
      </c>
      <c r="BD33" s="9" t="n"/>
      <c r="BE33" s="9" t="inlineStr">
        <is>
          <t>N</t>
        </is>
      </c>
      <c r="BF33" s="9" t="n"/>
      <c r="BG33" s="9" t="n"/>
      <c r="BH33" s="9" t="n"/>
      <c r="BI33" s="9" t="n"/>
      <c r="BJ33" s="9" t="inlineStr">
        <is>
          <t>Y</t>
        </is>
      </c>
      <c r="BK33" s="9" t="inlineStr">
        <is>
          <t>N</t>
        </is>
      </c>
      <c r="BL33" s="9" t="inlineStr">
        <is>
          <t>N</t>
        </is>
      </c>
      <c r="BM33" s="9" t="inlineStr">
        <is>
          <t>Y</t>
        </is>
      </c>
      <c r="BN33" s="9" t="inlineStr">
        <is>
          <t>Y</t>
        </is>
      </c>
      <c r="BO33" s="8" t="n">
        <v>45671</v>
      </c>
      <c r="BP33" s="9" t="inlineStr">
        <is>
          <t>Y</t>
        </is>
      </c>
      <c r="BQ33" s="9" t="inlineStr">
        <is>
          <t>N</t>
        </is>
      </c>
      <c r="BR33" s="13">
        <f>IF(COUNTIF(AI33:BM33,"N")+COUNTBLANK(AI33:BM33)=0,"Y","N")</f>
        <v/>
      </c>
      <c r="BS33" s="13">
        <f>IF(AND(BR33="Y",OR(L33="Submitted",L33="Under Review")),"Y",IF(L33="Closed","Y","N"))</f>
        <v/>
      </c>
      <c r="BT33" s="10" t="n">
        <v>27</v>
      </c>
      <c r="BU33" s="13">
        <f>Rule_Flags!Q32</f>
        <v/>
      </c>
      <c r="BV33" s="13">
        <f>Rule_Flags!P32</f>
        <v/>
      </c>
      <c r="BW33" s="13">
        <f>IF(Rule_Flags!E32=1,"SITE_CONTROL",IF(Rule_Flags!F32=1,"APPROVALS",IF(Rule_Flags!G32=1,"REPORTS",IF(Rule_Flags!H32=1,"DEFICIENCY",IF(Rule_Flags!I32=1,"UNDERWRITING",IF(Rule_Flags!J32=1,"COMPLIANCE",""))))))</f>
        <v/>
      </c>
      <c r="BX33" s="13">
        <f>IF(BW33="SITE_CONTROL","Site control missing or invalid",IF(BW33="APPROVALS","Required approvals or resolutions incomplete",IF(BW33="REPORTS","Required third-party reports incomplete",IF(BW33="DEFICIENCY","Unresolved deficiency or material deficiency",IF(BW33="UNDERWRITING","Underwriting / feasibility not passed",IF(BW33="COMPLIANCE","Deconcentration, one-mile, LURA, or Chapter 12 issue","Ready under current engine rules"))))))</f>
        <v/>
      </c>
      <c r="BY33" s="13">
        <f>IF(BV33="Determination Notice","Streamlined + DN-ready assumptions satisfied",IF(BV33="Board","Board-required or board-ready assumptions satisfied",""))</f>
        <v/>
      </c>
      <c r="BZ33" s="13">
        <f>IF(AND(BP33="Y",BQ33&lt;&gt;"Y"),"Carryforward project retains queue priority",IF(BQ33="Y","New project enters behind carryforward projects",""))</f>
        <v/>
      </c>
      <c r="CA33" s="13">
        <f>_xludf.RANK.EQ(Rule_Flags!O32,Rule_Flags!$O$3:$O$402,0)</f>
        <v/>
      </c>
      <c r="CB33" s="13">
        <f>IF(OR(BU33="Determination Notice Issued",BU33="Board",BU33="Closed"),"Y","N")</f>
        <v/>
      </c>
      <c r="CC33" s="9" t="n"/>
      <c r="CD33" s="9" t="inlineStr">
        <is>
          <t>Rafael Navarro</t>
        </is>
      </c>
      <c r="CE33" s="9" t="inlineStr">
        <is>
          <t>(469) 206-8930</t>
        </is>
      </c>
      <c r="CF33" s="9" t="inlineStr">
        <is>
          <t>navarro@atlantichousing.org</t>
        </is>
      </c>
      <c r="CG33" s="9" t="inlineStr">
        <is>
          <t>Andy Eads</t>
        </is>
      </c>
      <c r="CH33" s="9" t="inlineStr">
        <is>
          <t>(904) 349-2801</t>
        </is>
      </c>
    </row>
    <row r="34">
      <c r="A34" s="8" t="inlineStr">
        <is>
          <t>2026-02-10</t>
        </is>
      </c>
      <c r="B34" s="9" t="inlineStr">
        <is>
          <t>2026-02-10</t>
        </is>
      </c>
      <c r="C34" s="9" t="inlineStr">
        <is>
          <t>25422</t>
        </is>
      </c>
      <c r="D34" s="9" t="n"/>
      <c r="E34" s="9" t="inlineStr">
        <is>
          <t>Covington Acres</t>
        </is>
      </c>
      <c r="F34" s="9" t="inlineStr">
        <is>
          <t>Keene</t>
        </is>
      </c>
      <c r="G34" s="9" t="inlineStr">
        <is>
          <t>Johnson</t>
        </is>
      </c>
      <c r="H34" s="9" t="n">
        <v>3</v>
      </c>
      <c r="I34" s="9" t="inlineStr">
        <is>
          <t>2632 US Highway 67</t>
        </is>
      </c>
      <c r="J34" s="9" t="n">
        <v>76031</v>
      </c>
      <c r="K34" s="8" t="n">
        <v>45673</v>
      </c>
      <c r="L34" s="9" t="inlineStr">
        <is>
          <t>Closed</t>
        </is>
      </c>
      <c r="M34" s="8" t="n">
        <v>45785</v>
      </c>
      <c r="N34" s="8" t="n">
        <v>45769</v>
      </c>
      <c r="O34" s="8" t="n">
        <v>45674</v>
      </c>
      <c r="P34" s="8" t="n">
        <v>45854</v>
      </c>
      <c r="Q34" s="8" t="n"/>
      <c r="R34" s="9" t="inlineStr">
        <is>
          <t>New Construction</t>
        </is>
      </c>
      <c r="S34" s="9" t="inlineStr">
        <is>
          <t>General</t>
        </is>
      </c>
      <c r="T34" s="10" t="n">
        <v>252</v>
      </c>
      <c r="U34" s="10" t="n">
        <v>252</v>
      </c>
      <c r="V34" s="9" t="n"/>
      <c r="W34" s="9" t="n"/>
      <c r="X34" s="9" t="inlineStr">
        <is>
          <t>THF PFC</t>
        </is>
      </c>
      <c r="Y34" s="9" t="inlineStr">
        <is>
          <t>Other</t>
        </is>
      </c>
      <c r="Z34" s="11" t="n">
        <v>40000000</v>
      </c>
      <c r="AA34" s="11" t="n"/>
      <c r="AB34" s="11" t="n">
        <v>2926539</v>
      </c>
      <c r="AC34" s="11" t="n">
        <v>2905038</v>
      </c>
      <c r="AD34" s="11" t="n"/>
      <c r="AE34" s="11" t="n"/>
      <c r="AF34" s="9" t="inlineStr">
        <is>
          <t>N</t>
        </is>
      </c>
      <c r="AG34" s="9" t="inlineStr">
        <is>
          <t>Y</t>
        </is>
      </c>
      <c r="AH34" s="9" t="inlineStr">
        <is>
          <t>Y</t>
        </is>
      </c>
      <c r="AI34" s="9" t="inlineStr">
        <is>
          <t>Y</t>
        </is>
      </c>
      <c r="AJ34" s="8" t="n"/>
      <c r="AK34" s="9" t="inlineStr">
        <is>
          <t>Y</t>
        </is>
      </c>
      <c r="AL34" s="9" t="inlineStr">
        <is>
          <t>Y</t>
        </is>
      </c>
      <c r="AM34" s="9" t="inlineStr">
        <is>
          <t>Y</t>
        </is>
      </c>
      <c r="AN34" s="9" t="n"/>
      <c r="AO34" s="9" t="n"/>
      <c r="AP34" s="9" t="n"/>
      <c r="AQ34" s="9" t="n"/>
      <c r="AR34" s="9" t="n"/>
      <c r="AS34" s="9" t="inlineStr">
        <is>
          <t>N</t>
        </is>
      </c>
      <c r="AT34" s="8" t="n"/>
      <c r="AU34" s="8" t="n"/>
      <c r="AV34" s="9" t="n"/>
      <c r="AW34" s="8" t="n"/>
      <c r="AX34" s="9" t="inlineStr">
        <is>
          <t>N</t>
        </is>
      </c>
      <c r="AY34" s="9" t="inlineStr">
        <is>
          <t>Y</t>
        </is>
      </c>
      <c r="AZ34" s="9" t="inlineStr">
        <is>
          <t>Y</t>
        </is>
      </c>
      <c r="BA34" s="9" t="inlineStr">
        <is>
          <t>Y</t>
        </is>
      </c>
      <c r="BB34" s="9" t="inlineStr">
        <is>
          <t>Y</t>
        </is>
      </c>
      <c r="BC34" s="9" t="inlineStr">
        <is>
          <t>Y</t>
        </is>
      </c>
      <c r="BD34" s="9" t="n"/>
      <c r="BE34" s="9" t="inlineStr">
        <is>
          <t>N</t>
        </is>
      </c>
      <c r="BF34" s="9" t="n"/>
      <c r="BG34" s="9" t="n"/>
      <c r="BH34" s="9" t="n"/>
      <c r="BI34" s="9" t="n"/>
      <c r="BJ34" s="9" t="inlineStr">
        <is>
          <t>Y</t>
        </is>
      </c>
      <c r="BK34" s="9" t="inlineStr">
        <is>
          <t>N</t>
        </is>
      </c>
      <c r="BL34" s="9" t="inlineStr">
        <is>
          <t>N</t>
        </is>
      </c>
      <c r="BM34" s="9" t="inlineStr">
        <is>
          <t>Y</t>
        </is>
      </c>
      <c r="BN34" s="9" t="inlineStr">
        <is>
          <t>Y</t>
        </is>
      </c>
      <c r="BO34" s="8" t="n">
        <v>45673</v>
      </c>
      <c r="BP34" s="9" t="inlineStr">
        <is>
          <t>Y</t>
        </is>
      </c>
      <c r="BQ34" s="9" t="inlineStr">
        <is>
          <t>N</t>
        </is>
      </c>
      <c r="BR34" s="13">
        <f>IF(COUNTIF(AI34:BM34,"N")+COUNTBLANK(AI34:BM34)=0,"Y","N")</f>
        <v/>
      </c>
      <c r="BS34" s="13">
        <f>IF(AND(BR34="Y",OR(L34="Submitted",L34="Under Review")),"Y",IF(L34="Closed","Y","N"))</f>
        <v/>
      </c>
      <c r="BT34" s="10" t="n">
        <v>32</v>
      </c>
      <c r="BU34" s="13">
        <f>Rule_Flags!Q33</f>
        <v/>
      </c>
      <c r="BV34" s="13">
        <f>Rule_Flags!P33</f>
        <v/>
      </c>
      <c r="BW34" s="13">
        <f>IF(Rule_Flags!E33=1,"SITE_CONTROL",IF(Rule_Flags!F33=1,"APPROVALS",IF(Rule_Flags!G33=1,"REPORTS",IF(Rule_Flags!H33=1,"DEFICIENCY",IF(Rule_Flags!I33=1,"UNDERWRITING",IF(Rule_Flags!J33=1,"COMPLIANCE",""))))))</f>
        <v/>
      </c>
      <c r="BX34" s="13">
        <f>IF(BW34="SITE_CONTROL","Site control missing or invalid",IF(BW34="APPROVALS","Required approvals or resolutions incomplete",IF(BW34="REPORTS","Required third-party reports incomplete",IF(BW34="DEFICIENCY","Unresolved deficiency or material deficiency",IF(BW34="UNDERWRITING","Underwriting / feasibility not passed",IF(BW34="COMPLIANCE","Deconcentration, one-mile, LURA, or Chapter 12 issue","Ready under current engine rules"))))))</f>
        <v/>
      </c>
      <c r="BY34" s="13">
        <f>IF(BV34="Determination Notice","Streamlined + DN-ready assumptions satisfied",IF(BV34="Board","Board-required or board-ready assumptions satisfied",""))</f>
        <v/>
      </c>
      <c r="BZ34" s="13">
        <f>IF(AND(BP34="Y",BQ34&lt;&gt;"Y"),"Carryforward project retains queue priority",IF(BQ34="Y","New project enters behind carryforward projects",""))</f>
        <v/>
      </c>
      <c r="CA34" s="13">
        <f>_xludf.RANK.EQ(Rule_Flags!O33,Rule_Flags!$O$3:$O$402,0)</f>
        <v/>
      </c>
      <c r="CB34" s="13">
        <f>IF(OR(BU34="Determination Notice Issued",BU34="Board",BU34="Closed"),"Y","N")</f>
        <v/>
      </c>
      <c r="CC34" s="9" t="inlineStr">
        <is>
          <t>construction_type mapped from raw 'NC' to 'New Construction'</t>
        </is>
      </c>
      <c r="CD34" s="9" t="inlineStr">
        <is>
          <t>Elena Harston</t>
        </is>
      </c>
      <c r="CE34" s="9" t="inlineStr">
        <is>
          <t>(925) 586-7619</t>
        </is>
      </c>
      <c r="CF34" s="9" t="inlineStr">
        <is>
          <t>eharston@kittleproperties.com</t>
        </is>
      </c>
      <c r="CG34" s="9" t="inlineStr">
        <is>
          <t>Jonathan Coreas</t>
        </is>
      </c>
      <c r="CH34" s="9" t="inlineStr">
        <is>
          <t>(830) 693‐8100</t>
        </is>
      </c>
    </row>
    <row r="35">
      <c r="A35" s="8" t="inlineStr">
        <is>
          <t>2026-02-10</t>
        </is>
      </c>
      <c r="B35" s="9" t="inlineStr">
        <is>
          <t>2026-02-10</t>
        </is>
      </c>
      <c r="C35" s="9" t="inlineStr">
        <is>
          <t>25445</t>
        </is>
      </c>
      <c r="D35" s="9" t="n"/>
      <c r="E35" s="9" t="inlineStr">
        <is>
          <t>Enclave at Sherman</t>
        </is>
      </c>
      <c r="F35" s="9" t="inlineStr">
        <is>
          <t>Sherman</t>
        </is>
      </c>
      <c r="G35" s="9" t="inlineStr">
        <is>
          <t>Grayson</t>
        </is>
      </c>
      <c r="H35" s="9" t="n">
        <v>3</v>
      </c>
      <c r="I35" s="9" t="inlineStr">
        <is>
          <t>2700 US-82</t>
        </is>
      </c>
      <c r="J35" s="9" t="n">
        <v>75090</v>
      </c>
      <c r="K35" s="8" t="n">
        <v>45679</v>
      </c>
      <c r="L35" s="9" t="inlineStr">
        <is>
          <t>Withdrawn</t>
        </is>
      </c>
      <c r="M35" s="8" t="n">
        <v>45785</v>
      </c>
      <c r="N35" s="8" t="n"/>
      <c r="O35" s="8" t="n">
        <v>45680</v>
      </c>
      <c r="P35" s="8" t="n">
        <v>45860</v>
      </c>
      <c r="Q35" s="8" t="n"/>
      <c r="R35" s="9" t="inlineStr">
        <is>
          <t>New Construction</t>
        </is>
      </c>
      <c r="S35" s="9" t="inlineStr">
        <is>
          <t>General</t>
        </is>
      </c>
      <c r="T35" s="10" t="n">
        <v>360</v>
      </c>
      <c r="U35" s="10" t="n">
        <v>360</v>
      </c>
      <c r="V35" s="9" t="n"/>
      <c r="W35" s="9" t="n"/>
      <c r="X35" s="9" t="inlineStr">
        <is>
          <t>THF PFC</t>
        </is>
      </c>
      <c r="Y35" s="9" t="inlineStr">
        <is>
          <t>Other</t>
        </is>
      </c>
      <c r="Z35" s="11" t="n">
        <v>50000000</v>
      </c>
      <c r="AA35" s="11" t="n"/>
      <c r="AB35" s="11" t="n">
        <v>3572847</v>
      </c>
      <c r="AC35" s="11" t="n"/>
      <c r="AD35" s="11" t="n"/>
      <c r="AE35" s="11" t="n"/>
      <c r="AF35" s="9" t="inlineStr">
        <is>
          <t>N</t>
        </is>
      </c>
      <c r="AG35" s="9" t="inlineStr">
        <is>
          <t>Y</t>
        </is>
      </c>
      <c r="AH35" s="9" t="inlineStr">
        <is>
          <t>Y</t>
        </is>
      </c>
      <c r="AI35" s="9" t="inlineStr">
        <is>
          <t>Y</t>
        </is>
      </c>
      <c r="AJ35" s="8" t="n"/>
      <c r="AK35" s="9" t="inlineStr">
        <is>
          <t>Y</t>
        </is>
      </c>
      <c r="AL35" s="9" t="inlineStr">
        <is>
          <t>Y</t>
        </is>
      </c>
      <c r="AM35" s="9" t="inlineStr">
        <is>
          <t>Y</t>
        </is>
      </c>
      <c r="AN35" s="9" t="n"/>
      <c r="AO35" s="9" t="n"/>
      <c r="AP35" s="9" t="n"/>
      <c r="AQ35" s="9" t="n"/>
      <c r="AR35" s="9" t="n"/>
      <c r="AS35" s="9" t="inlineStr">
        <is>
          <t>N</t>
        </is>
      </c>
      <c r="AT35" s="8" t="n"/>
      <c r="AU35" s="8" t="n"/>
      <c r="AV35" s="9" t="n"/>
      <c r="AW35" s="8" t="n"/>
      <c r="AX35" s="9" t="inlineStr">
        <is>
          <t>N</t>
        </is>
      </c>
      <c r="AY35" s="9" t="inlineStr">
        <is>
          <t>Y</t>
        </is>
      </c>
      <c r="AZ35" s="9" t="inlineStr">
        <is>
          <t>Y</t>
        </is>
      </c>
      <c r="BA35" s="9" t="inlineStr">
        <is>
          <t>Y</t>
        </is>
      </c>
      <c r="BB35" s="9" t="inlineStr">
        <is>
          <t>Y</t>
        </is>
      </c>
      <c r="BC35" s="9" t="inlineStr">
        <is>
          <t>Y</t>
        </is>
      </c>
      <c r="BD35" s="9" t="n"/>
      <c r="BE35" s="9" t="inlineStr">
        <is>
          <t>N</t>
        </is>
      </c>
      <c r="BF35" s="9" t="n"/>
      <c r="BG35" s="9" t="n"/>
      <c r="BH35" s="9" t="n"/>
      <c r="BI35" s="9" t="n"/>
      <c r="BJ35" s="9" t="inlineStr">
        <is>
          <t>Y</t>
        </is>
      </c>
      <c r="BK35" s="9" t="inlineStr">
        <is>
          <t>N</t>
        </is>
      </c>
      <c r="BL35" s="9" t="inlineStr">
        <is>
          <t>N</t>
        </is>
      </c>
      <c r="BM35" s="9" t="inlineStr">
        <is>
          <t>Y</t>
        </is>
      </c>
      <c r="BN35" s="9" t="inlineStr">
        <is>
          <t>Y</t>
        </is>
      </c>
      <c r="BO35" s="8" t="n">
        <v>45679</v>
      </c>
      <c r="BP35" s="9" t="inlineStr">
        <is>
          <t>Y</t>
        </is>
      </c>
      <c r="BQ35" s="9" t="inlineStr">
        <is>
          <t>N</t>
        </is>
      </c>
      <c r="BR35" s="13">
        <f>IF(COUNTIF(AI35:BM35,"N")+COUNTBLANK(AI35:BM35)=0,"Y","N")</f>
        <v/>
      </c>
      <c r="BS35" s="13">
        <f>IF(AND(BR35="Y",OR(L35="Submitted",L35="Under Review")),"Y",IF(L35="Closed","Y","N"))</f>
        <v/>
      </c>
      <c r="BT35" s="10" t="n">
        <v>33</v>
      </c>
      <c r="BU35" s="13">
        <f>Rule_Flags!Q34</f>
        <v/>
      </c>
      <c r="BV35" s="13">
        <f>Rule_Flags!P34</f>
        <v/>
      </c>
      <c r="BW35" s="13">
        <f>IF(Rule_Flags!E34=1,"SITE_CONTROL",IF(Rule_Flags!F34=1,"APPROVALS",IF(Rule_Flags!G34=1,"REPORTS",IF(Rule_Flags!H34=1,"DEFICIENCY",IF(Rule_Flags!I34=1,"UNDERWRITING",IF(Rule_Flags!J34=1,"COMPLIANCE",""))))))</f>
        <v/>
      </c>
      <c r="BX35" s="13">
        <f>IF(BW35="SITE_CONTROL","Site control missing or invalid",IF(BW35="APPROVALS","Required approvals or resolutions incomplete",IF(BW35="REPORTS","Required third-party reports incomplete",IF(BW35="DEFICIENCY","Unresolved deficiency or material deficiency",IF(BW35="UNDERWRITING","Underwriting / feasibility not passed",IF(BW35="COMPLIANCE","Deconcentration, one-mile, LURA, or Chapter 12 issue","Ready under current engine rules"))))))</f>
        <v/>
      </c>
      <c r="BY35" s="13">
        <f>IF(BV35="Determination Notice","Streamlined + DN-ready assumptions satisfied",IF(BV35="Board","Board-required or board-ready assumptions satisfied",""))</f>
        <v/>
      </c>
      <c r="BZ35" s="13">
        <f>IF(AND(BP35="Y",BQ35&lt;&gt;"Y"),"Carryforward project retains queue priority",IF(BQ35="Y","New project enters behind carryforward projects",""))</f>
        <v/>
      </c>
      <c r="CA35" s="13">
        <f>_xludf.RANK.EQ(Rule_Flags!O34,Rule_Flags!$O$3:$O$402,0)</f>
        <v/>
      </c>
      <c r="CB35" s="13">
        <f>IF(OR(BU35="Determination Notice Issued",BU35="Board",BU35="Closed"),"Y","N")</f>
        <v/>
      </c>
      <c r="CC35" s="9" t="inlineStr">
        <is>
          <t>construction_type mapped from raw 'NC' to 'New Construction'</t>
        </is>
      </c>
      <c r="CD35" s="9" t="inlineStr">
        <is>
          <t>Mark Gregg</t>
        </is>
      </c>
      <c r="CE35" s="9" t="inlineStr">
        <is>
          <t>(210) 771-4127</t>
        </is>
      </c>
      <c r="CF35" s="9" t="inlineStr">
        <is>
          <t>mgregg@streamlineap.com</t>
        </is>
      </c>
      <c r="CG35" s="9" t="inlineStr">
        <is>
          <t>Allison Millihorn</t>
        </is>
      </c>
      <c r="CH35" s="9" t="inlineStr">
        <is>
          <t>(830) 693-8100</t>
        </is>
      </c>
    </row>
    <row r="36">
      <c r="A36" s="8" t="inlineStr">
        <is>
          <t>2026-02-10</t>
        </is>
      </c>
      <c r="B36" s="9" t="inlineStr">
        <is>
          <t>2026-02-10</t>
        </is>
      </c>
      <c r="C36" s="9" t="inlineStr">
        <is>
          <t>25418</t>
        </is>
      </c>
      <c r="D36" s="9" t="n"/>
      <c r="E36" s="9" t="inlineStr">
        <is>
          <t>Parmer North Apartments</t>
        </is>
      </c>
      <c r="F36" s="9" t="inlineStr">
        <is>
          <t>Pflugerville</t>
        </is>
      </c>
      <c r="G36" s="9" t="inlineStr">
        <is>
          <t>Travis</t>
        </is>
      </c>
      <c r="H36" s="9" t="n">
        <v>7</v>
      </c>
      <c r="I36" s="9" t="inlineStr">
        <is>
          <t>1420 E Howard Lane</t>
        </is>
      </c>
      <c r="J36" s="9" t="n">
        <v>78660</v>
      </c>
      <c r="K36" s="8" t="n">
        <v>45680</v>
      </c>
      <c r="L36" s="9" t="inlineStr">
        <is>
          <t>Withdrawn</t>
        </is>
      </c>
      <c r="M36" s="8" t="n">
        <v>45785</v>
      </c>
      <c r="N36" s="8" t="n"/>
      <c r="O36" s="8" t="n">
        <v>45680</v>
      </c>
      <c r="P36" s="8" t="n">
        <v>45860</v>
      </c>
      <c r="Q36" s="8" t="n"/>
      <c r="R36" s="9" t="inlineStr">
        <is>
          <t>New Construction</t>
        </is>
      </c>
      <c r="S36" s="9" t="inlineStr">
        <is>
          <t>General</t>
        </is>
      </c>
      <c r="T36" s="10" t="n">
        <v>288</v>
      </c>
      <c r="U36" s="10" t="n">
        <v>288</v>
      </c>
      <c r="V36" s="9" t="n"/>
      <c r="W36" s="9" t="n"/>
      <c r="X36" s="9" t="inlineStr">
        <is>
          <t>Travis County HFC</t>
        </is>
      </c>
      <c r="Y36" s="9" t="inlineStr">
        <is>
          <t>Local HFC</t>
        </is>
      </c>
      <c r="Z36" s="11" t="n">
        <v>40000000</v>
      </c>
      <c r="AA36" s="11" t="n"/>
      <c r="AB36" s="11" t="n">
        <v>2254150</v>
      </c>
      <c r="AC36" s="11" t="n"/>
      <c r="AD36" s="11" t="n"/>
      <c r="AE36" s="11" t="n"/>
      <c r="AF36" s="9" t="inlineStr">
        <is>
          <t>N</t>
        </is>
      </c>
      <c r="AG36" s="9" t="inlineStr">
        <is>
          <t>Y</t>
        </is>
      </c>
      <c r="AH36" s="9" t="n"/>
      <c r="AI36" s="9" t="inlineStr">
        <is>
          <t>Y</t>
        </is>
      </c>
      <c r="AJ36" s="8" t="n"/>
      <c r="AK36" s="9" t="inlineStr">
        <is>
          <t>Y</t>
        </is>
      </c>
      <c r="AL36" s="9" t="inlineStr">
        <is>
          <t>Y</t>
        </is>
      </c>
      <c r="AM36" s="9" t="inlineStr">
        <is>
          <t>Y</t>
        </is>
      </c>
      <c r="AN36" s="9" t="n"/>
      <c r="AO36" s="9" t="n"/>
      <c r="AP36" s="9" t="n"/>
      <c r="AQ36" s="9" t="n"/>
      <c r="AR36" s="9" t="n"/>
      <c r="AS36" s="9" t="inlineStr">
        <is>
          <t>N</t>
        </is>
      </c>
      <c r="AT36" s="8" t="n"/>
      <c r="AU36" s="8" t="n"/>
      <c r="AV36" s="9" t="n"/>
      <c r="AW36" s="8" t="n"/>
      <c r="AX36" s="9" t="inlineStr">
        <is>
          <t>N</t>
        </is>
      </c>
      <c r="AY36" s="9" t="inlineStr">
        <is>
          <t>Y</t>
        </is>
      </c>
      <c r="AZ36" s="9" t="inlineStr">
        <is>
          <t>Y</t>
        </is>
      </c>
      <c r="BA36" s="9" t="inlineStr">
        <is>
          <t>Y</t>
        </is>
      </c>
      <c r="BB36" s="9" t="inlineStr">
        <is>
          <t>Y</t>
        </is>
      </c>
      <c r="BC36" s="9" t="inlineStr">
        <is>
          <t>Y</t>
        </is>
      </c>
      <c r="BD36" s="9" t="n"/>
      <c r="BE36" s="9" t="inlineStr">
        <is>
          <t>N</t>
        </is>
      </c>
      <c r="BF36" s="9" t="n"/>
      <c r="BG36" s="9" t="n"/>
      <c r="BH36" s="9" t="n"/>
      <c r="BI36" s="9" t="n"/>
      <c r="BJ36" s="9" t="inlineStr">
        <is>
          <t>Y</t>
        </is>
      </c>
      <c r="BK36" s="9" t="inlineStr">
        <is>
          <t>N</t>
        </is>
      </c>
      <c r="BL36" s="9" t="inlineStr">
        <is>
          <t>N</t>
        </is>
      </c>
      <c r="BM36" s="9" t="inlineStr">
        <is>
          <t>Y</t>
        </is>
      </c>
      <c r="BN36" s="9" t="inlineStr">
        <is>
          <t>Y</t>
        </is>
      </c>
      <c r="BO36" s="8" t="n">
        <v>45680</v>
      </c>
      <c r="BP36" s="9" t="inlineStr">
        <is>
          <t>Y</t>
        </is>
      </c>
      <c r="BQ36" s="9" t="inlineStr">
        <is>
          <t>N</t>
        </is>
      </c>
      <c r="BR36" s="13">
        <f>IF(COUNTIF(AI36:BM36,"N")+COUNTBLANK(AI36:BM36)=0,"Y","N")</f>
        <v/>
      </c>
      <c r="BS36" s="13">
        <f>IF(AND(BR36="Y",OR(L36="Submitted",L36="Under Review")),"Y",IF(L36="Closed","Y","N"))</f>
        <v/>
      </c>
      <c r="BT36" s="10" t="n">
        <v>34</v>
      </c>
      <c r="BU36" s="13">
        <f>Rule_Flags!Q35</f>
        <v/>
      </c>
      <c r="BV36" s="13">
        <f>Rule_Flags!P35</f>
        <v/>
      </c>
      <c r="BW36" s="13">
        <f>IF(Rule_Flags!E35=1,"SITE_CONTROL",IF(Rule_Flags!F35=1,"APPROVALS",IF(Rule_Flags!G35=1,"REPORTS",IF(Rule_Flags!H35=1,"DEFICIENCY",IF(Rule_Flags!I35=1,"UNDERWRITING",IF(Rule_Flags!J35=1,"COMPLIANCE",""))))))</f>
        <v/>
      </c>
      <c r="BX36" s="13">
        <f>IF(BW36="SITE_CONTROL","Site control missing or invalid",IF(BW36="APPROVALS","Required approvals or resolutions incomplete",IF(BW36="REPORTS","Required third-party reports incomplete",IF(BW36="DEFICIENCY","Unresolved deficiency or material deficiency",IF(BW36="UNDERWRITING","Underwriting / feasibility not passed",IF(BW36="COMPLIANCE","Deconcentration, one-mile, LURA, or Chapter 12 issue","Ready under current engine rules"))))))</f>
        <v/>
      </c>
      <c r="BY36" s="13">
        <f>IF(BV36="Determination Notice","Streamlined + DN-ready assumptions satisfied",IF(BV36="Board","Board-required or board-ready assumptions satisfied",""))</f>
        <v/>
      </c>
      <c r="BZ36" s="13">
        <f>IF(AND(BP36="Y",BQ36&lt;&gt;"Y"),"Carryforward project retains queue priority",IF(BQ36="Y","New project enters behind carryforward projects",""))</f>
        <v/>
      </c>
      <c r="CA36" s="13">
        <f>_xludf.RANK.EQ(Rule_Flags!O35,Rule_Flags!$O$3:$O$402,0)</f>
        <v/>
      </c>
      <c r="CB36" s="13">
        <f>IF(OR(BU36="Determination Notice Issued",BU36="Board",BU36="Closed"),"Y","N")</f>
        <v/>
      </c>
      <c r="CC36" s="9" t="inlineStr">
        <is>
          <t>construction_type mapped from raw 'NC' to 'New Construction'</t>
        </is>
      </c>
      <c r="CD36" s="9" t="inlineStr">
        <is>
          <t>Sam Kumar</t>
        </is>
      </c>
      <c r="CE36" s="9" t="inlineStr">
        <is>
          <t>(512) 247-7000</t>
        </is>
      </c>
      <c r="CF36" s="9" t="inlineStr">
        <is>
          <t>SKumar@journeymangroup.com</t>
        </is>
      </c>
      <c r="CG36" s="9" t="inlineStr">
        <is>
          <t>Christy Moffett</t>
        </is>
      </c>
      <c r="CH36" s="9" t="inlineStr">
        <is>
          <t>(512) 854-1161</t>
        </is>
      </c>
    </row>
    <row r="37">
      <c r="A37" s="8" t="inlineStr">
        <is>
          <t>2026-02-10</t>
        </is>
      </c>
      <c r="B37" s="9" t="inlineStr">
        <is>
          <t>2026-02-10</t>
        </is>
      </c>
      <c r="C37" s="9" t="inlineStr">
        <is>
          <t>25447</t>
        </is>
      </c>
      <c r="D37" s="9" t="n">
        <v>24490</v>
      </c>
      <c r="E37" s="9" t="inlineStr">
        <is>
          <t>Columbia Renaissance Square</t>
        </is>
      </c>
      <c r="F37" s="9" t="inlineStr">
        <is>
          <t>Fort Worth</t>
        </is>
      </c>
      <c r="G37" s="9" t="inlineStr">
        <is>
          <t>Tarrant</t>
        </is>
      </c>
      <c r="H37" s="9" t="n">
        <v>3</v>
      </c>
      <c r="I37" s="9" t="inlineStr">
        <is>
          <t>2757 Moresby Street</t>
        </is>
      </c>
      <c r="J37" s="9" t="n">
        <v>76105</v>
      </c>
      <c r="K37" s="8" t="n">
        <v>45684</v>
      </c>
      <c r="L37" s="9" t="inlineStr">
        <is>
          <t>Closed</t>
        </is>
      </c>
      <c r="M37" s="8" t="n">
        <v>45757</v>
      </c>
      <c r="N37" s="8" t="n">
        <v>45744</v>
      </c>
      <c r="O37" s="8" t="n">
        <v>45685</v>
      </c>
      <c r="P37" s="8" t="n">
        <v>45865</v>
      </c>
      <c r="Q37" s="8" t="n"/>
      <c r="R37" s="9" t="inlineStr">
        <is>
          <t>New Construction</t>
        </is>
      </c>
      <c r="S37" s="9" t="inlineStr">
        <is>
          <t>General</t>
        </is>
      </c>
      <c r="T37" s="10" t="n">
        <v>100</v>
      </c>
      <c r="U37" s="10" t="n">
        <v>100</v>
      </c>
      <c r="V37" s="9" t="n"/>
      <c r="W37" s="9" t="n"/>
      <c r="X37" s="9" t="inlineStr">
        <is>
          <t>Tarrant County HFC</t>
        </is>
      </c>
      <c r="Y37" s="9" t="inlineStr">
        <is>
          <t>Local HFC</t>
        </is>
      </c>
      <c r="Z37" s="11" t="n">
        <v>25000000</v>
      </c>
      <c r="AA37" s="11" t="n"/>
      <c r="AB37" s="11" t="n">
        <v>1465750</v>
      </c>
      <c r="AC37" s="11" t="n">
        <v>1465750</v>
      </c>
      <c r="AD37" s="11" t="n"/>
      <c r="AE37" s="11" t="n"/>
      <c r="AF37" s="9" t="inlineStr">
        <is>
          <t>N</t>
        </is>
      </c>
      <c r="AG37" s="9" t="inlineStr">
        <is>
          <t>N</t>
        </is>
      </c>
      <c r="AH37" s="9" t="n"/>
      <c r="AI37" s="9" t="inlineStr">
        <is>
          <t>Y</t>
        </is>
      </c>
      <c r="AJ37" s="8" t="n"/>
      <c r="AK37" s="9" t="inlineStr">
        <is>
          <t>Y</t>
        </is>
      </c>
      <c r="AL37" s="9" t="inlineStr">
        <is>
          <t>Y</t>
        </is>
      </c>
      <c r="AM37" s="9" t="inlineStr">
        <is>
          <t>Y</t>
        </is>
      </c>
      <c r="AN37" s="9" t="n"/>
      <c r="AO37" s="9" t="n"/>
      <c r="AP37" s="9" t="n"/>
      <c r="AQ37" s="9" t="n"/>
      <c r="AR37" s="9" t="n"/>
      <c r="AS37" s="9" t="inlineStr">
        <is>
          <t>N</t>
        </is>
      </c>
      <c r="AT37" s="8" t="n"/>
      <c r="AU37" s="8" t="n"/>
      <c r="AV37" s="9" t="n"/>
      <c r="AW37" s="8" t="n"/>
      <c r="AX37" s="9" t="inlineStr">
        <is>
          <t>N</t>
        </is>
      </c>
      <c r="AY37" s="9" t="inlineStr">
        <is>
          <t>Y</t>
        </is>
      </c>
      <c r="AZ37" s="9" t="inlineStr">
        <is>
          <t>Y</t>
        </is>
      </c>
      <c r="BA37" s="9" t="inlineStr">
        <is>
          <t>Y</t>
        </is>
      </c>
      <c r="BB37" s="9" t="inlineStr">
        <is>
          <t>Y</t>
        </is>
      </c>
      <c r="BC37" s="9" t="inlineStr">
        <is>
          <t>Y</t>
        </is>
      </c>
      <c r="BD37" s="9" t="n"/>
      <c r="BE37" s="9" t="inlineStr">
        <is>
          <t>N</t>
        </is>
      </c>
      <c r="BF37" s="9" t="n"/>
      <c r="BG37" s="9" t="n"/>
      <c r="BH37" s="9" t="n"/>
      <c r="BI37" s="9" t="n"/>
      <c r="BJ37" s="9" t="inlineStr">
        <is>
          <t>Y</t>
        </is>
      </c>
      <c r="BK37" s="9" t="inlineStr">
        <is>
          <t>N</t>
        </is>
      </c>
      <c r="BL37" s="9" t="inlineStr">
        <is>
          <t>N</t>
        </is>
      </c>
      <c r="BM37" s="9" t="inlineStr">
        <is>
          <t>Y</t>
        </is>
      </c>
      <c r="BN37" s="9" t="inlineStr">
        <is>
          <t>Y</t>
        </is>
      </c>
      <c r="BO37" s="8" t="n">
        <v>45684</v>
      </c>
      <c r="BP37" s="9" t="inlineStr">
        <is>
          <t>Y</t>
        </is>
      </c>
      <c r="BQ37" s="9" t="inlineStr">
        <is>
          <t>N</t>
        </is>
      </c>
      <c r="BR37" s="13">
        <f>IF(COUNTIF(AI37:BM37,"N")+COUNTBLANK(AI37:BM37)=0,"Y","N")</f>
        <v/>
      </c>
      <c r="BS37" s="13">
        <f>IF(AND(BR37="Y",OR(L37="Submitted",L37="Under Review")),"Y",IF(L37="Closed","Y","N"))</f>
        <v/>
      </c>
      <c r="BT37" s="10" t="n">
        <v>36</v>
      </c>
      <c r="BU37" s="13">
        <f>Rule_Flags!Q36</f>
        <v/>
      </c>
      <c r="BV37" s="13">
        <f>Rule_Flags!P36</f>
        <v/>
      </c>
      <c r="BW37" s="13">
        <f>IF(Rule_Flags!E36=1,"SITE_CONTROL",IF(Rule_Flags!F36=1,"APPROVALS",IF(Rule_Flags!G36=1,"REPORTS",IF(Rule_Flags!H36=1,"DEFICIENCY",IF(Rule_Flags!I36=1,"UNDERWRITING",IF(Rule_Flags!J36=1,"COMPLIANCE",""))))))</f>
        <v/>
      </c>
      <c r="BX37" s="13">
        <f>IF(BW37="SITE_CONTROL","Site control missing or invalid",IF(BW37="APPROVALS","Required approvals or resolutions incomplete",IF(BW37="REPORTS","Required third-party reports incomplete",IF(BW37="DEFICIENCY","Unresolved deficiency or material deficiency",IF(BW37="UNDERWRITING","Underwriting / feasibility not passed",IF(BW37="COMPLIANCE","Deconcentration, one-mile, LURA, or Chapter 12 issue","Ready under current engine rules"))))))</f>
        <v/>
      </c>
      <c r="BY37" s="13">
        <f>IF(BV37="Determination Notice","Streamlined + DN-ready assumptions satisfied",IF(BV37="Board","Board-required or board-ready assumptions satisfied",""))</f>
        <v/>
      </c>
      <c r="BZ37" s="13">
        <f>IF(AND(BP37="Y",BQ37&lt;&gt;"Y"),"Carryforward project retains queue priority",IF(BQ37="Y","New project enters behind carryforward projects",""))</f>
        <v/>
      </c>
      <c r="CA37" s="13">
        <f>_xludf.RANK.EQ(Rule_Flags!O36,Rule_Flags!$O$3:$O$402,0)</f>
        <v/>
      </c>
      <c r="CB37" s="13">
        <f>IF(OR(BU37="Determination Notice Issued",BU37="Board",BU37="Closed"),"Y","N")</f>
        <v/>
      </c>
      <c r="CC37" s="9" t="inlineStr">
        <is>
          <t>construction_type mapped from raw 'NC' to 'New Construction'</t>
        </is>
      </c>
      <c r="CD37" s="9" t="inlineStr">
        <is>
          <t>Clara Trejos</t>
        </is>
      </c>
      <c r="CE37" s="9" t="inlineStr">
        <is>
          <t>(404) 867-6921</t>
        </is>
      </c>
      <c r="CF37" s="9" t="inlineStr">
        <is>
          <t>ctrejos@columbiares.com</t>
        </is>
      </c>
      <c r="CG37" s="9" t="inlineStr">
        <is>
          <t>Kristen Camareno</t>
        </is>
      </c>
      <c r="CH37" s="9" t="inlineStr">
        <is>
          <t>(817) 884-1965</t>
        </is>
      </c>
    </row>
    <row r="38">
      <c r="A38" s="8" t="inlineStr">
        <is>
          <t>2026-02-10</t>
        </is>
      </c>
      <c r="B38" s="9" t="inlineStr">
        <is>
          <t>2026-02-10</t>
        </is>
      </c>
      <c r="C38" s="9" t="inlineStr">
        <is>
          <t>25442</t>
        </is>
      </c>
      <c r="D38" s="9" t="n"/>
      <c r="E38" s="9" t="inlineStr">
        <is>
          <t>Palladium Buckner Station</t>
        </is>
      </c>
      <c r="F38" s="9" t="inlineStr">
        <is>
          <t>Dallas</t>
        </is>
      </c>
      <c r="G38" s="9" t="inlineStr">
        <is>
          <t>Dallas</t>
        </is>
      </c>
      <c r="H38" s="9" t="n">
        <v>3</v>
      </c>
      <c r="I38" s="9" t="inlineStr">
        <is>
          <t>8008 Elam Road</t>
        </is>
      </c>
      <c r="J38" s="9" t="n">
        <v>75217</v>
      </c>
      <c r="K38" s="8" t="n">
        <v>45684</v>
      </c>
      <c r="L38" s="9" t="inlineStr">
        <is>
          <t>Closed</t>
        </is>
      </c>
      <c r="M38" s="8" t="n">
        <v>45785</v>
      </c>
      <c r="N38" s="8" t="n">
        <v>45825</v>
      </c>
      <c r="O38" s="8" t="n">
        <v>45685</v>
      </c>
      <c r="P38" s="8" t="n">
        <v>45865</v>
      </c>
      <c r="Q38" s="8" t="n"/>
      <c r="R38" s="9" t="inlineStr">
        <is>
          <t>New Construction</t>
        </is>
      </c>
      <c r="S38" s="9" t="inlineStr">
        <is>
          <t>General</t>
        </is>
      </c>
      <c r="T38" s="10" t="n">
        <v>304</v>
      </c>
      <c r="U38" s="10" t="n">
        <v>244</v>
      </c>
      <c r="V38" s="9" t="n"/>
      <c r="W38" s="9" t="n"/>
      <c r="X38" s="9" t="inlineStr">
        <is>
          <t>City of Dallas HFC</t>
        </is>
      </c>
      <c r="Y38" s="9" t="inlineStr">
        <is>
          <t>Local HFC</t>
        </is>
      </c>
      <c r="Z38" s="11" t="n">
        <v>50000000</v>
      </c>
      <c r="AA38" s="11" t="n"/>
      <c r="AB38" s="11" t="n">
        <v>3390779</v>
      </c>
      <c r="AC38" s="11" t="n">
        <v>3378599</v>
      </c>
      <c r="AD38" s="11" t="n"/>
      <c r="AE38" s="11" t="n"/>
      <c r="AF38" s="9" t="inlineStr">
        <is>
          <t>N</t>
        </is>
      </c>
      <c r="AG38" s="9" t="inlineStr">
        <is>
          <t>Y</t>
        </is>
      </c>
      <c r="AH38" s="9" t="n"/>
      <c r="AI38" s="9" t="inlineStr">
        <is>
          <t>Y</t>
        </is>
      </c>
      <c r="AJ38" s="8" t="n"/>
      <c r="AK38" s="9" t="inlineStr">
        <is>
          <t>Y</t>
        </is>
      </c>
      <c r="AL38" s="9" t="inlineStr">
        <is>
          <t>Y</t>
        </is>
      </c>
      <c r="AM38" s="9" t="inlineStr">
        <is>
          <t>Y</t>
        </is>
      </c>
      <c r="AN38" s="9" t="n"/>
      <c r="AO38" s="9" t="n"/>
      <c r="AP38" s="9" t="n"/>
      <c r="AQ38" s="9" t="n"/>
      <c r="AR38" s="9" t="n"/>
      <c r="AS38" s="9" t="inlineStr">
        <is>
          <t>N</t>
        </is>
      </c>
      <c r="AT38" s="8" t="n"/>
      <c r="AU38" s="8" t="n"/>
      <c r="AV38" s="9" t="n"/>
      <c r="AW38" s="8" t="n"/>
      <c r="AX38" s="9" t="inlineStr">
        <is>
          <t>N</t>
        </is>
      </c>
      <c r="AY38" s="9" t="inlineStr">
        <is>
          <t>Y</t>
        </is>
      </c>
      <c r="AZ38" s="9" t="inlineStr">
        <is>
          <t>Y</t>
        </is>
      </c>
      <c r="BA38" s="9" t="inlineStr">
        <is>
          <t>Y</t>
        </is>
      </c>
      <c r="BB38" s="9" t="inlineStr">
        <is>
          <t>Y</t>
        </is>
      </c>
      <c r="BC38" s="9" t="inlineStr">
        <is>
          <t>Y</t>
        </is>
      </c>
      <c r="BD38" s="9" t="n"/>
      <c r="BE38" s="9" t="inlineStr">
        <is>
          <t>N</t>
        </is>
      </c>
      <c r="BF38" s="9" t="n"/>
      <c r="BG38" s="9" t="n"/>
      <c r="BH38" s="9" t="n"/>
      <c r="BI38" s="9" t="n"/>
      <c r="BJ38" s="9" t="inlineStr">
        <is>
          <t>Y</t>
        </is>
      </c>
      <c r="BK38" s="9" t="inlineStr">
        <is>
          <t>N</t>
        </is>
      </c>
      <c r="BL38" s="9" t="inlineStr">
        <is>
          <t>N</t>
        </is>
      </c>
      <c r="BM38" s="9" t="inlineStr">
        <is>
          <t>Y</t>
        </is>
      </c>
      <c r="BN38" s="9" t="inlineStr">
        <is>
          <t>Y</t>
        </is>
      </c>
      <c r="BO38" s="8" t="n">
        <v>45684</v>
      </c>
      <c r="BP38" s="9" t="inlineStr">
        <is>
          <t>Y</t>
        </is>
      </c>
      <c r="BQ38" s="9" t="inlineStr">
        <is>
          <t>N</t>
        </is>
      </c>
      <c r="BR38" s="13">
        <f>IF(COUNTIF(AI38:BM38,"N")+COUNTBLANK(AI38:BM38)=0,"Y","N")</f>
        <v/>
      </c>
      <c r="BS38" s="13">
        <f>IF(AND(BR38="Y",OR(L38="Submitted",L38="Under Review")),"Y",IF(L38="Closed","Y","N"))</f>
        <v/>
      </c>
      <c r="BT38" s="10" t="n">
        <v>35</v>
      </c>
      <c r="BU38" s="13">
        <f>Rule_Flags!Q37</f>
        <v/>
      </c>
      <c r="BV38" s="13">
        <f>Rule_Flags!P37</f>
        <v/>
      </c>
      <c r="BW38" s="13">
        <f>IF(Rule_Flags!E37=1,"SITE_CONTROL",IF(Rule_Flags!F37=1,"APPROVALS",IF(Rule_Flags!G37=1,"REPORTS",IF(Rule_Flags!H37=1,"DEFICIENCY",IF(Rule_Flags!I37=1,"UNDERWRITING",IF(Rule_Flags!J37=1,"COMPLIANCE",""))))))</f>
        <v/>
      </c>
      <c r="BX38" s="13">
        <f>IF(BW38="SITE_CONTROL","Site control missing or invalid",IF(BW38="APPROVALS","Required approvals or resolutions incomplete",IF(BW38="REPORTS","Required third-party reports incomplete",IF(BW38="DEFICIENCY","Unresolved deficiency or material deficiency",IF(BW38="UNDERWRITING","Underwriting / feasibility not passed",IF(BW38="COMPLIANCE","Deconcentration, one-mile, LURA, or Chapter 12 issue","Ready under current engine rules"))))))</f>
        <v/>
      </c>
      <c r="BY38" s="13">
        <f>IF(BV38="Determination Notice","Streamlined + DN-ready assumptions satisfied",IF(BV38="Board","Board-required or board-ready assumptions satisfied",""))</f>
        <v/>
      </c>
      <c r="BZ38" s="13">
        <f>IF(AND(BP38="Y",BQ38&lt;&gt;"Y"),"Carryforward project retains queue priority",IF(BQ38="Y","New project enters behind carryforward projects",""))</f>
        <v/>
      </c>
      <c r="CA38" s="13">
        <f>_xludf.RANK.EQ(Rule_Flags!O37,Rule_Flags!$O$3:$O$402,0)</f>
        <v/>
      </c>
      <c r="CB38" s="13">
        <f>IF(OR(BU38="Determination Notice Issued",BU38="Board",BU38="Closed"),"Y","N")</f>
        <v/>
      </c>
      <c r="CC38" s="9" t="inlineStr">
        <is>
          <t>construction_type mapped from raw 'NC' to 'New Construction'</t>
        </is>
      </c>
      <c r="CD38" s="9" t="inlineStr">
        <is>
          <t>Thomas Huth</t>
        </is>
      </c>
      <c r="CE38" s="9" t="inlineStr">
        <is>
          <t>(972) 774-4400</t>
        </is>
      </c>
      <c r="CF38" s="9" t="inlineStr">
        <is>
          <t>thuth@palladiumusa.com</t>
        </is>
      </c>
      <c r="CG38" s="9" t="inlineStr">
        <is>
          <t>Aaron Eaquinto</t>
        </is>
      </c>
      <c r="CH38" s="9" t="inlineStr">
        <is>
          <t>(214) 670-4941</t>
        </is>
      </c>
    </row>
    <row r="39">
      <c r="A39" s="8" t="inlineStr">
        <is>
          <t>2026-02-10</t>
        </is>
      </c>
      <c r="B39" s="9" t="inlineStr">
        <is>
          <t>2026-02-10</t>
        </is>
      </c>
      <c r="C39" s="9" t="inlineStr">
        <is>
          <t>25451</t>
        </is>
      </c>
      <c r="D39" s="9" t="n">
        <v>24498</v>
      </c>
      <c r="E39" s="9" t="inlineStr">
        <is>
          <t>Mesa Hills I</t>
        </is>
      </c>
      <c r="F39" s="9" t="inlineStr">
        <is>
          <t>El Paso</t>
        </is>
      </c>
      <c r="G39" s="9" t="inlineStr">
        <is>
          <t>El Paso</t>
        </is>
      </c>
      <c r="H39" s="9" t="n">
        <v>13</v>
      </c>
      <c r="I39" s="9" t="inlineStr">
        <is>
          <t>Bluff Canyon Circle and S Mesa Hills Drive</t>
        </is>
      </c>
      <c r="J39" s="9" t="n">
        <v>79912</v>
      </c>
      <c r="K39" s="8" t="n">
        <v>45693</v>
      </c>
      <c r="L39" s="9" t="inlineStr">
        <is>
          <t>Approved</t>
        </is>
      </c>
      <c r="M39" s="8" t="n">
        <v>45820</v>
      </c>
      <c r="N39" s="8" t="n">
        <v>45930</v>
      </c>
      <c r="O39" s="8" t="n">
        <v>45667</v>
      </c>
      <c r="P39" s="8" t="n">
        <v>46387</v>
      </c>
      <c r="Q39" s="8" t="n"/>
      <c r="R39" s="9" t="inlineStr">
        <is>
          <t>New Construction</t>
        </is>
      </c>
      <c r="S39" s="9" t="inlineStr">
        <is>
          <t>General</t>
        </is>
      </c>
      <c r="T39" s="10" t="n">
        <v>64</v>
      </c>
      <c r="U39" s="10" t="n">
        <v>64</v>
      </c>
      <c r="V39" s="9" t="n"/>
      <c r="W39" s="9" t="n"/>
      <c r="X39" s="9" t="inlineStr">
        <is>
          <t>Alamito PFC</t>
        </is>
      </c>
      <c r="Y39" s="9" t="inlineStr">
        <is>
          <t>Other</t>
        </is>
      </c>
      <c r="Z39" s="11" t="n">
        <v>11115876</v>
      </c>
      <c r="AA39" s="11" t="n"/>
      <c r="AB39" s="11" t="n">
        <v>782057</v>
      </c>
      <c r="AC39" s="11" t="n">
        <v>782057</v>
      </c>
      <c r="AD39" s="11" t="n"/>
      <c r="AE39" s="11" t="n"/>
      <c r="AF39" s="9" t="inlineStr">
        <is>
          <t>N</t>
        </is>
      </c>
      <c r="AG39" s="9" t="inlineStr">
        <is>
          <t>Y</t>
        </is>
      </c>
      <c r="AH39" s="9" t="inlineStr">
        <is>
          <t>Y</t>
        </is>
      </c>
      <c r="AI39" s="9" t="inlineStr">
        <is>
          <t>Y</t>
        </is>
      </c>
      <c r="AJ39" s="8" t="n"/>
      <c r="AK39" s="9" t="inlineStr">
        <is>
          <t>Y</t>
        </is>
      </c>
      <c r="AL39" s="9" t="inlineStr">
        <is>
          <t>Y</t>
        </is>
      </c>
      <c r="AM39" s="9" t="inlineStr">
        <is>
          <t>Y</t>
        </is>
      </c>
      <c r="AN39" s="9" t="n"/>
      <c r="AO39" s="9" t="n"/>
      <c r="AP39" s="9" t="n"/>
      <c r="AQ39" s="9" t="n"/>
      <c r="AR39" s="9" t="n"/>
      <c r="AS39" s="9" t="inlineStr">
        <is>
          <t>N</t>
        </is>
      </c>
      <c r="AT39" s="8" t="n"/>
      <c r="AU39" s="8" t="n"/>
      <c r="AV39" s="9" t="n"/>
      <c r="AW39" s="8" t="n"/>
      <c r="AX39" s="9" t="inlineStr">
        <is>
          <t>N</t>
        </is>
      </c>
      <c r="AY39" s="9" t="inlineStr">
        <is>
          <t>Y</t>
        </is>
      </c>
      <c r="AZ39" s="9" t="inlineStr">
        <is>
          <t>Y</t>
        </is>
      </c>
      <c r="BA39" s="9" t="inlineStr">
        <is>
          <t>Y</t>
        </is>
      </c>
      <c r="BB39" s="9" t="inlineStr">
        <is>
          <t>Y</t>
        </is>
      </c>
      <c r="BC39" s="9" t="inlineStr">
        <is>
          <t>Y</t>
        </is>
      </c>
      <c r="BD39" s="9" t="n"/>
      <c r="BE39" s="9" t="inlineStr">
        <is>
          <t>N</t>
        </is>
      </c>
      <c r="BF39" s="9" t="n"/>
      <c r="BG39" s="9" t="n"/>
      <c r="BH39" s="9" t="n"/>
      <c r="BI39" s="9" t="n"/>
      <c r="BJ39" s="9" t="inlineStr">
        <is>
          <t>Y</t>
        </is>
      </c>
      <c r="BK39" s="9" t="inlineStr">
        <is>
          <t>N</t>
        </is>
      </c>
      <c r="BL39" s="9" t="inlineStr">
        <is>
          <t>N</t>
        </is>
      </c>
      <c r="BM39" s="9" t="inlineStr">
        <is>
          <t>Y</t>
        </is>
      </c>
      <c r="BN39" s="9" t="inlineStr">
        <is>
          <t>Y</t>
        </is>
      </c>
      <c r="BO39" s="8" t="n">
        <v>45693</v>
      </c>
      <c r="BP39" s="9" t="inlineStr">
        <is>
          <t>Y</t>
        </is>
      </c>
      <c r="BQ39" s="9" t="inlineStr">
        <is>
          <t>N</t>
        </is>
      </c>
      <c r="BR39" s="13">
        <f>IF(COUNTIF(AI39:BM39,"N")+COUNTBLANK(AI39:BM39)=0,"Y","N")</f>
        <v/>
      </c>
      <c r="BS39" s="13">
        <f>IF(AND(BR39="Y",OR(L39="Submitted",L39="Under Review")),"Y",IF(L39="Closed","Y","N"))</f>
        <v/>
      </c>
      <c r="BT39" s="10" t="n">
        <v>37</v>
      </c>
      <c r="BU39" s="13">
        <f>Rule_Flags!Q38</f>
        <v/>
      </c>
      <c r="BV39" s="13">
        <f>Rule_Flags!P38</f>
        <v/>
      </c>
      <c r="BW39" s="13">
        <f>IF(Rule_Flags!E38=1,"SITE_CONTROL",IF(Rule_Flags!F38=1,"APPROVALS",IF(Rule_Flags!G38=1,"REPORTS",IF(Rule_Flags!H38=1,"DEFICIENCY",IF(Rule_Flags!I38=1,"UNDERWRITING",IF(Rule_Flags!J38=1,"COMPLIANCE",""))))))</f>
        <v/>
      </c>
      <c r="BX39" s="13">
        <f>IF(BW39="SITE_CONTROL","Site control missing or invalid",IF(BW39="APPROVALS","Required approvals or resolutions incomplete",IF(BW39="REPORTS","Required third-party reports incomplete",IF(BW39="DEFICIENCY","Unresolved deficiency or material deficiency",IF(BW39="UNDERWRITING","Underwriting / feasibility not passed",IF(BW39="COMPLIANCE","Deconcentration, one-mile, LURA, or Chapter 12 issue","Ready under current engine rules"))))))</f>
        <v/>
      </c>
      <c r="BY39" s="13">
        <f>IF(BV39="Determination Notice","Streamlined + DN-ready assumptions satisfied",IF(BV39="Board","Board-required or board-ready assumptions satisfied",""))</f>
        <v/>
      </c>
      <c r="BZ39" s="13">
        <f>IF(AND(BP39="Y",BQ39&lt;&gt;"Y"),"Carryforward project retains queue priority",IF(BQ39="Y","New project enters behind carryforward projects",""))</f>
        <v/>
      </c>
      <c r="CA39" s="13">
        <f>_xludf.RANK.EQ(Rule_Flags!O38,Rule_Flags!$O$3:$O$402,0)</f>
        <v/>
      </c>
      <c r="CB39" s="13">
        <f>IF(OR(BU39="Determination Notice Issued",BU39="Board",BU39="Closed"),"Y","N")</f>
        <v/>
      </c>
      <c r="CC39" s="9" t="inlineStr">
        <is>
          <t>construction_type mapped from raw 'NC' to 'New Construction'</t>
        </is>
      </c>
      <c r="CD39" s="9" t="inlineStr">
        <is>
          <t>Satish Bhaskar</t>
        </is>
      </c>
      <c r="CE39" s="9" t="inlineStr">
        <is>
          <t>(915) 849-3730</t>
        </is>
      </c>
      <c r="CF39" s="9" t="inlineStr">
        <is>
          <t>sbhaskar@ephome.org</t>
        </is>
      </c>
      <c r="CG39" s="9" t="inlineStr">
        <is>
          <t>Satish Bhaskar</t>
        </is>
      </c>
      <c r="CH39" s="9" t="inlineStr">
        <is>
          <t>(915) 849-3730</t>
        </is>
      </c>
    </row>
    <row r="40">
      <c r="A40" s="8" t="inlineStr">
        <is>
          <t>2026-02-10</t>
        </is>
      </c>
      <c r="B40" s="9" t="inlineStr">
        <is>
          <t>2026-02-10</t>
        </is>
      </c>
      <c r="C40" s="9" t="inlineStr">
        <is>
          <t>25449</t>
        </is>
      </c>
      <c r="D40" s="9" t="n">
        <v>24481</v>
      </c>
      <c r="E40" s="9" t="inlineStr">
        <is>
          <t>Enclave on Louetta</t>
        </is>
      </c>
      <c r="F40" s="9" t="inlineStr">
        <is>
          <t>Spring</t>
        </is>
      </c>
      <c r="G40" s="9" t="inlineStr">
        <is>
          <t>Harris</t>
        </is>
      </c>
      <c r="H40" s="9" t="n">
        <v>6</v>
      </c>
      <c r="I40" s="9" t="inlineStr">
        <is>
          <t>2324 Louetta Road</t>
        </is>
      </c>
      <c r="J40" s="9" t="n">
        <v>77388</v>
      </c>
      <c r="K40" s="8" t="n">
        <v>45695</v>
      </c>
      <c r="L40" s="9" t="inlineStr">
        <is>
          <t>Closed</t>
        </is>
      </c>
      <c r="M40" s="8" t="n">
        <v>45785</v>
      </c>
      <c r="N40" s="8" t="n">
        <v>45799</v>
      </c>
      <c r="O40" s="8" t="n">
        <v>45680</v>
      </c>
      <c r="P40" s="8" t="n">
        <v>45860</v>
      </c>
      <c r="Q40" s="8" t="n"/>
      <c r="R40" s="9" t="inlineStr">
        <is>
          <t>New Construction</t>
        </is>
      </c>
      <c r="S40" s="9" t="inlineStr">
        <is>
          <t>General</t>
        </is>
      </c>
      <c r="T40" s="10" t="n">
        <v>358</v>
      </c>
      <c r="U40" s="10" t="n">
        <v>358</v>
      </c>
      <c r="V40" s="9" t="n"/>
      <c r="W40" s="9" t="n"/>
      <c r="X40" s="9" t="inlineStr">
        <is>
          <t>HHA Fountainview PFC</t>
        </is>
      </c>
      <c r="Y40" s="9" t="inlineStr">
        <is>
          <t>Other</t>
        </is>
      </c>
      <c r="Z40" s="11" t="n">
        <v>50000000</v>
      </c>
      <c r="AA40" s="11" t="n"/>
      <c r="AB40" s="11" t="n">
        <v>3651702</v>
      </c>
      <c r="AC40" s="11" t="n">
        <v>3646918</v>
      </c>
      <c r="AD40" s="11" t="n"/>
      <c r="AE40" s="11" t="n"/>
      <c r="AF40" s="9" t="inlineStr">
        <is>
          <t>N</t>
        </is>
      </c>
      <c r="AG40" s="9" t="inlineStr">
        <is>
          <t>Y</t>
        </is>
      </c>
      <c r="AH40" s="9" t="inlineStr">
        <is>
          <t>Y</t>
        </is>
      </c>
      <c r="AI40" s="9" t="inlineStr">
        <is>
          <t>Y</t>
        </is>
      </c>
      <c r="AJ40" s="8" t="n"/>
      <c r="AK40" s="9" t="inlineStr">
        <is>
          <t>Y</t>
        </is>
      </c>
      <c r="AL40" s="9" t="inlineStr">
        <is>
          <t>Y</t>
        </is>
      </c>
      <c r="AM40" s="9" t="inlineStr">
        <is>
          <t>Y</t>
        </is>
      </c>
      <c r="AN40" s="9" t="n"/>
      <c r="AO40" s="9" t="n"/>
      <c r="AP40" s="9" t="n"/>
      <c r="AQ40" s="9" t="n"/>
      <c r="AR40" s="9" t="n"/>
      <c r="AS40" s="9" t="inlineStr">
        <is>
          <t>N</t>
        </is>
      </c>
      <c r="AT40" s="8" t="n"/>
      <c r="AU40" s="8" t="n"/>
      <c r="AV40" s="9" t="n"/>
      <c r="AW40" s="8" t="n"/>
      <c r="AX40" s="9" t="inlineStr">
        <is>
          <t>N</t>
        </is>
      </c>
      <c r="AY40" s="9" t="inlineStr">
        <is>
          <t>Y</t>
        </is>
      </c>
      <c r="AZ40" s="9" t="inlineStr">
        <is>
          <t>Y</t>
        </is>
      </c>
      <c r="BA40" s="9" t="inlineStr">
        <is>
          <t>Y</t>
        </is>
      </c>
      <c r="BB40" s="9" t="inlineStr">
        <is>
          <t>Y</t>
        </is>
      </c>
      <c r="BC40" s="9" t="inlineStr">
        <is>
          <t>Y</t>
        </is>
      </c>
      <c r="BD40" s="9" t="n"/>
      <c r="BE40" s="9" t="inlineStr">
        <is>
          <t>N</t>
        </is>
      </c>
      <c r="BF40" s="9" t="n"/>
      <c r="BG40" s="9" t="n"/>
      <c r="BH40" s="9" t="n"/>
      <c r="BI40" s="9" t="n"/>
      <c r="BJ40" s="9" t="inlineStr">
        <is>
          <t>Y</t>
        </is>
      </c>
      <c r="BK40" s="9" t="inlineStr">
        <is>
          <t>N</t>
        </is>
      </c>
      <c r="BL40" s="9" t="inlineStr">
        <is>
          <t>N</t>
        </is>
      </c>
      <c r="BM40" s="9" t="inlineStr">
        <is>
          <t>Y</t>
        </is>
      </c>
      <c r="BN40" s="9" t="inlineStr">
        <is>
          <t>Y</t>
        </is>
      </c>
      <c r="BO40" s="8" t="n">
        <v>45695</v>
      </c>
      <c r="BP40" s="9" t="inlineStr">
        <is>
          <t>Y</t>
        </is>
      </c>
      <c r="BQ40" s="9" t="inlineStr">
        <is>
          <t>N</t>
        </is>
      </c>
      <c r="BR40" s="13">
        <f>IF(COUNTIF(AI40:BM40,"N")+COUNTBLANK(AI40:BM40)=0,"Y","N")</f>
        <v/>
      </c>
      <c r="BS40" s="13">
        <f>IF(AND(BR40="Y",OR(L40="Submitted",L40="Under Review")),"Y",IF(L40="Closed","Y","N"))</f>
        <v/>
      </c>
      <c r="BT40" s="10" t="n">
        <v>38</v>
      </c>
      <c r="BU40" s="13">
        <f>Rule_Flags!Q39</f>
        <v/>
      </c>
      <c r="BV40" s="13">
        <f>Rule_Flags!P39</f>
        <v/>
      </c>
      <c r="BW40" s="13">
        <f>IF(Rule_Flags!E39=1,"SITE_CONTROL",IF(Rule_Flags!F39=1,"APPROVALS",IF(Rule_Flags!G39=1,"REPORTS",IF(Rule_Flags!H39=1,"DEFICIENCY",IF(Rule_Flags!I39=1,"UNDERWRITING",IF(Rule_Flags!J39=1,"COMPLIANCE",""))))))</f>
        <v/>
      </c>
      <c r="BX40" s="13">
        <f>IF(BW40="SITE_CONTROL","Site control missing or invalid",IF(BW40="APPROVALS","Required approvals or resolutions incomplete",IF(BW40="REPORTS","Required third-party reports incomplete",IF(BW40="DEFICIENCY","Unresolved deficiency or material deficiency",IF(BW40="UNDERWRITING","Underwriting / feasibility not passed",IF(BW40="COMPLIANCE","Deconcentration, one-mile, LURA, or Chapter 12 issue","Ready under current engine rules"))))))</f>
        <v/>
      </c>
      <c r="BY40" s="13">
        <f>IF(BV40="Determination Notice","Streamlined + DN-ready assumptions satisfied",IF(BV40="Board","Board-required or board-ready assumptions satisfied",""))</f>
        <v/>
      </c>
      <c r="BZ40" s="13">
        <f>IF(AND(BP40="Y",BQ40&lt;&gt;"Y"),"Carryforward project retains queue priority",IF(BQ40="Y","New project enters behind carryforward projects",""))</f>
        <v/>
      </c>
      <c r="CA40" s="13">
        <f>_xludf.RANK.EQ(Rule_Flags!O39,Rule_Flags!$O$3:$O$402,0)</f>
        <v/>
      </c>
      <c r="CB40" s="13">
        <f>IF(OR(BU40="Determination Notice Issued",BU40="Board",BU40="Closed"),"Y","N")</f>
        <v/>
      </c>
      <c r="CC40" s="9" t="inlineStr">
        <is>
          <t>construction_type mapped from raw 'NC' to 'New Construction'</t>
        </is>
      </c>
      <c r="CD40" s="9" t="inlineStr">
        <is>
          <t>Mark Gregg</t>
        </is>
      </c>
      <c r="CE40" s="9" t="inlineStr">
        <is>
          <t>(210) 771-4127</t>
        </is>
      </c>
      <c r="CF40" s="9" t="inlineStr">
        <is>
          <t>mgregg@streamlineap.com</t>
        </is>
      </c>
      <c r="CG40" s="9" t="inlineStr">
        <is>
          <t>Jennine Hovell-Cox</t>
        </is>
      </c>
      <c r="CH40" s="9" t="inlineStr">
        <is>
          <t>(713) 260-0501</t>
        </is>
      </c>
    </row>
    <row r="41">
      <c r="A41" s="8" t="inlineStr">
        <is>
          <t>2026-02-10</t>
        </is>
      </c>
      <c r="B41" s="9" t="inlineStr">
        <is>
          <t>2026-02-10</t>
        </is>
      </c>
      <c r="C41" s="9" t="inlineStr">
        <is>
          <t>25408</t>
        </is>
      </c>
      <c r="D41" s="9" t="inlineStr">
        <is>
          <t>060425</t>
        </is>
      </c>
      <c r="E41" s="9" t="inlineStr">
        <is>
          <t>Baypointe Apartments</t>
        </is>
      </c>
      <c r="F41" s="9" t="inlineStr">
        <is>
          <t>Webster</t>
        </is>
      </c>
      <c r="G41" s="9" t="inlineStr">
        <is>
          <t>Harris</t>
        </is>
      </c>
      <c r="H41" s="9" t="n">
        <v>6</v>
      </c>
      <c r="I41" s="9" t="inlineStr">
        <is>
          <t>901 S. Kobayashi Road</t>
        </is>
      </c>
      <c r="J41" s="9" t="n">
        <v>77598</v>
      </c>
      <c r="K41" s="8" t="n">
        <v>45700</v>
      </c>
      <c r="L41" s="9" t="inlineStr">
        <is>
          <t>Closed</t>
        </is>
      </c>
      <c r="M41" s="8" t="n">
        <v>45785</v>
      </c>
      <c r="N41" s="8" t="n">
        <v>45870</v>
      </c>
      <c r="O41" s="8" t="n">
        <v>45709</v>
      </c>
      <c r="P41" s="8" t="n">
        <v>45889</v>
      </c>
      <c r="Q41" s="8" t="n"/>
      <c r="R41" s="9" t="inlineStr">
        <is>
          <t>Acq/Rehab</t>
        </is>
      </c>
      <c r="S41" s="9" t="inlineStr">
        <is>
          <t>General</t>
        </is>
      </c>
      <c r="T41" s="10" t="n">
        <v>236</v>
      </c>
      <c r="U41" s="10" t="n">
        <v>236</v>
      </c>
      <c r="V41" s="9" t="n"/>
      <c r="W41" s="9" t="n"/>
      <c r="X41" s="9" t="inlineStr">
        <is>
          <t>Harris County HFC</t>
        </is>
      </c>
      <c r="Y41" s="9" t="inlineStr">
        <is>
          <t>Local HFC</t>
        </is>
      </c>
      <c r="Z41" s="11" t="n">
        <v>35000000</v>
      </c>
      <c r="AA41" s="11" t="n"/>
      <c r="AB41" s="11" t="n">
        <v>2229072</v>
      </c>
      <c r="AC41" s="11" t="n">
        <v>2229072</v>
      </c>
      <c r="AD41" s="11" t="n"/>
      <c r="AE41" s="11" t="n"/>
      <c r="AF41" s="9" t="inlineStr">
        <is>
          <t>N</t>
        </is>
      </c>
      <c r="AG41" s="9" t="inlineStr">
        <is>
          <t>Y</t>
        </is>
      </c>
      <c r="AH41" s="9" t="n"/>
      <c r="AI41" s="9" t="inlineStr">
        <is>
          <t>Y</t>
        </is>
      </c>
      <c r="AJ41" s="8" t="n"/>
      <c r="AK41" s="9" t="inlineStr">
        <is>
          <t>Y</t>
        </is>
      </c>
      <c r="AL41" s="9" t="inlineStr">
        <is>
          <t>Y</t>
        </is>
      </c>
      <c r="AM41" s="9" t="inlineStr">
        <is>
          <t>Y</t>
        </is>
      </c>
      <c r="AN41" s="9" t="n"/>
      <c r="AO41" s="9" t="n"/>
      <c r="AP41" s="9" t="n"/>
      <c r="AQ41" s="9" t="n"/>
      <c r="AR41" s="9" t="n"/>
      <c r="AS41" s="9" t="inlineStr">
        <is>
          <t>N</t>
        </is>
      </c>
      <c r="AT41" s="8" t="n"/>
      <c r="AU41" s="8" t="n"/>
      <c r="AV41" s="9" t="n"/>
      <c r="AW41" s="8" t="n"/>
      <c r="AX41" s="9" t="inlineStr">
        <is>
          <t>N</t>
        </is>
      </c>
      <c r="AY41" s="9" t="inlineStr">
        <is>
          <t>Y</t>
        </is>
      </c>
      <c r="AZ41" s="9" t="inlineStr">
        <is>
          <t>Y</t>
        </is>
      </c>
      <c r="BA41" s="9" t="inlineStr">
        <is>
          <t>Y</t>
        </is>
      </c>
      <c r="BB41" s="9" t="inlineStr">
        <is>
          <t>Y</t>
        </is>
      </c>
      <c r="BC41" s="9" t="inlineStr">
        <is>
          <t>Y</t>
        </is>
      </c>
      <c r="BD41" s="9" t="n"/>
      <c r="BE41" s="9" t="inlineStr">
        <is>
          <t>N</t>
        </is>
      </c>
      <c r="BF41" s="9" t="n"/>
      <c r="BG41" s="9" t="n"/>
      <c r="BH41" s="9" t="n"/>
      <c r="BI41" s="9" t="n"/>
      <c r="BJ41" s="9" t="inlineStr">
        <is>
          <t>Y</t>
        </is>
      </c>
      <c r="BK41" s="9" t="inlineStr">
        <is>
          <t>N</t>
        </is>
      </c>
      <c r="BL41" s="9" t="inlineStr">
        <is>
          <t>N</t>
        </is>
      </c>
      <c r="BM41" s="9" t="inlineStr">
        <is>
          <t>Y</t>
        </is>
      </c>
      <c r="BN41" s="9" t="inlineStr">
        <is>
          <t>Y</t>
        </is>
      </c>
      <c r="BO41" s="8" t="n">
        <v>45700</v>
      </c>
      <c r="BP41" s="9" t="inlineStr">
        <is>
          <t>Y</t>
        </is>
      </c>
      <c r="BQ41" s="9" t="inlineStr">
        <is>
          <t>N</t>
        </is>
      </c>
      <c r="BR41" s="13">
        <f>IF(COUNTIF(AI41:BM41,"N")+COUNTBLANK(AI41:BM41)=0,"Y","N")</f>
        <v/>
      </c>
      <c r="BS41" s="13">
        <f>IF(AND(BR41="Y",OR(L41="Submitted",L41="Under Review")),"Y",IF(L41="Closed","Y","N"))</f>
        <v/>
      </c>
      <c r="BT41" s="10" t="n">
        <v>39</v>
      </c>
      <c r="BU41" s="13">
        <f>Rule_Flags!Q40</f>
        <v/>
      </c>
      <c r="BV41" s="13">
        <f>Rule_Flags!P40</f>
        <v/>
      </c>
      <c r="BW41" s="13">
        <f>IF(Rule_Flags!E40=1,"SITE_CONTROL",IF(Rule_Flags!F40=1,"APPROVALS",IF(Rule_Flags!G40=1,"REPORTS",IF(Rule_Flags!H40=1,"DEFICIENCY",IF(Rule_Flags!I40=1,"UNDERWRITING",IF(Rule_Flags!J40=1,"COMPLIANCE",""))))))</f>
        <v/>
      </c>
      <c r="BX41" s="13">
        <f>IF(BW41="SITE_CONTROL","Site control missing or invalid",IF(BW41="APPROVALS","Required approvals or resolutions incomplete",IF(BW41="REPORTS","Required third-party reports incomplete",IF(BW41="DEFICIENCY","Unresolved deficiency or material deficiency",IF(BW41="UNDERWRITING","Underwriting / feasibility not passed",IF(BW41="COMPLIANCE","Deconcentration, one-mile, LURA, or Chapter 12 issue","Ready under current engine rules"))))))</f>
        <v/>
      </c>
      <c r="BY41" s="13">
        <f>IF(BV41="Determination Notice","Streamlined + DN-ready assumptions satisfied",IF(BV41="Board","Board-required or board-ready assumptions satisfied",""))</f>
        <v/>
      </c>
      <c r="BZ41" s="13">
        <f>IF(AND(BP41="Y",BQ41&lt;&gt;"Y"),"Carryforward project retains queue priority",IF(BQ41="Y","New project enters behind carryforward projects",""))</f>
        <v/>
      </c>
      <c r="CA41" s="13">
        <f>_xludf.RANK.EQ(Rule_Flags!O40,Rule_Flags!$O$3:$O$402,0)</f>
        <v/>
      </c>
      <c r="CB41" s="13">
        <f>IF(OR(BU41="Determination Notice Issued",BU41="Board",BU41="Closed"),"Y","N")</f>
        <v/>
      </c>
      <c r="CC41" s="9" t="n"/>
      <c r="CD41" s="9" t="inlineStr">
        <is>
          <t>Brad Fisher</t>
        </is>
      </c>
      <c r="CE41" s="9" t="inlineStr">
        <is>
          <t>(913) 787-1676</t>
        </is>
      </c>
      <c r="CF41" s="9" t="inlineStr">
        <is>
          <t>bfisher@aprilhousing.com</t>
        </is>
      </c>
      <c r="CG41" s="9" t="inlineStr">
        <is>
          <t>Rene Martinez</t>
        </is>
      </c>
      <c r="CH41" s="9" t="inlineStr">
        <is>
          <t>(832) 927-4955</t>
        </is>
      </c>
    </row>
    <row r="42">
      <c r="A42" s="8" t="inlineStr">
        <is>
          <t>2026-02-10</t>
        </is>
      </c>
      <c r="B42" s="9" t="inlineStr">
        <is>
          <t>2026-02-10</t>
        </is>
      </c>
      <c r="C42" s="9" t="inlineStr">
        <is>
          <t>25414</t>
        </is>
      </c>
      <c r="D42" s="9" t="n"/>
      <c r="E42" s="9" t="inlineStr">
        <is>
          <t>Enclave at Crosby</t>
        </is>
      </c>
      <c r="F42" s="9" t="inlineStr">
        <is>
          <t>Crosby</t>
        </is>
      </c>
      <c r="G42" s="9" t="inlineStr">
        <is>
          <t>Harris</t>
        </is>
      </c>
      <c r="H42" s="9" t="n">
        <v>6</v>
      </c>
      <c r="I42" s="9" t="inlineStr">
        <is>
          <t>15119 FM 2100 Road</t>
        </is>
      </c>
      <c r="J42" s="9" t="n">
        <v>77532</v>
      </c>
      <c r="K42" s="8" t="n">
        <v>45706</v>
      </c>
      <c r="L42" s="9" t="inlineStr">
        <is>
          <t>Withdrawn</t>
        </is>
      </c>
      <c r="M42" s="8" t="n">
        <v>45820</v>
      </c>
      <c r="N42" s="8" t="n"/>
      <c r="O42" s="8" t="n">
        <v>45709</v>
      </c>
      <c r="P42" s="8" t="n">
        <v>45889</v>
      </c>
      <c r="Q42" s="8" t="n"/>
      <c r="R42" s="9" t="inlineStr">
        <is>
          <t>New Construction</t>
        </is>
      </c>
      <c r="S42" s="9" t="inlineStr">
        <is>
          <t>General</t>
        </is>
      </c>
      <c r="T42" s="10" t="n">
        <v>366</v>
      </c>
      <c r="U42" s="10" t="n">
        <v>366</v>
      </c>
      <c r="V42" s="9" t="n"/>
      <c r="W42" s="9" t="n"/>
      <c r="X42" s="9" t="inlineStr">
        <is>
          <t>Harris County HFC</t>
        </is>
      </c>
      <c r="Y42" s="9" t="inlineStr">
        <is>
          <t>Local HFC</t>
        </is>
      </c>
      <c r="Z42" s="11" t="n">
        <v>50000000</v>
      </c>
      <c r="AA42" s="11" t="n"/>
      <c r="AB42" s="11" t="n">
        <v>3701470</v>
      </c>
      <c r="AC42" s="11" t="n"/>
      <c r="AD42" s="11" t="n"/>
      <c r="AE42" s="11" t="n"/>
      <c r="AF42" s="9" t="inlineStr">
        <is>
          <t>N</t>
        </is>
      </c>
      <c r="AG42" s="9" t="inlineStr">
        <is>
          <t>Y</t>
        </is>
      </c>
      <c r="AH42" s="9" t="n"/>
      <c r="AI42" s="9" t="inlineStr">
        <is>
          <t>Y</t>
        </is>
      </c>
      <c r="AJ42" s="8" t="n"/>
      <c r="AK42" s="9" t="inlineStr">
        <is>
          <t>Y</t>
        </is>
      </c>
      <c r="AL42" s="9" t="inlineStr">
        <is>
          <t>Y</t>
        </is>
      </c>
      <c r="AM42" s="9" t="inlineStr">
        <is>
          <t>Y</t>
        </is>
      </c>
      <c r="AN42" s="9" t="n"/>
      <c r="AO42" s="9" t="n"/>
      <c r="AP42" s="9" t="n"/>
      <c r="AQ42" s="9" t="n"/>
      <c r="AR42" s="9" t="n"/>
      <c r="AS42" s="9" t="inlineStr">
        <is>
          <t>N</t>
        </is>
      </c>
      <c r="AT42" s="8" t="n"/>
      <c r="AU42" s="8" t="n"/>
      <c r="AV42" s="9" t="n"/>
      <c r="AW42" s="8" t="n"/>
      <c r="AX42" s="9" t="inlineStr">
        <is>
          <t>N</t>
        </is>
      </c>
      <c r="AY42" s="9" t="inlineStr">
        <is>
          <t>Y</t>
        </is>
      </c>
      <c r="AZ42" s="9" t="inlineStr">
        <is>
          <t>Y</t>
        </is>
      </c>
      <c r="BA42" s="9" t="inlineStr">
        <is>
          <t>Y</t>
        </is>
      </c>
      <c r="BB42" s="9" t="inlineStr">
        <is>
          <t>Y</t>
        </is>
      </c>
      <c r="BC42" s="9" t="inlineStr">
        <is>
          <t>Y</t>
        </is>
      </c>
      <c r="BD42" s="9" t="n"/>
      <c r="BE42" s="9" t="inlineStr">
        <is>
          <t>N</t>
        </is>
      </c>
      <c r="BF42" s="9" t="n"/>
      <c r="BG42" s="9" t="n"/>
      <c r="BH42" s="9" t="n"/>
      <c r="BI42" s="9" t="n"/>
      <c r="BJ42" s="9" t="inlineStr">
        <is>
          <t>Y</t>
        </is>
      </c>
      <c r="BK42" s="9" t="inlineStr">
        <is>
          <t>N</t>
        </is>
      </c>
      <c r="BL42" s="9" t="inlineStr">
        <is>
          <t>N</t>
        </is>
      </c>
      <c r="BM42" s="9" t="inlineStr">
        <is>
          <t>Y</t>
        </is>
      </c>
      <c r="BN42" s="9" t="inlineStr">
        <is>
          <t>Y</t>
        </is>
      </c>
      <c r="BO42" s="8" t="n">
        <v>45706</v>
      </c>
      <c r="BP42" s="9" t="inlineStr">
        <is>
          <t>Y</t>
        </is>
      </c>
      <c r="BQ42" s="9" t="inlineStr">
        <is>
          <t>N</t>
        </is>
      </c>
      <c r="BR42" s="13">
        <f>IF(COUNTIF(AI42:BM42,"N")+COUNTBLANK(AI42:BM42)=0,"Y","N")</f>
        <v/>
      </c>
      <c r="BS42" s="13">
        <f>IF(AND(BR42="Y",OR(L42="Submitted",L42="Under Review")),"Y",IF(L42="Closed","Y","N"))</f>
        <v/>
      </c>
      <c r="BT42" s="10" t="n">
        <v>40</v>
      </c>
      <c r="BU42" s="13">
        <f>Rule_Flags!Q41</f>
        <v/>
      </c>
      <c r="BV42" s="13">
        <f>Rule_Flags!P41</f>
        <v/>
      </c>
      <c r="BW42" s="13">
        <f>IF(Rule_Flags!E41=1,"SITE_CONTROL",IF(Rule_Flags!F41=1,"APPROVALS",IF(Rule_Flags!G41=1,"REPORTS",IF(Rule_Flags!H41=1,"DEFICIENCY",IF(Rule_Flags!I41=1,"UNDERWRITING",IF(Rule_Flags!J41=1,"COMPLIANCE",""))))))</f>
        <v/>
      </c>
      <c r="BX42" s="13">
        <f>IF(BW42="SITE_CONTROL","Site control missing or invalid",IF(BW42="APPROVALS","Required approvals or resolutions incomplete",IF(BW42="REPORTS","Required third-party reports incomplete",IF(BW42="DEFICIENCY","Unresolved deficiency or material deficiency",IF(BW42="UNDERWRITING","Underwriting / feasibility not passed",IF(BW42="COMPLIANCE","Deconcentration, one-mile, LURA, or Chapter 12 issue","Ready under current engine rules"))))))</f>
        <v/>
      </c>
      <c r="BY42" s="13">
        <f>IF(BV42="Determination Notice","Streamlined + DN-ready assumptions satisfied",IF(BV42="Board","Board-required or board-ready assumptions satisfied",""))</f>
        <v/>
      </c>
      <c r="BZ42" s="13">
        <f>IF(AND(BP42="Y",BQ42&lt;&gt;"Y"),"Carryforward project retains queue priority",IF(BQ42="Y","New project enters behind carryforward projects",""))</f>
        <v/>
      </c>
      <c r="CA42" s="13">
        <f>_xludf.RANK.EQ(Rule_Flags!O41,Rule_Flags!$O$3:$O$402,0)</f>
        <v/>
      </c>
      <c r="CB42" s="13">
        <f>IF(OR(BU42="Determination Notice Issued",BU42="Board",BU42="Closed"),"Y","N")</f>
        <v/>
      </c>
      <c r="CC42" s="9" t="inlineStr">
        <is>
          <t>construction_type mapped from raw 'NC' to 'New Construction'</t>
        </is>
      </c>
      <c r="CD42" s="9" t="inlineStr">
        <is>
          <t>Mark Gregg</t>
        </is>
      </c>
      <c r="CE42" s="9" t="inlineStr">
        <is>
          <t>(210) 771-4127</t>
        </is>
      </c>
      <c r="CF42" s="9" t="inlineStr">
        <is>
          <t>mgregg@streamlineap.com</t>
        </is>
      </c>
      <c r="CG42" s="9" t="inlineStr">
        <is>
          <t>Rene Martinez</t>
        </is>
      </c>
      <c r="CH42" s="9" t="inlineStr">
        <is>
          <t>(832) 927-4955</t>
        </is>
      </c>
    </row>
    <row r="43">
      <c r="A43" s="8" t="inlineStr">
        <is>
          <t>2026-02-10</t>
        </is>
      </c>
      <c r="B43" s="9" t="inlineStr">
        <is>
          <t>2026-02-10</t>
        </is>
      </c>
      <c r="C43" s="9" t="inlineStr">
        <is>
          <t>25424</t>
        </is>
      </c>
      <c r="D43" s="9" t="n"/>
      <c r="E43" s="9" t="inlineStr">
        <is>
          <t>Branchview Apartments</t>
        </is>
      </c>
      <c r="F43" s="9" t="inlineStr">
        <is>
          <t>Pflugerville</t>
        </is>
      </c>
      <c r="G43" s="9" t="inlineStr">
        <is>
          <t>Travis</t>
        </is>
      </c>
      <c r="H43" s="9" t="n">
        <v>7</v>
      </c>
      <c r="I43" s="9" t="inlineStr">
        <is>
          <t>14411 Immanuel Road</t>
        </is>
      </c>
      <c r="J43" s="9" t="n">
        <v>78660</v>
      </c>
      <c r="K43" s="8" t="n">
        <v>45715</v>
      </c>
      <c r="L43" s="9" t="inlineStr">
        <is>
          <t>Withdrawn</t>
        </is>
      </c>
      <c r="M43" s="8" t="n">
        <v>45820</v>
      </c>
      <c r="N43" s="8" t="n"/>
      <c r="O43" s="8" t="n">
        <v>45715</v>
      </c>
      <c r="P43" s="8" t="n">
        <v>45895</v>
      </c>
      <c r="Q43" s="8" t="n"/>
      <c r="R43" s="9" t="inlineStr">
        <is>
          <t>New Construction</t>
        </is>
      </c>
      <c r="S43" s="9" t="inlineStr">
        <is>
          <t>General</t>
        </is>
      </c>
      <c r="T43" s="10" t="n">
        <v>330</v>
      </c>
      <c r="U43" s="10" t="n">
        <v>330</v>
      </c>
      <c r="V43" s="9" t="n"/>
      <c r="W43" s="9" t="n"/>
      <c r="X43" s="9" t="inlineStr">
        <is>
          <t>Strategic HFC of Travis County</t>
        </is>
      </c>
      <c r="Y43" s="9" t="inlineStr">
        <is>
          <t>Local HFC</t>
        </is>
      </c>
      <c r="Z43" s="11" t="n">
        <v>42000000</v>
      </c>
      <c r="AA43" s="11" t="n"/>
      <c r="AB43" s="11" t="n">
        <v>2358288</v>
      </c>
      <c r="AC43" s="11" t="n"/>
      <c r="AD43" s="11" t="n"/>
      <c r="AE43" s="11" t="n"/>
      <c r="AF43" s="9" t="inlineStr">
        <is>
          <t>N</t>
        </is>
      </c>
      <c r="AG43" s="9" t="inlineStr">
        <is>
          <t>Y</t>
        </is>
      </c>
      <c r="AH43" s="9" t="n"/>
      <c r="AI43" s="9" t="inlineStr">
        <is>
          <t>Y</t>
        </is>
      </c>
      <c r="AJ43" s="8" t="n"/>
      <c r="AK43" s="9" t="inlineStr">
        <is>
          <t>Y</t>
        </is>
      </c>
      <c r="AL43" s="9" t="inlineStr">
        <is>
          <t>Y</t>
        </is>
      </c>
      <c r="AM43" s="9" t="inlineStr">
        <is>
          <t>Y</t>
        </is>
      </c>
      <c r="AN43" s="9" t="n"/>
      <c r="AO43" s="9" t="n"/>
      <c r="AP43" s="9" t="n"/>
      <c r="AQ43" s="9" t="n"/>
      <c r="AR43" s="9" t="n"/>
      <c r="AS43" s="9" t="inlineStr">
        <is>
          <t>N</t>
        </is>
      </c>
      <c r="AT43" s="8" t="n"/>
      <c r="AU43" s="8" t="n"/>
      <c r="AV43" s="9" t="n"/>
      <c r="AW43" s="8" t="n"/>
      <c r="AX43" s="9" t="inlineStr">
        <is>
          <t>N</t>
        </is>
      </c>
      <c r="AY43" s="9" t="inlineStr">
        <is>
          <t>Y</t>
        </is>
      </c>
      <c r="AZ43" s="9" t="inlineStr">
        <is>
          <t>Y</t>
        </is>
      </c>
      <c r="BA43" s="9" t="inlineStr">
        <is>
          <t>Y</t>
        </is>
      </c>
      <c r="BB43" s="9" t="inlineStr">
        <is>
          <t>Y</t>
        </is>
      </c>
      <c r="BC43" s="9" t="inlineStr">
        <is>
          <t>Y</t>
        </is>
      </c>
      <c r="BD43" s="9" t="n"/>
      <c r="BE43" s="9" t="inlineStr">
        <is>
          <t>N</t>
        </is>
      </c>
      <c r="BF43" s="9" t="n"/>
      <c r="BG43" s="9" t="n"/>
      <c r="BH43" s="9" t="n"/>
      <c r="BI43" s="9" t="n"/>
      <c r="BJ43" s="9" t="inlineStr">
        <is>
          <t>Y</t>
        </is>
      </c>
      <c r="BK43" s="9" t="inlineStr">
        <is>
          <t>N</t>
        </is>
      </c>
      <c r="BL43" s="9" t="inlineStr">
        <is>
          <t>N</t>
        </is>
      </c>
      <c r="BM43" s="9" t="inlineStr">
        <is>
          <t>Y</t>
        </is>
      </c>
      <c r="BN43" s="9" t="inlineStr">
        <is>
          <t>Y</t>
        </is>
      </c>
      <c r="BO43" s="8" t="n">
        <v>45715</v>
      </c>
      <c r="BP43" s="9" t="inlineStr">
        <is>
          <t>Y</t>
        </is>
      </c>
      <c r="BQ43" s="9" t="inlineStr">
        <is>
          <t>N</t>
        </is>
      </c>
      <c r="BR43" s="13">
        <f>IF(COUNTIF(AI43:BM43,"N")+COUNTBLANK(AI43:BM43)=0,"Y","N")</f>
        <v/>
      </c>
      <c r="BS43" s="13">
        <f>IF(AND(BR43="Y",OR(L43="Submitted",L43="Under Review")),"Y",IF(L43="Closed","Y","N"))</f>
        <v/>
      </c>
      <c r="BT43" s="10" t="n">
        <v>41</v>
      </c>
      <c r="BU43" s="13">
        <f>Rule_Flags!Q42</f>
        <v/>
      </c>
      <c r="BV43" s="13">
        <f>Rule_Flags!P42</f>
        <v/>
      </c>
      <c r="BW43" s="13">
        <f>IF(Rule_Flags!E42=1,"SITE_CONTROL",IF(Rule_Flags!F42=1,"APPROVALS",IF(Rule_Flags!G42=1,"REPORTS",IF(Rule_Flags!H42=1,"DEFICIENCY",IF(Rule_Flags!I42=1,"UNDERWRITING",IF(Rule_Flags!J42=1,"COMPLIANCE",""))))))</f>
        <v/>
      </c>
      <c r="BX43" s="13">
        <f>IF(BW43="SITE_CONTROL","Site control missing or invalid",IF(BW43="APPROVALS","Required approvals or resolutions incomplete",IF(BW43="REPORTS","Required third-party reports incomplete",IF(BW43="DEFICIENCY","Unresolved deficiency or material deficiency",IF(BW43="UNDERWRITING","Underwriting / feasibility not passed",IF(BW43="COMPLIANCE","Deconcentration, one-mile, LURA, or Chapter 12 issue","Ready under current engine rules"))))))</f>
        <v/>
      </c>
      <c r="BY43" s="13">
        <f>IF(BV43="Determination Notice","Streamlined + DN-ready assumptions satisfied",IF(BV43="Board","Board-required or board-ready assumptions satisfied",""))</f>
        <v/>
      </c>
      <c r="BZ43" s="13">
        <f>IF(AND(BP43="Y",BQ43&lt;&gt;"Y"),"Carryforward project retains queue priority",IF(BQ43="Y","New project enters behind carryforward projects",""))</f>
        <v/>
      </c>
      <c r="CA43" s="13">
        <f>_xludf.RANK.EQ(Rule_Flags!O42,Rule_Flags!$O$3:$O$402,0)</f>
        <v/>
      </c>
      <c r="CB43" s="13">
        <f>IF(OR(BU43="Determination Notice Issued",BU43="Board",BU43="Closed"),"Y","N")</f>
        <v/>
      </c>
      <c r="CC43" s="9" t="inlineStr">
        <is>
          <t>construction_type mapped from raw 'NC' to 'New Construction'</t>
        </is>
      </c>
      <c r="CD43" s="9" t="inlineStr">
        <is>
          <t>Sam Kumar</t>
        </is>
      </c>
      <c r="CE43" s="9" t="inlineStr">
        <is>
          <t>(512) 247-7000</t>
        </is>
      </c>
      <c r="CF43" s="9" t="inlineStr">
        <is>
          <t>SKumar@journeymangroup.com</t>
        </is>
      </c>
      <c r="CG43" s="9" t="inlineStr">
        <is>
          <t>Dianna Grey</t>
        </is>
      </c>
      <c r="CH43" s="9" t="inlineStr">
        <is>
          <t>512‐562‐9204</t>
        </is>
      </c>
    </row>
    <row r="44">
      <c r="A44" s="8" t="inlineStr">
        <is>
          <t>2026-02-10</t>
        </is>
      </c>
      <c r="B44" s="9" t="inlineStr">
        <is>
          <t>2026-02-10</t>
        </is>
      </c>
      <c r="C44" s="9" t="inlineStr">
        <is>
          <t>25450</t>
        </is>
      </c>
      <c r="D44" s="9" t="n"/>
      <c r="E44" s="9" t="inlineStr">
        <is>
          <t>Little Elm Family Apartments</t>
        </is>
      </c>
      <c r="F44" s="9" t="inlineStr">
        <is>
          <t>Little Elm</t>
        </is>
      </c>
      <c r="G44" s="9" t="inlineStr">
        <is>
          <t>Denton</t>
        </is>
      </c>
      <c r="H44" s="9" t="n">
        <v>3</v>
      </c>
      <c r="I44" s="9" t="inlineStr">
        <is>
          <t>3655 FM 720</t>
        </is>
      </c>
      <c r="J44" s="9" t="n">
        <v>75068</v>
      </c>
      <c r="K44" s="8" t="n">
        <v>45719</v>
      </c>
      <c r="L44" s="9" t="inlineStr">
        <is>
          <t>Withdrawn</t>
        </is>
      </c>
      <c r="M44" s="8" t="n">
        <v>45820</v>
      </c>
      <c r="N44" s="8" t="n"/>
      <c r="O44" s="8" t="n">
        <v>45709</v>
      </c>
      <c r="P44" s="8" t="n">
        <v>45889</v>
      </c>
      <c r="Q44" s="8" t="n"/>
      <c r="R44" s="9" t="inlineStr">
        <is>
          <t>New Construction</t>
        </is>
      </c>
      <c r="S44" s="9" t="inlineStr">
        <is>
          <t>General</t>
        </is>
      </c>
      <c r="T44" s="10" t="n">
        <v>288</v>
      </c>
      <c r="U44" s="10" t="n">
        <v>288</v>
      </c>
      <c r="V44" s="9" t="n"/>
      <c r="W44" s="9" t="n"/>
      <c r="X44" s="9" t="inlineStr">
        <is>
          <t>THF PFC</t>
        </is>
      </c>
      <c r="Y44" s="9" t="inlineStr">
        <is>
          <t>Other</t>
        </is>
      </c>
      <c r="Z44" s="11" t="n">
        <v>69152737</v>
      </c>
      <c r="AA44" s="11" t="n"/>
      <c r="AB44" s="11" t="n">
        <v>5384306</v>
      </c>
      <c r="AC44" s="11" t="n"/>
      <c r="AD44" s="11" t="n"/>
      <c r="AE44" s="11" t="n"/>
      <c r="AF44" s="9" t="inlineStr">
        <is>
          <t>N</t>
        </is>
      </c>
      <c r="AG44" s="9" t="inlineStr">
        <is>
          <t>Y</t>
        </is>
      </c>
      <c r="AH44" s="9" t="inlineStr">
        <is>
          <t>Y</t>
        </is>
      </c>
      <c r="AI44" s="9" t="inlineStr">
        <is>
          <t>Y</t>
        </is>
      </c>
      <c r="AJ44" s="8" t="n"/>
      <c r="AK44" s="9" t="inlineStr">
        <is>
          <t>Y</t>
        </is>
      </c>
      <c r="AL44" s="9" t="inlineStr">
        <is>
          <t>Y</t>
        </is>
      </c>
      <c r="AM44" s="9" t="inlineStr">
        <is>
          <t>Y</t>
        </is>
      </c>
      <c r="AN44" s="9" t="n"/>
      <c r="AO44" s="9" t="n"/>
      <c r="AP44" s="9" t="n"/>
      <c r="AQ44" s="9" t="n"/>
      <c r="AR44" s="9" t="n"/>
      <c r="AS44" s="9" t="inlineStr">
        <is>
          <t>N</t>
        </is>
      </c>
      <c r="AT44" s="8" t="n"/>
      <c r="AU44" s="8" t="n"/>
      <c r="AV44" s="9" t="n"/>
      <c r="AW44" s="8" t="n"/>
      <c r="AX44" s="9" t="inlineStr">
        <is>
          <t>N</t>
        </is>
      </c>
      <c r="AY44" s="9" t="inlineStr">
        <is>
          <t>Y</t>
        </is>
      </c>
      <c r="AZ44" s="9" t="inlineStr">
        <is>
          <t>Y</t>
        </is>
      </c>
      <c r="BA44" s="9" t="inlineStr">
        <is>
          <t>Y</t>
        </is>
      </c>
      <c r="BB44" s="9" t="inlineStr">
        <is>
          <t>Y</t>
        </is>
      </c>
      <c r="BC44" s="9" t="inlineStr">
        <is>
          <t>Y</t>
        </is>
      </c>
      <c r="BD44" s="9" t="n"/>
      <c r="BE44" s="9" t="inlineStr">
        <is>
          <t>N</t>
        </is>
      </c>
      <c r="BF44" s="9" t="n"/>
      <c r="BG44" s="9" t="n"/>
      <c r="BH44" s="9" t="n"/>
      <c r="BI44" s="9" t="n"/>
      <c r="BJ44" s="9" t="inlineStr">
        <is>
          <t>Y</t>
        </is>
      </c>
      <c r="BK44" s="9" t="inlineStr">
        <is>
          <t>N</t>
        </is>
      </c>
      <c r="BL44" s="9" t="inlineStr">
        <is>
          <t>N</t>
        </is>
      </c>
      <c r="BM44" s="9" t="inlineStr">
        <is>
          <t>Y</t>
        </is>
      </c>
      <c r="BN44" s="9" t="inlineStr">
        <is>
          <t>Y</t>
        </is>
      </c>
      <c r="BO44" s="8" t="n">
        <v>45719</v>
      </c>
      <c r="BP44" s="9" t="inlineStr">
        <is>
          <t>Y</t>
        </is>
      </c>
      <c r="BQ44" s="9" t="inlineStr">
        <is>
          <t>N</t>
        </is>
      </c>
      <c r="BR44" s="13">
        <f>IF(COUNTIF(AI44:BM44,"N")+COUNTBLANK(AI44:BM44)=0,"Y","N")</f>
        <v/>
      </c>
      <c r="BS44" s="13">
        <f>IF(AND(BR44="Y",OR(L44="Submitted",L44="Under Review")),"Y",IF(L44="Closed","Y","N"))</f>
        <v/>
      </c>
      <c r="BT44" s="10" t="n">
        <v>42</v>
      </c>
      <c r="BU44" s="13">
        <f>Rule_Flags!Q43</f>
        <v/>
      </c>
      <c r="BV44" s="13">
        <f>Rule_Flags!P43</f>
        <v/>
      </c>
      <c r="BW44" s="13">
        <f>IF(Rule_Flags!E43=1,"SITE_CONTROL",IF(Rule_Flags!F43=1,"APPROVALS",IF(Rule_Flags!G43=1,"REPORTS",IF(Rule_Flags!H43=1,"DEFICIENCY",IF(Rule_Flags!I43=1,"UNDERWRITING",IF(Rule_Flags!J43=1,"COMPLIANCE",""))))))</f>
        <v/>
      </c>
      <c r="BX44" s="13">
        <f>IF(BW44="SITE_CONTROL","Site control missing or invalid",IF(BW44="APPROVALS","Required approvals or resolutions incomplete",IF(BW44="REPORTS","Required third-party reports incomplete",IF(BW44="DEFICIENCY","Unresolved deficiency or material deficiency",IF(BW44="UNDERWRITING","Underwriting / feasibility not passed",IF(BW44="COMPLIANCE","Deconcentration, one-mile, LURA, or Chapter 12 issue","Ready under current engine rules"))))))</f>
        <v/>
      </c>
      <c r="BY44" s="13">
        <f>IF(BV44="Determination Notice","Streamlined + DN-ready assumptions satisfied",IF(BV44="Board","Board-required or board-ready assumptions satisfied",""))</f>
        <v/>
      </c>
      <c r="BZ44" s="13">
        <f>IF(AND(BP44="Y",BQ44&lt;&gt;"Y"),"Carryforward project retains queue priority",IF(BQ44="Y","New project enters behind carryforward projects",""))</f>
        <v/>
      </c>
      <c r="CA44" s="13">
        <f>_xludf.RANK.EQ(Rule_Flags!O43,Rule_Flags!$O$3:$O$402,0)</f>
        <v/>
      </c>
      <c r="CB44" s="13">
        <f>IF(OR(BU44="Determination Notice Issued",BU44="Board",BU44="Closed"),"Y","N")</f>
        <v/>
      </c>
      <c r="CC44" s="9" t="inlineStr">
        <is>
          <t>construction_type mapped from raw 'NC' to 'New Construction'</t>
        </is>
      </c>
      <c r="CD44" s="9" t="inlineStr">
        <is>
          <t>Neal Route</t>
        </is>
      </c>
      <c r="CE44" s="9" t="inlineStr">
        <is>
          <t>(214) 960-1162</t>
        </is>
      </c>
      <c r="CF44" s="9" t="inlineStr">
        <is>
          <t>nroute@dominiuminc.com</t>
        </is>
      </c>
      <c r="CG44" s="9" t="inlineStr">
        <is>
          <t>Allison Millihorn</t>
        </is>
      </c>
      <c r="CH44" s="9" t="inlineStr">
        <is>
          <t>(830) 693-8100</t>
        </is>
      </c>
    </row>
    <row r="45">
      <c r="A45" s="8" t="inlineStr">
        <is>
          <t>2026-02-10</t>
        </is>
      </c>
      <c r="B45" s="9" t="inlineStr">
        <is>
          <t>2026-02-10</t>
        </is>
      </c>
      <c r="C45" s="9" t="inlineStr">
        <is>
          <t>25603</t>
        </is>
      </c>
      <c r="D45" s="9" t="n"/>
      <c r="E45" s="9" t="inlineStr">
        <is>
          <t>Legacy on Kiest</t>
        </is>
      </c>
      <c r="F45" s="9" t="inlineStr">
        <is>
          <t>Dallas</t>
        </is>
      </c>
      <c r="G45" s="9" t="inlineStr">
        <is>
          <t>Dallas</t>
        </is>
      </c>
      <c r="H45" s="9" t="n">
        <v>3</v>
      </c>
      <c r="I45" s="9" t="inlineStr">
        <is>
          <t>2621 Southerland Avenue</t>
        </is>
      </c>
      <c r="J45" s="9" t="n">
        <v>75203</v>
      </c>
      <c r="K45" s="8" t="inlineStr">
        <is>
          <t>3/5/205</t>
        </is>
      </c>
      <c r="L45" s="9" t="inlineStr">
        <is>
          <t>Closed</t>
        </is>
      </c>
      <c r="M45" s="8" t="n">
        <v>45820</v>
      </c>
      <c r="N45" s="8" t="n"/>
      <c r="O45" s="8" t="n">
        <v>45665</v>
      </c>
      <c r="P45" s="8" t="n">
        <v>46387</v>
      </c>
      <c r="Q45" s="8" t="n"/>
      <c r="R45" s="9" t="inlineStr">
        <is>
          <t>New Construction</t>
        </is>
      </c>
      <c r="S45" s="9" t="inlineStr">
        <is>
          <t>General</t>
        </is>
      </c>
      <c r="T45" s="10" t="n">
        <v>180</v>
      </c>
      <c r="U45" s="10" t="n">
        <v>180</v>
      </c>
      <c r="V45" s="9" t="n"/>
      <c r="W45" s="9" t="n"/>
      <c r="X45" s="9" t="inlineStr">
        <is>
          <t>TDHCA</t>
        </is>
      </c>
      <c r="Y45" s="9" t="inlineStr">
        <is>
          <t>TDHCA</t>
        </is>
      </c>
      <c r="Z45" s="11" t="n">
        <v>30000000</v>
      </c>
      <c r="AA45" s="11" t="n">
        <v>30000000</v>
      </c>
      <c r="AB45" s="11" t="n">
        <v>2509813</v>
      </c>
      <c r="AC45" s="11" t="n">
        <v>2509813</v>
      </c>
      <c r="AD45" s="11" t="n"/>
      <c r="AE45" s="11" t="n"/>
      <c r="AF45" s="9" t="inlineStr">
        <is>
          <t>N</t>
        </is>
      </c>
      <c r="AG45" s="9" t="inlineStr">
        <is>
          <t>Y</t>
        </is>
      </c>
      <c r="AH45" s="9" t="n"/>
      <c r="AI45" s="9" t="inlineStr">
        <is>
          <t>Y</t>
        </is>
      </c>
      <c r="AJ45" s="8" t="n"/>
      <c r="AK45" s="9" t="inlineStr">
        <is>
          <t>Y</t>
        </is>
      </c>
      <c r="AL45" s="9" t="inlineStr">
        <is>
          <t>Y</t>
        </is>
      </c>
      <c r="AM45" s="9" t="inlineStr">
        <is>
          <t>Y</t>
        </is>
      </c>
      <c r="AN45" s="9" t="n"/>
      <c r="AO45" s="9" t="n"/>
      <c r="AP45" s="9" t="n"/>
      <c r="AQ45" s="9" t="n"/>
      <c r="AR45" s="9" t="n"/>
      <c r="AS45" s="9" t="inlineStr">
        <is>
          <t>N</t>
        </is>
      </c>
      <c r="AT45" s="8" t="n"/>
      <c r="AU45" s="8" t="n"/>
      <c r="AV45" s="9" t="n"/>
      <c r="AW45" s="8" t="n"/>
      <c r="AX45" s="9" t="inlineStr">
        <is>
          <t>N</t>
        </is>
      </c>
      <c r="AY45" s="9" t="inlineStr">
        <is>
          <t>Y</t>
        </is>
      </c>
      <c r="AZ45" s="9" t="inlineStr">
        <is>
          <t>Y</t>
        </is>
      </c>
      <c r="BA45" s="9" t="inlineStr">
        <is>
          <t>Y</t>
        </is>
      </c>
      <c r="BB45" s="9" t="inlineStr">
        <is>
          <t>Y</t>
        </is>
      </c>
      <c r="BC45" s="9" t="inlineStr">
        <is>
          <t>Y</t>
        </is>
      </c>
      <c r="BD45" s="9" t="n"/>
      <c r="BE45" s="9" t="inlineStr">
        <is>
          <t>N</t>
        </is>
      </c>
      <c r="BF45" s="9" t="n"/>
      <c r="BG45" s="9" t="n"/>
      <c r="BH45" s="9" t="n"/>
      <c r="BI45" s="9" t="n"/>
      <c r="BJ45" s="9" t="inlineStr">
        <is>
          <t>Y</t>
        </is>
      </c>
      <c r="BK45" s="9" t="inlineStr">
        <is>
          <t>N</t>
        </is>
      </c>
      <c r="BL45" s="9" t="inlineStr">
        <is>
          <t>N</t>
        </is>
      </c>
      <c r="BM45" s="9" t="inlineStr">
        <is>
          <t>Y</t>
        </is>
      </c>
      <c r="BN45" s="9" t="inlineStr">
        <is>
          <t>Y</t>
        </is>
      </c>
      <c r="BO45" s="8" t="inlineStr">
        <is>
          <t>3/5/205</t>
        </is>
      </c>
      <c r="BP45" s="9" t="inlineStr">
        <is>
          <t>Y</t>
        </is>
      </c>
      <c r="BQ45" s="9" t="inlineStr">
        <is>
          <t>N</t>
        </is>
      </c>
      <c r="BR45" s="13">
        <f>IF(COUNTIF(AI45:BM45,"N")+COUNTBLANK(AI45:BM45)=0,"Y","N")</f>
        <v/>
      </c>
      <c r="BS45" s="13">
        <f>IF(AND(BR45="Y",OR(L45="Submitted",L45="Under Review")),"Y",IF(L45="Closed","Y","N"))</f>
        <v/>
      </c>
      <c r="BT45" s="10" t="n">
        <v>90</v>
      </c>
      <c r="BU45" s="13">
        <f>Rule_Flags!Q44</f>
        <v/>
      </c>
      <c r="BV45" s="13">
        <f>Rule_Flags!P44</f>
        <v/>
      </c>
      <c r="BW45" s="13">
        <f>IF(Rule_Flags!E44=1,"SITE_CONTROL",IF(Rule_Flags!F44=1,"APPROVALS",IF(Rule_Flags!G44=1,"REPORTS",IF(Rule_Flags!H44=1,"DEFICIENCY",IF(Rule_Flags!I44=1,"UNDERWRITING",IF(Rule_Flags!J44=1,"COMPLIANCE",""))))))</f>
        <v/>
      </c>
      <c r="BX45" s="13">
        <f>IF(BW45="SITE_CONTROL","Site control missing or invalid",IF(BW45="APPROVALS","Required approvals or resolutions incomplete",IF(BW45="REPORTS","Required third-party reports incomplete",IF(BW45="DEFICIENCY","Unresolved deficiency or material deficiency",IF(BW45="UNDERWRITING","Underwriting / feasibility not passed",IF(BW45="COMPLIANCE","Deconcentration, one-mile, LURA, or Chapter 12 issue","Ready under current engine rules"))))))</f>
        <v/>
      </c>
      <c r="BY45" s="13">
        <f>IF(BV45="Determination Notice","Streamlined + DN-ready assumptions satisfied",IF(BV45="Board","Board-required or board-ready assumptions satisfied",""))</f>
        <v/>
      </c>
      <c r="BZ45" s="13">
        <f>IF(AND(BP45="Y",BQ45&lt;&gt;"Y"),"Carryforward project retains queue priority",IF(BQ45="Y","New project enters behind carryforward projects",""))</f>
        <v/>
      </c>
      <c r="CA45" s="13">
        <f>_xludf.RANK.EQ(Rule_Flags!O44,Rule_Flags!$O$3:$O$402,0)</f>
        <v/>
      </c>
      <c r="CB45" s="13">
        <f>IF(OR(BU45="Determination Notice Issued",BU45="Board",BU45="Closed"),"Y","N")</f>
        <v/>
      </c>
      <c r="CC45" s="9" t="inlineStr">
        <is>
          <t>construction_type mapped from raw 'NC' to 'New Construction'</t>
        </is>
      </c>
      <c r="CD45" s="9" t="inlineStr">
        <is>
          <t>Jason Trevino</t>
        </is>
      </c>
      <c r="CE45" s="9" t="inlineStr">
        <is>
          <t>(512) 578-8488</t>
        </is>
      </c>
      <c r="CF45" s="9" t="inlineStr">
        <is>
          <t>jtrevino@ldgdevelopment.com</t>
        </is>
      </c>
      <c r="CG45" s="9" t="inlineStr">
        <is>
          <t>Teresa Morales</t>
        </is>
      </c>
      <c r="CH45" s="9" t="inlineStr">
        <is>
          <t>(512) 475-3344</t>
        </is>
      </c>
    </row>
    <row r="46">
      <c r="A46" s="8" t="inlineStr">
        <is>
          <t>2026-02-10</t>
        </is>
      </c>
      <c r="B46" s="9" t="inlineStr">
        <is>
          <t>2026-02-10</t>
        </is>
      </c>
      <c r="C46" s="9" t="inlineStr">
        <is>
          <t>25448</t>
        </is>
      </c>
      <c r="D46" s="9" t="inlineStr">
        <is>
          <t>060402</t>
        </is>
      </c>
      <c r="E46" s="9" t="inlineStr">
        <is>
          <t>Hillcrest Manor</t>
        </is>
      </c>
      <c r="F46" s="9" t="inlineStr">
        <is>
          <t>Lubbock</t>
        </is>
      </c>
      <c r="G46" s="9" t="inlineStr">
        <is>
          <t>Lubbock</t>
        </is>
      </c>
      <c r="H46" s="9" t="n">
        <v>1</v>
      </c>
      <c r="I46" s="9" t="inlineStr">
        <is>
          <t>1102 N Memphis Avenue</t>
        </is>
      </c>
      <c r="J46" s="9" t="n">
        <v>79415</v>
      </c>
      <c r="K46" s="8" t="n">
        <v>45721</v>
      </c>
      <c r="L46" s="9" t="inlineStr">
        <is>
          <t>Closed</t>
        </is>
      </c>
      <c r="M46" s="8" t="n">
        <v>45820</v>
      </c>
      <c r="N46" s="8" t="n">
        <v>45838</v>
      </c>
      <c r="O46" s="8" t="n">
        <v>45890</v>
      </c>
      <c r="P46" s="8" t="n">
        <v>46070</v>
      </c>
      <c r="Q46" s="8" t="n"/>
      <c r="R46" s="9" t="inlineStr">
        <is>
          <t>Acq/Rehab</t>
        </is>
      </c>
      <c r="S46" s="9" t="inlineStr">
        <is>
          <t>Elderly</t>
        </is>
      </c>
      <c r="T46" s="10" t="n">
        <v>220</v>
      </c>
      <c r="U46" s="10" t="n">
        <v>220</v>
      </c>
      <c r="V46" s="9" t="n"/>
      <c r="W46" s="9" t="n"/>
      <c r="X46" s="9" t="inlineStr">
        <is>
          <t>Lubbock HFC</t>
        </is>
      </c>
      <c r="Y46" s="9" t="inlineStr">
        <is>
          <t>Local HFC</t>
        </is>
      </c>
      <c r="Z46" s="11" t="n">
        <v>25000000</v>
      </c>
      <c r="AA46" s="11" t="n"/>
      <c r="AB46" s="11" t="n">
        <v>1548393</v>
      </c>
      <c r="AC46" s="11" t="n">
        <v>1548393</v>
      </c>
      <c r="AD46" s="11" t="n"/>
      <c r="AE46" s="11" t="n"/>
      <c r="AF46" s="9" t="inlineStr">
        <is>
          <t>N</t>
        </is>
      </c>
      <c r="AG46" s="9" t="inlineStr">
        <is>
          <t>Y</t>
        </is>
      </c>
      <c r="AH46" s="9" t="n"/>
      <c r="AI46" s="9" t="inlineStr">
        <is>
          <t>Y</t>
        </is>
      </c>
      <c r="AJ46" s="8" t="n"/>
      <c r="AK46" s="9" t="inlineStr">
        <is>
          <t>Y</t>
        </is>
      </c>
      <c r="AL46" s="9" t="inlineStr">
        <is>
          <t>Y</t>
        </is>
      </c>
      <c r="AM46" s="9" t="inlineStr">
        <is>
          <t>Y</t>
        </is>
      </c>
      <c r="AN46" s="9" t="n"/>
      <c r="AO46" s="9" t="n"/>
      <c r="AP46" s="9" t="n"/>
      <c r="AQ46" s="9" t="n"/>
      <c r="AR46" s="9" t="n"/>
      <c r="AS46" s="9" t="inlineStr">
        <is>
          <t>N</t>
        </is>
      </c>
      <c r="AT46" s="8" t="n"/>
      <c r="AU46" s="8" t="n"/>
      <c r="AV46" s="9" t="n"/>
      <c r="AW46" s="8" t="n"/>
      <c r="AX46" s="9" t="inlineStr">
        <is>
          <t>N</t>
        </is>
      </c>
      <c r="AY46" s="9" t="inlineStr">
        <is>
          <t>Y</t>
        </is>
      </c>
      <c r="AZ46" s="9" t="inlineStr">
        <is>
          <t>Y</t>
        </is>
      </c>
      <c r="BA46" s="9" t="inlineStr">
        <is>
          <t>Y</t>
        </is>
      </c>
      <c r="BB46" s="9" t="inlineStr">
        <is>
          <t>Y</t>
        </is>
      </c>
      <c r="BC46" s="9" t="inlineStr">
        <is>
          <t>Y</t>
        </is>
      </c>
      <c r="BD46" s="9" t="n"/>
      <c r="BE46" s="9" t="inlineStr">
        <is>
          <t>N</t>
        </is>
      </c>
      <c r="BF46" s="9" t="n"/>
      <c r="BG46" s="9" t="n"/>
      <c r="BH46" s="9" t="n"/>
      <c r="BI46" s="9" t="n"/>
      <c r="BJ46" s="9" t="inlineStr">
        <is>
          <t>Y</t>
        </is>
      </c>
      <c r="BK46" s="9" t="inlineStr">
        <is>
          <t>N</t>
        </is>
      </c>
      <c r="BL46" s="9" t="inlineStr">
        <is>
          <t>N</t>
        </is>
      </c>
      <c r="BM46" s="9" t="inlineStr">
        <is>
          <t>Y</t>
        </is>
      </c>
      <c r="BN46" s="9" t="inlineStr">
        <is>
          <t>Y</t>
        </is>
      </c>
      <c r="BO46" s="8" t="n">
        <v>45721</v>
      </c>
      <c r="BP46" s="9" t="inlineStr">
        <is>
          <t>Y</t>
        </is>
      </c>
      <c r="BQ46" s="9" t="inlineStr">
        <is>
          <t>N</t>
        </is>
      </c>
      <c r="BR46" s="13">
        <f>IF(COUNTIF(AI46:BM46,"N")+COUNTBLANK(AI46:BM46)=0,"Y","N")</f>
        <v/>
      </c>
      <c r="BS46" s="13">
        <f>IF(AND(BR46="Y",OR(L46="Submitted",L46="Under Review")),"Y",IF(L46="Closed","Y","N"))</f>
        <v/>
      </c>
      <c r="BT46" s="10" t="n">
        <v>43</v>
      </c>
      <c r="BU46" s="13">
        <f>Rule_Flags!Q45</f>
        <v/>
      </c>
      <c r="BV46" s="13">
        <f>Rule_Flags!P45</f>
        <v/>
      </c>
      <c r="BW46" s="13">
        <f>IF(Rule_Flags!E45=1,"SITE_CONTROL",IF(Rule_Flags!F45=1,"APPROVALS",IF(Rule_Flags!G45=1,"REPORTS",IF(Rule_Flags!H45=1,"DEFICIENCY",IF(Rule_Flags!I45=1,"UNDERWRITING",IF(Rule_Flags!J45=1,"COMPLIANCE",""))))))</f>
        <v/>
      </c>
      <c r="BX46" s="13">
        <f>IF(BW46="SITE_CONTROL","Site control missing or invalid",IF(BW46="APPROVALS","Required approvals or resolutions incomplete",IF(BW46="REPORTS","Required third-party reports incomplete",IF(BW46="DEFICIENCY","Unresolved deficiency or material deficiency",IF(BW46="UNDERWRITING","Underwriting / feasibility not passed",IF(BW46="COMPLIANCE","Deconcentration, one-mile, LURA, or Chapter 12 issue","Ready under current engine rules"))))))</f>
        <v/>
      </c>
      <c r="BY46" s="13">
        <f>IF(BV46="Determination Notice","Streamlined + DN-ready assumptions satisfied",IF(BV46="Board","Board-required or board-ready assumptions satisfied",""))</f>
        <v/>
      </c>
      <c r="BZ46" s="13">
        <f>IF(AND(BP46="Y",BQ46&lt;&gt;"Y"),"Carryforward project retains queue priority",IF(BQ46="Y","New project enters behind carryforward projects",""))</f>
        <v/>
      </c>
      <c r="CA46" s="13">
        <f>_xludf.RANK.EQ(Rule_Flags!O45,Rule_Flags!$O$3:$O$402,0)</f>
        <v/>
      </c>
      <c r="CB46" s="13">
        <f>IF(OR(BU46="Determination Notice Issued",BU46="Board",BU46="Closed"),"Y","N")</f>
        <v/>
      </c>
      <c r="CC46" s="9" t="n"/>
      <c r="CD46" s="9" t="inlineStr">
        <is>
          <t>Tyler Hunt</t>
        </is>
      </c>
      <c r="CE46" s="9" t="inlineStr">
        <is>
          <t>(334) 954-4458</t>
        </is>
      </c>
      <c r="CF46" s="9" t="inlineStr">
        <is>
          <t>tyler.hunt@envolvellc.com</t>
        </is>
      </c>
      <c r="CG46" s="9" t="inlineStr">
        <is>
          <t>Shari Flynn</t>
        </is>
      </c>
      <c r="CH46" s="9" t="inlineStr">
        <is>
          <t>(806) 745-9559</t>
        </is>
      </c>
    </row>
    <row r="47">
      <c r="A47" s="8" t="inlineStr">
        <is>
          <t>2026-02-10</t>
        </is>
      </c>
      <c r="B47" s="9" t="inlineStr">
        <is>
          <t>2026-02-10</t>
        </is>
      </c>
      <c r="C47" s="9" t="inlineStr">
        <is>
          <t>25458</t>
        </is>
      </c>
      <c r="D47" s="9" t="n">
        <v>24452</v>
      </c>
      <c r="E47" s="9" t="inlineStr">
        <is>
          <t>Liberty Hill Apts</t>
        </is>
      </c>
      <c r="F47" s="9" t="inlineStr">
        <is>
          <t>Liberty Hill</t>
        </is>
      </c>
      <c r="G47" s="9" t="inlineStr">
        <is>
          <t>Williamson</t>
        </is>
      </c>
      <c r="H47" s="9" t="n">
        <v>7</v>
      </c>
      <c r="I47" s="9" t="inlineStr">
        <is>
          <t>W State Hwy 29 &amp; Butler Farms Blvd</t>
        </is>
      </c>
      <c r="J47" s="9" t="n">
        <v>78642</v>
      </c>
      <c r="K47" s="8" t="n">
        <v>45721</v>
      </c>
      <c r="L47" s="9" t="inlineStr">
        <is>
          <t>Withdrawn</t>
        </is>
      </c>
      <c r="M47" s="8" t="n">
        <v>45848</v>
      </c>
      <c r="N47" s="8" t="n"/>
      <c r="O47" s="8" t="n">
        <v>45723</v>
      </c>
      <c r="P47" s="8" t="n">
        <v>45903</v>
      </c>
      <c r="Q47" s="8" t="n"/>
      <c r="R47" s="9" t="inlineStr">
        <is>
          <t>New Construction</t>
        </is>
      </c>
      <c r="S47" s="9" t="inlineStr">
        <is>
          <t>General</t>
        </is>
      </c>
      <c r="T47" s="10" t="n">
        <v>324</v>
      </c>
      <c r="U47" s="10" t="n">
        <v>324</v>
      </c>
      <c r="V47" s="9" t="n"/>
      <c r="W47" s="9" t="n"/>
      <c r="X47" s="9" t="inlineStr">
        <is>
          <t>Capital Area HFC</t>
        </is>
      </c>
      <c r="Y47" s="9" t="inlineStr">
        <is>
          <t>Local HFC</t>
        </is>
      </c>
      <c r="Z47" s="11" t="n">
        <v>69152737</v>
      </c>
      <c r="AA47" s="11" t="n"/>
      <c r="AB47" s="11" t="n">
        <v>4486344</v>
      </c>
      <c r="AC47" s="11" t="n"/>
      <c r="AD47" s="11" t="n"/>
      <c r="AE47" s="11" t="n"/>
      <c r="AF47" s="9" t="inlineStr">
        <is>
          <t>N</t>
        </is>
      </c>
      <c r="AG47" s="9" t="inlineStr">
        <is>
          <t>Y</t>
        </is>
      </c>
      <c r="AH47" s="9" t="n"/>
      <c r="AI47" s="9" t="inlineStr">
        <is>
          <t>Y</t>
        </is>
      </c>
      <c r="AJ47" s="8" t="n"/>
      <c r="AK47" s="9" t="inlineStr">
        <is>
          <t>Y</t>
        </is>
      </c>
      <c r="AL47" s="9" t="inlineStr">
        <is>
          <t>Y</t>
        </is>
      </c>
      <c r="AM47" s="9" t="inlineStr">
        <is>
          <t>Y</t>
        </is>
      </c>
      <c r="AN47" s="9" t="n"/>
      <c r="AO47" s="9" t="n"/>
      <c r="AP47" s="9" t="n"/>
      <c r="AQ47" s="9" t="n"/>
      <c r="AR47" s="9" t="n"/>
      <c r="AS47" s="9" t="inlineStr">
        <is>
          <t>N</t>
        </is>
      </c>
      <c r="AT47" s="8" t="n"/>
      <c r="AU47" s="8" t="n"/>
      <c r="AV47" s="9" t="n"/>
      <c r="AW47" s="8" t="n"/>
      <c r="AX47" s="9" t="inlineStr">
        <is>
          <t>N</t>
        </is>
      </c>
      <c r="AY47" s="9" t="inlineStr">
        <is>
          <t>Y</t>
        </is>
      </c>
      <c r="AZ47" s="9" t="inlineStr">
        <is>
          <t>Y</t>
        </is>
      </c>
      <c r="BA47" s="9" t="inlineStr">
        <is>
          <t>Y</t>
        </is>
      </c>
      <c r="BB47" s="9" t="inlineStr">
        <is>
          <t>Y</t>
        </is>
      </c>
      <c r="BC47" s="9" t="inlineStr">
        <is>
          <t>Y</t>
        </is>
      </c>
      <c r="BD47" s="9" t="n"/>
      <c r="BE47" s="9" t="inlineStr">
        <is>
          <t>N</t>
        </is>
      </c>
      <c r="BF47" s="9" t="n"/>
      <c r="BG47" s="9" t="n"/>
      <c r="BH47" s="9" t="n"/>
      <c r="BI47" s="9" t="n"/>
      <c r="BJ47" s="9" t="inlineStr">
        <is>
          <t>Y</t>
        </is>
      </c>
      <c r="BK47" s="9" t="inlineStr">
        <is>
          <t>N</t>
        </is>
      </c>
      <c r="BL47" s="9" t="inlineStr">
        <is>
          <t>N</t>
        </is>
      </c>
      <c r="BM47" s="9" t="inlineStr">
        <is>
          <t>Y</t>
        </is>
      </c>
      <c r="BN47" s="9" t="inlineStr">
        <is>
          <t>Y</t>
        </is>
      </c>
      <c r="BO47" s="8" t="n">
        <v>45721</v>
      </c>
      <c r="BP47" s="9" t="inlineStr">
        <is>
          <t>Y</t>
        </is>
      </c>
      <c r="BQ47" s="9" t="inlineStr">
        <is>
          <t>N</t>
        </is>
      </c>
      <c r="BR47" s="13">
        <f>IF(COUNTIF(AI47:BM47,"N")+COUNTBLANK(AI47:BM47)=0,"Y","N")</f>
        <v/>
      </c>
      <c r="BS47" s="13">
        <f>IF(AND(BR47="Y",OR(L47="Submitted",L47="Under Review")),"Y",IF(L47="Closed","Y","N"))</f>
        <v/>
      </c>
      <c r="BT47" s="10" t="n">
        <v>44</v>
      </c>
      <c r="BU47" s="13">
        <f>Rule_Flags!Q46</f>
        <v/>
      </c>
      <c r="BV47" s="13">
        <f>Rule_Flags!P46</f>
        <v/>
      </c>
      <c r="BW47" s="13">
        <f>IF(Rule_Flags!E46=1,"SITE_CONTROL",IF(Rule_Flags!F46=1,"APPROVALS",IF(Rule_Flags!G46=1,"REPORTS",IF(Rule_Flags!H46=1,"DEFICIENCY",IF(Rule_Flags!I46=1,"UNDERWRITING",IF(Rule_Flags!J46=1,"COMPLIANCE",""))))))</f>
        <v/>
      </c>
      <c r="BX47" s="13">
        <f>IF(BW47="SITE_CONTROL","Site control missing or invalid",IF(BW47="APPROVALS","Required approvals or resolutions incomplete",IF(BW47="REPORTS","Required third-party reports incomplete",IF(BW47="DEFICIENCY","Unresolved deficiency or material deficiency",IF(BW47="UNDERWRITING","Underwriting / feasibility not passed",IF(BW47="COMPLIANCE","Deconcentration, one-mile, LURA, or Chapter 12 issue","Ready under current engine rules"))))))</f>
        <v/>
      </c>
      <c r="BY47" s="13">
        <f>IF(BV47="Determination Notice","Streamlined + DN-ready assumptions satisfied",IF(BV47="Board","Board-required or board-ready assumptions satisfied",""))</f>
        <v/>
      </c>
      <c r="BZ47" s="13">
        <f>IF(AND(BP47="Y",BQ47&lt;&gt;"Y"),"Carryforward project retains queue priority",IF(BQ47="Y","New project enters behind carryforward projects",""))</f>
        <v/>
      </c>
      <c r="CA47" s="13">
        <f>_xludf.RANK.EQ(Rule_Flags!O46,Rule_Flags!$O$3:$O$402,0)</f>
        <v/>
      </c>
      <c r="CB47" s="13">
        <f>IF(OR(BU47="Determination Notice Issued",BU47="Board",BU47="Closed"),"Y","N")</f>
        <v/>
      </c>
      <c r="CC47" s="9" t="inlineStr">
        <is>
          <t>construction_type mapped from raw 'NC' to 'New Construction'</t>
        </is>
      </c>
      <c r="CD47" s="9" t="inlineStr">
        <is>
          <t>Neal Route</t>
        </is>
      </c>
      <c r="CE47" s="9" t="inlineStr">
        <is>
          <t>(214) 960-1162</t>
        </is>
      </c>
      <c r="CF47" s="9" t="inlineStr">
        <is>
          <t>nroute@dominiuminc.com</t>
        </is>
      </c>
      <c r="CG47" s="9" t="inlineStr">
        <is>
          <t>James E Shaw</t>
        </is>
      </c>
      <c r="CH47" s="9" t="inlineStr">
        <is>
          <t>(512) 347-9953</t>
        </is>
      </c>
    </row>
    <row r="48">
      <c r="A48" s="8" t="inlineStr">
        <is>
          <t>2026-02-10</t>
        </is>
      </c>
      <c r="B48" s="9" t="inlineStr">
        <is>
          <t>2026-02-10</t>
        </is>
      </c>
      <c r="C48" s="9" t="inlineStr">
        <is>
          <t>25459</t>
        </is>
      </c>
      <c r="D48" s="9" t="n"/>
      <c r="E48" s="9" t="inlineStr">
        <is>
          <t>The Foundry</t>
        </is>
      </c>
      <c r="F48" s="9" t="inlineStr">
        <is>
          <t>Taylor</t>
        </is>
      </c>
      <c r="G48" s="9" t="inlineStr">
        <is>
          <t>Williamson</t>
        </is>
      </c>
      <c r="H48" s="9" t="n">
        <v>7</v>
      </c>
      <c r="I48" s="9" t="inlineStr">
        <is>
          <t>East of Old Granger Road at N. Main Street</t>
        </is>
      </c>
      <c r="J48" s="9" t="n">
        <v>76574</v>
      </c>
      <c r="K48" s="8" t="n">
        <v>45723</v>
      </c>
      <c r="L48" s="9" t="inlineStr">
        <is>
          <t>Withdrawn</t>
        </is>
      </c>
      <c r="M48" s="8" t="n">
        <v>45820</v>
      </c>
      <c r="N48" s="8" t="n"/>
      <c r="O48" s="8" t="n">
        <v>45726</v>
      </c>
      <c r="P48" s="8" t="n">
        <v>45906</v>
      </c>
      <c r="Q48" s="8" t="n"/>
      <c r="R48" s="9" t="inlineStr">
        <is>
          <t>New Construction</t>
        </is>
      </c>
      <c r="S48" s="9" t="inlineStr">
        <is>
          <t>General</t>
        </is>
      </c>
      <c r="T48" s="10" t="n">
        <v>321</v>
      </c>
      <c r="U48" s="10" t="n">
        <v>321</v>
      </c>
      <c r="V48" s="9" t="n"/>
      <c r="W48" s="9" t="n"/>
      <c r="X48" s="9" t="inlineStr">
        <is>
          <t>Capital Area HFC</t>
        </is>
      </c>
      <c r="Y48" s="9" t="inlineStr">
        <is>
          <t>Local HFC</t>
        </is>
      </c>
      <c r="Z48" s="11" t="n">
        <v>50000000</v>
      </c>
      <c r="AA48" s="11" t="n"/>
      <c r="AB48" s="11" t="n">
        <v>4367618</v>
      </c>
      <c r="AC48" s="11" t="n">
        <v>4241500</v>
      </c>
      <c r="AD48" s="11" t="n"/>
      <c r="AE48" s="11" t="n"/>
      <c r="AF48" s="9" t="inlineStr">
        <is>
          <t>N</t>
        </is>
      </c>
      <c r="AG48" s="9" t="inlineStr">
        <is>
          <t>N</t>
        </is>
      </c>
      <c r="AH48" s="9" t="n"/>
      <c r="AI48" s="9" t="inlineStr">
        <is>
          <t>Y</t>
        </is>
      </c>
      <c r="AJ48" s="8" t="n"/>
      <c r="AK48" s="9" t="inlineStr">
        <is>
          <t>Y</t>
        </is>
      </c>
      <c r="AL48" s="9" t="inlineStr">
        <is>
          <t>Y</t>
        </is>
      </c>
      <c r="AM48" s="9" t="inlineStr">
        <is>
          <t>Y</t>
        </is>
      </c>
      <c r="AN48" s="9" t="n"/>
      <c r="AO48" s="9" t="n"/>
      <c r="AP48" s="9" t="n"/>
      <c r="AQ48" s="9" t="n"/>
      <c r="AR48" s="9" t="n"/>
      <c r="AS48" s="9" t="inlineStr">
        <is>
          <t>N</t>
        </is>
      </c>
      <c r="AT48" s="8" t="n"/>
      <c r="AU48" s="8" t="n"/>
      <c r="AV48" s="9" t="n"/>
      <c r="AW48" s="8" t="n"/>
      <c r="AX48" s="9" t="inlineStr">
        <is>
          <t>N</t>
        </is>
      </c>
      <c r="AY48" s="9" t="inlineStr">
        <is>
          <t>Y</t>
        </is>
      </c>
      <c r="AZ48" s="9" t="inlineStr">
        <is>
          <t>Y</t>
        </is>
      </c>
      <c r="BA48" s="9" t="inlineStr">
        <is>
          <t>Y</t>
        </is>
      </c>
      <c r="BB48" s="9" t="inlineStr">
        <is>
          <t>Y</t>
        </is>
      </c>
      <c r="BC48" s="9" t="inlineStr">
        <is>
          <t>Y</t>
        </is>
      </c>
      <c r="BD48" s="9" t="n"/>
      <c r="BE48" s="9" t="inlineStr">
        <is>
          <t>N</t>
        </is>
      </c>
      <c r="BF48" s="9" t="n"/>
      <c r="BG48" s="9" t="n"/>
      <c r="BH48" s="9" t="n"/>
      <c r="BI48" s="9" t="n"/>
      <c r="BJ48" s="9" t="inlineStr">
        <is>
          <t>Y</t>
        </is>
      </c>
      <c r="BK48" s="9" t="inlineStr">
        <is>
          <t>N</t>
        </is>
      </c>
      <c r="BL48" s="9" t="inlineStr">
        <is>
          <t>N</t>
        </is>
      </c>
      <c r="BM48" s="9" t="inlineStr">
        <is>
          <t>Y</t>
        </is>
      </c>
      <c r="BN48" s="9" t="inlineStr">
        <is>
          <t>Y</t>
        </is>
      </c>
      <c r="BO48" s="8" t="n">
        <v>45723</v>
      </c>
      <c r="BP48" s="9" t="inlineStr">
        <is>
          <t>Y</t>
        </is>
      </c>
      <c r="BQ48" s="9" t="inlineStr">
        <is>
          <t>N</t>
        </is>
      </c>
      <c r="BR48" s="13">
        <f>IF(COUNTIF(AI48:BM48,"N")+COUNTBLANK(AI48:BM48)=0,"Y","N")</f>
        <v/>
      </c>
      <c r="BS48" s="13">
        <f>IF(AND(BR48="Y",OR(L48="Submitted",L48="Under Review")),"Y",IF(L48="Closed","Y","N"))</f>
        <v/>
      </c>
      <c r="BT48" s="10" t="n">
        <v>46</v>
      </c>
      <c r="BU48" s="13">
        <f>Rule_Flags!Q47</f>
        <v/>
      </c>
      <c r="BV48" s="13">
        <f>Rule_Flags!P47</f>
        <v/>
      </c>
      <c r="BW48" s="13">
        <f>IF(Rule_Flags!E47=1,"SITE_CONTROL",IF(Rule_Flags!F47=1,"APPROVALS",IF(Rule_Flags!G47=1,"REPORTS",IF(Rule_Flags!H47=1,"DEFICIENCY",IF(Rule_Flags!I47=1,"UNDERWRITING",IF(Rule_Flags!J47=1,"COMPLIANCE",""))))))</f>
        <v/>
      </c>
      <c r="BX48" s="13">
        <f>IF(BW48="SITE_CONTROL","Site control missing or invalid",IF(BW48="APPROVALS","Required approvals or resolutions incomplete",IF(BW48="REPORTS","Required third-party reports incomplete",IF(BW48="DEFICIENCY","Unresolved deficiency or material deficiency",IF(BW48="UNDERWRITING","Underwriting / feasibility not passed",IF(BW48="COMPLIANCE","Deconcentration, one-mile, LURA, or Chapter 12 issue","Ready under current engine rules"))))))</f>
        <v/>
      </c>
      <c r="BY48" s="13">
        <f>IF(BV48="Determination Notice","Streamlined + DN-ready assumptions satisfied",IF(BV48="Board","Board-required or board-ready assumptions satisfied",""))</f>
        <v/>
      </c>
      <c r="BZ48" s="13">
        <f>IF(AND(BP48="Y",BQ48&lt;&gt;"Y"),"Carryforward project retains queue priority",IF(BQ48="Y","New project enters behind carryforward projects",""))</f>
        <v/>
      </c>
      <c r="CA48" s="13">
        <f>_xludf.RANK.EQ(Rule_Flags!O47,Rule_Flags!$O$3:$O$402,0)</f>
        <v/>
      </c>
      <c r="CB48" s="13">
        <f>IF(OR(BU48="Determination Notice Issued",BU48="Board",BU48="Closed"),"Y","N")</f>
        <v/>
      </c>
      <c r="CC48" s="9" t="inlineStr">
        <is>
          <t>construction_type mapped from raw 'NC' to 'New Construction'</t>
        </is>
      </c>
      <c r="CD48" s="9" t="inlineStr">
        <is>
          <t>Mark Gregg</t>
        </is>
      </c>
      <c r="CE48" s="9" t="inlineStr">
        <is>
          <t>(210) 771-4127</t>
        </is>
      </c>
      <c r="CF48" s="9" t="inlineStr">
        <is>
          <t>mgregg@streamlineap.com</t>
        </is>
      </c>
      <c r="CG48" s="9" t="inlineStr">
        <is>
          <t>James E Shaw</t>
        </is>
      </c>
      <c r="CH48" s="9" t="inlineStr">
        <is>
          <t>(512) 347-9953</t>
        </is>
      </c>
    </row>
    <row r="49">
      <c r="A49" s="8" t="inlineStr">
        <is>
          <t>2026-02-10</t>
        </is>
      </c>
      <c r="B49" s="9" t="inlineStr">
        <is>
          <t>2026-02-10</t>
        </is>
      </c>
      <c r="C49" s="9" t="inlineStr">
        <is>
          <t>25443</t>
        </is>
      </c>
      <c r="D49" s="9" t="n"/>
      <c r="E49" s="9" t="inlineStr">
        <is>
          <t>Taylor RAD Family Apts</t>
        </is>
      </c>
      <c r="F49" s="9" t="inlineStr">
        <is>
          <t>Taylor</t>
        </is>
      </c>
      <c r="G49" s="9" t="inlineStr">
        <is>
          <t>Williamson</t>
        </is>
      </c>
      <c r="H49" s="9" t="n">
        <v>7</v>
      </c>
      <c r="I49" s="9" t="inlineStr">
        <is>
          <t>311 East 7th Street</t>
        </is>
      </c>
      <c r="J49" s="9" t="n">
        <v>76754</v>
      </c>
      <c r="K49" s="8" t="n">
        <v>45723</v>
      </c>
      <c r="L49" s="9" t="inlineStr">
        <is>
          <t>Closed</t>
        </is>
      </c>
      <c r="M49" s="8" t="n">
        <v>45939</v>
      </c>
      <c r="N49" s="8" t="n">
        <v>46008</v>
      </c>
      <c r="O49" s="8" t="n">
        <v>45670</v>
      </c>
      <c r="P49" s="8" t="n">
        <v>46752</v>
      </c>
      <c r="Q49" s="8" t="n"/>
      <c r="R49" s="9" t="inlineStr">
        <is>
          <t>New Construction</t>
        </is>
      </c>
      <c r="S49" s="9" t="inlineStr">
        <is>
          <t>General</t>
        </is>
      </c>
      <c r="T49" s="10" t="n">
        <v>46</v>
      </c>
      <c r="U49" s="10" t="n">
        <v>46</v>
      </c>
      <c r="V49" s="9" t="n"/>
      <c r="W49" s="9" t="n"/>
      <c r="X49" s="9" t="inlineStr">
        <is>
          <t>Texas Home Collaborative</t>
        </is>
      </c>
      <c r="Y49" s="9" t="inlineStr">
        <is>
          <t>Other</t>
        </is>
      </c>
      <c r="Z49" s="11" t="n">
        <v>15000000</v>
      </c>
      <c r="AA49" s="11" t="n"/>
      <c r="AB49" s="11" t="n">
        <v>1036802</v>
      </c>
      <c r="AC49" s="11" t="n">
        <v>1012036</v>
      </c>
      <c r="AD49" s="11" t="n"/>
      <c r="AE49" s="11" t="n"/>
      <c r="AF49" s="9" t="inlineStr">
        <is>
          <t>N</t>
        </is>
      </c>
      <c r="AG49" s="9" t="inlineStr">
        <is>
          <t>Y</t>
        </is>
      </c>
      <c r="AH49" s="9" t="n"/>
      <c r="AI49" s="9" t="inlineStr">
        <is>
          <t>Y</t>
        </is>
      </c>
      <c r="AJ49" s="8" t="n"/>
      <c r="AK49" s="9" t="inlineStr">
        <is>
          <t>Y</t>
        </is>
      </c>
      <c r="AL49" s="9" t="inlineStr">
        <is>
          <t>Y</t>
        </is>
      </c>
      <c r="AM49" s="9" t="inlineStr">
        <is>
          <t>Y</t>
        </is>
      </c>
      <c r="AN49" s="9" t="n"/>
      <c r="AO49" s="9" t="n"/>
      <c r="AP49" s="9" t="n"/>
      <c r="AQ49" s="9" t="n"/>
      <c r="AR49" s="9" t="n"/>
      <c r="AS49" s="9" t="inlineStr">
        <is>
          <t>N</t>
        </is>
      </c>
      <c r="AT49" s="8" t="n"/>
      <c r="AU49" s="8" t="n"/>
      <c r="AV49" s="9" t="n"/>
      <c r="AW49" s="8" t="n"/>
      <c r="AX49" s="9" t="inlineStr">
        <is>
          <t>N</t>
        </is>
      </c>
      <c r="AY49" s="9" t="inlineStr">
        <is>
          <t>Y</t>
        </is>
      </c>
      <c r="AZ49" s="9" t="inlineStr">
        <is>
          <t>Y</t>
        </is>
      </c>
      <c r="BA49" s="9" t="inlineStr">
        <is>
          <t>Y</t>
        </is>
      </c>
      <c r="BB49" s="9" t="inlineStr">
        <is>
          <t>Y</t>
        </is>
      </c>
      <c r="BC49" s="9" t="inlineStr">
        <is>
          <t>Y</t>
        </is>
      </c>
      <c r="BD49" s="9" t="n"/>
      <c r="BE49" s="9" t="inlineStr">
        <is>
          <t>N</t>
        </is>
      </c>
      <c r="BF49" s="9" t="n"/>
      <c r="BG49" s="9" t="n"/>
      <c r="BH49" s="9" t="n"/>
      <c r="BI49" s="9" t="n"/>
      <c r="BJ49" s="9" t="inlineStr">
        <is>
          <t>Y</t>
        </is>
      </c>
      <c r="BK49" s="9" t="inlineStr">
        <is>
          <t>N</t>
        </is>
      </c>
      <c r="BL49" s="9" t="inlineStr">
        <is>
          <t>N</t>
        </is>
      </c>
      <c r="BM49" s="9" t="inlineStr">
        <is>
          <t>Y</t>
        </is>
      </c>
      <c r="BN49" s="9" t="inlineStr">
        <is>
          <t>Y</t>
        </is>
      </c>
      <c r="BO49" s="8" t="n">
        <v>45723</v>
      </c>
      <c r="BP49" s="9" t="inlineStr">
        <is>
          <t>Y</t>
        </is>
      </c>
      <c r="BQ49" s="9" t="inlineStr">
        <is>
          <t>N</t>
        </is>
      </c>
      <c r="BR49" s="13">
        <f>IF(COUNTIF(AI49:BM49,"N")+COUNTBLANK(AI49:BM49)=0,"Y","N")</f>
        <v/>
      </c>
      <c r="BS49" s="13">
        <f>IF(AND(BR49="Y",OR(L49="Submitted",L49="Under Review")),"Y",IF(L49="Closed","Y","N"))</f>
        <v/>
      </c>
      <c r="BT49" s="10" t="n">
        <v>45</v>
      </c>
      <c r="BU49" s="13">
        <f>Rule_Flags!Q48</f>
        <v/>
      </c>
      <c r="BV49" s="13">
        <f>Rule_Flags!P48</f>
        <v/>
      </c>
      <c r="BW49" s="13">
        <f>IF(Rule_Flags!E48=1,"SITE_CONTROL",IF(Rule_Flags!F48=1,"APPROVALS",IF(Rule_Flags!G48=1,"REPORTS",IF(Rule_Flags!H48=1,"DEFICIENCY",IF(Rule_Flags!I48=1,"UNDERWRITING",IF(Rule_Flags!J48=1,"COMPLIANCE",""))))))</f>
        <v/>
      </c>
      <c r="BX49" s="13">
        <f>IF(BW49="SITE_CONTROL","Site control missing or invalid",IF(BW49="APPROVALS","Required approvals or resolutions incomplete",IF(BW49="REPORTS","Required third-party reports incomplete",IF(BW49="DEFICIENCY","Unresolved deficiency or material deficiency",IF(BW49="UNDERWRITING","Underwriting / feasibility not passed",IF(BW49="COMPLIANCE","Deconcentration, one-mile, LURA, or Chapter 12 issue","Ready under current engine rules"))))))</f>
        <v/>
      </c>
      <c r="BY49" s="13">
        <f>IF(BV49="Determination Notice","Streamlined + DN-ready assumptions satisfied",IF(BV49="Board","Board-required or board-ready assumptions satisfied",""))</f>
        <v/>
      </c>
      <c r="BZ49" s="13">
        <f>IF(AND(BP49="Y",BQ49&lt;&gt;"Y"),"Carryforward project retains queue priority",IF(BQ49="Y","New project enters behind carryforward projects",""))</f>
        <v/>
      </c>
      <c r="CA49" s="13">
        <f>_xludf.RANK.EQ(Rule_Flags!O48,Rule_Flags!$O$3:$O$402,0)</f>
        <v/>
      </c>
      <c r="CB49" s="13">
        <f>IF(OR(BU49="Determination Notice Issued",BU49="Board",BU49="Closed"),"Y","N")</f>
        <v/>
      </c>
      <c r="CC49" s="9" t="inlineStr">
        <is>
          <t>construction_type mapped from raw 'NC' to 'New Construction'</t>
        </is>
      </c>
      <c r="CD49" s="9" t="inlineStr">
        <is>
          <t>Jennifer Croxton</t>
        </is>
      </c>
      <c r="CE49" s="9" t="inlineStr">
        <is>
          <t>(318) 278-1682</t>
        </is>
      </c>
      <c r="CF49" s="9" t="inlineStr">
        <is>
          <t>jcroxton@knightdevco.com</t>
        </is>
      </c>
      <c r="CG49" s="9" t="inlineStr">
        <is>
          <t>Antonio Williams</t>
        </is>
      </c>
      <c r="CH49" s="9" t="inlineStr">
        <is>
          <t>(903) 838-8548</t>
        </is>
      </c>
    </row>
    <row r="50">
      <c r="A50" s="8" t="inlineStr">
        <is>
          <t>2026-02-10</t>
        </is>
      </c>
      <c r="B50" s="9" t="inlineStr">
        <is>
          <t>2026-02-10</t>
        </is>
      </c>
      <c r="C50" s="9" t="inlineStr">
        <is>
          <t>25460</t>
        </is>
      </c>
      <c r="D50" s="9" t="n"/>
      <c r="E50" s="9" t="inlineStr">
        <is>
          <t>Hays Street Apartments</t>
        </is>
      </c>
      <c r="F50" s="9" t="inlineStr">
        <is>
          <t>Houston</t>
        </is>
      </c>
      <c r="G50" s="9" t="inlineStr">
        <is>
          <t>Harris</t>
        </is>
      </c>
      <c r="H50" s="9" t="n">
        <v>6</v>
      </c>
      <c r="I50" s="9" t="inlineStr">
        <is>
          <t>1406 Hays Street</t>
        </is>
      </c>
      <c r="J50" s="9" t="n">
        <v>77009</v>
      </c>
      <c r="K50" s="8" t="n">
        <v>45736</v>
      </c>
      <c r="L50" s="9" t="inlineStr">
        <is>
          <t>Withdrawn</t>
        </is>
      </c>
      <c r="M50" s="8" t="n">
        <v>45848</v>
      </c>
      <c r="N50" s="8" t="n"/>
      <c r="O50" s="8" t="n">
        <v>45737</v>
      </c>
      <c r="P50" s="8" t="n">
        <v>45917</v>
      </c>
      <c r="Q50" s="8" t="n"/>
      <c r="R50" s="9" t="inlineStr">
        <is>
          <t>New Construction</t>
        </is>
      </c>
      <c r="S50" s="9" t="inlineStr">
        <is>
          <t>General</t>
        </is>
      </c>
      <c r="T50" s="10" t="n">
        <v>110</v>
      </c>
      <c r="U50" s="10" t="n">
        <v>110</v>
      </c>
      <c r="V50" s="9" t="n"/>
      <c r="W50" s="9" t="n"/>
      <c r="X50" s="9" t="inlineStr">
        <is>
          <t>Harris County HFC</t>
        </is>
      </c>
      <c r="Y50" s="9" t="inlineStr">
        <is>
          <t>Local HFC</t>
        </is>
      </c>
      <c r="Z50" s="11" t="n">
        <v>20000000</v>
      </c>
      <c r="AA50" s="11" t="n"/>
      <c r="AB50" s="11" t="n">
        <v>1115980</v>
      </c>
      <c r="AC50" s="11" t="n"/>
      <c r="AD50" s="11" t="n"/>
      <c r="AE50" s="11" t="n"/>
      <c r="AF50" s="9" t="inlineStr">
        <is>
          <t>N</t>
        </is>
      </c>
      <c r="AG50" s="9" t="inlineStr">
        <is>
          <t>Y</t>
        </is>
      </c>
      <c r="AH50" s="9" t="n"/>
      <c r="AI50" s="9" t="inlineStr">
        <is>
          <t>Y</t>
        </is>
      </c>
      <c r="AJ50" s="8" t="n"/>
      <c r="AK50" s="9" t="inlineStr">
        <is>
          <t>Y</t>
        </is>
      </c>
      <c r="AL50" s="9" t="inlineStr">
        <is>
          <t>Y</t>
        </is>
      </c>
      <c r="AM50" s="9" t="inlineStr">
        <is>
          <t>Y</t>
        </is>
      </c>
      <c r="AN50" s="9" t="n"/>
      <c r="AO50" s="9" t="n"/>
      <c r="AP50" s="9" t="n"/>
      <c r="AQ50" s="9" t="n"/>
      <c r="AR50" s="9" t="n"/>
      <c r="AS50" s="9" t="inlineStr">
        <is>
          <t>N</t>
        </is>
      </c>
      <c r="AT50" s="8" t="n"/>
      <c r="AU50" s="8" t="n"/>
      <c r="AV50" s="9" t="n"/>
      <c r="AW50" s="8" t="n"/>
      <c r="AX50" s="9" t="inlineStr">
        <is>
          <t>N</t>
        </is>
      </c>
      <c r="AY50" s="9" t="inlineStr">
        <is>
          <t>Y</t>
        </is>
      </c>
      <c r="AZ50" s="9" t="inlineStr">
        <is>
          <t>Y</t>
        </is>
      </c>
      <c r="BA50" s="9" t="inlineStr">
        <is>
          <t>Y</t>
        </is>
      </c>
      <c r="BB50" s="9" t="inlineStr">
        <is>
          <t>Y</t>
        </is>
      </c>
      <c r="BC50" s="9" t="inlineStr">
        <is>
          <t>Y</t>
        </is>
      </c>
      <c r="BD50" s="9" t="n"/>
      <c r="BE50" s="9" t="inlineStr">
        <is>
          <t>N</t>
        </is>
      </c>
      <c r="BF50" s="9" t="n"/>
      <c r="BG50" s="9" t="n"/>
      <c r="BH50" s="9" t="n"/>
      <c r="BI50" s="9" t="n"/>
      <c r="BJ50" s="9" t="inlineStr">
        <is>
          <t>Y</t>
        </is>
      </c>
      <c r="BK50" s="9" t="inlineStr">
        <is>
          <t>N</t>
        </is>
      </c>
      <c r="BL50" s="9" t="inlineStr">
        <is>
          <t>N</t>
        </is>
      </c>
      <c r="BM50" s="9" t="inlineStr">
        <is>
          <t>Y</t>
        </is>
      </c>
      <c r="BN50" s="9" t="inlineStr">
        <is>
          <t>Y</t>
        </is>
      </c>
      <c r="BO50" s="8" t="n">
        <v>45736</v>
      </c>
      <c r="BP50" s="9" t="inlineStr">
        <is>
          <t>N</t>
        </is>
      </c>
      <c r="BQ50" s="9" t="inlineStr">
        <is>
          <t>Y</t>
        </is>
      </c>
      <c r="BR50" s="13">
        <f>IF(COUNTIF(AI50:BM50,"N")+COUNTBLANK(AI50:BM50)=0,"Y","N")</f>
        <v/>
      </c>
      <c r="BS50" s="13">
        <f>IF(AND(BR50="Y",OR(L50="Submitted",L50="Under Review")),"Y",IF(L50="Closed","Y","N"))</f>
        <v/>
      </c>
      <c r="BT50" s="10" t="n">
        <v>47</v>
      </c>
      <c r="BU50" s="13">
        <f>Rule_Flags!Q49</f>
        <v/>
      </c>
      <c r="BV50" s="13">
        <f>Rule_Flags!P49</f>
        <v/>
      </c>
      <c r="BW50" s="13">
        <f>IF(Rule_Flags!E49=1,"SITE_CONTROL",IF(Rule_Flags!F49=1,"APPROVALS",IF(Rule_Flags!G49=1,"REPORTS",IF(Rule_Flags!H49=1,"DEFICIENCY",IF(Rule_Flags!I49=1,"UNDERWRITING",IF(Rule_Flags!J49=1,"COMPLIANCE",""))))))</f>
        <v/>
      </c>
      <c r="BX50" s="13">
        <f>IF(BW50="SITE_CONTROL","Site control missing or invalid",IF(BW50="APPROVALS","Required approvals or resolutions incomplete",IF(BW50="REPORTS","Required third-party reports incomplete",IF(BW50="DEFICIENCY","Unresolved deficiency or material deficiency",IF(BW50="UNDERWRITING","Underwriting / feasibility not passed",IF(BW50="COMPLIANCE","Deconcentration, one-mile, LURA, or Chapter 12 issue","Ready under current engine rules"))))))</f>
        <v/>
      </c>
      <c r="BY50" s="13">
        <f>IF(BV50="Determination Notice","Streamlined + DN-ready assumptions satisfied",IF(BV50="Board","Board-required or board-ready assumptions satisfied",""))</f>
        <v/>
      </c>
      <c r="BZ50" s="13">
        <f>IF(AND(BP50="Y",BQ50&lt;&gt;"Y"),"Carryforward project retains queue priority",IF(BQ50="Y","New project enters behind carryforward projects",""))</f>
        <v/>
      </c>
      <c r="CA50" s="13">
        <f>_xludf.RANK.EQ(Rule_Flags!O49,Rule_Flags!$O$3:$O$402,0)</f>
        <v/>
      </c>
      <c r="CB50" s="13">
        <f>IF(OR(BU50="Determination Notice Issued",BU50="Board",BU50="Closed"),"Y","N")</f>
        <v/>
      </c>
      <c r="CC50" s="9" t="inlineStr">
        <is>
          <t>construction_type mapped from raw 'NC' to 'New Construction'</t>
        </is>
      </c>
      <c r="CD50" s="9" t="inlineStr">
        <is>
          <t>Sheri Wilhelm</t>
        </is>
      </c>
      <c r="CE50" s="9" t="inlineStr">
        <is>
          <t>818-706-0694</t>
        </is>
      </c>
      <c r="CF50" s="9" t="inlineStr">
        <is>
          <t>swilhelm@amcalhousing.com</t>
        </is>
      </c>
      <c r="CG50" s="9" t="inlineStr">
        <is>
          <t>Rene Martinez</t>
        </is>
      </c>
      <c r="CH50" s="9" t="inlineStr">
        <is>
          <t>(832) 927-4955</t>
        </is>
      </c>
    </row>
    <row r="51">
      <c r="A51" s="8" t="inlineStr">
        <is>
          <t>2026-02-10</t>
        </is>
      </c>
      <c r="B51" s="9" t="inlineStr">
        <is>
          <t>2026-02-10</t>
        </is>
      </c>
      <c r="C51" s="9" t="inlineStr">
        <is>
          <t>25454</t>
        </is>
      </c>
      <c r="D51" s="9" t="n"/>
      <c r="E51" s="9" t="inlineStr">
        <is>
          <t>Palms Breeze Village</t>
        </is>
      </c>
      <c r="F51" s="9" t="inlineStr">
        <is>
          <t>Brownsville</t>
        </is>
      </c>
      <c r="G51" s="9" t="inlineStr">
        <is>
          <t>Cameron</t>
        </is>
      </c>
      <c r="H51" s="9" t="n">
        <v>11</v>
      </c>
      <c r="I51" s="9" t="inlineStr">
        <is>
          <t>464 N. Illinois Avenue</t>
        </is>
      </c>
      <c r="J51" s="9" t="n">
        <v>78521</v>
      </c>
      <c r="K51" s="8" t="n">
        <v>45744</v>
      </c>
      <c r="L51" s="9" t="inlineStr">
        <is>
          <t>Withdrawn</t>
        </is>
      </c>
      <c r="M51" s="8" t="n">
        <v>45848</v>
      </c>
      <c r="N51" s="8" t="n"/>
      <c r="O51" s="8" t="n">
        <v>45715</v>
      </c>
      <c r="P51" s="8" t="n">
        <v>45895</v>
      </c>
      <c r="Q51" s="8" t="n"/>
      <c r="R51" s="9" t="inlineStr">
        <is>
          <t>New Construction</t>
        </is>
      </c>
      <c r="S51" s="9" t="inlineStr">
        <is>
          <t>General</t>
        </is>
      </c>
      <c r="T51" s="10" t="n">
        <v>324</v>
      </c>
      <c r="U51" s="10" t="n">
        <v>324</v>
      </c>
      <c r="V51" s="9" t="n"/>
      <c r="W51" s="9" t="n"/>
      <c r="X51" s="9" t="inlineStr">
        <is>
          <t>Cameron County HFC</t>
        </is>
      </c>
      <c r="Y51" s="9" t="inlineStr">
        <is>
          <t>Local HFC</t>
        </is>
      </c>
      <c r="Z51" s="11" t="n">
        <v>35000000</v>
      </c>
      <c r="AA51" s="11" t="n"/>
      <c r="AB51" s="11" t="n">
        <v>3014886</v>
      </c>
      <c r="AC51" s="11" t="n"/>
      <c r="AD51" s="11" t="n"/>
      <c r="AE51" s="11" t="n"/>
      <c r="AF51" s="9" t="inlineStr">
        <is>
          <t>Y</t>
        </is>
      </c>
      <c r="AG51" s="9" t="inlineStr">
        <is>
          <t>Y</t>
        </is>
      </c>
      <c r="AH51" s="9" t="n"/>
      <c r="AI51" s="9" t="inlineStr">
        <is>
          <t>Y</t>
        </is>
      </c>
      <c r="AJ51" s="8" t="n"/>
      <c r="AK51" s="9" t="inlineStr">
        <is>
          <t>Y</t>
        </is>
      </c>
      <c r="AL51" s="9" t="inlineStr">
        <is>
          <t>Y</t>
        </is>
      </c>
      <c r="AM51" s="9" t="inlineStr">
        <is>
          <t>Y</t>
        </is>
      </c>
      <c r="AN51" s="9" t="n"/>
      <c r="AO51" s="9" t="n"/>
      <c r="AP51" s="9" t="n"/>
      <c r="AQ51" s="9" t="n"/>
      <c r="AR51" s="9" t="n"/>
      <c r="AS51" s="9" t="inlineStr">
        <is>
          <t>N</t>
        </is>
      </c>
      <c r="AT51" s="8" t="n"/>
      <c r="AU51" s="8" t="n"/>
      <c r="AV51" s="9" t="n"/>
      <c r="AW51" s="8" t="n"/>
      <c r="AX51" s="9" t="inlineStr">
        <is>
          <t>N</t>
        </is>
      </c>
      <c r="AY51" s="9" t="inlineStr">
        <is>
          <t>Y</t>
        </is>
      </c>
      <c r="AZ51" s="9" t="inlineStr">
        <is>
          <t>Y</t>
        </is>
      </c>
      <c r="BA51" s="9" t="inlineStr">
        <is>
          <t>Y</t>
        </is>
      </c>
      <c r="BB51" s="9" t="inlineStr">
        <is>
          <t>Y</t>
        </is>
      </c>
      <c r="BC51" s="9" t="inlineStr">
        <is>
          <t>Y</t>
        </is>
      </c>
      <c r="BD51" s="9" t="n"/>
      <c r="BE51" s="9" t="inlineStr">
        <is>
          <t>N</t>
        </is>
      </c>
      <c r="BF51" s="9" t="n"/>
      <c r="BG51" s="9" t="n"/>
      <c r="BH51" s="9" t="n"/>
      <c r="BI51" s="9" t="n"/>
      <c r="BJ51" s="9" t="inlineStr">
        <is>
          <t>Y</t>
        </is>
      </c>
      <c r="BK51" s="9" t="inlineStr">
        <is>
          <t>N</t>
        </is>
      </c>
      <c r="BL51" s="9" t="inlineStr">
        <is>
          <t>N</t>
        </is>
      </c>
      <c r="BM51" s="9" t="inlineStr">
        <is>
          <t>Y</t>
        </is>
      </c>
      <c r="BN51" s="9" t="inlineStr">
        <is>
          <t>Y</t>
        </is>
      </c>
      <c r="BO51" s="8" t="n">
        <v>45744</v>
      </c>
      <c r="BP51" s="9" t="inlineStr">
        <is>
          <t>N</t>
        </is>
      </c>
      <c r="BQ51" s="9" t="inlineStr">
        <is>
          <t>Y</t>
        </is>
      </c>
      <c r="BR51" s="13">
        <f>IF(COUNTIF(AI51:BM51,"N")+COUNTBLANK(AI51:BM51)=0,"Y","N")</f>
        <v/>
      </c>
      <c r="BS51" s="13">
        <f>IF(AND(BR51="Y",OR(L51="Submitted",L51="Under Review")),"Y",IF(L51="Closed","Y","N"))</f>
        <v/>
      </c>
      <c r="BT51" s="10" t="n">
        <v>48</v>
      </c>
      <c r="BU51" s="13">
        <f>Rule_Flags!Q50</f>
        <v/>
      </c>
      <c r="BV51" s="13">
        <f>Rule_Flags!P50</f>
        <v/>
      </c>
      <c r="BW51" s="13">
        <f>IF(Rule_Flags!E50=1,"SITE_CONTROL",IF(Rule_Flags!F50=1,"APPROVALS",IF(Rule_Flags!G50=1,"REPORTS",IF(Rule_Flags!H50=1,"DEFICIENCY",IF(Rule_Flags!I50=1,"UNDERWRITING",IF(Rule_Flags!J50=1,"COMPLIANCE",""))))))</f>
        <v/>
      </c>
      <c r="BX51" s="13">
        <f>IF(BW51="SITE_CONTROL","Site control missing or invalid",IF(BW51="APPROVALS","Required approvals or resolutions incomplete",IF(BW51="REPORTS","Required third-party reports incomplete",IF(BW51="DEFICIENCY","Unresolved deficiency or material deficiency",IF(BW51="UNDERWRITING","Underwriting / feasibility not passed",IF(BW51="COMPLIANCE","Deconcentration, one-mile, LURA, or Chapter 12 issue","Ready under current engine rules"))))))</f>
        <v/>
      </c>
      <c r="BY51" s="13">
        <f>IF(BV51="Determination Notice","Streamlined + DN-ready assumptions satisfied",IF(BV51="Board","Board-required or board-ready assumptions satisfied",""))</f>
        <v/>
      </c>
      <c r="BZ51" s="13">
        <f>IF(AND(BP51="Y",BQ51&lt;&gt;"Y"),"Carryforward project retains queue priority",IF(BQ51="Y","New project enters behind carryforward projects",""))</f>
        <v/>
      </c>
      <c r="CA51" s="13">
        <f>_xludf.RANK.EQ(Rule_Flags!O50,Rule_Flags!$O$3:$O$402,0)</f>
        <v/>
      </c>
      <c r="CB51" s="13">
        <f>IF(OR(BU51="Determination Notice Issued",BU51="Board",BU51="Closed"),"Y","N")</f>
        <v/>
      </c>
      <c r="CC51" s="9" t="inlineStr">
        <is>
          <t>construction_type mapped from raw 'NC' to 'New Construction'</t>
        </is>
      </c>
      <c r="CD51" s="9" t="inlineStr">
        <is>
          <t>Richard Ashton</t>
        </is>
      </c>
      <c r="CE51" s="9" t="inlineStr">
        <is>
          <t>(214) 5633273</t>
        </is>
      </c>
      <c r="CF51" s="9" t="inlineStr">
        <is>
          <t>rashton@amd42.com</t>
        </is>
      </c>
      <c r="CG51" s="9" t="inlineStr">
        <is>
          <t>Jeff Smith</t>
        </is>
      </c>
      <c r="CH51" s="9" t="inlineStr">
        <is>
          <t>(713) 461-2749</t>
        </is>
      </c>
    </row>
    <row r="52">
      <c r="A52" s="8" t="inlineStr">
        <is>
          <t>2026-02-10</t>
        </is>
      </c>
      <c r="B52" s="9" t="inlineStr">
        <is>
          <t>2026-02-10</t>
        </is>
      </c>
      <c r="C52" s="9" t="inlineStr">
        <is>
          <t>24702/25453</t>
        </is>
      </c>
      <c r="D52" s="9" t="n"/>
      <c r="E52" s="9" t="inlineStr">
        <is>
          <t>Payton Gin</t>
        </is>
      </c>
      <c r="F52" s="9" t="inlineStr">
        <is>
          <t>Austin</t>
        </is>
      </c>
      <c r="G52" s="9" t="inlineStr">
        <is>
          <t>Travis</t>
        </is>
      </c>
      <c r="H52" s="9" t="n">
        <v>7</v>
      </c>
      <c r="I52" s="9" t="inlineStr">
        <is>
          <t>1800 Payton Gin Road</t>
        </is>
      </c>
      <c r="J52" s="9" t="n">
        <v>78758</v>
      </c>
      <c r="K52" s="8" t="n">
        <v>45601</v>
      </c>
      <c r="L52" s="9" t="inlineStr">
        <is>
          <t>Approved</t>
        </is>
      </c>
      <c r="M52" s="8" t="n">
        <v>45694</v>
      </c>
      <c r="N52" s="8" t="n">
        <v>45749</v>
      </c>
      <c r="O52" s="8" t="n">
        <v>45971</v>
      </c>
      <c r="P52" s="8" t="n">
        <v>46151</v>
      </c>
      <c r="Q52" s="8" t="n"/>
      <c r="R52" s="9" t="inlineStr">
        <is>
          <t>New Construction</t>
        </is>
      </c>
      <c r="S52" s="9" t="inlineStr">
        <is>
          <t>General</t>
        </is>
      </c>
      <c r="T52" s="10" t="n">
        <v>176</v>
      </c>
      <c r="U52" s="10" t="n">
        <v>176</v>
      </c>
      <c r="V52" s="9" t="n"/>
      <c r="W52" s="9" t="n"/>
      <c r="X52" s="9" t="inlineStr">
        <is>
          <t>Travis County HFC</t>
        </is>
      </c>
      <c r="Y52" s="9" t="inlineStr">
        <is>
          <t>Local HFC</t>
        </is>
      </c>
      <c r="Z52" s="11" t="n">
        <v>33000000</v>
      </c>
      <c r="AA52" s="11" t="n"/>
      <c r="AB52" s="11" t="n">
        <v>2909484</v>
      </c>
      <c r="AC52" s="11" t="n">
        <v>2909060</v>
      </c>
      <c r="AD52" s="11" t="n"/>
      <c r="AE52" s="11" t="n"/>
      <c r="AF52" s="9" t="inlineStr">
        <is>
          <t>N</t>
        </is>
      </c>
      <c r="AG52" s="9" t="inlineStr">
        <is>
          <t>Y</t>
        </is>
      </c>
      <c r="AH52" s="9" t="n"/>
      <c r="AI52" s="9" t="inlineStr">
        <is>
          <t>Y</t>
        </is>
      </c>
      <c r="AJ52" s="8" t="n"/>
      <c r="AK52" s="9" t="inlineStr">
        <is>
          <t>Y</t>
        </is>
      </c>
      <c r="AL52" s="9" t="inlineStr">
        <is>
          <t>Y</t>
        </is>
      </c>
      <c r="AM52" s="9" t="inlineStr">
        <is>
          <t>Y</t>
        </is>
      </c>
      <c r="AN52" s="9" t="n"/>
      <c r="AO52" s="9" t="n"/>
      <c r="AP52" s="9" t="n"/>
      <c r="AQ52" s="9" t="n"/>
      <c r="AR52" s="9" t="n"/>
      <c r="AS52" s="9" t="inlineStr">
        <is>
          <t>N</t>
        </is>
      </c>
      <c r="AT52" s="8" t="n"/>
      <c r="AU52" s="8" t="n"/>
      <c r="AV52" s="9" t="n"/>
      <c r="AW52" s="8" t="n"/>
      <c r="AX52" s="9" t="inlineStr">
        <is>
          <t>N</t>
        </is>
      </c>
      <c r="AY52" s="9" t="inlineStr">
        <is>
          <t>Y</t>
        </is>
      </c>
      <c r="AZ52" s="9" t="inlineStr">
        <is>
          <t>Y</t>
        </is>
      </c>
      <c r="BA52" s="9" t="inlineStr">
        <is>
          <t>Y</t>
        </is>
      </c>
      <c r="BB52" s="9" t="inlineStr">
        <is>
          <t>Y</t>
        </is>
      </c>
      <c r="BC52" s="9" t="inlineStr">
        <is>
          <t>Y</t>
        </is>
      </c>
      <c r="BD52" s="9" t="n"/>
      <c r="BE52" s="9" t="inlineStr">
        <is>
          <t>N</t>
        </is>
      </c>
      <c r="BF52" s="9" t="n"/>
      <c r="BG52" s="9" t="n"/>
      <c r="BH52" s="9" t="n"/>
      <c r="BI52" s="9" t="n"/>
      <c r="BJ52" s="9" t="inlineStr">
        <is>
          <t>Y</t>
        </is>
      </c>
      <c r="BK52" s="9" t="inlineStr">
        <is>
          <t>N</t>
        </is>
      </c>
      <c r="BL52" s="9" t="inlineStr">
        <is>
          <t>N</t>
        </is>
      </c>
      <c r="BM52" s="9" t="inlineStr">
        <is>
          <t>Y</t>
        </is>
      </c>
      <c r="BN52" s="9" t="inlineStr">
        <is>
          <t>Y</t>
        </is>
      </c>
      <c r="BO52" s="8" t="n">
        <v>45601</v>
      </c>
      <c r="BP52" s="9" t="inlineStr">
        <is>
          <t>N</t>
        </is>
      </c>
      <c r="BQ52" s="9" t="inlineStr">
        <is>
          <t>Y</t>
        </is>
      </c>
      <c r="BR52" s="13">
        <f>IF(COUNTIF(AI52:BM52,"N")+COUNTBLANK(AI52:BM52)=0,"Y","N")</f>
        <v/>
      </c>
      <c r="BS52" s="13">
        <f>IF(AND(BR52="Y",OR(L52="Submitted",L52="Under Review")),"Y",IF(L52="Closed","Y","N"))</f>
        <v/>
      </c>
      <c r="BT52" s="10" t="n">
        <v>3</v>
      </c>
      <c r="BU52" s="13">
        <f>Rule_Flags!Q51</f>
        <v/>
      </c>
      <c r="BV52" s="13">
        <f>Rule_Flags!P51</f>
        <v/>
      </c>
      <c r="BW52" s="13">
        <f>IF(Rule_Flags!E51=1,"SITE_CONTROL",IF(Rule_Flags!F51=1,"APPROVALS",IF(Rule_Flags!G51=1,"REPORTS",IF(Rule_Flags!H51=1,"DEFICIENCY",IF(Rule_Flags!I51=1,"UNDERWRITING",IF(Rule_Flags!J51=1,"COMPLIANCE",""))))))</f>
        <v/>
      </c>
      <c r="BX52" s="13">
        <f>IF(BW52="SITE_CONTROL","Site control missing or invalid",IF(BW52="APPROVALS","Required approvals or resolutions incomplete",IF(BW52="REPORTS","Required third-party reports incomplete",IF(BW52="DEFICIENCY","Unresolved deficiency or material deficiency",IF(BW52="UNDERWRITING","Underwriting / feasibility not passed",IF(BW52="COMPLIANCE","Deconcentration, one-mile, LURA, or Chapter 12 issue","Ready under current engine rules"))))))</f>
        <v/>
      </c>
      <c r="BY52" s="13">
        <f>IF(BV52="Determination Notice","Streamlined + DN-ready assumptions satisfied",IF(BV52="Board","Board-required or board-ready assumptions satisfied",""))</f>
        <v/>
      </c>
      <c r="BZ52" s="13">
        <f>IF(AND(BP52="Y",BQ52&lt;&gt;"Y"),"Carryforward project retains queue priority",IF(BQ52="Y","New project enters behind carryforward projects",""))</f>
        <v/>
      </c>
      <c r="CA52" s="13">
        <f>_xludf.RANK.EQ(Rule_Flags!O51,Rule_Flags!$O$3:$O$402,0)</f>
        <v/>
      </c>
      <c r="CB52" s="13">
        <f>IF(OR(BU52="Determination Notice Issued",BU52="Board",BU52="Closed"),"Y","N")</f>
        <v/>
      </c>
      <c r="CC52" s="9" t="inlineStr">
        <is>
          <t>construction_type mapped from raw 'NC' to 'New Construction'</t>
        </is>
      </c>
      <c r="CD52" s="9" t="inlineStr">
        <is>
          <t>Logan Schmidt</t>
        </is>
      </c>
      <c r="CE52" s="9" t="inlineStr">
        <is>
          <t>(608) 604-2163</t>
        </is>
      </c>
      <c r="CF52" s="9" t="inlineStr">
        <is>
          <t>logan.schmidt@roerscompanies.com</t>
        </is>
      </c>
      <c r="CG52" s="9" t="inlineStr">
        <is>
          <t>Ana Everett</t>
        </is>
      </c>
      <c r="CH52" s="9" t="inlineStr">
        <is>
          <t>(512) 854-1745</t>
        </is>
      </c>
    </row>
    <row r="53">
      <c r="A53" s="8" t="inlineStr">
        <is>
          <t>2026-02-10</t>
        </is>
      </c>
      <c r="B53" s="9" t="inlineStr">
        <is>
          <t>2026-02-10</t>
        </is>
      </c>
      <c r="C53" s="9" t="inlineStr">
        <is>
          <t>25604</t>
        </is>
      </c>
      <c r="D53" s="9" t="n"/>
      <c r="E53" s="9" t="inlineStr">
        <is>
          <t>Trinity Junction</t>
        </is>
      </c>
      <c r="F53" s="9" t="inlineStr">
        <is>
          <t>Dallas</t>
        </is>
      </c>
      <c r="G53" s="9" t="inlineStr">
        <is>
          <t>Dallas</t>
        </is>
      </c>
      <c r="H53" s="9" t="n">
        <v>3</v>
      </c>
      <c r="I53" s="9" t="inlineStr">
        <is>
          <t>813 JJ Lemmon Road</t>
        </is>
      </c>
      <c r="J53" s="9" t="n">
        <v>75241</v>
      </c>
      <c r="K53" s="8" t="inlineStr">
        <is>
          <t>TBD</t>
        </is>
      </c>
      <c r="L53" s="9" t="inlineStr">
        <is>
          <t>Pre-Application</t>
        </is>
      </c>
      <c r="M53" s="8" t="inlineStr">
        <is>
          <t>TBD</t>
        </is>
      </c>
      <c r="N53" s="8" t="n"/>
      <c r="O53" s="8" t="n">
        <v>45883</v>
      </c>
      <c r="P53" s="8" t="n">
        <v>46063</v>
      </c>
      <c r="Q53" s="8" t="n"/>
      <c r="R53" s="9" t="inlineStr">
        <is>
          <t>New Construction</t>
        </is>
      </c>
      <c r="S53" s="9" t="inlineStr">
        <is>
          <t>General</t>
        </is>
      </c>
      <c r="T53" s="10" t="n">
        <v>300</v>
      </c>
      <c r="U53" s="10" t="n">
        <v>300</v>
      </c>
      <c r="V53" s="9" t="n"/>
      <c r="W53" s="9" t="n"/>
      <c r="X53" s="9" t="inlineStr">
        <is>
          <t>TDHCA</t>
        </is>
      </c>
      <c r="Y53" s="9" t="inlineStr">
        <is>
          <t>TDHCA</t>
        </is>
      </c>
      <c r="Z53" s="11" t="n">
        <v>50000000</v>
      </c>
      <c r="AA53" s="11" t="n"/>
      <c r="AB53" s="11" t="n">
        <v>4371486</v>
      </c>
      <c r="AC53" s="11" t="n"/>
      <c r="AD53" s="11" t="n"/>
      <c r="AE53" s="11" t="n"/>
      <c r="AF53" s="9" t="inlineStr">
        <is>
          <t>N</t>
        </is>
      </c>
      <c r="AG53" s="9" t="inlineStr">
        <is>
          <t>Y</t>
        </is>
      </c>
      <c r="AH53" s="9" t="n"/>
      <c r="AI53" s="9" t="inlineStr">
        <is>
          <t>Y</t>
        </is>
      </c>
      <c r="AJ53" s="8" t="n"/>
      <c r="AK53" s="9" t="inlineStr">
        <is>
          <t>Y</t>
        </is>
      </c>
      <c r="AL53" s="9" t="inlineStr">
        <is>
          <t>Y</t>
        </is>
      </c>
      <c r="AM53" s="9" t="inlineStr">
        <is>
          <t>Y</t>
        </is>
      </c>
      <c r="AN53" s="9" t="n"/>
      <c r="AO53" s="9" t="n"/>
      <c r="AP53" s="9" t="n"/>
      <c r="AQ53" s="9" t="n"/>
      <c r="AR53" s="9" t="n"/>
      <c r="AS53" s="9" t="inlineStr">
        <is>
          <t>N</t>
        </is>
      </c>
      <c r="AT53" s="8" t="n"/>
      <c r="AU53" s="8" t="n"/>
      <c r="AV53" s="9" t="n"/>
      <c r="AW53" s="8" t="n"/>
      <c r="AX53" s="9" t="inlineStr">
        <is>
          <t>N</t>
        </is>
      </c>
      <c r="AY53" s="9" t="inlineStr">
        <is>
          <t>Y</t>
        </is>
      </c>
      <c r="AZ53" s="9" t="inlineStr">
        <is>
          <t>Y</t>
        </is>
      </c>
      <c r="BA53" s="9" t="inlineStr">
        <is>
          <t>Y</t>
        </is>
      </c>
      <c r="BB53" s="9" t="inlineStr">
        <is>
          <t>Y</t>
        </is>
      </c>
      <c r="BC53" s="9" t="inlineStr">
        <is>
          <t>Y</t>
        </is>
      </c>
      <c r="BD53" s="9" t="n"/>
      <c r="BE53" s="9" t="inlineStr">
        <is>
          <t>N</t>
        </is>
      </c>
      <c r="BF53" s="9" t="n"/>
      <c r="BG53" s="9" t="n"/>
      <c r="BH53" s="9" t="n"/>
      <c r="BI53" s="9" t="n"/>
      <c r="BJ53" s="9" t="inlineStr">
        <is>
          <t>Y</t>
        </is>
      </c>
      <c r="BK53" s="9" t="inlineStr">
        <is>
          <t>N</t>
        </is>
      </c>
      <c r="BL53" s="9" t="inlineStr">
        <is>
          <t>N</t>
        </is>
      </c>
      <c r="BM53" s="9" t="inlineStr">
        <is>
          <t>Y</t>
        </is>
      </c>
      <c r="BN53" s="9" t="inlineStr">
        <is>
          <t>Y</t>
        </is>
      </c>
      <c r="BO53" s="8" t="inlineStr">
        <is>
          <t>TBD</t>
        </is>
      </c>
      <c r="BP53" s="9" t="inlineStr">
        <is>
          <t>N</t>
        </is>
      </c>
      <c r="BQ53" s="9" t="inlineStr">
        <is>
          <t>Y</t>
        </is>
      </c>
      <c r="BR53" s="13">
        <f>IF(COUNTIF(AI53:BM53,"N")+COUNTBLANK(AI53:BM53)=0,"Y","N")</f>
        <v/>
      </c>
      <c r="BS53" s="13">
        <f>IF(AND(BR53="Y",OR(L53="Submitted",L53="Under Review")),"Y",IF(L53="Closed","Y","N"))</f>
        <v/>
      </c>
      <c r="BT53" s="10" t="n">
        <v>91</v>
      </c>
      <c r="BU53" s="13">
        <f>Rule_Flags!Q52</f>
        <v/>
      </c>
      <c r="BV53" s="13">
        <f>Rule_Flags!P52</f>
        <v/>
      </c>
      <c r="BW53" s="13">
        <f>IF(Rule_Flags!E52=1,"SITE_CONTROL",IF(Rule_Flags!F52=1,"APPROVALS",IF(Rule_Flags!G52=1,"REPORTS",IF(Rule_Flags!H52=1,"DEFICIENCY",IF(Rule_Flags!I52=1,"UNDERWRITING",IF(Rule_Flags!J52=1,"COMPLIANCE",""))))))</f>
        <v/>
      </c>
      <c r="BX53" s="13">
        <f>IF(BW53="SITE_CONTROL","Site control missing or invalid",IF(BW53="APPROVALS","Required approvals or resolutions incomplete",IF(BW53="REPORTS","Required third-party reports incomplete",IF(BW53="DEFICIENCY","Unresolved deficiency or material deficiency",IF(BW53="UNDERWRITING","Underwriting / feasibility not passed",IF(BW53="COMPLIANCE","Deconcentration, one-mile, LURA, or Chapter 12 issue","Ready under current engine rules"))))))</f>
        <v/>
      </c>
      <c r="BY53" s="13">
        <f>IF(BV53="Determination Notice","Streamlined + DN-ready assumptions satisfied",IF(BV53="Board","Board-required or board-ready assumptions satisfied",""))</f>
        <v/>
      </c>
      <c r="BZ53" s="13">
        <f>IF(AND(BP53="Y",BQ53&lt;&gt;"Y"),"Carryforward project retains queue priority",IF(BQ53="Y","New project enters behind carryforward projects",""))</f>
        <v/>
      </c>
      <c r="CA53" s="13">
        <f>_xludf.RANK.EQ(Rule_Flags!O52,Rule_Flags!$O$3:$O$402,0)</f>
        <v/>
      </c>
      <c r="CB53" s="13">
        <f>IF(OR(BU53="Determination Notice Issued",BU53="Board",BU53="Closed"),"Y","N")</f>
        <v/>
      </c>
      <c r="CC53" s="9" t="inlineStr">
        <is>
          <t>construction_type mapped from raw 'NC' to 'New Construction'</t>
        </is>
      </c>
      <c r="CD53" s="9" t="inlineStr">
        <is>
          <t>Jason Trevino</t>
        </is>
      </c>
      <c r="CE53" s="9" t="inlineStr">
        <is>
          <t>(512)578-8488</t>
        </is>
      </c>
      <c r="CF53" s="9" t="inlineStr">
        <is>
          <t>jtrevino@ldgdevelopment.com</t>
        </is>
      </c>
      <c r="CG53" s="9" t="inlineStr">
        <is>
          <t>Teresa Morales</t>
        </is>
      </c>
      <c r="CH53" s="9" t="inlineStr">
        <is>
          <t>(512) 475-3344</t>
        </is>
      </c>
    </row>
    <row r="54">
      <c r="A54" s="8" t="inlineStr">
        <is>
          <t>2026-02-10</t>
        </is>
      </c>
      <c r="B54" s="9" t="inlineStr">
        <is>
          <t>2026-02-10</t>
        </is>
      </c>
      <c r="C54" s="9" t="inlineStr">
        <is>
          <t>25600</t>
        </is>
      </c>
      <c r="D54" s="9" t="n">
        <v>24614</v>
      </c>
      <c r="E54" s="9" t="inlineStr">
        <is>
          <t>Waters at Arrowood</t>
        </is>
      </c>
      <c r="F54" s="9" t="inlineStr">
        <is>
          <t>Houston</t>
        </is>
      </c>
      <c r="G54" s="9" t="inlineStr">
        <is>
          <t>Harris</t>
        </is>
      </c>
      <c r="H54" s="9" t="n">
        <v>6</v>
      </c>
      <c r="I54" s="9" t="inlineStr">
        <is>
          <t>8304 S. Course Road</t>
        </is>
      </c>
      <c r="J54" s="9" t="n">
        <v>77072</v>
      </c>
      <c r="K54" s="8" t="n">
        <v>45762</v>
      </c>
      <c r="L54" s="9" t="inlineStr">
        <is>
          <t>Withdrawn</t>
        </is>
      </c>
      <c r="M54" s="8" t="n">
        <v>45967</v>
      </c>
      <c r="N54" s="8" t="n"/>
      <c r="O54" s="8" t="n">
        <v>45883</v>
      </c>
      <c r="P54" s="8" t="n">
        <v>46063</v>
      </c>
      <c r="Q54" s="8" t="n"/>
      <c r="R54" s="9" t="inlineStr">
        <is>
          <t>Acq/Rehab</t>
        </is>
      </c>
      <c r="S54" s="9" t="inlineStr">
        <is>
          <t>General</t>
        </is>
      </c>
      <c r="T54" s="10" t="n">
        <v>302</v>
      </c>
      <c r="U54" s="10" t="n">
        <v>302</v>
      </c>
      <c r="V54" s="9" t="n"/>
      <c r="W54" s="9" t="n"/>
      <c r="X54" s="9" t="inlineStr">
        <is>
          <t>TDHCA</t>
        </is>
      </c>
      <c r="Y54" s="9" t="inlineStr">
        <is>
          <t>TDHCA</t>
        </is>
      </c>
      <c r="Z54" s="11" t="n">
        <v>30500000</v>
      </c>
      <c r="AA54" s="11" t="n"/>
      <c r="AB54" s="11" t="n">
        <v>2105730</v>
      </c>
      <c r="AC54" s="11" t="n"/>
      <c r="AD54" s="11" t="n"/>
      <c r="AE54" s="11" t="n"/>
      <c r="AF54" s="9" t="inlineStr">
        <is>
          <t>N</t>
        </is>
      </c>
      <c r="AG54" s="9" t="inlineStr">
        <is>
          <t>Y</t>
        </is>
      </c>
      <c r="AH54" s="9" t="n"/>
      <c r="AI54" s="9" t="inlineStr">
        <is>
          <t>Y</t>
        </is>
      </c>
      <c r="AJ54" s="8" t="n"/>
      <c r="AK54" s="9" t="inlineStr">
        <is>
          <t>Y</t>
        </is>
      </c>
      <c r="AL54" s="9" t="inlineStr">
        <is>
          <t>Y</t>
        </is>
      </c>
      <c r="AM54" s="9" t="inlineStr">
        <is>
          <t>Y</t>
        </is>
      </c>
      <c r="AN54" s="9" t="n"/>
      <c r="AO54" s="9" t="n"/>
      <c r="AP54" s="9" t="n"/>
      <c r="AQ54" s="9" t="n"/>
      <c r="AR54" s="9" t="n"/>
      <c r="AS54" s="9" t="inlineStr">
        <is>
          <t>N</t>
        </is>
      </c>
      <c r="AT54" s="8" t="n"/>
      <c r="AU54" s="8" t="n"/>
      <c r="AV54" s="9" t="n"/>
      <c r="AW54" s="8" t="n"/>
      <c r="AX54" s="9" t="inlineStr">
        <is>
          <t>N</t>
        </is>
      </c>
      <c r="AY54" s="9" t="inlineStr">
        <is>
          <t>Y</t>
        </is>
      </c>
      <c r="AZ54" s="9" t="inlineStr">
        <is>
          <t>Y</t>
        </is>
      </c>
      <c r="BA54" s="9" t="inlineStr">
        <is>
          <t>Y</t>
        </is>
      </c>
      <c r="BB54" s="9" t="inlineStr">
        <is>
          <t>Y</t>
        </is>
      </c>
      <c r="BC54" s="9" t="inlineStr">
        <is>
          <t>Y</t>
        </is>
      </c>
      <c r="BD54" s="9" t="n"/>
      <c r="BE54" s="9" t="inlineStr">
        <is>
          <t>N</t>
        </is>
      </c>
      <c r="BF54" s="9" t="n"/>
      <c r="BG54" s="9" t="n"/>
      <c r="BH54" s="9" t="n"/>
      <c r="BI54" s="9" t="n"/>
      <c r="BJ54" s="9" t="inlineStr">
        <is>
          <t>Y</t>
        </is>
      </c>
      <c r="BK54" s="9" t="inlineStr">
        <is>
          <t>N</t>
        </is>
      </c>
      <c r="BL54" s="9" t="inlineStr">
        <is>
          <t>N</t>
        </is>
      </c>
      <c r="BM54" s="9" t="inlineStr">
        <is>
          <t>Y</t>
        </is>
      </c>
      <c r="BN54" s="9" t="inlineStr">
        <is>
          <t>Y</t>
        </is>
      </c>
      <c r="BO54" s="8" t="n">
        <v>45762</v>
      </c>
      <c r="BP54" s="9" t="inlineStr">
        <is>
          <t>N</t>
        </is>
      </c>
      <c r="BQ54" s="9" t="inlineStr">
        <is>
          <t>Y</t>
        </is>
      </c>
      <c r="BR54" s="13">
        <f>IF(COUNTIF(AI54:BM54,"N")+COUNTBLANK(AI54:BM54)=0,"Y","N")</f>
        <v/>
      </c>
      <c r="BS54" s="13">
        <f>IF(AND(BR54="Y",OR(L54="Submitted",L54="Under Review")),"Y",IF(L54="Closed","Y","N"))</f>
        <v/>
      </c>
      <c r="BT54" s="10" t="n">
        <v>49</v>
      </c>
      <c r="BU54" s="13">
        <f>Rule_Flags!Q53</f>
        <v/>
      </c>
      <c r="BV54" s="13">
        <f>Rule_Flags!P53</f>
        <v/>
      </c>
      <c r="BW54" s="13">
        <f>IF(Rule_Flags!E53=1,"SITE_CONTROL",IF(Rule_Flags!F53=1,"APPROVALS",IF(Rule_Flags!G53=1,"REPORTS",IF(Rule_Flags!H53=1,"DEFICIENCY",IF(Rule_Flags!I53=1,"UNDERWRITING",IF(Rule_Flags!J53=1,"COMPLIANCE",""))))))</f>
        <v/>
      </c>
      <c r="BX54" s="13">
        <f>IF(BW54="SITE_CONTROL","Site control missing or invalid",IF(BW54="APPROVALS","Required approvals or resolutions incomplete",IF(BW54="REPORTS","Required third-party reports incomplete",IF(BW54="DEFICIENCY","Unresolved deficiency or material deficiency",IF(BW54="UNDERWRITING","Underwriting / feasibility not passed",IF(BW54="COMPLIANCE","Deconcentration, one-mile, LURA, or Chapter 12 issue","Ready under current engine rules"))))))</f>
        <v/>
      </c>
      <c r="BY54" s="13">
        <f>IF(BV54="Determination Notice","Streamlined + DN-ready assumptions satisfied",IF(BV54="Board","Board-required or board-ready assumptions satisfied",""))</f>
        <v/>
      </c>
      <c r="BZ54" s="13">
        <f>IF(AND(BP54="Y",BQ54&lt;&gt;"Y"),"Carryforward project retains queue priority",IF(BQ54="Y","New project enters behind carryforward projects",""))</f>
        <v/>
      </c>
      <c r="CA54" s="13">
        <f>_xludf.RANK.EQ(Rule_Flags!O53,Rule_Flags!$O$3:$O$402,0)</f>
        <v/>
      </c>
      <c r="CB54" s="13">
        <f>IF(OR(BU54="Determination Notice Issued",BU54="Board",BU54="Closed"),"Y","N")</f>
        <v/>
      </c>
      <c r="CC54" s="9" t="n"/>
      <c r="CD54" s="9" t="inlineStr">
        <is>
          <t>Rafael Navarro</t>
        </is>
      </c>
      <c r="CE54" s="9" t="inlineStr">
        <is>
          <t>(469) 206-8930</t>
        </is>
      </c>
      <c r="CF54" s="9" t="inlineStr">
        <is>
          <t>rnavarro@atlantichousing.org</t>
        </is>
      </c>
      <c r="CG54" s="9" t="inlineStr">
        <is>
          <t>Teresa Morales</t>
        </is>
      </c>
      <c r="CH54" s="9" t="inlineStr">
        <is>
          <t>(512) 475-3344</t>
        </is>
      </c>
    </row>
    <row r="55">
      <c r="A55" s="8" t="inlineStr">
        <is>
          <t>2026-02-10</t>
        </is>
      </c>
      <c r="B55" s="9" t="inlineStr">
        <is>
          <t>2026-02-10</t>
        </is>
      </c>
      <c r="C55" s="9" t="inlineStr">
        <is>
          <t>25461</t>
        </is>
      </c>
      <c r="D55" s="9" t="n"/>
      <c r="E55" s="9" t="inlineStr">
        <is>
          <t>Coolwood Oaks</t>
        </is>
      </c>
      <c r="F55" s="9" t="inlineStr">
        <is>
          <t>Houston</t>
        </is>
      </c>
      <c r="G55" s="9" t="inlineStr">
        <is>
          <t>Harris</t>
        </is>
      </c>
      <c r="H55" s="9" t="n">
        <v>6</v>
      </c>
      <c r="I55" s="9" t="inlineStr">
        <is>
          <t>777 Coolwood Drive</t>
        </is>
      </c>
      <c r="J55" s="9" t="n">
        <v>77013</v>
      </c>
      <c r="K55" s="8" t="n">
        <v>45782</v>
      </c>
      <c r="L55" s="9" t="inlineStr">
        <is>
          <t>Approved</t>
        </is>
      </c>
      <c r="M55" s="8" t="n">
        <v>45904</v>
      </c>
      <c r="N55" s="8" t="n">
        <v>45910</v>
      </c>
      <c r="O55" s="8" t="n">
        <v>45890</v>
      </c>
      <c r="P55" s="8" t="n">
        <v>46070</v>
      </c>
      <c r="Q55" s="8" t="n"/>
      <c r="R55" s="9" t="inlineStr">
        <is>
          <t>Acq/Rehab</t>
        </is>
      </c>
      <c r="S55" s="9" t="inlineStr">
        <is>
          <t>General</t>
        </is>
      </c>
      <c r="T55" s="10" t="n">
        <v>168</v>
      </c>
      <c r="U55" s="10" t="n">
        <v>168</v>
      </c>
      <c r="V55" s="9" t="n"/>
      <c r="W55" s="9" t="n"/>
      <c r="X55" s="9" t="inlineStr">
        <is>
          <t>Houston HFC</t>
        </is>
      </c>
      <c r="Y55" s="9" t="inlineStr">
        <is>
          <t>Local HFC</t>
        </is>
      </c>
      <c r="Z55" s="11" t="n">
        <v>27000000</v>
      </c>
      <c r="AA55" s="11" t="n"/>
      <c r="AB55" s="11" t="n">
        <v>1690387</v>
      </c>
      <c r="AC55" s="11" t="n">
        <v>1690387</v>
      </c>
      <c r="AD55" s="11" t="n"/>
      <c r="AE55" s="11" t="n"/>
      <c r="AF55" s="9" t="inlineStr">
        <is>
          <t>N</t>
        </is>
      </c>
      <c r="AG55" s="9" t="inlineStr">
        <is>
          <t>Y</t>
        </is>
      </c>
      <c r="AH55" s="9" t="n"/>
      <c r="AI55" s="9" t="inlineStr">
        <is>
          <t>Y</t>
        </is>
      </c>
      <c r="AJ55" s="8" t="n"/>
      <c r="AK55" s="9" t="inlineStr">
        <is>
          <t>Y</t>
        </is>
      </c>
      <c r="AL55" s="9" t="inlineStr">
        <is>
          <t>Y</t>
        </is>
      </c>
      <c r="AM55" s="9" t="inlineStr">
        <is>
          <t>Y</t>
        </is>
      </c>
      <c r="AN55" s="9" t="n"/>
      <c r="AO55" s="9" t="n"/>
      <c r="AP55" s="9" t="n"/>
      <c r="AQ55" s="9" t="n"/>
      <c r="AR55" s="9" t="n"/>
      <c r="AS55" s="9" t="inlineStr">
        <is>
          <t>N</t>
        </is>
      </c>
      <c r="AT55" s="8" t="n"/>
      <c r="AU55" s="8" t="n"/>
      <c r="AV55" s="9" t="n"/>
      <c r="AW55" s="8" t="n"/>
      <c r="AX55" s="9" t="inlineStr">
        <is>
          <t>N</t>
        </is>
      </c>
      <c r="AY55" s="9" t="inlineStr">
        <is>
          <t>Y</t>
        </is>
      </c>
      <c r="AZ55" s="9" t="inlineStr">
        <is>
          <t>Y</t>
        </is>
      </c>
      <c r="BA55" s="9" t="inlineStr">
        <is>
          <t>Y</t>
        </is>
      </c>
      <c r="BB55" s="9" t="inlineStr">
        <is>
          <t>Y</t>
        </is>
      </c>
      <c r="BC55" s="9" t="inlineStr">
        <is>
          <t>Y</t>
        </is>
      </c>
      <c r="BD55" s="9" t="n"/>
      <c r="BE55" s="9" t="inlineStr">
        <is>
          <t>N</t>
        </is>
      </c>
      <c r="BF55" s="9" t="n"/>
      <c r="BG55" s="9" t="n"/>
      <c r="BH55" s="9" t="n"/>
      <c r="BI55" s="9" t="n"/>
      <c r="BJ55" s="9" t="inlineStr">
        <is>
          <t>Y</t>
        </is>
      </c>
      <c r="BK55" s="9" t="inlineStr">
        <is>
          <t>N</t>
        </is>
      </c>
      <c r="BL55" s="9" t="inlineStr">
        <is>
          <t>N</t>
        </is>
      </c>
      <c r="BM55" s="9" t="inlineStr">
        <is>
          <t>Y</t>
        </is>
      </c>
      <c r="BN55" s="9" t="inlineStr">
        <is>
          <t>Y</t>
        </is>
      </c>
      <c r="BO55" s="8" t="n">
        <v>45782</v>
      </c>
      <c r="BP55" s="9" t="inlineStr">
        <is>
          <t>N</t>
        </is>
      </c>
      <c r="BQ55" s="9" t="inlineStr">
        <is>
          <t>Y</t>
        </is>
      </c>
      <c r="BR55" s="13">
        <f>IF(COUNTIF(AI55:BM55,"N")+COUNTBLANK(AI55:BM55)=0,"Y","N")</f>
        <v/>
      </c>
      <c r="BS55" s="13">
        <f>IF(AND(BR55="Y",OR(L55="Submitted",L55="Under Review")),"Y",IF(L55="Closed","Y","N"))</f>
        <v/>
      </c>
      <c r="BT55" s="10" t="n">
        <v>50</v>
      </c>
      <c r="BU55" s="13">
        <f>Rule_Flags!Q54</f>
        <v/>
      </c>
      <c r="BV55" s="13">
        <f>Rule_Flags!P54</f>
        <v/>
      </c>
      <c r="BW55" s="13">
        <f>IF(Rule_Flags!E54=1,"SITE_CONTROL",IF(Rule_Flags!F54=1,"APPROVALS",IF(Rule_Flags!G54=1,"REPORTS",IF(Rule_Flags!H54=1,"DEFICIENCY",IF(Rule_Flags!I54=1,"UNDERWRITING",IF(Rule_Flags!J54=1,"COMPLIANCE",""))))))</f>
        <v/>
      </c>
      <c r="BX55" s="13">
        <f>IF(BW55="SITE_CONTROL","Site control missing or invalid",IF(BW55="APPROVALS","Required approvals or resolutions incomplete",IF(BW55="REPORTS","Required third-party reports incomplete",IF(BW55="DEFICIENCY","Unresolved deficiency or material deficiency",IF(BW55="UNDERWRITING","Underwriting / feasibility not passed",IF(BW55="COMPLIANCE","Deconcentration, one-mile, LURA, or Chapter 12 issue","Ready under current engine rules"))))))</f>
        <v/>
      </c>
      <c r="BY55" s="13">
        <f>IF(BV55="Determination Notice","Streamlined + DN-ready assumptions satisfied",IF(BV55="Board","Board-required or board-ready assumptions satisfied",""))</f>
        <v/>
      </c>
      <c r="BZ55" s="13">
        <f>IF(AND(BP55="Y",BQ55&lt;&gt;"Y"),"Carryforward project retains queue priority",IF(BQ55="Y","New project enters behind carryforward projects",""))</f>
        <v/>
      </c>
      <c r="CA55" s="13">
        <f>_xludf.RANK.EQ(Rule_Flags!O54,Rule_Flags!$O$3:$O$402,0)</f>
        <v/>
      </c>
      <c r="CB55" s="13">
        <f>IF(OR(BU55="Determination Notice Issued",BU55="Board",BU55="Closed"),"Y","N")</f>
        <v/>
      </c>
      <c r="CC55" s="9" t="n"/>
      <c r="CD55" s="9" t="inlineStr">
        <is>
          <t>Allan Izzo</t>
        </is>
      </c>
      <c r="CE55" s="9" t="inlineStr">
        <is>
          <t>(646) 825-7106</t>
        </is>
      </c>
      <c r="CF55" s="9" t="inlineStr">
        <is>
          <t>allan.izzo@fairstead.com</t>
        </is>
      </c>
      <c r="CG55" s="9" t="inlineStr">
        <is>
          <t>Richard Mudd, Sr.</t>
        </is>
      </c>
      <c r="CH55" s="9" t="inlineStr">
        <is>
          <t>(713) 461-2749</t>
        </is>
      </c>
    </row>
    <row r="56">
      <c r="A56" s="8" t="inlineStr">
        <is>
          <t>2026-02-10</t>
        </is>
      </c>
      <c r="B56" s="9" t="inlineStr">
        <is>
          <t>2026-02-10</t>
        </is>
      </c>
      <c r="C56" s="9" t="inlineStr">
        <is>
          <t>25455</t>
        </is>
      </c>
      <c r="D56" s="9" t="n"/>
      <c r="E56" s="9" t="inlineStr">
        <is>
          <t>Orion Apartments</t>
        </is>
      </c>
      <c r="F56" s="9" t="inlineStr">
        <is>
          <t>San Antonio</t>
        </is>
      </c>
      <c r="G56" s="9" t="inlineStr">
        <is>
          <t>Bexar</t>
        </is>
      </c>
      <c r="H56" s="9" t="n">
        <v>9</v>
      </c>
      <c r="I56" s="9" t="inlineStr">
        <is>
          <t>13107 SW Loop 410</t>
        </is>
      </c>
      <c r="J56" s="9" t="n">
        <v>78224</v>
      </c>
      <c r="K56" s="8" t="n">
        <v>45784</v>
      </c>
      <c r="L56" s="9" t="inlineStr">
        <is>
          <t>Closed</t>
        </is>
      </c>
      <c r="M56" s="8" t="n">
        <v>45904</v>
      </c>
      <c r="N56" s="8" t="n">
        <v>45905</v>
      </c>
      <c r="O56" s="8" t="n">
        <v>45672</v>
      </c>
      <c r="P56" s="8" t="n">
        <v>46752</v>
      </c>
      <c r="Q56" s="8" t="n"/>
      <c r="R56" s="9" t="inlineStr">
        <is>
          <t>New Construction</t>
        </is>
      </c>
      <c r="S56" s="9" t="inlineStr">
        <is>
          <t>General</t>
        </is>
      </c>
      <c r="T56" s="10" t="n">
        <v>336</v>
      </c>
      <c r="U56" s="10" t="n">
        <v>336</v>
      </c>
      <c r="V56" s="9" t="n"/>
      <c r="W56" s="9" t="n"/>
      <c r="X56" s="9" t="inlineStr">
        <is>
          <t>San Antonio HT PFC</t>
        </is>
      </c>
      <c r="Y56" s="9" t="inlineStr">
        <is>
          <t>Other</t>
        </is>
      </c>
      <c r="Z56" s="11" t="n">
        <v>50000000</v>
      </c>
      <c r="AA56" s="11" t="n"/>
      <c r="AB56" s="11" t="n">
        <v>4650430</v>
      </c>
      <c r="AC56" s="11" t="n">
        <v>4650430</v>
      </c>
      <c r="AD56" s="11" t="n"/>
      <c r="AE56" s="11" t="n"/>
      <c r="AF56" s="9" t="inlineStr">
        <is>
          <t>N</t>
        </is>
      </c>
      <c r="AG56" s="9" t="inlineStr">
        <is>
          <t>Y</t>
        </is>
      </c>
      <c r="AH56" s="9" t="inlineStr">
        <is>
          <t>Y</t>
        </is>
      </c>
      <c r="AI56" s="9" t="inlineStr">
        <is>
          <t>Y</t>
        </is>
      </c>
      <c r="AJ56" s="8" t="n"/>
      <c r="AK56" s="9" t="inlineStr">
        <is>
          <t>Y</t>
        </is>
      </c>
      <c r="AL56" s="9" t="inlineStr">
        <is>
          <t>Y</t>
        </is>
      </c>
      <c r="AM56" s="9" t="inlineStr">
        <is>
          <t>Y</t>
        </is>
      </c>
      <c r="AN56" s="9" t="n"/>
      <c r="AO56" s="9" t="n"/>
      <c r="AP56" s="9" t="n"/>
      <c r="AQ56" s="9" t="n"/>
      <c r="AR56" s="9" t="n"/>
      <c r="AS56" s="9" t="inlineStr">
        <is>
          <t>N</t>
        </is>
      </c>
      <c r="AT56" s="8" t="n"/>
      <c r="AU56" s="8" t="n"/>
      <c r="AV56" s="9" t="n"/>
      <c r="AW56" s="8" t="n"/>
      <c r="AX56" s="9" t="inlineStr">
        <is>
          <t>N</t>
        </is>
      </c>
      <c r="AY56" s="9" t="inlineStr">
        <is>
          <t>Y</t>
        </is>
      </c>
      <c r="AZ56" s="9" t="inlineStr">
        <is>
          <t>Y</t>
        </is>
      </c>
      <c r="BA56" s="9" t="inlineStr">
        <is>
          <t>Y</t>
        </is>
      </c>
      <c r="BB56" s="9" t="inlineStr">
        <is>
          <t>Y</t>
        </is>
      </c>
      <c r="BC56" s="9" t="inlineStr">
        <is>
          <t>Y</t>
        </is>
      </c>
      <c r="BD56" s="9" t="n"/>
      <c r="BE56" s="9" t="inlineStr">
        <is>
          <t>N</t>
        </is>
      </c>
      <c r="BF56" s="9" t="n"/>
      <c r="BG56" s="9" t="n"/>
      <c r="BH56" s="9" t="n"/>
      <c r="BI56" s="9" t="n"/>
      <c r="BJ56" s="9" t="inlineStr">
        <is>
          <t>Y</t>
        </is>
      </c>
      <c r="BK56" s="9" t="inlineStr">
        <is>
          <t>N</t>
        </is>
      </c>
      <c r="BL56" s="9" t="inlineStr">
        <is>
          <t>N</t>
        </is>
      </c>
      <c r="BM56" s="9" t="inlineStr">
        <is>
          <t>Y</t>
        </is>
      </c>
      <c r="BN56" s="9" t="inlineStr">
        <is>
          <t>Y</t>
        </is>
      </c>
      <c r="BO56" s="8" t="n">
        <v>45784</v>
      </c>
      <c r="BP56" s="9" t="inlineStr">
        <is>
          <t>N</t>
        </is>
      </c>
      <c r="BQ56" s="9" t="inlineStr">
        <is>
          <t>Y</t>
        </is>
      </c>
      <c r="BR56" s="13">
        <f>IF(COUNTIF(AI56:BM56,"N")+COUNTBLANK(AI56:BM56)=0,"Y","N")</f>
        <v/>
      </c>
      <c r="BS56" s="13">
        <f>IF(AND(BR56="Y",OR(L56="Submitted",L56="Under Review")),"Y",IF(L56="Closed","Y","N"))</f>
        <v/>
      </c>
      <c r="BT56" s="10" t="n">
        <v>51</v>
      </c>
      <c r="BU56" s="13">
        <f>Rule_Flags!Q55</f>
        <v/>
      </c>
      <c r="BV56" s="13">
        <f>Rule_Flags!P55</f>
        <v/>
      </c>
      <c r="BW56" s="13">
        <f>IF(Rule_Flags!E55=1,"SITE_CONTROL",IF(Rule_Flags!F55=1,"APPROVALS",IF(Rule_Flags!G55=1,"REPORTS",IF(Rule_Flags!H55=1,"DEFICIENCY",IF(Rule_Flags!I55=1,"UNDERWRITING",IF(Rule_Flags!J55=1,"COMPLIANCE",""))))))</f>
        <v/>
      </c>
      <c r="BX56" s="13">
        <f>IF(BW56="SITE_CONTROL","Site control missing or invalid",IF(BW56="APPROVALS","Required approvals or resolutions incomplete",IF(BW56="REPORTS","Required third-party reports incomplete",IF(BW56="DEFICIENCY","Unresolved deficiency or material deficiency",IF(BW56="UNDERWRITING","Underwriting / feasibility not passed",IF(BW56="COMPLIANCE","Deconcentration, one-mile, LURA, or Chapter 12 issue","Ready under current engine rules"))))))</f>
        <v/>
      </c>
      <c r="BY56" s="13">
        <f>IF(BV56="Determination Notice","Streamlined + DN-ready assumptions satisfied",IF(BV56="Board","Board-required or board-ready assumptions satisfied",""))</f>
        <v/>
      </c>
      <c r="BZ56" s="13">
        <f>IF(AND(BP56="Y",BQ56&lt;&gt;"Y"),"Carryforward project retains queue priority",IF(BQ56="Y","New project enters behind carryforward projects",""))</f>
        <v/>
      </c>
      <c r="CA56" s="13">
        <f>_xludf.RANK.EQ(Rule_Flags!O55,Rule_Flags!$O$3:$O$402,0)</f>
        <v/>
      </c>
      <c r="CB56" s="13">
        <f>IF(OR(BU56="Determination Notice Issued",BU56="Board",BU56="Closed"),"Y","N")</f>
        <v/>
      </c>
      <c r="CC56" s="9" t="inlineStr">
        <is>
          <t>construction_type mapped from raw 'NC' to 'New Construction'</t>
        </is>
      </c>
      <c r="CD56" s="9" t="inlineStr">
        <is>
          <t>Jean Latsha</t>
        </is>
      </c>
      <c r="CE56" s="9" t="inlineStr">
        <is>
          <t>(512) 470-7312</t>
        </is>
      </c>
      <c r="CF56" s="9" t="inlineStr">
        <is>
          <t>jlatsha@pedcor.net</t>
        </is>
      </c>
      <c r="CG56" s="9" t="inlineStr">
        <is>
          <t>Pedro Alanis</t>
        </is>
      </c>
      <c r="CH56" s="9" t="inlineStr">
        <is>
          <t>(210) 735-2772</t>
        </is>
      </c>
    </row>
    <row r="57">
      <c r="A57" s="8" t="inlineStr">
        <is>
          <t>2026-02-10</t>
        </is>
      </c>
      <c r="B57" s="9" t="inlineStr">
        <is>
          <t>2026-02-10</t>
        </is>
      </c>
      <c r="C57" s="9" t="inlineStr">
        <is>
          <t>25421</t>
        </is>
      </c>
      <c r="D57" s="9" t="n"/>
      <c r="E57" s="9" t="inlineStr">
        <is>
          <t>Sycamores at Pleasant Valley</t>
        </is>
      </c>
      <c r="F57" s="9" t="inlineStr">
        <is>
          <t>Austin</t>
        </is>
      </c>
      <c r="G57" s="9" t="inlineStr">
        <is>
          <t>Travis</t>
        </is>
      </c>
      <c r="H57" s="9" t="n">
        <v>7</v>
      </c>
      <c r="I57" s="9" t="inlineStr">
        <is>
          <t>5900 South Pleasant Valley</t>
        </is>
      </c>
      <c r="J57" s="9" t="n">
        <v>78744</v>
      </c>
      <c r="K57" s="8" t="n">
        <v>45786</v>
      </c>
      <c r="L57" s="9" t="inlineStr">
        <is>
          <t>Approved</t>
        </is>
      </c>
      <c r="M57" s="8" t="n">
        <v>45904</v>
      </c>
      <c r="N57" s="8" t="n">
        <v>45915</v>
      </c>
      <c r="O57" s="8" t="n">
        <v>45911</v>
      </c>
      <c r="P57" s="8" t="n">
        <v>46091</v>
      </c>
      <c r="Q57" s="8" t="n"/>
      <c r="R57" s="9" t="inlineStr">
        <is>
          <t>New Construction</t>
        </is>
      </c>
      <c r="S57" s="9" t="inlineStr">
        <is>
          <t>General</t>
        </is>
      </c>
      <c r="T57" s="10" t="n">
        <v>75</v>
      </c>
      <c r="U57" s="10" t="n">
        <v>75</v>
      </c>
      <c r="V57" s="9" t="n"/>
      <c r="W57" s="9" t="n"/>
      <c r="X57" s="9" t="inlineStr">
        <is>
          <t>Austin HFC</t>
        </is>
      </c>
      <c r="Y57" s="9" t="inlineStr">
        <is>
          <t>Local HFC</t>
        </is>
      </c>
      <c r="Z57" s="11" t="n">
        <v>25000000</v>
      </c>
      <c r="AA57" s="11" t="n"/>
      <c r="AB57" s="11" t="n">
        <v>1489920</v>
      </c>
      <c r="AC57" s="11" t="n">
        <v>1489920</v>
      </c>
      <c r="AD57" s="11" t="n"/>
      <c r="AE57" s="11" t="n"/>
      <c r="AF57" s="9" t="inlineStr">
        <is>
          <t>N</t>
        </is>
      </c>
      <c r="AG57" s="9" t="inlineStr">
        <is>
          <t>Y</t>
        </is>
      </c>
      <c r="AH57" s="9" t="n"/>
      <c r="AI57" s="9" t="inlineStr">
        <is>
          <t>Y</t>
        </is>
      </c>
      <c r="AJ57" s="8" t="n"/>
      <c r="AK57" s="9" t="inlineStr">
        <is>
          <t>Y</t>
        </is>
      </c>
      <c r="AL57" s="9" t="inlineStr">
        <is>
          <t>Y</t>
        </is>
      </c>
      <c r="AM57" s="9" t="inlineStr">
        <is>
          <t>Y</t>
        </is>
      </c>
      <c r="AN57" s="9" t="n"/>
      <c r="AO57" s="9" t="n"/>
      <c r="AP57" s="9" t="n"/>
      <c r="AQ57" s="9" t="n"/>
      <c r="AR57" s="9" t="n"/>
      <c r="AS57" s="9" t="inlineStr">
        <is>
          <t>N</t>
        </is>
      </c>
      <c r="AT57" s="8" t="n"/>
      <c r="AU57" s="8" t="n"/>
      <c r="AV57" s="9" t="n"/>
      <c r="AW57" s="8" t="n"/>
      <c r="AX57" s="9" t="inlineStr">
        <is>
          <t>N</t>
        </is>
      </c>
      <c r="AY57" s="9" t="inlineStr">
        <is>
          <t>Y</t>
        </is>
      </c>
      <c r="AZ57" s="9" t="inlineStr">
        <is>
          <t>Y</t>
        </is>
      </c>
      <c r="BA57" s="9" t="inlineStr">
        <is>
          <t>Y</t>
        </is>
      </c>
      <c r="BB57" s="9" t="inlineStr">
        <is>
          <t>Y</t>
        </is>
      </c>
      <c r="BC57" s="9" t="inlineStr">
        <is>
          <t>Y</t>
        </is>
      </c>
      <c r="BD57" s="9" t="n"/>
      <c r="BE57" s="9" t="inlineStr">
        <is>
          <t>N</t>
        </is>
      </c>
      <c r="BF57" s="9" t="n"/>
      <c r="BG57" s="9" t="n"/>
      <c r="BH57" s="9" t="n"/>
      <c r="BI57" s="9" t="n"/>
      <c r="BJ57" s="9" t="inlineStr">
        <is>
          <t>Y</t>
        </is>
      </c>
      <c r="BK57" s="9" t="inlineStr">
        <is>
          <t>N</t>
        </is>
      </c>
      <c r="BL57" s="9" t="inlineStr">
        <is>
          <t>N</t>
        </is>
      </c>
      <c r="BM57" s="9" t="inlineStr">
        <is>
          <t>Y</t>
        </is>
      </c>
      <c r="BN57" s="9" t="inlineStr">
        <is>
          <t>Y</t>
        </is>
      </c>
      <c r="BO57" s="8" t="n">
        <v>45786</v>
      </c>
      <c r="BP57" s="9" t="inlineStr">
        <is>
          <t>N</t>
        </is>
      </c>
      <c r="BQ57" s="9" t="inlineStr">
        <is>
          <t>Y</t>
        </is>
      </c>
      <c r="BR57" s="13">
        <f>IF(COUNTIF(AI57:BM57,"N")+COUNTBLANK(AI57:BM57)=0,"Y","N")</f>
        <v/>
      </c>
      <c r="BS57" s="13">
        <f>IF(AND(BR57="Y",OR(L57="Submitted",L57="Under Review")),"Y",IF(L57="Closed","Y","N"))</f>
        <v/>
      </c>
      <c r="BT57" s="10" t="n">
        <v>52</v>
      </c>
      <c r="BU57" s="13">
        <f>Rule_Flags!Q56</f>
        <v/>
      </c>
      <c r="BV57" s="13">
        <f>Rule_Flags!P56</f>
        <v/>
      </c>
      <c r="BW57" s="13">
        <f>IF(Rule_Flags!E56=1,"SITE_CONTROL",IF(Rule_Flags!F56=1,"APPROVALS",IF(Rule_Flags!G56=1,"REPORTS",IF(Rule_Flags!H56=1,"DEFICIENCY",IF(Rule_Flags!I56=1,"UNDERWRITING",IF(Rule_Flags!J56=1,"COMPLIANCE",""))))))</f>
        <v/>
      </c>
      <c r="BX57" s="13">
        <f>IF(BW57="SITE_CONTROL","Site control missing or invalid",IF(BW57="APPROVALS","Required approvals or resolutions incomplete",IF(BW57="REPORTS","Required third-party reports incomplete",IF(BW57="DEFICIENCY","Unresolved deficiency or material deficiency",IF(BW57="UNDERWRITING","Underwriting / feasibility not passed",IF(BW57="COMPLIANCE","Deconcentration, one-mile, LURA, or Chapter 12 issue","Ready under current engine rules"))))))</f>
        <v/>
      </c>
      <c r="BY57" s="13">
        <f>IF(BV57="Determination Notice","Streamlined + DN-ready assumptions satisfied",IF(BV57="Board","Board-required or board-ready assumptions satisfied",""))</f>
        <v/>
      </c>
      <c r="BZ57" s="13">
        <f>IF(AND(BP57="Y",BQ57&lt;&gt;"Y"),"Carryforward project retains queue priority",IF(BQ57="Y","New project enters behind carryforward projects",""))</f>
        <v/>
      </c>
      <c r="CA57" s="13">
        <f>_xludf.RANK.EQ(Rule_Flags!O56,Rule_Flags!$O$3:$O$402,0)</f>
        <v/>
      </c>
      <c r="CB57" s="13">
        <f>IF(OR(BU57="Determination Notice Issued",BU57="Board",BU57="Closed"),"Y","N")</f>
        <v/>
      </c>
      <c r="CC57" s="9" t="inlineStr">
        <is>
          <t>construction_type mapped from raw 'NC' to 'New Construction'</t>
        </is>
      </c>
      <c r="CD57" s="9" t="inlineStr">
        <is>
          <t>Sarah Andre</t>
        </is>
      </c>
      <c r="CE57" s="9" t="inlineStr">
        <is>
          <t>(512) 698-3369</t>
        </is>
      </c>
      <c r="CF57" s="9" t="inlineStr">
        <is>
          <t>sarah@structuretexas.com</t>
        </is>
      </c>
      <c r="CG57" s="9" t="inlineStr">
        <is>
          <t>Genaro Pena</t>
        </is>
      </c>
      <c r="CH57" s="9" t="inlineStr">
        <is>
          <t>(512) 974-2137</t>
        </is>
      </c>
    </row>
    <row r="58">
      <c r="A58" s="8" t="inlineStr">
        <is>
          <t>2026-02-10</t>
        </is>
      </c>
      <c r="B58" s="9" t="inlineStr">
        <is>
          <t>2026-02-10</t>
        </is>
      </c>
      <c r="C58" s="9" t="inlineStr">
        <is>
          <t>25601</t>
        </is>
      </c>
      <c r="D58" s="9" t="n">
        <v>24613</v>
      </c>
      <c r="E58" s="9" t="inlineStr">
        <is>
          <t>Waters at Waterchase</t>
        </is>
      </c>
      <c r="F58" s="9" t="inlineStr">
        <is>
          <t>Dallas</t>
        </is>
      </c>
      <c r="G58" s="9" t="inlineStr">
        <is>
          <t>Dallas</t>
        </is>
      </c>
      <c r="H58" s="9" t="n">
        <v>3</v>
      </c>
      <c r="I58" s="9" t="inlineStr">
        <is>
          <t>12365 Plano Road</t>
        </is>
      </c>
      <c r="J58" s="9" t="n">
        <v>75243</v>
      </c>
      <c r="K58" s="8" t="n">
        <v>45790</v>
      </c>
      <c r="L58" s="9" t="inlineStr">
        <is>
          <t>Active</t>
        </is>
      </c>
      <c r="M58" s="8" t="n">
        <v>46002</v>
      </c>
      <c r="N58" s="8" t="n"/>
      <c r="O58" s="8" t="n">
        <v>45883</v>
      </c>
      <c r="P58" s="8" t="n">
        <v>46063</v>
      </c>
      <c r="Q58" s="8" t="n"/>
      <c r="R58" s="9" t="inlineStr">
        <is>
          <t>Acq/Rehab</t>
        </is>
      </c>
      <c r="S58" s="9" t="inlineStr">
        <is>
          <t>General</t>
        </is>
      </c>
      <c r="T58" s="10" t="n">
        <v>130</v>
      </c>
      <c r="U58" s="10" t="n">
        <v>130</v>
      </c>
      <c r="V58" s="9" t="n"/>
      <c r="W58" s="9" t="n"/>
      <c r="X58" s="9" t="inlineStr">
        <is>
          <t>TDHCA</t>
        </is>
      </c>
      <c r="Y58" s="9" t="inlineStr">
        <is>
          <t>TDHCA</t>
        </is>
      </c>
      <c r="Z58" s="11" t="n">
        <v>20000000</v>
      </c>
      <c r="AA58" s="11" t="n"/>
      <c r="AB58" s="11" t="n">
        <v>1353213</v>
      </c>
      <c r="AC58" s="11" t="n"/>
      <c r="AD58" s="11" t="n"/>
      <c r="AE58" s="11" t="n"/>
      <c r="AF58" s="9" t="inlineStr">
        <is>
          <t>N</t>
        </is>
      </c>
      <c r="AG58" s="9" t="inlineStr">
        <is>
          <t>Y</t>
        </is>
      </c>
      <c r="AH58" s="9" t="n"/>
      <c r="AI58" s="9" t="inlineStr">
        <is>
          <t>Y</t>
        </is>
      </c>
      <c r="AJ58" s="8" t="n"/>
      <c r="AK58" s="9" t="inlineStr">
        <is>
          <t>Y</t>
        </is>
      </c>
      <c r="AL58" s="9" t="inlineStr">
        <is>
          <t>Y</t>
        </is>
      </c>
      <c r="AM58" s="9" t="inlineStr">
        <is>
          <t>Y</t>
        </is>
      </c>
      <c r="AN58" s="9" t="n"/>
      <c r="AO58" s="9" t="n"/>
      <c r="AP58" s="9" t="n"/>
      <c r="AQ58" s="9" t="n"/>
      <c r="AR58" s="9" t="n"/>
      <c r="AS58" s="9" t="inlineStr">
        <is>
          <t>N</t>
        </is>
      </c>
      <c r="AT58" s="8" t="n"/>
      <c r="AU58" s="8" t="n"/>
      <c r="AV58" s="9" t="n"/>
      <c r="AW58" s="8" t="n"/>
      <c r="AX58" s="9" t="inlineStr">
        <is>
          <t>N</t>
        </is>
      </c>
      <c r="AY58" s="9" t="inlineStr">
        <is>
          <t>Y</t>
        </is>
      </c>
      <c r="AZ58" s="9" t="inlineStr">
        <is>
          <t>Y</t>
        </is>
      </c>
      <c r="BA58" s="9" t="inlineStr">
        <is>
          <t>Y</t>
        </is>
      </c>
      <c r="BB58" s="9" t="inlineStr">
        <is>
          <t>Y</t>
        </is>
      </c>
      <c r="BC58" s="9" t="inlineStr">
        <is>
          <t>Y</t>
        </is>
      </c>
      <c r="BD58" s="9" t="n"/>
      <c r="BE58" s="9" t="inlineStr">
        <is>
          <t>N</t>
        </is>
      </c>
      <c r="BF58" s="9" t="n"/>
      <c r="BG58" s="9" t="n"/>
      <c r="BH58" s="9" t="n"/>
      <c r="BI58" s="9" t="n"/>
      <c r="BJ58" s="9" t="inlineStr">
        <is>
          <t>Y</t>
        </is>
      </c>
      <c r="BK58" s="9" t="inlineStr">
        <is>
          <t>N</t>
        </is>
      </c>
      <c r="BL58" s="9" t="inlineStr">
        <is>
          <t>N</t>
        </is>
      </c>
      <c r="BM58" s="9" t="inlineStr">
        <is>
          <t>Y</t>
        </is>
      </c>
      <c r="BN58" s="9" t="inlineStr">
        <is>
          <t>Y</t>
        </is>
      </c>
      <c r="BO58" s="8" t="n">
        <v>45790</v>
      </c>
      <c r="BP58" s="9" t="inlineStr">
        <is>
          <t>N</t>
        </is>
      </c>
      <c r="BQ58" s="9" t="inlineStr">
        <is>
          <t>Y</t>
        </is>
      </c>
      <c r="BR58" s="13">
        <f>IF(COUNTIF(AI58:BM58,"N")+COUNTBLANK(AI58:BM58)=0,"Y","N")</f>
        <v/>
      </c>
      <c r="BS58" s="13">
        <f>IF(AND(BR58="Y",OR(L58="Submitted",L58="Under Review")),"Y",IF(L58="Closed","Y","N"))</f>
        <v/>
      </c>
      <c r="BT58" s="10" t="n">
        <v>53</v>
      </c>
      <c r="BU58" s="13">
        <f>Rule_Flags!Q57</f>
        <v/>
      </c>
      <c r="BV58" s="13">
        <f>Rule_Flags!P57</f>
        <v/>
      </c>
      <c r="BW58" s="13">
        <f>IF(Rule_Flags!E57=1,"SITE_CONTROL",IF(Rule_Flags!F57=1,"APPROVALS",IF(Rule_Flags!G57=1,"REPORTS",IF(Rule_Flags!H57=1,"DEFICIENCY",IF(Rule_Flags!I57=1,"UNDERWRITING",IF(Rule_Flags!J57=1,"COMPLIANCE",""))))))</f>
        <v/>
      </c>
      <c r="BX58" s="13">
        <f>IF(BW58="SITE_CONTROL","Site control missing or invalid",IF(BW58="APPROVALS","Required approvals or resolutions incomplete",IF(BW58="REPORTS","Required third-party reports incomplete",IF(BW58="DEFICIENCY","Unresolved deficiency or material deficiency",IF(BW58="UNDERWRITING","Underwriting / feasibility not passed",IF(BW58="COMPLIANCE","Deconcentration, one-mile, LURA, or Chapter 12 issue","Ready under current engine rules"))))))</f>
        <v/>
      </c>
      <c r="BY58" s="13">
        <f>IF(BV58="Determination Notice","Streamlined + DN-ready assumptions satisfied",IF(BV58="Board","Board-required or board-ready assumptions satisfied",""))</f>
        <v/>
      </c>
      <c r="BZ58" s="13">
        <f>IF(AND(BP58="Y",BQ58&lt;&gt;"Y"),"Carryforward project retains queue priority",IF(BQ58="Y","New project enters behind carryforward projects",""))</f>
        <v/>
      </c>
      <c r="CA58" s="13">
        <f>_xludf.RANK.EQ(Rule_Flags!O57,Rule_Flags!$O$3:$O$402,0)</f>
        <v/>
      </c>
      <c r="CB58" s="13">
        <f>IF(OR(BU58="Determination Notice Issued",BU58="Board",BU58="Closed"),"Y","N")</f>
        <v/>
      </c>
      <c r="CC58" s="9" t="n"/>
      <c r="CD58" s="9" t="inlineStr">
        <is>
          <t>Rafael Navarro</t>
        </is>
      </c>
      <c r="CE58" s="9" t="inlineStr">
        <is>
          <t>(469) 206-8930</t>
        </is>
      </c>
      <c r="CF58" s="9" t="inlineStr">
        <is>
          <t>rnavarro@atlantichousing.org</t>
        </is>
      </c>
      <c r="CG58" s="9" t="inlineStr">
        <is>
          <t>Teresa Morales</t>
        </is>
      </c>
      <c r="CH58" s="9" t="inlineStr">
        <is>
          <t>(512) 475-3344</t>
        </is>
      </c>
    </row>
    <row r="59">
      <c r="A59" s="8" t="inlineStr">
        <is>
          <t>2026-02-10</t>
        </is>
      </c>
      <c r="B59" s="9" t="inlineStr">
        <is>
          <t>2026-02-10</t>
        </is>
      </c>
      <c r="C59" s="9" t="inlineStr">
        <is>
          <t>25606</t>
        </is>
      </c>
      <c r="D59" s="9" t="n">
        <v>24619</v>
      </c>
      <c r="E59" s="9" t="inlineStr">
        <is>
          <t>Braniff Lofts</t>
        </is>
      </c>
      <c r="F59" s="9" t="inlineStr">
        <is>
          <t>Dallas</t>
        </is>
      </c>
      <c r="G59" s="9" t="inlineStr">
        <is>
          <t>Dallas</t>
        </is>
      </c>
      <c r="H59" s="9" t="n">
        <v>3</v>
      </c>
      <c r="I59" s="9" t="inlineStr">
        <is>
          <t>2801 Wycliff Avenue</t>
        </is>
      </c>
      <c r="J59" s="9" t="n">
        <v>75219</v>
      </c>
      <c r="K59" s="8" t="n">
        <v>45800</v>
      </c>
      <c r="L59" s="9" t="inlineStr">
        <is>
          <t>Active</t>
        </is>
      </c>
      <c r="M59" s="8" t="n">
        <v>45904</v>
      </c>
      <c r="N59" s="8" t="n"/>
      <c r="O59" s="8" t="n">
        <v>45663</v>
      </c>
      <c r="P59" s="8" t="n">
        <v>46752</v>
      </c>
      <c r="Q59" s="8" t="n"/>
      <c r="R59" s="9" t="inlineStr">
        <is>
          <t>New Construction</t>
        </is>
      </c>
      <c r="S59" s="9" t="inlineStr">
        <is>
          <t>Supportive Housing</t>
        </is>
      </c>
      <c r="T59" s="10" t="n">
        <v>48</v>
      </c>
      <c r="U59" s="10" t="n">
        <v>48</v>
      </c>
      <c r="V59" s="9" t="n"/>
      <c r="W59" s="9" t="n"/>
      <c r="X59" s="9" t="inlineStr">
        <is>
          <t>TDHCA</t>
        </is>
      </c>
      <c r="Y59" s="9" t="inlineStr">
        <is>
          <t>TDHCA</t>
        </is>
      </c>
      <c r="Z59" s="11" t="n">
        <v>20000000</v>
      </c>
      <c r="AA59" s="11" t="n"/>
      <c r="AB59" s="11" t="n">
        <v>1280966</v>
      </c>
      <c r="AC59" s="11" t="n"/>
      <c r="AD59" s="11" t="n"/>
      <c r="AE59" s="11" t="n"/>
      <c r="AF59" s="9" t="inlineStr">
        <is>
          <t>Y</t>
        </is>
      </c>
      <c r="AG59" s="9" t="inlineStr">
        <is>
          <t>Y</t>
        </is>
      </c>
      <c r="AH59" s="9" t="n"/>
      <c r="AI59" s="9" t="inlineStr">
        <is>
          <t>Y</t>
        </is>
      </c>
      <c r="AJ59" s="8" t="n"/>
      <c r="AK59" s="9" t="inlineStr">
        <is>
          <t>Y</t>
        </is>
      </c>
      <c r="AL59" s="9" t="inlineStr">
        <is>
          <t>Y</t>
        </is>
      </c>
      <c r="AM59" s="9" t="inlineStr">
        <is>
          <t>Y</t>
        </is>
      </c>
      <c r="AN59" s="9" t="n"/>
      <c r="AO59" s="9" t="n"/>
      <c r="AP59" s="9" t="n"/>
      <c r="AQ59" s="9" t="n"/>
      <c r="AR59" s="9" t="n"/>
      <c r="AS59" s="9" t="inlineStr">
        <is>
          <t>N</t>
        </is>
      </c>
      <c r="AT59" s="8" t="n"/>
      <c r="AU59" s="8" t="n"/>
      <c r="AV59" s="9" t="n"/>
      <c r="AW59" s="8" t="n"/>
      <c r="AX59" s="9" t="inlineStr">
        <is>
          <t>N</t>
        </is>
      </c>
      <c r="AY59" s="9" t="inlineStr">
        <is>
          <t>Y</t>
        </is>
      </c>
      <c r="AZ59" s="9" t="inlineStr">
        <is>
          <t>Y</t>
        </is>
      </c>
      <c r="BA59" s="9" t="inlineStr">
        <is>
          <t>Y</t>
        </is>
      </c>
      <c r="BB59" s="9" t="inlineStr">
        <is>
          <t>Y</t>
        </is>
      </c>
      <c r="BC59" s="9" t="inlineStr">
        <is>
          <t>Y</t>
        </is>
      </c>
      <c r="BD59" s="9" t="n"/>
      <c r="BE59" s="9" t="inlineStr">
        <is>
          <t>N</t>
        </is>
      </c>
      <c r="BF59" s="9" t="n"/>
      <c r="BG59" s="9" t="n"/>
      <c r="BH59" s="9" t="n"/>
      <c r="BI59" s="9" t="n"/>
      <c r="BJ59" s="9" t="inlineStr">
        <is>
          <t>Y</t>
        </is>
      </c>
      <c r="BK59" s="9" t="inlineStr">
        <is>
          <t>N</t>
        </is>
      </c>
      <c r="BL59" s="9" t="inlineStr">
        <is>
          <t>N</t>
        </is>
      </c>
      <c r="BM59" s="9" t="inlineStr">
        <is>
          <t>Y</t>
        </is>
      </c>
      <c r="BN59" s="9" t="inlineStr">
        <is>
          <t>Y</t>
        </is>
      </c>
      <c r="BO59" s="8" t="n">
        <v>45800</v>
      </c>
      <c r="BP59" s="9" t="inlineStr">
        <is>
          <t>N</t>
        </is>
      </c>
      <c r="BQ59" s="9" t="inlineStr">
        <is>
          <t>Y</t>
        </is>
      </c>
      <c r="BR59" s="13">
        <f>IF(COUNTIF(AI59:BM59,"N")+COUNTBLANK(AI59:BM59)=0,"Y","N")</f>
        <v/>
      </c>
      <c r="BS59" s="13">
        <f>IF(AND(BR59="Y",OR(L59="Submitted",L59="Under Review")),"Y",IF(L59="Closed","Y","N"))</f>
        <v/>
      </c>
      <c r="BT59" s="10" t="n">
        <v>54</v>
      </c>
      <c r="BU59" s="13">
        <f>Rule_Flags!Q58</f>
        <v/>
      </c>
      <c r="BV59" s="13">
        <f>Rule_Flags!P58</f>
        <v/>
      </c>
      <c r="BW59" s="13">
        <f>IF(Rule_Flags!E58=1,"SITE_CONTROL",IF(Rule_Flags!F58=1,"APPROVALS",IF(Rule_Flags!G58=1,"REPORTS",IF(Rule_Flags!H58=1,"DEFICIENCY",IF(Rule_Flags!I58=1,"UNDERWRITING",IF(Rule_Flags!J58=1,"COMPLIANCE",""))))))</f>
        <v/>
      </c>
      <c r="BX59" s="13">
        <f>IF(BW59="SITE_CONTROL","Site control missing or invalid",IF(BW59="APPROVALS","Required approvals or resolutions incomplete",IF(BW59="REPORTS","Required third-party reports incomplete",IF(BW59="DEFICIENCY","Unresolved deficiency or material deficiency",IF(BW59="UNDERWRITING","Underwriting / feasibility not passed",IF(BW59="COMPLIANCE","Deconcentration, one-mile, LURA, or Chapter 12 issue","Ready under current engine rules"))))))</f>
        <v/>
      </c>
      <c r="BY59" s="13">
        <f>IF(BV59="Determination Notice","Streamlined + DN-ready assumptions satisfied",IF(BV59="Board","Board-required or board-ready assumptions satisfied",""))</f>
        <v/>
      </c>
      <c r="BZ59" s="13">
        <f>IF(AND(BP59="Y",BQ59&lt;&gt;"Y"),"Carryforward project retains queue priority",IF(BQ59="Y","New project enters behind carryforward projects",""))</f>
        <v/>
      </c>
      <c r="CA59" s="13">
        <f>_xludf.RANK.EQ(Rule_Flags!O58,Rule_Flags!$O$3:$O$402,0)</f>
        <v/>
      </c>
      <c r="CB59" s="13">
        <f>IF(OR(BU59="Determination Notice Issued",BU59="Board",BU59="Closed"),"Y","N")</f>
        <v/>
      </c>
      <c r="CC59" s="9" t="inlineStr">
        <is>
          <t>construction_type mapped from raw 'NC' to 'New Construction'</t>
        </is>
      </c>
      <c r="CD59" s="9" t="inlineStr">
        <is>
          <t>Jessica Krochtengel</t>
        </is>
      </c>
      <c r="CE59" s="9" t="inlineStr">
        <is>
          <t>(215) 806-2216</t>
        </is>
      </c>
      <c r="CF59" s="9" t="inlineStr">
        <is>
          <t>jess@sycamoredevelopment.com</t>
        </is>
      </c>
      <c r="CG59" s="9" t="inlineStr">
        <is>
          <t>Teresa Morales</t>
        </is>
      </c>
      <c r="CH59" s="9" t="inlineStr">
        <is>
          <t>(512) 475-3344</t>
        </is>
      </c>
    </row>
    <row r="60">
      <c r="A60" s="8" t="inlineStr">
        <is>
          <t>2026-02-10</t>
        </is>
      </c>
      <c r="B60" s="9" t="inlineStr">
        <is>
          <t>2026-02-10</t>
        </is>
      </c>
      <c r="C60" s="9" t="inlineStr">
        <is>
          <t>25463</t>
        </is>
      </c>
      <c r="D60" s="9" t="n">
        <v>96003</v>
      </c>
      <c r="E60" s="9" t="inlineStr">
        <is>
          <t>Waterford at Spencer Oaks</t>
        </is>
      </c>
      <c r="F60" s="9" t="inlineStr">
        <is>
          <t>Denton</t>
        </is>
      </c>
      <c r="G60" s="9" t="inlineStr">
        <is>
          <t>Denton</t>
        </is>
      </c>
      <c r="H60" s="9" t="n">
        <v>3</v>
      </c>
      <c r="I60" s="9" t="inlineStr">
        <is>
          <t>2100 Spencer Road</t>
        </is>
      </c>
      <c r="J60" s="9" t="n">
        <v>76205</v>
      </c>
      <c r="K60" s="8" t="n">
        <v>45813</v>
      </c>
      <c r="L60" s="9" t="inlineStr">
        <is>
          <t>Closed</t>
        </is>
      </c>
      <c r="M60" s="8" t="n">
        <v>45904</v>
      </c>
      <c r="N60" s="8" t="n">
        <v>45904</v>
      </c>
      <c r="O60" s="8" t="n">
        <v>45748</v>
      </c>
      <c r="P60" s="8" t="n">
        <v>45928</v>
      </c>
      <c r="Q60" s="8" t="n"/>
      <c r="R60" s="9" t="inlineStr">
        <is>
          <t>Acq/Rehab</t>
        </is>
      </c>
      <c r="S60" s="9" t="inlineStr">
        <is>
          <t>General</t>
        </is>
      </c>
      <c r="T60" s="10" t="n">
        <v>208</v>
      </c>
      <c r="U60" s="10" t="n">
        <v>207</v>
      </c>
      <c r="V60" s="9" t="n"/>
      <c r="W60" s="9" t="n"/>
      <c r="X60" s="9" t="inlineStr">
        <is>
          <t>Legacy Denton PFC</t>
        </is>
      </c>
      <c r="Y60" s="9" t="inlineStr">
        <is>
          <t>Other</t>
        </is>
      </c>
      <c r="Z60" s="11" t="n">
        <v>44200000</v>
      </c>
      <c r="AA60" s="11" t="n"/>
      <c r="AB60" s="11" t="n">
        <v>3461207</v>
      </c>
      <c r="AC60" s="11" t="n">
        <v>3461207</v>
      </c>
      <c r="AD60" s="11" t="n"/>
      <c r="AE60" s="11" t="n"/>
      <c r="AF60" s="9" t="inlineStr">
        <is>
          <t>N</t>
        </is>
      </c>
      <c r="AG60" s="9" t="inlineStr">
        <is>
          <t>Y</t>
        </is>
      </c>
      <c r="AH60" s="9" t="inlineStr">
        <is>
          <t>Y</t>
        </is>
      </c>
      <c r="AI60" s="9" t="inlineStr">
        <is>
          <t>Y</t>
        </is>
      </c>
      <c r="AJ60" s="8" t="n"/>
      <c r="AK60" s="9" t="inlineStr">
        <is>
          <t>Y</t>
        </is>
      </c>
      <c r="AL60" s="9" t="inlineStr">
        <is>
          <t>Y</t>
        </is>
      </c>
      <c r="AM60" s="9" t="inlineStr">
        <is>
          <t>Y</t>
        </is>
      </c>
      <c r="AN60" s="9" t="n"/>
      <c r="AO60" s="9" t="n"/>
      <c r="AP60" s="9" t="n"/>
      <c r="AQ60" s="9" t="n"/>
      <c r="AR60" s="9" t="n"/>
      <c r="AS60" s="9" t="inlineStr">
        <is>
          <t>N</t>
        </is>
      </c>
      <c r="AT60" s="8" t="n"/>
      <c r="AU60" s="8" t="n"/>
      <c r="AV60" s="9" t="n"/>
      <c r="AW60" s="8" t="n"/>
      <c r="AX60" s="9" t="inlineStr">
        <is>
          <t>N</t>
        </is>
      </c>
      <c r="AY60" s="9" t="inlineStr">
        <is>
          <t>Y</t>
        </is>
      </c>
      <c r="AZ60" s="9" t="inlineStr">
        <is>
          <t>Y</t>
        </is>
      </c>
      <c r="BA60" s="9" t="inlineStr">
        <is>
          <t>Y</t>
        </is>
      </c>
      <c r="BB60" s="9" t="inlineStr">
        <is>
          <t>Y</t>
        </is>
      </c>
      <c r="BC60" s="9" t="inlineStr">
        <is>
          <t>Y</t>
        </is>
      </c>
      <c r="BD60" s="9" t="n"/>
      <c r="BE60" s="9" t="inlineStr">
        <is>
          <t>N</t>
        </is>
      </c>
      <c r="BF60" s="9" t="n"/>
      <c r="BG60" s="9" t="n"/>
      <c r="BH60" s="9" t="n"/>
      <c r="BI60" s="9" t="n"/>
      <c r="BJ60" s="9" t="inlineStr">
        <is>
          <t>Y</t>
        </is>
      </c>
      <c r="BK60" s="9" t="inlineStr">
        <is>
          <t>N</t>
        </is>
      </c>
      <c r="BL60" s="9" t="inlineStr">
        <is>
          <t>N</t>
        </is>
      </c>
      <c r="BM60" s="9" t="inlineStr">
        <is>
          <t>Y</t>
        </is>
      </c>
      <c r="BN60" s="9" t="inlineStr">
        <is>
          <t>Y</t>
        </is>
      </c>
      <c r="BO60" s="8" t="n">
        <v>45813</v>
      </c>
      <c r="BP60" s="9" t="inlineStr">
        <is>
          <t>N</t>
        </is>
      </c>
      <c r="BQ60" s="9" t="inlineStr">
        <is>
          <t>Y</t>
        </is>
      </c>
      <c r="BR60" s="13">
        <f>IF(COUNTIF(AI60:BM60,"N")+COUNTBLANK(AI60:BM60)=0,"Y","N")</f>
        <v/>
      </c>
      <c r="BS60" s="13">
        <f>IF(AND(BR60="Y",OR(L60="Submitted",L60="Under Review")),"Y",IF(L60="Closed","Y","N"))</f>
        <v/>
      </c>
      <c r="BT60" s="10" t="n">
        <v>57</v>
      </c>
      <c r="BU60" s="13">
        <f>Rule_Flags!Q59</f>
        <v/>
      </c>
      <c r="BV60" s="13">
        <f>Rule_Flags!P59</f>
        <v/>
      </c>
      <c r="BW60" s="13">
        <f>IF(Rule_Flags!E59=1,"SITE_CONTROL",IF(Rule_Flags!F59=1,"APPROVALS",IF(Rule_Flags!G59=1,"REPORTS",IF(Rule_Flags!H59=1,"DEFICIENCY",IF(Rule_Flags!I59=1,"UNDERWRITING",IF(Rule_Flags!J59=1,"COMPLIANCE",""))))))</f>
        <v/>
      </c>
      <c r="BX60" s="13">
        <f>IF(BW60="SITE_CONTROL","Site control missing or invalid",IF(BW60="APPROVALS","Required approvals or resolutions incomplete",IF(BW60="REPORTS","Required third-party reports incomplete",IF(BW60="DEFICIENCY","Unresolved deficiency or material deficiency",IF(BW60="UNDERWRITING","Underwriting / feasibility not passed",IF(BW60="COMPLIANCE","Deconcentration, one-mile, LURA, or Chapter 12 issue","Ready under current engine rules"))))))</f>
        <v/>
      </c>
      <c r="BY60" s="13">
        <f>IF(BV60="Determination Notice","Streamlined + DN-ready assumptions satisfied",IF(BV60="Board","Board-required or board-ready assumptions satisfied",""))</f>
        <v/>
      </c>
      <c r="BZ60" s="13">
        <f>IF(AND(BP60="Y",BQ60&lt;&gt;"Y"),"Carryforward project retains queue priority",IF(BQ60="Y","New project enters behind carryforward projects",""))</f>
        <v/>
      </c>
      <c r="CA60" s="13">
        <f>_xludf.RANK.EQ(Rule_Flags!O59,Rule_Flags!$O$3:$O$402,0)</f>
        <v/>
      </c>
      <c r="CB60" s="13">
        <f>IF(OR(BU60="Determination Notice Issued",BU60="Board",BU60="Closed"),"Y","N")</f>
        <v/>
      </c>
      <c r="CC60" s="9" t="inlineStr">
        <is>
          <t>property_tax_exemption normalized from 'Y (50%)' to 'Y'</t>
        </is>
      </c>
      <c r="CD60" s="9" t="inlineStr">
        <is>
          <t>Tim Smith</t>
        </is>
      </c>
      <c r="CE60" s="9" t="inlineStr">
        <is>
          <t>(832) 443-0333</t>
        </is>
      </c>
      <c r="CF60" s="9" t="inlineStr">
        <is>
          <t>tsmith@hokeservices.com</t>
        </is>
      </c>
      <c r="CG60" s="9" t="inlineStr">
        <is>
          <t>Sherri McDade</t>
        </is>
      </c>
      <c r="CH60" s="9" t="inlineStr">
        <is>
          <t>(940) 383-1504</t>
        </is>
      </c>
    </row>
    <row r="61">
      <c r="A61" s="8" t="inlineStr">
        <is>
          <t>2026-02-10</t>
        </is>
      </c>
      <c r="B61" s="9" t="inlineStr">
        <is>
          <t>2026-02-10</t>
        </is>
      </c>
      <c r="C61" s="9" t="inlineStr">
        <is>
          <t>25468</t>
        </is>
      </c>
      <c r="D61" s="9" t="n"/>
      <c r="E61" s="9" t="inlineStr">
        <is>
          <t>Lofts at Creekview</t>
        </is>
      </c>
      <c r="F61" s="9" t="inlineStr">
        <is>
          <t>San Antonio</t>
        </is>
      </c>
      <c r="G61" s="9" t="inlineStr">
        <is>
          <t>Bexar</t>
        </is>
      </c>
      <c r="H61" s="9" t="n">
        <v>9</v>
      </c>
      <c r="I61" s="9" t="inlineStr">
        <is>
          <t>3623 and 3841 East Commerce</t>
        </is>
      </c>
      <c r="J61" s="9" t="n">
        <v>78216</v>
      </c>
      <c r="K61" s="8" t="n">
        <v>45813</v>
      </c>
      <c r="L61" s="9" t="inlineStr">
        <is>
          <t>Closed</t>
        </is>
      </c>
      <c r="M61" s="8" t="inlineStr">
        <is>
          <t>11/6/205</t>
        </is>
      </c>
      <c r="N61" s="8" t="n">
        <v>45939</v>
      </c>
      <c r="O61" s="8" t="n">
        <v>45770</v>
      </c>
      <c r="P61" s="8" t="n">
        <v>45950</v>
      </c>
      <c r="Q61" s="8" t="n"/>
      <c r="R61" s="9" t="inlineStr">
        <is>
          <t>New Construction</t>
        </is>
      </c>
      <c r="S61" s="9" t="inlineStr">
        <is>
          <t>General</t>
        </is>
      </c>
      <c r="T61" s="10" t="n">
        <v>301</v>
      </c>
      <c r="U61" s="10" t="n">
        <v>301</v>
      </c>
      <c r="V61" s="9" t="n"/>
      <c r="W61" s="9" t="n"/>
      <c r="X61" s="9" t="inlineStr">
        <is>
          <t>San Antonio HT PFC</t>
        </is>
      </c>
      <c r="Y61" s="9" t="inlineStr">
        <is>
          <t>Other</t>
        </is>
      </c>
      <c r="Z61" s="11" t="n">
        <v>40000000</v>
      </c>
      <c r="AA61" s="11" t="n"/>
      <c r="AB61" s="11" t="n">
        <v>3537379</v>
      </c>
      <c r="AC61" s="11" t="n">
        <v>3532516</v>
      </c>
      <c r="AD61" s="11" t="n"/>
      <c r="AE61" s="11" t="n"/>
      <c r="AF61" s="9" t="inlineStr">
        <is>
          <t>N</t>
        </is>
      </c>
      <c r="AG61" s="9" t="inlineStr">
        <is>
          <t>Y</t>
        </is>
      </c>
      <c r="AH61" s="9" t="inlineStr">
        <is>
          <t>Y</t>
        </is>
      </c>
      <c r="AI61" s="9" t="inlineStr">
        <is>
          <t>Y</t>
        </is>
      </c>
      <c r="AJ61" s="8" t="n"/>
      <c r="AK61" s="9" t="inlineStr">
        <is>
          <t>Y</t>
        </is>
      </c>
      <c r="AL61" s="9" t="inlineStr">
        <is>
          <t>Y</t>
        </is>
      </c>
      <c r="AM61" s="9" t="inlineStr">
        <is>
          <t>Y</t>
        </is>
      </c>
      <c r="AN61" s="9" t="n"/>
      <c r="AO61" s="9" t="n"/>
      <c r="AP61" s="9" t="n"/>
      <c r="AQ61" s="9" t="n"/>
      <c r="AR61" s="9" t="n"/>
      <c r="AS61" s="9" t="inlineStr">
        <is>
          <t>N</t>
        </is>
      </c>
      <c r="AT61" s="8" t="n"/>
      <c r="AU61" s="8" t="n"/>
      <c r="AV61" s="9" t="n"/>
      <c r="AW61" s="8" t="n"/>
      <c r="AX61" s="9" t="inlineStr">
        <is>
          <t>N</t>
        </is>
      </c>
      <c r="AY61" s="9" t="inlineStr">
        <is>
          <t>Y</t>
        </is>
      </c>
      <c r="AZ61" s="9" t="inlineStr">
        <is>
          <t>Y</t>
        </is>
      </c>
      <c r="BA61" s="9" t="inlineStr">
        <is>
          <t>Y</t>
        </is>
      </c>
      <c r="BB61" s="9" t="inlineStr">
        <is>
          <t>Y</t>
        </is>
      </c>
      <c r="BC61" s="9" t="inlineStr">
        <is>
          <t>Y</t>
        </is>
      </c>
      <c r="BD61" s="9" t="n"/>
      <c r="BE61" s="9" t="inlineStr">
        <is>
          <t>N</t>
        </is>
      </c>
      <c r="BF61" s="9" t="n"/>
      <c r="BG61" s="9" t="n"/>
      <c r="BH61" s="9" t="n"/>
      <c r="BI61" s="9" t="n"/>
      <c r="BJ61" s="9" t="inlineStr">
        <is>
          <t>Y</t>
        </is>
      </c>
      <c r="BK61" s="9" t="inlineStr">
        <is>
          <t>N</t>
        </is>
      </c>
      <c r="BL61" s="9" t="inlineStr">
        <is>
          <t>N</t>
        </is>
      </c>
      <c r="BM61" s="9" t="inlineStr">
        <is>
          <t>Y</t>
        </is>
      </c>
      <c r="BN61" s="9" t="inlineStr">
        <is>
          <t>Y</t>
        </is>
      </c>
      <c r="BO61" s="8" t="n">
        <v>45813</v>
      </c>
      <c r="BP61" s="9" t="inlineStr">
        <is>
          <t>N</t>
        </is>
      </c>
      <c r="BQ61" s="9" t="inlineStr">
        <is>
          <t>Y</t>
        </is>
      </c>
      <c r="BR61" s="13">
        <f>IF(COUNTIF(AI61:BM61,"N")+COUNTBLANK(AI61:BM61)=0,"Y","N")</f>
        <v/>
      </c>
      <c r="BS61" s="13">
        <f>IF(AND(BR61="Y",OR(L61="Submitted",L61="Under Review")),"Y",IF(L61="Closed","Y","N"))</f>
        <v/>
      </c>
      <c r="BT61" s="10" t="n">
        <v>58</v>
      </c>
      <c r="BU61" s="13">
        <f>Rule_Flags!Q60</f>
        <v/>
      </c>
      <c r="BV61" s="13">
        <f>Rule_Flags!P60</f>
        <v/>
      </c>
      <c r="BW61" s="13">
        <f>IF(Rule_Flags!E60=1,"SITE_CONTROL",IF(Rule_Flags!F60=1,"APPROVALS",IF(Rule_Flags!G60=1,"REPORTS",IF(Rule_Flags!H60=1,"DEFICIENCY",IF(Rule_Flags!I60=1,"UNDERWRITING",IF(Rule_Flags!J60=1,"COMPLIANCE",""))))))</f>
        <v/>
      </c>
      <c r="BX61" s="13">
        <f>IF(BW61="SITE_CONTROL","Site control missing or invalid",IF(BW61="APPROVALS","Required approvals or resolutions incomplete",IF(BW61="REPORTS","Required third-party reports incomplete",IF(BW61="DEFICIENCY","Unresolved deficiency or material deficiency",IF(BW61="UNDERWRITING","Underwriting / feasibility not passed",IF(BW61="COMPLIANCE","Deconcentration, one-mile, LURA, or Chapter 12 issue","Ready under current engine rules"))))))</f>
        <v/>
      </c>
      <c r="BY61" s="13">
        <f>IF(BV61="Determination Notice","Streamlined + DN-ready assumptions satisfied",IF(BV61="Board","Board-required or board-ready assumptions satisfied",""))</f>
        <v/>
      </c>
      <c r="BZ61" s="13">
        <f>IF(AND(BP61="Y",BQ61&lt;&gt;"Y"),"Carryforward project retains queue priority",IF(BQ61="Y","New project enters behind carryforward projects",""))</f>
        <v/>
      </c>
      <c r="CA61" s="13">
        <f>_xludf.RANK.EQ(Rule_Flags!O60,Rule_Flags!$O$3:$O$402,0)</f>
        <v/>
      </c>
      <c r="CB61" s="13">
        <f>IF(OR(BU61="Determination Notice Issued",BU61="Board",BU61="Closed"),"Y","N")</f>
        <v/>
      </c>
      <c r="CC61" s="9" t="inlineStr">
        <is>
          <t>construction_type mapped from raw 'NC' to 'New Construction'</t>
        </is>
      </c>
      <c r="CD61" s="9" t="inlineStr">
        <is>
          <t>Sarah Andre</t>
        </is>
      </c>
      <c r="CE61" s="9" t="inlineStr">
        <is>
          <t>(512) 698-3369</t>
        </is>
      </c>
      <c r="CF61" s="9" t="inlineStr">
        <is>
          <t>sarah@structuretexas.com</t>
        </is>
      </c>
      <c r="CG61" s="9" t="inlineStr">
        <is>
          <t>Pedro Alanis</t>
        </is>
      </c>
      <c r="CH61" s="9" t="inlineStr">
        <is>
          <t>(210) 735-2772</t>
        </is>
      </c>
    </row>
    <row r="62">
      <c r="A62" s="8" t="inlineStr">
        <is>
          <t>2026-02-10</t>
        </is>
      </c>
      <c r="B62" s="9" t="inlineStr">
        <is>
          <t>2026-02-10</t>
        </is>
      </c>
      <c r="C62" s="9" t="inlineStr">
        <is>
          <t>25426</t>
        </is>
      </c>
      <c r="D62" s="9" t="n"/>
      <c r="E62" s="9" t="inlineStr">
        <is>
          <t>Roselawn Village</t>
        </is>
      </c>
      <c r="F62" s="9" t="inlineStr">
        <is>
          <t>Denton</t>
        </is>
      </c>
      <c r="G62" s="9" t="inlineStr">
        <is>
          <t>Denton</t>
        </is>
      </c>
      <c r="H62" s="9" t="n">
        <v>3</v>
      </c>
      <c r="I62" s="9" t="inlineStr">
        <is>
          <t>2800 Roselawn Drive</t>
        </is>
      </c>
      <c r="J62" s="9" t="n">
        <v>76205</v>
      </c>
      <c r="K62" s="8" t="n">
        <v>45813</v>
      </c>
      <c r="L62" s="9" t="inlineStr">
        <is>
          <t>Approved</t>
        </is>
      </c>
      <c r="M62" s="8" t="n">
        <v>45904</v>
      </c>
      <c r="N62" s="8" t="n">
        <v>45890</v>
      </c>
      <c r="O62" s="8" t="n">
        <v>45789</v>
      </c>
      <c r="P62" s="8" t="n">
        <v>45969</v>
      </c>
      <c r="Q62" s="8" t="n"/>
      <c r="R62" s="9" t="inlineStr">
        <is>
          <t>New Construction</t>
        </is>
      </c>
      <c r="S62" s="9" t="inlineStr">
        <is>
          <t>General</t>
        </is>
      </c>
      <c r="T62" s="10" t="n">
        <v>297</v>
      </c>
      <c r="U62" s="10" t="n">
        <v>297</v>
      </c>
      <c r="V62" s="9" t="n"/>
      <c r="W62" s="9" t="n"/>
      <c r="X62" s="9" t="inlineStr">
        <is>
          <t>Legacy Denton PFC</t>
        </is>
      </c>
      <c r="Y62" s="9" t="inlineStr">
        <is>
          <t>Other</t>
        </is>
      </c>
      <c r="Z62" s="11" t="n">
        <v>49000000</v>
      </c>
      <c r="AA62" s="11" t="n"/>
      <c r="AB62" s="11" t="n">
        <v>3561139</v>
      </c>
      <c r="AC62" s="11" t="n">
        <v>3561139</v>
      </c>
      <c r="AD62" s="11" t="n"/>
      <c r="AE62" s="11" t="n"/>
      <c r="AF62" s="9" t="inlineStr">
        <is>
          <t>N</t>
        </is>
      </c>
      <c r="AG62" s="9" t="inlineStr">
        <is>
          <t>Y</t>
        </is>
      </c>
      <c r="AH62" s="9" t="inlineStr">
        <is>
          <t>Y</t>
        </is>
      </c>
      <c r="AI62" s="9" t="inlineStr">
        <is>
          <t>Y</t>
        </is>
      </c>
      <c r="AJ62" s="8" t="n"/>
      <c r="AK62" s="9" t="inlineStr">
        <is>
          <t>Y</t>
        </is>
      </c>
      <c r="AL62" s="9" t="inlineStr">
        <is>
          <t>Y</t>
        </is>
      </c>
      <c r="AM62" s="9" t="inlineStr">
        <is>
          <t>Y</t>
        </is>
      </c>
      <c r="AN62" s="9" t="n"/>
      <c r="AO62" s="9" t="n"/>
      <c r="AP62" s="9" t="n"/>
      <c r="AQ62" s="9" t="n"/>
      <c r="AR62" s="9" t="n"/>
      <c r="AS62" s="9" t="inlineStr">
        <is>
          <t>N</t>
        </is>
      </c>
      <c r="AT62" s="8" t="n"/>
      <c r="AU62" s="8" t="n"/>
      <c r="AV62" s="9" t="n"/>
      <c r="AW62" s="8" t="n"/>
      <c r="AX62" s="9" t="inlineStr">
        <is>
          <t>N</t>
        </is>
      </c>
      <c r="AY62" s="9" t="inlineStr">
        <is>
          <t>Y</t>
        </is>
      </c>
      <c r="AZ62" s="9" t="inlineStr">
        <is>
          <t>Y</t>
        </is>
      </c>
      <c r="BA62" s="9" t="inlineStr">
        <is>
          <t>Y</t>
        </is>
      </c>
      <c r="BB62" s="9" t="inlineStr">
        <is>
          <t>Y</t>
        </is>
      </c>
      <c r="BC62" s="9" t="inlineStr">
        <is>
          <t>Y</t>
        </is>
      </c>
      <c r="BD62" s="9" t="n"/>
      <c r="BE62" s="9" t="inlineStr">
        <is>
          <t>N</t>
        </is>
      </c>
      <c r="BF62" s="9" t="n"/>
      <c r="BG62" s="9" t="n"/>
      <c r="BH62" s="9" t="n"/>
      <c r="BI62" s="9" t="n"/>
      <c r="BJ62" s="9" t="inlineStr">
        <is>
          <t>Y</t>
        </is>
      </c>
      <c r="BK62" s="9" t="inlineStr">
        <is>
          <t>N</t>
        </is>
      </c>
      <c r="BL62" s="9" t="inlineStr">
        <is>
          <t>N</t>
        </is>
      </c>
      <c r="BM62" s="9" t="inlineStr">
        <is>
          <t>Y</t>
        </is>
      </c>
      <c r="BN62" s="9" t="inlineStr">
        <is>
          <t>Y</t>
        </is>
      </c>
      <c r="BO62" s="8" t="n">
        <v>45813</v>
      </c>
      <c r="BP62" s="9" t="inlineStr">
        <is>
          <t>N</t>
        </is>
      </c>
      <c r="BQ62" s="9" t="inlineStr">
        <is>
          <t>Y</t>
        </is>
      </c>
      <c r="BR62" s="13">
        <f>IF(COUNTIF(AI62:BM62,"N")+COUNTBLANK(AI62:BM62)=0,"Y","N")</f>
        <v/>
      </c>
      <c r="BS62" s="13">
        <f>IF(AND(BR62="Y",OR(L62="Submitted",L62="Under Review")),"Y",IF(L62="Closed","Y","N"))</f>
        <v/>
      </c>
      <c r="BT62" s="10" t="n">
        <v>55</v>
      </c>
      <c r="BU62" s="13">
        <f>Rule_Flags!Q61</f>
        <v/>
      </c>
      <c r="BV62" s="13">
        <f>Rule_Flags!P61</f>
        <v/>
      </c>
      <c r="BW62" s="13">
        <f>IF(Rule_Flags!E61=1,"SITE_CONTROL",IF(Rule_Flags!F61=1,"APPROVALS",IF(Rule_Flags!G61=1,"REPORTS",IF(Rule_Flags!H61=1,"DEFICIENCY",IF(Rule_Flags!I61=1,"UNDERWRITING",IF(Rule_Flags!J61=1,"COMPLIANCE",""))))))</f>
        <v/>
      </c>
      <c r="BX62" s="13">
        <f>IF(BW62="SITE_CONTROL","Site control missing or invalid",IF(BW62="APPROVALS","Required approvals or resolutions incomplete",IF(BW62="REPORTS","Required third-party reports incomplete",IF(BW62="DEFICIENCY","Unresolved deficiency or material deficiency",IF(BW62="UNDERWRITING","Underwriting / feasibility not passed",IF(BW62="COMPLIANCE","Deconcentration, one-mile, LURA, or Chapter 12 issue","Ready under current engine rules"))))))</f>
        <v/>
      </c>
      <c r="BY62" s="13">
        <f>IF(BV62="Determination Notice","Streamlined + DN-ready assumptions satisfied",IF(BV62="Board","Board-required or board-ready assumptions satisfied",""))</f>
        <v/>
      </c>
      <c r="BZ62" s="13">
        <f>IF(AND(BP62="Y",BQ62&lt;&gt;"Y"),"Carryforward project retains queue priority",IF(BQ62="Y","New project enters behind carryforward projects",""))</f>
        <v/>
      </c>
      <c r="CA62" s="13">
        <f>_xludf.RANK.EQ(Rule_Flags!O61,Rule_Flags!$O$3:$O$402,0)</f>
        <v/>
      </c>
      <c r="CB62" s="13">
        <f>IF(OR(BU62="Determination Notice Issued",BU62="Board",BU62="Closed"),"Y","N")</f>
        <v/>
      </c>
      <c r="CC62" s="9" t="inlineStr">
        <is>
          <t>construction_type mapped from raw 'NC' to 'New Construction'</t>
        </is>
      </c>
      <c r="CD62" s="9" t="inlineStr">
        <is>
          <t>Sarah Andre</t>
        </is>
      </c>
      <c r="CE62" s="9" t="inlineStr">
        <is>
          <t>(512) 698-3369</t>
        </is>
      </c>
      <c r="CF62" s="9" t="inlineStr">
        <is>
          <t>sarah@structuretexas.com</t>
        </is>
      </c>
      <c r="CG62" s="9" t="inlineStr">
        <is>
          <t>Sherri McDade</t>
        </is>
      </c>
      <c r="CH62" s="9" t="inlineStr">
        <is>
          <t>(940) 383-1504</t>
        </is>
      </c>
    </row>
    <row r="63">
      <c r="A63" s="8" t="inlineStr">
        <is>
          <t>2026-02-10</t>
        </is>
      </c>
      <c r="B63" s="9" t="inlineStr">
        <is>
          <t>2026-02-10</t>
        </is>
      </c>
      <c r="C63" s="9" t="inlineStr">
        <is>
          <t>25462</t>
        </is>
      </c>
      <c r="D63" s="9" t="n">
        <v>97028</v>
      </c>
      <c r="E63" s="9" t="inlineStr">
        <is>
          <t>Tuscany at Goldmark</t>
        </is>
      </c>
      <c r="F63" s="9" t="inlineStr">
        <is>
          <t>Dallas</t>
        </is>
      </c>
      <c r="G63" s="9" t="inlineStr">
        <is>
          <t>Dallas</t>
        </is>
      </c>
      <c r="H63" s="9" t="n">
        <v>3</v>
      </c>
      <c r="I63" s="9" t="inlineStr">
        <is>
          <t>13731 Goldmark Drive</t>
        </is>
      </c>
      <c r="J63" s="9" t="n">
        <v>75240</v>
      </c>
      <c r="K63" s="8" t="n">
        <v>45813</v>
      </c>
      <c r="L63" s="9" t="inlineStr">
        <is>
          <t>Withdrawn</t>
        </is>
      </c>
      <c r="M63" s="8" t="n">
        <v>45904</v>
      </c>
      <c r="N63" s="8" t="n"/>
      <c r="O63" s="8" t="n">
        <v>45748</v>
      </c>
      <c r="P63" s="8" t="n">
        <v>45928</v>
      </c>
      <c r="Q63" s="8" t="n"/>
      <c r="R63" s="9" t="inlineStr">
        <is>
          <t>Acq/Rehab</t>
        </is>
      </c>
      <c r="S63" s="9" t="inlineStr">
        <is>
          <t>Elderly</t>
        </is>
      </c>
      <c r="T63" s="10" t="n">
        <v>184</v>
      </c>
      <c r="U63" s="10" t="n">
        <v>183</v>
      </c>
      <c r="V63" s="9" t="n"/>
      <c r="W63" s="9" t="n"/>
      <c r="X63" s="9" t="inlineStr">
        <is>
          <t>Dallas HFC</t>
        </is>
      </c>
      <c r="Y63" s="9" t="inlineStr">
        <is>
          <t>Local HFC</t>
        </is>
      </c>
      <c r="Z63" s="11" t="n">
        <v>32000000</v>
      </c>
      <c r="AA63" s="11" t="n"/>
      <c r="AB63" s="11" t="n">
        <v>2271676</v>
      </c>
      <c r="AC63" s="11" t="n"/>
      <c r="AD63" s="11" t="n"/>
      <c r="AE63" s="11" t="n"/>
      <c r="AF63" s="9" t="inlineStr">
        <is>
          <t>N</t>
        </is>
      </c>
      <c r="AG63" s="9" t="inlineStr">
        <is>
          <t>Y</t>
        </is>
      </c>
      <c r="AH63" s="9" t="n"/>
      <c r="AI63" s="9" t="inlineStr">
        <is>
          <t>Y</t>
        </is>
      </c>
      <c r="AJ63" s="8" t="n"/>
      <c r="AK63" s="9" t="inlineStr">
        <is>
          <t>Y</t>
        </is>
      </c>
      <c r="AL63" s="9" t="inlineStr">
        <is>
          <t>Y</t>
        </is>
      </c>
      <c r="AM63" s="9" t="inlineStr">
        <is>
          <t>Y</t>
        </is>
      </c>
      <c r="AN63" s="9" t="n"/>
      <c r="AO63" s="9" t="n"/>
      <c r="AP63" s="9" t="n"/>
      <c r="AQ63" s="9" t="n"/>
      <c r="AR63" s="9" t="n"/>
      <c r="AS63" s="9" t="inlineStr">
        <is>
          <t>N</t>
        </is>
      </c>
      <c r="AT63" s="8" t="n"/>
      <c r="AU63" s="8" t="n"/>
      <c r="AV63" s="9" t="n"/>
      <c r="AW63" s="8" t="n"/>
      <c r="AX63" s="9" t="inlineStr">
        <is>
          <t>N</t>
        </is>
      </c>
      <c r="AY63" s="9" t="inlineStr">
        <is>
          <t>Y</t>
        </is>
      </c>
      <c r="AZ63" s="9" t="inlineStr">
        <is>
          <t>Y</t>
        </is>
      </c>
      <c r="BA63" s="9" t="inlineStr">
        <is>
          <t>Y</t>
        </is>
      </c>
      <c r="BB63" s="9" t="inlineStr">
        <is>
          <t>Y</t>
        </is>
      </c>
      <c r="BC63" s="9" t="inlineStr">
        <is>
          <t>Y</t>
        </is>
      </c>
      <c r="BD63" s="9" t="n"/>
      <c r="BE63" s="9" t="inlineStr">
        <is>
          <t>N</t>
        </is>
      </c>
      <c r="BF63" s="9" t="n"/>
      <c r="BG63" s="9" t="n"/>
      <c r="BH63" s="9" t="n"/>
      <c r="BI63" s="9" t="n"/>
      <c r="BJ63" s="9" t="inlineStr">
        <is>
          <t>Y</t>
        </is>
      </c>
      <c r="BK63" s="9" t="inlineStr">
        <is>
          <t>N</t>
        </is>
      </c>
      <c r="BL63" s="9" t="inlineStr">
        <is>
          <t>N</t>
        </is>
      </c>
      <c r="BM63" s="9" t="inlineStr">
        <is>
          <t>Y</t>
        </is>
      </c>
      <c r="BN63" s="9" t="inlineStr">
        <is>
          <t>Y</t>
        </is>
      </c>
      <c r="BO63" s="8" t="n">
        <v>45813</v>
      </c>
      <c r="BP63" s="9" t="inlineStr">
        <is>
          <t>N</t>
        </is>
      </c>
      <c r="BQ63" s="9" t="inlineStr">
        <is>
          <t>Y</t>
        </is>
      </c>
      <c r="BR63" s="13">
        <f>IF(COUNTIF(AI63:BM63,"N")+COUNTBLANK(AI63:BM63)=0,"Y","N")</f>
        <v/>
      </c>
      <c r="BS63" s="13">
        <f>IF(AND(BR63="Y",OR(L63="Submitted",L63="Under Review")),"Y",IF(L63="Closed","Y","N"))</f>
        <v/>
      </c>
      <c r="BT63" s="10" t="n">
        <v>56</v>
      </c>
      <c r="BU63" s="13">
        <f>Rule_Flags!Q62</f>
        <v/>
      </c>
      <c r="BV63" s="13">
        <f>Rule_Flags!P62</f>
        <v/>
      </c>
      <c r="BW63" s="13">
        <f>IF(Rule_Flags!E62=1,"SITE_CONTROL",IF(Rule_Flags!F62=1,"APPROVALS",IF(Rule_Flags!G62=1,"REPORTS",IF(Rule_Flags!H62=1,"DEFICIENCY",IF(Rule_Flags!I62=1,"UNDERWRITING",IF(Rule_Flags!J62=1,"COMPLIANCE",""))))))</f>
        <v/>
      </c>
      <c r="BX63" s="13">
        <f>IF(BW63="SITE_CONTROL","Site control missing or invalid",IF(BW63="APPROVALS","Required approvals or resolutions incomplete",IF(BW63="REPORTS","Required third-party reports incomplete",IF(BW63="DEFICIENCY","Unresolved deficiency or material deficiency",IF(BW63="UNDERWRITING","Underwriting / feasibility not passed",IF(BW63="COMPLIANCE","Deconcentration, one-mile, LURA, or Chapter 12 issue","Ready under current engine rules"))))))</f>
        <v/>
      </c>
      <c r="BY63" s="13">
        <f>IF(BV63="Determination Notice","Streamlined + DN-ready assumptions satisfied",IF(BV63="Board","Board-required or board-ready assumptions satisfied",""))</f>
        <v/>
      </c>
      <c r="BZ63" s="13">
        <f>IF(AND(BP63="Y",BQ63&lt;&gt;"Y"),"Carryforward project retains queue priority",IF(BQ63="Y","New project enters behind carryforward projects",""))</f>
        <v/>
      </c>
      <c r="CA63" s="13">
        <f>_xludf.RANK.EQ(Rule_Flags!O62,Rule_Flags!$O$3:$O$402,0)</f>
        <v/>
      </c>
      <c r="CB63" s="13">
        <f>IF(OR(BU63="Determination Notice Issued",BU63="Board",BU63="Closed"),"Y","N")</f>
        <v/>
      </c>
      <c r="CC63" s="9" t="inlineStr">
        <is>
          <t>property_tax_exemption normalized from 'Y (50%)' to 'Y'</t>
        </is>
      </c>
      <c r="CD63" s="9" t="inlineStr">
        <is>
          <t>Brad Fisher</t>
        </is>
      </c>
      <c r="CE63" s="9" t="inlineStr">
        <is>
          <t>(913) 787-1676</t>
        </is>
      </c>
      <c r="CF63" s="9" t="inlineStr">
        <is>
          <t>bfisher@aprilhousing.com</t>
        </is>
      </c>
      <c r="CG63" s="9" t="inlineStr">
        <is>
          <t>Aaron Eaquinto</t>
        </is>
      </c>
      <c r="CH63" s="9" t="inlineStr">
        <is>
          <t>(214) 670-4942</t>
        </is>
      </c>
    </row>
    <row r="64">
      <c r="A64" s="8" t="inlineStr">
        <is>
          <t>2026-02-10</t>
        </is>
      </c>
      <c r="B64" s="9" t="inlineStr">
        <is>
          <t>2026-02-10</t>
        </is>
      </c>
      <c r="C64" s="9" t="inlineStr">
        <is>
          <t>25456</t>
        </is>
      </c>
      <c r="D64" s="9" t="n"/>
      <c r="E64" s="9" t="inlineStr">
        <is>
          <t>Stones Crossing Apt Homes</t>
        </is>
      </c>
      <c r="F64" s="9" t="inlineStr">
        <is>
          <t>San Antonio</t>
        </is>
      </c>
      <c r="G64" s="9" t="inlineStr">
        <is>
          <t>Bexar</t>
        </is>
      </c>
      <c r="H64" s="9" t="n">
        <v>9</v>
      </c>
      <c r="I64" s="9" t="inlineStr">
        <is>
          <t>23219 U.S. HWY 281 N</t>
        </is>
      </c>
      <c r="J64" s="9" t="n">
        <v>78258</v>
      </c>
      <c r="K64" s="8" t="n">
        <v>45820</v>
      </c>
      <c r="L64" s="9" t="inlineStr">
        <is>
          <t>Approved</t>
        </is>
      </c>
      <c r="M64" s="8" t="n">
        <v>45939</v>
      </c>
      <c r="N64" s="8" t="n">
        <v>45905</v>
      </c>
      <c r="O64" s="8" t="n">
        <v>45672</v>
      </c>
      <c r="P64" s="8" t="n">
        <v>46752</v>
      </c>
      <c r="Q64" s="8" t="n"/>
      <c r="R64" s="9" t="inlineStr">
        <is>
          <t>New Construction</t>
        </is>
      </c>
      <c r="S64" s="9" t="inlineStr">
        <is>
          <t>General</t>
        </is>
      </c>
      <c r="T64" s="10" t="n">
        <v>336</v>
      </c>
      <c r="U64" s="10" t="n">
        <v>336</v>
      </c>
      <c r="V64" s="9" t="n"/>
      <c r="W64" s="9" t="n"/>
      <c r="X64" s="9" t="inlineStr">
        <is>
          <t>San Antonio HT PFC</t>
        </is>
      </c>
      <c r="Y64" s="9" t="inlineStr">
        <is>
          <t>Other</t>
        </is>
      </c>
      <c r="Z64" s="11" t="n">
        <v>60000000</v>
      </c>
      <c r="AA64" s="11" t="n"/>
      <c r="AB64" s="11" t="n">
        <v>4546209</v>
      </c>
      <c r="AC64" s="11" t="n">
        <v>4546209</v>
      </c>
      <c r="AD64" s="11" t="n"/>
      <c r="AE64" s="11" t="n"/>
      <c r="AF64" s="9" t="inlineStr">
        <is>
          <t>N</t>
        </is>
      </c>
      <c r="AG64" s="9" t="inlineStr">
        <is>
          <t>Y</t>
        </is>
      </c>
      <c r="AH64" s="9" t="inlineStr">
        <is>
          <t>Y</t>
        </is>
      </c>
      <c r="AI64" s="9" t="inlineStr">
        <is>
          <t>Y</t>
        </is>
      </c>
      <c r="AJ64" s="8" t="n"/>
      <c r="AK64" s="9" t="inlineStr">
        <is>
          <t>Y</t>
        </is>
      </c>
      <c r="AL64" s="9" t="inlineStr">
        <is>
          <t>Y</t>
        </is>
      </c>
      <c r="AM64" s="9" t="inlineStr">
        <is>
          <t>Y</t>
        </is>
      </c>
      <c r="AN64" s="9" t="n"/>
      <c r="AO64" s="9" t="n"/>
      <c r="AP64" s="9" t="n"/>
      <c r="AQ64" s="9" t="n"/>
      <c r="AR64" s="9" t="n"/>
      <c r="AS64" s="9" t="inlineStr">
        <is>
          <t>N</t>
        </is>
      </c>
      <c r="AT64" s="8" t="n"/>
      <c r="AU64" s="8" t="n"/>
      <c r="AV64" s="9" t="n"/>
      <c r="AW64" s="8" t="n"/>
      <c r="AX64" s="9" t="inlineStr">
        <is>
          <t>N</t>
        </is>
      </c>
      <c r="AY64" s="9" t="inlineStr">
        <is>
          <t>Y</t>
        </is>
      </c>
      <c r="AZ64" s="9" t="inlineStr">
        <is>
          <t>Y</t>
        </is>
      </c>
      <c r="BA64" s="9" t="inlineStr">
        <is>
          <t>Y</t>
        </is>
      </c>
      <c r="BB64" s="9" t="inlineStr">
        <is>
          <t>Y</t>
        </is>
      </c>
      <c r="BC64" s="9" t="inlineStr">
        <is>
          <t>Y</t>
        </is>
      </c>
      <c r="BD64" s="9" t="n"/>
      <c r="BE64" s="9" t="inlineStr">
        <is>
          <t>N</t>
        </is>
      </c>
      <c r="BF64" s="9" t="n"/>
      <c r="BG64" s="9" t="n"/>
      <c r="BH64" s="9" t="n"/>
      <c r="BI64" s="9" t="n"/>
      <c r="BJ64" s="9" t="inlineStr">
        <is>
          <t>Y</t>
        </is>
      </c>
      <c r="BK64" s="9" t="inlineStr">
        <is>
          <t>N</t>
        </is>
      </c>
      <c r="BL64" s="9" t="inlineStr">
        <is>
          <t>N</t>
        </is>
      </c>
      <c r="BM64" s="9" t="inlineStr">
        <is>
          <t>Y</t>
        </is>
      </c>
      <c r="BN64" s="9" t="inlineStr">
        <is>
          <t>Y</t>
        </is>
      </c>
      <c r="BO64" s="8" t="n">
        <v>45820</v>
      </c>
      <c r="BP64" s="9" t="inlineStr">
        <is>
          <t>N</t>
        </is>
      </c>
      <c r="BQ64" s="9" t="inlineStr">
        <is>
          <t>Y</t>
        </is>
      </c>
      <c r="BR64" s="13">
        <f>IF(COUNTIF(AI64:BM64,"N")+COUNTBLANK(AI64:BM64)=0,"Y","N")</f>
        <v/>
      </c>
      <c r="BS64" s="13">
        <f>IF(AND(BR64="Y",OR(L64="Submitted",L64="Under Review")),"Y",IF(L64="Closed","Y","N"))</f>
        <v/>
      </c>
      <c r="BT64" s="10" t="n">
        <v>59</v>
      </c>
      <c r="BU64" s="13">
        <f>Rule_Flags!Q63</f>
        <v/>
      </c>
      <c r="BV64" s="13">
        <f>Rule_Flags!P63</f>
        <v/>
      </c>
      <c r="BW64" s="13">
        <f>IF(Rule_Flags!E63=1,"SITE_CONTROL",IF(Rule_Flags!F63=1,"APPROVALS",IF(Rule_Flags!G63=1,"REPORTS",IF(Rule_Flags!H63=1,"DEFICIENCY",IF(Rule_Flags!I63=1,"UNDERWRITING",IF(Rule_Flags!J63=1,"COMPLIANCE",""))))))</f>
        <v/>
      </c>
      <c r="BX64" s="13">
        <f>IF(BW64="SITE_CONTROL","Site control missing or invalid",IF(BW64="APPROVALS","Required approvals or resolutions incomplete",IF(BW64="REPORTS","Required third-party reports incomplete",IF(BW64="DEFICIENCY","Unresolved deficiency or material deficiency",IF(BW64="UNDERWRITING","Underwriting / feasibility not passed",IF(BW64="COMPLIANCE","Deconcentration, one-mile, LURA, or Chapter 12 issue","Ready under current engine rules"))))))</f>
        <v/>
      </c>
      <c r="BY64" s="13">
        <f>IF(BV64="Determination Notice","Streamlined + DN-ready assumptions satisfied",IF(BV64="Board","Board-required or board-ready assumptions satisfied",""))</f>
        <v/>
      </c>
      <c r="BZ64" s="13">
        <f>IF(AND(BP64="Y",BQ64&lt;&gt;"Y"),"Carryforward project retains queue priority",IF(BQ64="Y","New project enters behind carryforward projects",""))</f>
        <v/>
      </c>
      <c r="CA64" s="13">
        <f>_xludf.RANK.EQ(Rule_Flags!O63,Rule_Flags!$O$3:$O$402,0)</f>
        <v/>
      </c>
      <c r="CB64" s="13">
        <f>IF(OR(BU64="Determination Notice Issued",BU64="Board",BU64="Closed"),"Y","N")</f>
        <v/>
      </c>
      <c r="CC64" s="9" t="inlineStr">
        <is>
          <t>construction_type mapped from raw 'NC' to 'New Construction'</t>
        </is>
      </c>
      <c r="CD64" s="9" t="inlineStr">
        <is>
          <t>Jean Latsha</t>
        </is>
      </c>
      <c r="CE64" s="9" t="inlineStr">
        <is>
          <t>(512) 470-7312</t>
        </is>
      </c>
      <c r="CF64" s="9" t="inlineStr">
        <is>
          <t>jlatsha@pedcor.net</t>
        </is>
      </c>
      <c r="CG64" s="9" t="inlineStr">
        <is>
          <t>Pedro Alanis</t>
        </is>
      </c>
      <c r="CH64" s="9" t="inlineStr">
        <is>
          <t>(210) 735-2772</t>
        </is>
      </c>
    </row>
    <row r="65">
      <c r="A65" s="8" t="inlineStr">
        <is>
          <t>2026-02-10</t>
        </is>
      </c>
      <c r="B65" s="9" t="inlineStr">
        <is>
          <t>2026-02-10</t>
        </is>
      </c>
      <c r="C65" s="9" t="inlineStr">
        <is>
          <t>25465</t>
        </is>
      </c>
      <c r="D65" s="9" t="n"/>
      <c r="E65" s="9" t="inlineStr">
        <is>
          <t>Haverstock Hills East</t>
        </is>
      </c>
      <c r="F65" s="9" t="inlineStr">
        <is>
          <t>Houston</t>
        </is>
      </c>
      <c r="G65" s="9" t="inlineStr">
        <is>
          <t>Harris</t>
        </is>
      </c>
      <c r="H65" s="9" t="n">
        <v>6</v>
      </c>
      <c r="I65" s="9" t="inlineStr">
        <is>
          <t>5619 Aldine Bender Road</t>
        </is>
      </c>
      <c r="J65" s="9" t="n">
        <v>77032</v>
      </c>
      <c r="K65" s="8" t="n">
        <v>45824</v>
      </c>
      <c r="L65" s="9" t="inlineStr">
        <is>
          <t>Closed</t>
        </is>
      </c>
      <c r="M65" s="8" t="n">
        <v>45939</v>
      </c>
      <c r="N65" s="8" t="n">
        <v>45929</v>
      </c>
      <c r="O65" s="8" t="n">
        <v>45818</v>
      </c>
      <c r="P65" s="8" t="n">
        <v>45998</v>
      </c>
      <c r="Q65" s="8" t="n"/>
      <c r="R65" s="9" t="inlineStr">
        <is>
          <t>Acq/Rehab</t>
        </is>
      </c>
      <c r="S65" s="9" t="inlineStr">
        <is>
          <t>General</t>
        </is>
      </c>
      <c r="T65" s="10" t="n">
        <v>268</v>
      </c>
      <c r="U65" s="10" t="n">
        <v>268</v>
      </c>
      <c r="V65" s="9" t="n"/>
      <c r="W65" s="9" t="n"/>
      <c r="X65" s="9" t="inlineStr">
        <is>
          <t>Harris County HFC</t>
        </is>
      </c>
      <c r="Y65" s="9" t="inlineStr">
        <is>
          <t>Local HFC</t>
        </is>
      </c>
      <c r="Z65" s="11" t="n">
        <v>69152737</v>
      </c>
      <c r="AA65" s="11" t="n"/>
      <c r="AB65" s="11" t="n">
        <v>3418358</v>
      </c>
      <c r="AC65" s="11" t="n">
        <v>3418358</v>
      </c>
      <c r="AD65" s="11" t="n"/>
      <c r="AE65" s="11" t="n"/>
      <c r="AF65" s="9" t="inlineStr">
        <is>
          <t>N</t>
        </is>
      </c>
      <c r="AG65" s="9" t="inlineStr">
        <is>
          <t>Y</t>
        </is>
      </c>
      <c r="AH65" s="9" t="n"/>
      <c r="AI65" s="9" t="inlineStr">
        <is>
          <t>Y</t>
        </is>
      </c>
      <c r="AJ65" s="8" t="n"/>
      <c r="AK65" s="9" t="inlineStr">
        <is>
          <t>Y</t>
        </is>
      </c>
      <c r="AL65" s="9" t="inlineStr">
        <is>
          <t>Y</t>
        </is>
      </c>
      <c r="AM65" s="9" t="inlineStr">
        <is>
          <t>Y</t>
        </is>
      </c>
      <c r="AN65" s="9" t="n"/>
      <c r="AO65" s="9" t="n"/>
      <c r="AP65" s="9" t="n"/>
      <c r="AQ65" s="9" t="n"/>
      <c r="AR65" s="9" t="n"/>
      <c r="AS65" s="9" t="inlineStr">
        <is>
          <t>N</t>
        </is>
      </c>
      <c r="AT65" s="8" t="n"/>
      <c r="AU65" s="8" t="n"/>
      <c r="AV65" s="9" t="n"/>
      <c r="AW65" s="8" t="n"/>
      <c r="AX65" s="9" t="inlineStr">
        <is>
          <t>N</t>
        </is>
      </c>
      <c r="AY65" s="9" t="inlineStr">
        <is>
          <t>Y</t>
        </is>
      </c>
      <c r="AZ65" s="9" t="inlineStr">
        <is>
          <t>Y</t>
        </is>
      </c>
      <c r="BA65" s="9" t="inlineStr">
        <is>
          <t>Y</t>
        </is>
      </c>
      <c r="BB65" s="9" t="inlineStr">
        <is>
          <t>Y</t>
        </is>
      </c>
      <c r="BC65" s="9" t="inlineStr">
        <is>
          <t>Y</t>
        </is>
      </c>
      <c r="BD65" s="9" t="n"/>
      <c r="BE65" s="9" t="inlineStr">
        <is>
          <t>N</t>
        </is>
      </c>
      <c r="BF65" s="9" t="n"/>
      <c r="BG65" s="9" t="n"/>
      <c r="BH65" s="9" t="n"/>
      <c r="BI65" s="9" t="n"/>
      <c r="BJ65" s="9" t="inlineStr">
        <is>
          <t>Y</t>
        </is>
      </c>
      <c r="BK65" s="9" t="inlineStr">
        <is>
          <t>N</t>
        </is>
      </c>
      <c r="BL65" s="9" t="inlineStr">
        <is>
          <t>N</t>
        </is>
      </c>
      <c r="BM65" s="9" t="inlineStr">
        <is>
          <t>Y</t>
        </is>
      </c>
      <c r="BN65" s="9" t="inlineStr">
        <is>
          <t>Y</t>
        </is>
      </c>
      <c r="BO65" s="8" t="n">
        <v>45824</v>
      </c>
      <c r="BP65" s="9" t="inlineStr">
        <is>
          <t>N</t>
        </is>
      </c>
      <c r="BQ65" s="9" t="inlineStr">
        <is>
          <t>Y</t>
        </is>
      </c>
      <c r="BR65" s="13">
        <f>IF(COUNTIF(AI65:BM65,"N")+COUNTBLANK(AI65:BM65)=0,"Y","N")</f>
        <v/>
      </c>
      <c r="BS65" s="13">
        <f>IF(AND(BR65="Y",OR(L65="Submitted",L65="Under Review")),"Y",IF(L65="Closed","Y","N"))</f>
        <v/>
      </c>
      <c r="BT65" s="10" t="n">
        <v>60</v>
      </c>
      <c r="BU65" s="13">
        <f>Rule_Flags!Q64</f>
        <v/>
      </c>
      <c r="BV65" s="13">
        <f>Rule_Flags!P64</f>
        <v/>
      </c>
      <c r="BW65" s="13">
        <f>IF(Rule_Flags!E64=1,"SITE_CONTROL",IF(Rule_Flags!F64=1,"APPROVALS",IF(Rule_Flags!G64=1,"REPORTS",IF(Rule_Flags!H64=1,"DEFICIENCY",IF(Rule_Flags!I64=1,"UNDERWRITING",IF(Rule_Flags!J64=1,"COMPLIANCE",""))))))</f>
        <v/>
      </c>
      <c r="BX65" s="13">
        <f>IF(BW65="SITE_CONTROL","Site control missing or invalid",IF(BW65="APPROVALS","Required approvals or resolutions incomplete",IF(BW65="REPORTS","Required third-party reports incomplete",IF(BW65="DEFICIENCY","Unresolved deficiency or material deficiency",IF(BW65="UNDERWRITING","Underwriting / feasibility not passed",IF(BW65="COMPLIANCE","Deconcentration, one-mile, LURA, or Chapter 12 issue","Ready under current engine rules"))))))</f>
        <v/>
      </c>
      <c r="BY65" s="13">
        <f>IF(BV65="Determination Notice","Streamlined + DN-ready assumptions satisfied",IF(BV65="Board","Board-required or board-ready assumptions satisfied",""))</f>
        <v/>
      </c>
      <c r="BZ65" s="13">
        <f>IF(AND(BP65="Y",BQ65&lt;&gt;"Y"),"Carryforward project retains queue priority",IF(BQ65="Y","New project enters behind carryforward projects",""))</f>
        <v/>
      </c>
      <c r="CA65" s="13">
        <f>_xludf.RANK.EQ(Rule_Flags!O64,Rule_Flags!$O$3:$O$402,0)</f>
        <v/>
      </c>
      <c r="CB65" s="13">
        <f>IF(OR(BU65="Determination Notice Issued",BU65="Board",BU65="Closed"),"Y","N")</f>
        <v/>
      </c>
      <c r="CC65" s="9" t="n"/>
      <c r="CD65" s="9" t="inlineStr">
        <is>
          <t>Allan Izzo</t>
        </is>
      </c>
      <c r="CE65" s="9" t="inlineStr">
        <is>
          <t>(646) 8257106</t>
        </is>
      </c>
      <c r="CF65" s="9" t="inlineStr">
        <is>
          <t>allan.izzo@fairstead.com</t>
        </is>
      </c>
      <c r="CG65" s="9" t="inlineStr">
        <is>
          <t>Rene Martinez</t>
        </is>
      </c>
      <c r="CH65" s="9" t="inlineStr">
        <is>
          <t>(832) 927-4824</t>
        </is>
      </c>
    </row>
    <row r="66">
      <c r="A66" s="8" t="inlineStr">
        <is>
          <t>2026-02-10</t>
        </is>
      </c>
      <c r="B66" s="9" t="inlineStr">
        <is>
          <t>2026-02-10</t>
        </is>
      </c>
      <c r="C66" s="9" t="inlineStr">
        <is>
          <t>25466</t>
        </is>
      </c>
      <c r="D66" s="9" t="n"/>
      <c r="E66" s="9" t="inlineStr">
        <is>
          <t>Haverstock Hills West</t>
        </is>
      </c>
      <c r="F66" s="9" t="inlineStr">
        <is>
          <t>Houston</t>
        </is>
      </c>
      <c r="G66" s="9" t="inlineStr">
        <is>
          <t>Harris</t>
        </is>
      </c>
      <c r="H66" s="9" t="n">
        <v>6</v>
      </c>
      <c r="I66" s="9" t="inlineStr">
        <is>
          <t>5609 Aldine Bender Road</t>
        </is>
      </c>
      <c r="J66" s="9" t="n">
        <v>77032</v>
      </c>
      <c r="K66" s="8" t="n">
        <v>45824</v>
      </c>
      <c r="L66" s="9" t="inlineStr">
        <is>
          <t>Closed</t>
        </is>
      </c>
      <c r="M66" s="8" t="n">
        <v>45939</v>
      </c>
      <c r="N66" s="8" t="n">
        <v>45929</v>
      </c>
      <c r="O66" s="8" t="n">
        <v>45819</v>
      </c>
      <c r="P66" s="8" t="n">
        <v>45999</v>
      </c>
      <c r="Q66" s="8" t="n"/>
      <c r="R66" s="9" t="inlineStr">
        <is>
          <t>Acq/Rehab</t>
        </is>
      </c>
      <c r="S66" s="9" t="inlineStr">
        <is>
          <t>General</t>
        </is>
      </c>
      <c r="T66" s="10" t="n">
        <v>432</v>
      </c>
      <c r="U66" s="10" t="n">
        <v>432</v>
      </c>
      <c r="V66" s="9" t="n"/>
      <c r="W66" s="9" t="n"/>
      <c r="X66" s="9" t="inlineStr">
        <is>
          <t>Harris County HFC</t>
        </is>
      </c>
      <c r="Y66" s="9" t="inlineStr">
        <is>
          <t>Local HFC</t>
        </is>
      </c>
      <c r="Z66" s="11" t="n">
        <v>69152737</v>
      </c>
      <c r="AA66" s="11" t="n"/>
      <c r="AB66" s="11" t="n">
        <v>5582580</v>
      </c>
      <c r="AC66" s="11" t="n">
        <v>5582580</v>
      </c>
      <c r="AD66" s="11" t="n"/>
      <c r="AE66" s="11" t="n"/>
      <c r="AF66" s="9" t="inlineStr">
        <is>
          <t>N</t>
        </is>
      </c>
      <c r="AG66" s="9" t="inlineStr">
        <is>
          <t>Y</t>
        </is>
      </c>
      <c r="AH66" s="9" t="n"/>
      <c r="AI66" s="9" t="inlineStr">
        <is>
          <t>Y</t>
        </is>
      </c>
      <c r="AJ66" s="8" t="n"/>
      <c r="AK66" s="9" t="inlineStr">
        <is>
          <t>Y</t>
        </is>
      </c>
      <c r="AL66" s="9" t="inlineStr">
        <is>
          <t>Y</t>
        </is>
      </c>
      <c r="AM66" s="9" t="inlineStr">
        <is>
          <t>Y</t>
        </is>
      </c>
      <c r="AN66" s="9" t="n"/>
      <c r="AO66" s="9" t="n"/>
      <c r="AP66" s="9" t="n"/>
      <c r="AQ66" s="9" t="n"/>
      <c r="AR66" s="9" t="n"/>
      <c r="AS66" s="9" t="inlineStr">
        <is>
          <t>N</t>
        </is>
      </c>
      <c r="AT66" s="8" t="n"/>
      <c r="AU66" s="8" t="n"/>
      <c r="AV66" s="9" t="n"/>
      <c r="AW66" s="8" t="n"/>
      <c r="AX66" s="9" t="inlineStr">
        <is>
          <t>N</t>
        </is>
      </c>
      <c r="AY66" s="9" t="inlineStr">
        <is>
          <t>Y</t>
        </is>
      </c>
      <c r="AZ66" s="9" t="inlineStr">
        <is>
          <t>Y</t>
        </is>
      </c>
      <c r="BA66" s="9" t="inlineStr">
        <is>
          <t>Y</t>
        </is>
      </c>
      <c r="BB66" s="9" t="inlineStr">
        <is>
          <t>Y</t>
        </is>
      </c>
      <c r="BC66" s="9" t="inlineStr">
        <is>
          <t>Y</t>
        </is>
      </c>
      <c r="BD66" s="9" t="n"/>
      <c r="BE66" s="9" t="inlineStr">
        <is>
          <t>N</t>
        </is>
      </c>
      <c r="BF66" s="9" t="n"/>
      <c r="BG66" s="9" t="n"/>
      <c r="BH66" s="9" t="n"/>
      <c r="BI66" s="9" t="n"/>
      <c r="BJ66" s="9" t="inlineStr">
        <is>
          <t>Y</t>
        </is>
      </c>
      <c r="BK66" s="9" t="inlineStr">
        <is>
          <t>N</t>
        </is>
      </c>
      <c r="BL66" s="9" t="inlineStr">
        <is>
          <t>N</t>
        </is>
      </c>
      <c r="BM66" s="9" t="inlineStr">
        <is>
          <t>Y</t>
        </is>
      </c>
      <c r="BN66" s="9" t="inlineStr">
        <is>
          <t>Y</t>
        </is>
      </c>
      <c r="BO66" s="8" t="n">
        <v>45824</v>
      </c>
      <c r="BP66" s="9" t="inlineStr">
        <is>
          <t>N</t>
        </is>
      </c>
      <c r="BQ66" s="9" t="inlineStr">
        <is>
          <t>Y</t>
        </is>
      </c>
      <c r="BR66" s="13">
        <f>IF(COUNTIF(AI66:BM66,"N")+COUNTBLANK(AI66:BM66)=0,"Y","N")</f>
        <v/>
      </c>
      <c r="BS66" s="13">
        <f>IF(AND(BR66="Y",OR(L66="Submitted",L66="Under Review")),"Y",IF(L66="Closed","Y","N"))</f>
        <v/>
      </c>
      <c r="BT66" s="10" t="n">
        <v>61</v>
      </c>
      <c r="BU66" s="13">
        <f>Rule_Flags!Q65</f>
        <v/>
      </c>
      <c r="BV66" s="13">
        <f>Rule_Flags!P65</f>
        <v/>
      </c>
      <c r="BW66" s="13">
        <f>IF(Rule_Flags!E65=1,"SITE_CONTROL",IF(Rule_Flags!F65=1,"APPROVALS",IF(Rule_Flags!G65=1,"REPORTS",IF(Rule_Flags!H65=1,"DEFICIENCY",IF(Rule_Flags!I65=1,"UNDERWRITING",IF(Rule_Flags!J65=1,"COMPLIANCE",""))))))</f>
        <v/>
      </c>
      <c r="BX66" s="13">
        <f>IF(BW66="SITE_CONTROL","Site control missing or invalid",IF(BW66="APPROVALS","Required approvals or resolutions incomplete",IF(BW66="REPORTS","Required third-party reports incomplete",IF(BW66="DEFICIENCY","Unresolved deficiency or material deficiency",IF(BW66="UNDERWRITING","Underwriting / feasibility not passed",IF(BW66="COMPLIANCE","Deconcentration, one-mile, LURA, or Chapter 12 issue","Ready under current engine rules"))))))</f>
        <v/>
      </c>
      <c r="BY66" s="13">
        <f>IF(BV66="Determination Notice","Streamlined + DN-ready assumptions satisfied",IF(BV66="Board","Board-required or board-ready assumptions satisfied",""))</f>
        <v/>
      </c>
      <c r="BZ66" s="13">
        <f>IF(AND(BP66="Y",BQ66&lt;&gt;"Y"),"Carryforward project retains queue priority",IF(BQ66="Y","New project enters behind carryforward projects",""))</f>
        <v/>
      </c>
      <c r="CA66" s="13">
        <f>_xludf.RANK.EQ(Rule_Flags!O65,Rule_Flags!$O$3:$O$402,0)</f>
        <v/>
      </c>
      <c r="CB66" s="13">
        <f>IF(OR(BU66="Determination Notice Issued",BU66="Board",BU66="Closed"),"Y","N")</f>
        <v/>
      </c>
      <c r="CC66" s="9" t="n"/>
      <c r="CD66" s="9" t="inlineStr">
        <is>
          <t>Allan Izzo</t>
        </is>
      </c>
      <c r="CE66" s="9" t="inlineStr">
        <is>
          <t>(646) 8257106</t>
        </is>
      </c>
      <c r="CF66" s="9" t="inlineStr">
        <is>
          <t>allan.izzo@fairstead.com</t>
        </is>
      </c>
      <c r="CG66" s="9" t="inlineStr">
        <is>
          <t>Rene Martinez</t>
        </is>
      </c>
      <c r="CH66" s="9" t="inlineStr">
        <is>
          <t>(832) 927-4824</t>
        </is>
      </c>
    </row>
    <row r="67">
      <c r="A67" s="8" t="inlineStr">
        <is>
          <t>2026-02-10</t>
        </is>
      </c>
      <c r="B67" s="9" t="inlineStr">
        <is>
          <t>2026-02-10</t>
        </is>
      </c>
      <c r="C67" s="9" t="inlineStr">
        <is>
          <t>25467</t>
        </is>
      </c>
      <c r="D67" s="9" t="n"/>
      <c r="E67" s="9" t="inlineStr">
        <is>
          <t>Cameron HiLine</t>
        </is>
      </c>
      <c r="F67" s="9" t="inlineStr">
        <is>
          <t>Austin</t>
        </is>
      </c>
      <c r="G67" s="9" t="inlineStr">
        <is>
          <t>Travis</t>
        </is>
      </c>
      <c r="H67" s="9" t="n">
        <v>7</v>
      </c>
      <c r="I67" s="9" t="inlineStr">
        <is>
          <t>1124 Clayton Lane</t>
        </is>
      </c>
      <c r="J67" s="9" t="n">
        <v>78723</v>
      </c>
      <c r="K67" s="8" t="n">
        <v>45833</v>
      </c>
      <c r="L67" s="9" t="inlineStr">
        <is>
          <t>Closed</t>
        </is>
      </c>
      <c r="M67" s="8" t="n">
        <v>45939</v>
      </c>
      <c r="N67" s="8" t="n">
        <v>45919</v>
      </c>
      <c r="O67" s="8" t="n">
        <v>45785</v>
      </c>
      <c r="P67" s="8" t="n">
        <v>45965</v>
      </c>
      <c r="Q67" s="8" t="n"/>
      <c r="R67" s="9" t="inlineStr">
        <is>
          <t>New Construction</t>
        </is>
      </c>
      <c r="S67" s="9" t="inlineStr">
        <is>
          <t>General</t>
        </is>
      </c>
      <c r="T67" s="10" t="n">
        <v>227</v>
      </c>
      <c r="U67" s="10" t="n">
        <v>227</v>
      </c>
      <c r="V67" s="9" t="n"/>
      <c r="W67" s="9" t="n"/>
      <c r="X67" s="9" t="inlineStr">
        <is>
          <t>Austin Affordable PFC</t>
        </is>
      </c>
      <c r="Y67" s="9" t="inlineStr">
        <is>
          <t>Other</t>
        </is>
      </c>
      <c r="Z67" s="11" t="n">
        <v>40000000</v>
      </c>
      <c r="AA67" s="11" t="n"/>
      <c r="AB67" s="11" t="n">
        <v>3315696</v>
      </c>
      <c r="AC67" s="11" t="n">
        <v>3315696</v>
      </c>
      <c r="AD67" s="11" t="n"/>
      <c r="AE67" s="11" t="n"/>
      <c r="AF67" s="9" t="inlineStr">
        <is>
          <t>N</t>
        </is>
      </c>
      <c r="AG67" s="9" t="inlineStr">
        <is>
          <t>Y</t>
        </is>
      </c>
      <c r="AH67" s="9" t="inlineStr">
        <is>
          <t>Y</t>
        </is>
      </c>
      <c r="AI67" s="9" t="inlineStr">
        <is>
          <t>Y</t>
        </is>
      </c>
      <c r="AJ67" s="8" t="n"/>
      <c r="AK67" s="9" t="inlineStr">
        <is>
          <t>Y</t>
        </is>
      </c>
      <c r="AL67" s="9" t="inlineStr">
        <is>
          <t>Y</t>
        </is>
      </c>
      <c r="AM67" s="9" t="inlineStr">
        <is>
          <t>Y</t>
        </is>
      </c>
      <c r="AN67" s="9" t="n"/>
      <c r="AO67" s="9" t="n"/>
      <c r="AP67" s="9" t="n"/>
      <c r="AQ67" s="9" t="n"/>
      <c r="AR67" s="9" t="n"/>
      <c r="AS67" s="9" t="inlineStr">
        <is>
          <t>N</t>
        </is>
      </c>
      <c r="AT67" s="8" t="n"/>
      <c r="AU67" s="8" t="n"/>
      <c r="AV67" s="9" t="n"/>
      <c r="AW67" s="8" t="n"/>
      <c r="AX67" s="9" t="inlineStr">
        <is>
          <t>N</t>
        </is>
      </c>
      <c r="AY67" s="9" t="inlineStr">
        <is>
          <t>Y</t>
        </is>
      </c>
      <c r="AZ67" s="9" t="inlineStr">
        <is>
          <t>Y</t>
        </is>
      </c>
      <c r="BA67" s="9" t="inlineStr">
        <is>
          <t>Y</t>
        </is>
      </c>
      <c r="BB67" s="9" t="inlineStr">
        <is>
          <t>Y</t>
        </is>
      </c>
      <c r="BC67" s="9" t="inlineStr">
        <is>
          <t>Y</t>
        </is>
      </c>
      <c r="BD67" s="9" t="n"/>
      <c r="BE67" s="9" t="inlineStr">
        <is>
          <t>N</t>
        </is>
      </c>
      <c r="BF67" s="9" t="n"/>
      <c r="BG67" s="9" t="n"/>
      <c r="BH67" s="9" t="n"/>
      <c r="BI67" s="9" t="n"/>
      <c r="BJ67" s="9" t="inlineStr">
        <is>
          <t>Y</t>
        </is>
      </c>
      <c r="BK67" s="9" t="inlineStr">
        <is>
          <t>N</t>
        </is>
      </c>
      <c r="BL67" s="9" t="inlineStr">
        <is>
          <t>N</t>
        </is>
      </c>
      <c r="BM67" s="9" t="inlineStr">
        <is>
          <t>Y</t>
        </is>
      </c>
      <c r="BN67" s="9" t="inlineStr">
        <is>
          <t>Y</t>
        </is>
      </c>
      <c r="BO67" s="8" t="n">
        <v>45833</v>
      </c>
      <c r="BP67" s="9" t="inlineStr">
        <is>
          <t>N</t>
        </is>
      </c>
      <c r="BQ67" s="9" t="inlineStr">
        <is>
          <t>Y</t>
        </is>
      </c>
      <c r="BR67" s="13">
        <f>IF(COUNTIF(AI67:BM67,"N")+COUNTBLANK(AI67:BM67)=0,"Y","N")</f>
        <v/>
      </c>
      <c r="BS67" s="13">
        <f>IF(AND(BR67="Y",OR(L67="Submitted",L67="Under Review")),"Y",IF(L67="Closed","Y","N"))</f>
        <v/>
      </c>
      <c r="BT67" s="10" t="n">
        <v>62</v>
      </c>
      <c r="BU67" s="13">
        <f>Rule_Flags!Q66</f>
        <v/>
      </c>
      <c r="BV67" s="13">
        <f>Rule_Flags!P66</f>
        <v/>
      </c>
      <c r="BW67" s="13">
        <f>IF(Rule_Flags!E66=1,"SITE_CONTROL",IF(Rule_Flags!F66=1,"APPROVALS",IF(Rule_Flags!G66=1,"REPORTS",IF(Rule_Flags!H66=1,"DEFICIENCY",IF(Rule_Flags!I66=1,"UNDERWRITING",IF(Rule_Flags!J66=1,"COMPLIANCE",""))))))</f>
        <v/>
      </c>
      <c r="BX67" s="13">
        <f>IF(BW67="SITE_CONTROL","Site control missing or invalid",IF(BW67="APPROVALS","Required approvals or resolutions incomplete",IF(BW67="REPORTS","Required third-party reports incomplete",IF(BW67="DEFICIENCY","Unresolved deficiency or material deficiency",IF(BW67="UNDERWRITING","Underwriting / feasibility not passed",IF(BW67="COMPLIANCE","Deconcentration, one-mile, LURA, or Chapter 12 issue","Ready under current engine rules"))))))</f>
        <v/>
      </c>
      <c r="BY67" s="13">
        <f>IF(BV67="Determination Notice","Streamlined + DN-ready assumptions satisfied",IF(BV67="Board","Board-required or board-ready assumptions satisfied",""))</f>
        <v/>
      </c>
      <c r="BZ67" s="13">
        <f>IF(AND(BP67="Y",BQ67&lt;&gt;"Y"),"Carryforward project retains queue priority",IF(BQ67="Y","New project enters behind carryforward projects",""))</f>
        <v/>
      </c>
      <c r="CA67" s="13">
        <f>_xludf.RANK.EQ(Rule_Flags!O66,Rule_Flags!$O$3:$O$402,0)</f>
        <v/>
      </c>
      <c r="CB67" s="13">
        <f>IF(OR(BU67="Determination Notice Issued",BU67="Board",BU67="Closed"),"Y","N")</f>
        <v/>
      </c>
      <c r="CC67" s="9" t="inlineStr">
        <is>
          <t>construction_type mapped from raw 'NC' to 'New Construction'</t>
        </is>
      </c>
      <c r="CD67" s="9" t="inlineStr">
        <is>
          <t>Adrian Iglesias</t>
        </is>
      </c>
      <c r="CE67" s="9" t="inlineStr">
        <is>
          <t>(214) 613-6569</t>
        </is>
      </c>
      <c r="CF67" s="9" t="inlineStr">
        <is>
          <t>aiglesias@ghdevelopment.com</t>
        </is>
      </c>
      <c r="CG67" s="9" t="inlineStr">
        <is>
          <t>Ron Kowal</t>
        </is>
      </c>
      <c r="CH67" s="9" t="inlineStr">
        <is>
          <t>512‐477‐4488</t>
        </is>
      </c>
    </row>
    <row r="68">
      <c r="A68" s="8" t="inlineStr">
        <is>
          <t>2026-02-10</t>
        </is>
      </c>
      <c r="B68" s="9" t="inlineStr">
        <is>
          <t>2026-02-10</t>
        </is>
      </c>
      <c r="C68" s="9" t="inlineStr">
        <is>
          <t>25470</t>
        </is>
      </c>
      <c r="D68" s="9" t="inlineStr">
        <is>
          <t>060424</t>
        </is>
      </c>
      <c r="E68" s="9" t="inlineStr">
        <is>
          <t>Lafayette Village</t>
        </is>
      </c>
      <c r="F68" s="9" t="inlineStr">
        <is>
          <t>Houston</t>
        </is>
      </c>
      <c r="G68" s="9" t="inlineStr">
        <is>
          <t>Harris</t>
        </is>
      </c>
      <c r="H68" s="9" t="n">
        <v>6</v>
      </c>
      <c r="I68" s="9" t="inlineStr">
        <is>
          <t>4822 E Sam Houston Pkway N</t>
        </is>
      </c>
      <c r="J68" s="9" t="n">
        <v>77015</v>
      </c>
      <c r="K68" s="8" t="n">
        <v>45838</v>
      </c>
      <c r="L68" s="9" t="inlineStr">
        <is>
          <t>Approved</t>
        </is>
      </c>
      <c r="M68" s="8" t="n">
        <v>45939</v>
      </c>
      <c r="N68" s="8" t="n">
        <v>45975</v>
      </c>
      <c r="O68" s="8" t="n">
        <v>45880</v>
      </c>
      <c r="P68" s="8" t="n">
        <v>46060</v>
      </c>
      <c r="Q68" s="8" t="n"/>
      <c r="R68" s="9" t="inlineStr">
        <is>
          <t>Acq/Rehab</t>
        </is>
      </c>
      <c r="S68" s="9" t="inlineStr">
        <is>
          <t>General</t>
        </is>
      </c>
      <c r="T68" s="10" t="n">
        <v>250</v>
      </c>
      <c r="U68" s="10" t="n">
        <v>250</v>
      </c>
      <c r="V68" s="9" t="n"/>
      <c r="W68" s="9" t="n"/>
      <c r="X68" s="9" t="inlineStr">
        <is>
          <t>HHA Fountainview PFC</t>
        </is>
      </c>
      <c r="Y68" s="9" t="inlineStr">
        <is>
          <t>Other</t>
        </is>
      </c>
      <c r="Z68" s="11" t="n">
        <v>30000000</v>
      </c>
      <c r="AA68" s="11" t="n"/>
      <c r="AB68" s="11" t="n">
        <v>1413291</v>
      </c>
      <c r="AC68" s="11" t="n">
        <v>1413291</v>
      </c>
      <c r="AD68" s="11" t="n"/>
      <c r="AE68" s="11" t="n"/>
      <c r="AF68" s="9" t="inlineStr">
        <is>
          <t>N</t>
        </is>
      </c>
      <c r="AG68" s="9" t="inlineStr">
        <is>
          <t>Y</t>
        </is>
      </c>
      <c r="AH68" s="9" t="inlineStr">
        <is>
          <t>Y</t>
        </is>
      </c>
      <c r="AI68" s="9" t="inlineStr">
        <is>
          <t>Y</t>
        </is>
      </c>
      <c r="AJ68" s="8" t="n"/>
      <c r="AK68" s="9" t="inlineStr">
        <is>
          <t>Y</t>
        </is>
      </c>
      <c r="AL68" s="9" t="inlineStr">
        <is>
          <t>Y</t>
        </is>
      </c>
      <c r="AM68" s="9" t="inlineStr">
        <is>
          <t>Y</t>
        </is>
      </c>
      <c r="AN68" s="9" t="n"/>
      <c r="AO68" s="9" t="n"/>
      <c r="AP68" s="9" t="n"/>
      <c r="AQ68" s="9" t="n"/>
      <c r="AR68" s="9" t="n"/>
      <c r="AS68" s="9" t="inlineStr">
        <is>
          <t>N</t>
        </is>
      </c>
      <c r="AT68" s="8" t="n"/>
      <c r="AU68" s="8" t="n"/>
      <c r="AV68" s="9" t="n"/>
      <c r="AW68" s="8" t="n"/>
      <c r="AX68" s="9" t="inlineStr">
        <is>
          <t>N</t>
        </is>
      </c>
      <c r="AY68" s="9" t="inlineStr">
        <is>
          <t>Y</t>
        </is>
      </c>
      <c r="AZ68" s="9" t="inlineStr">
        <is>
          <t>Y</t>
        </is>
      </c>
      <c r="BA68" s="9" t="inlineStr">
        <is>
          <t>Y</t>
        </is>
      </c>
      <c r="BB68" s="9" t="inlineStr">
        <is>
          <t>Y</t>
        </is>
      </c>
      <c r="BC68" s="9" t="inlineStr">
        <is>
          <t>Y</t>
        </is>
      </c>
      <c r="BD68" s="9" t="n"/>
      <c r="BE68" s="9" t="inlineStr">
        <is>
          <t>N</t>
        </is>
      </c>
      <c r="BF68" s="9" t="n"/>
      <c r="BG68" s="9" t="n"/>
      <c r="BH68" s="9" t="n"/>
      <c r="BI68" s="9" t="n"/>
      <c r="BJ68" s="9" t="inlineStr">
        <is>
          <t>Y</t>
        </is>
      </c>
      <c r="BK68" s="9" t="inlineStr">
        <is>
          <t>N</t>
        </is>
      </c>
      <c r="BL68" s="9" t="inlineStr">
        <is>
          <t>N</t>
        </is>
      </c>
      <c r="BM68" s="9" t="inlineStr">
        <is>
          <t>Y</t>
        </is>
      </c>
      <c r="BN68" s="9" t="inlineStr">
        <is>
          <t>Y</t>
        </is>
      </c>
      <c r="BO68" s="8" t="n">
        <v>45838</v>
      </c>
      <c r="BP68" s="9" t="inlineStr">
        <is>
          <t>N</t>
        </is>
      </c>
      <c r="BQ68" s="9" t="inlineStr">
        <is>
          <t>Y</t>
        </is>
      </c>
      <c r="BR68" s="13">
        <f>IF(COUNTIF(AI68:BM68,"N")+COUNTBLANK(AI68:BM68)=0,"Y","N")</f>
        <v/>
      </c>
      <c r="BS68" s="13">
        <f>IF(AND(BR68="Y",OR(L68="Submitted",L68="Under Review")),"Y",IF(L68="Closed","Y","N"))</f>
        <v/>
      </c>
      <c r="BT68" s="10" t="n">
        <v>63</v>
      </c>
      <c r="BU68" s="13">
        <f>Rule_Flags!Q67</f>
        <v/>
      </c>
      <c r="BV68" s="13">
        <f>Rule_Flags!P67</f>
        <v/>
      </c>
      <c r="BW68" s="13">
        <f>IF(Rule_Flags!E67=1,"SITE_CONTROL",IF(Rule_Flags!F67=1,"APPROVALS",IF(Rule_Flags!G67=1,"REPORTS",IF(Rule_Flags!H67=1,"DEFICIENCY",IF(Rule_Flags!I67=1,"UNDERWRITING",IF(Rule_Flags!J67=1,"COMPLIANCE",""))))))</f>
        <v/>
      </c>
      <c r="BX68" s="13">
        <f>IF(BW68="SITE_CONTROL","Site control missing or invalid",IF(BW68="APPROVALS","Required approvals or resolutions incomplete",IF(BW68="REPORTS","Required third-party reports incomplete",IF(BW68="DEFICIENCY","Unresolved deficiency or material deficiency",IF(BW68="UNDERWRITING","Underwriting / feasibility not passed",IF(BW68="COMPLIANCE","Deconcentration, one-mile, LURA, or Chapter 12 issue","Ready under current engine rules"))))))</f>
        <v/>
      </c>
      <c r="BY68" s="13">
        <f>IF(BV68="Determination Notice","Streamlined + DN-ready assumptions satisfied",IF(BV68="Board","Board-required or board-ready assumptions satisfied",""))</f>
        <v/>
      </c>
      <c r="BZ68" s="13">
        <f>IF(AND(BP68="Y",BQ68&lt;&gt;"Y"),"Carryforward project retains queue priority",IF(BQ68="Y","New project enters behind carryforward projects",""))</f>
        <v/>
      </c>
      <c r="CA68" s="13">
        <f>_xludf.RANK.EQ(Rule_Flags!O67,Rule_Flags!$O$3:$O$402,0)</f>
        <v/>
      </c>
      <c r="CB68" s="13">
        <f>IF(OR(BU68="Determination Notice Issued",BU68="Board",BU68="Closed"),"Y","N")</f>
        <v/>
      </c>
      <c r="CC68" s="9" t="n"/>
      <c r="CD68" s="9" t="inlineStr">
        <is>
          <t>Jeremy Bartholomew</t>
        </is>
      </c>
      <c r="CE68" s="9" t="inlineStr">
        <is>
          <t>(713) 334-5514</t>
        </is>
      </c>
      <c r="CF68" s="9" t="inlineStr">
        <is>
          <t>jeremy@resolutioncompanies.com</t>
        </is>
      </c>
      <c r="CG68" s="9" t="inlineStr">
        <is>
          <t>Jamie Bryant</t>
        </is>
      </c>
      <c r="CH68" s="9" t="inlineStr">
        <is>
          <t>(713) 260-0522</t>
        </is>
      </c>
    </row>
    <row r="69">
      <c r="A69" s="8" t="inlineStr">
        <is>
          <t>2026-02-10</t>
        </is>
      </c>
      <c r="B69" s="9" t="inlineStr">
        <is>
          <t>2026-02-10</t>
        </is>
      </c>
      <c r="C69" s="9" t="inlineStr">
        <is>
          <t>25423</t>
        </is>
      </c>
      <c r="D69" s="9" t="n"/>
      <c r="E69" s="9" t="inlineStr">
        <is>
          <t>Emberstone Apartments</t>
        </is>
      </c>
      <c r="F69" s="9" t="inlineStr">
        <is>
          <t>San Antonio</t>
        </is>
      </c>
      <c r="G69" s="9" t="inlineStr">
        <is>
          <t>Bexar</t>
        </is>
      </c>
      <c r="H69" s="9" t="n">
        <v>9</v>
      </c>
      <c r="I69" s="9" t="inlineStr">
        <is>
          <t>14970 Watson Road</t>
        </is>
      </c>
      <c r="J69" s="9" t="n">
        <v>78073</v>
      </c>
      <c r="K69" s="8" t="n">
        <v>45839</v>
      </c>
      <c r="L69" s="9" t="inlineStr">
        <is>
          <t>Approved</t>
        </is>
      </c>
      <c r="M69" s="8" t="n">
        <v>45939</v>
      </c>
      <c r="N69" s="8" t="n">
        <v>45909</v>
      </c>
      <c r="O69" s="8" t="n">
        <v>45800</v>
      </c>
      <c r="P69" s="8" t="n">
        <v>45980</v>
      </c>
      <c r="Q69" s="8" t="n"/>
      <c r="R69" s="9" t="inlineStr">
        <is>
          <t>Acq/Rehab</t>
        </is>
      </c>
      <c r="S69" s="9" t="inlineStr">
        <is>
          <t>General</t>
        </is>
      </c>
      <c r="T69" s="10" t="n">
        <v>247</v>
      </c>
      <c r="U69" s="10" t="n">
        <v>247</v>
      </c>
      <c r="V69" s="9" t="n"/>
      <c r="W69" s="9" t="n"/>
      <c r="X69" s="9" t="inlineStr">
        <is>
          <t>Las Varas PFC</t>
        </is>
      </c>
      <c r="Y69" s="9" t="inlineStr">
        <is>
          <t>Other</t>
        </is>
      </c>
      <c r="Z69" s="11" t="n">
        <v>35000000</v>
      </c>
      <c r="AA69" s="11" t="n"/>
      <c r="AB69" s="11" t="n">
        <v>2982325</v>
      </c>
      <c r="AC69" s="11" t="n">
        <v>2982325</v>
      </c>
      <c r="AD69" s="11" t="n"/>
      <c r="AE69" s="11" t="n"/>
      <c r="AF69" s="9" t="inlineStr">
        <is>
          <t>N</t>
        </is>
      </c>
      <c r="AG69" s="9" t="inlineStr">
        <is>
          <t>Y</t>
        </is>
      </c>
      <c r="AH69" s="9" t="inlineStr">
        <is>
          <t>Y</t>
        </is>
      </c>
      <c r="AI69" s="9" t="inlineStr">
        <is>
          <t>Y</t>
        </is>
      </c>
      <c r="AJ69" s="8" t="n"/>
      <c r="AK69" s="9" t="inlineStr">
        <is>
          <t>Y</t>
        </is>
      </c>
      <c r="AL69" s="9" t="inlineStr">
        <is>
          <t>Y</t>
        </is>
      </c>
      <c r="AM69" s="9" t="inlineStr">
        <is>
          <t>Y</t>
        </is>
      </c>
      <c r="AN69" s="9" t="n"/>
      <c r="AO69" s="9" t="n"/>
      <c r="AP69" s="9" t="n"/>
      <c r="AQ69" s="9" t="n"/>
      <c r="AR69" s="9" t="n"/>
      <c r="AS69" s="9" t="inlineStr">
        <is>
          <t>N</t>
        </is>
      </c>
      <c r="AT69" s="8" t="n"/>
      <c r="AU69" s="8" t="n"/>
      <c r="AV69" s="9" t="n"/>
      <c r="AW69" s="8" t="n"/>
      <c r="AX69" s="9" t="inlineStr">
        <is>
          <t>N</t>
        </is>
      </c>
      <c r="AY69" s="9" t="inlineStr">
        <is>
          <t>Y</t>
        </is>
      </c>
      <c r="AZ69" s="9" t="inlineStr">
        <is>
          <t>Y</t>
        </is>
      </c>
      <c r="BA69" s="9" t="inlineStr">
        <is>
          <t>Y</t>
        </is>
      </c>
      <c r="BB69" s="9" t="inlineStr">
        <is>
          <t>Y</t>
        </is>
      </c>
      <c r="BC69" s="9" t="inlineStr">
        <is>
          <t>Y</t>
        </is>
      </c>
      <c r="BD69" s="9" t="n"/>
      <c r="BE69" s="9" t="inlineStr">
        <is>
          <t>N</t>
        </is>
      </c>
      <c r="BF69" s="9" t="n"/>
      <c r="BG69" s="9" t="n"/>
      <c r="BH69" s="9" t="n"/>
      <c r="BI69" s="9" t="n"/>
      <c r="BJ69" s="9" t="inlineStr">
        <is>
          <t>Y</t>
        </is>
      </c>
      <c r="BK69" s="9" t="inlineStr">
        <is>
          <t>N</t>
        </is>
      </c>
      <c r="BL69" s="9" t="inlineStr">
        <is>
          <t>N</t>
        </is>
      </c>
      <c r="BM69" s="9" t="inlineStr">
        <is>
          <t>Y</t>
        </is>
      </c>
      <c r="BN69" s="9" t="inlineStr">
        <is>
          <t>Y</t>
        </is>
      </c>
      <c r="BO69" s="8" t="n">
        <v>45839</v>
      </c>
      <c r="BP69" s="9" t="inlineStr">
        <is>
          <t>N</t>
        </is>
      </c>
      <c r="BQ69" s="9" t="inlineStr">
        <is>
          <t>Y</t>
        </is>
      </c>
      <c r="BR69" s="13">
        <f>IF(COUNTIF(AI69:BM69,"N")+COUNTBLANK(AI69:BM69)=0,"Y","N")</f>
        <v/>
      </c>
      <c r="BS69" s="13">
        <f>IF(AND(BR69="Y",OR(L69="Submitted",L69="Under Review")),"Y",IF(L69="Closed","Y","N"))</f>
        <v/>
      </c>
      <c r="BT69" s="10" t="n">
        <v>64</v>
      </c>
      <c r="BU69" s="13">
        <f>Rule_Flags!Q68</f>
        <v/>
      </c>
      <c r="BV69" s="13">
        <f>Rule_Flags!P68</f>
        <v/>
      </c>
      <c r="BW69" s="13">
        <f>IF(Rule_Flags!E68=1,"SITE_CONTROL",IF(Rule_Flags!F68=1,"APPROVALS",IF(Rule_Flags!G68=1,"REPORTS",IF(Rule_Flags!H68=1,"DEFICIENCY",IF(Rule_Flags!I68=1,"UNDERWRITING",IF(Rule_Flags!J68=1,"COMPLIANCE",""))))))</f>
        <v/>
      </c>
      <c r="BX69" s="13">
        <f>IF(BW69="SITE_CONTROL","Site control missing or invalid",IF(BW69="APPROVALS","Required approvals or resolutions incomplete",IF(BW69="REPORTS","Required third-party reports incomplete",IF(BW69="DEFICIENCY","Unresolved deficiency or material deficiency",IF(BW69="UNDERWRITING","Underwriting / feasibility not passed",IF(BW69="COMPLIANCE","Deconcentration, one-mile, LURA, or Chapter 12 issue","Ready under current engine rules"))))))</f>
        <v/>
      </c>
      <c r="BY69" s="13">
        <f>IF(BV69="Determination Notice","Streamlined + DN-ready assumptions satisfied",IF(BV69="Board","Board-required or board-ready assumptions satisfied",""))</f>
        <v/>
      </c>
      <c r="BZ69" s="13">
        <f>IF(AND(BP69="Y",BQ69&lt;&gt;"Y"),"Carryforward project retains queue priority",IF(BQ69="Y","New project enters behind carryforward projects",""))</f>
        <v/>
      </c>
      <c r="CA69" s="13">
        <f>_xludf.RANK.EQ(Rule_Flags!O68,Rule_Flags!$O$3:$O$402,0)</f>
        <v/>
      </c>
      <c r="CB69" s="13">
        <f>IF(OR(BU69="Determination Notice Issued",BU69="Board",BU69="Closed"),"Y","N")</f>
        <v/>
      </c>
      <c r="CC69" s="9" t="n"/>
      <c r="CD69" s="9" t="inlineStr">
        <is>
          <t>Carly Gast</t>
        </is>
      </c>
      <c r="CE69" s="9" t="inlineStr">
        <is>
          <t>(641) 830-9088</t>
        </is>
      </c>
      <c r="CF69" s="9" t="inlineStr">
        <is>
          <t>cgast@kittleproperties.com</t>
        </is>
      </c>
      <c r="CG69" s="9" t="inlineStr">
        <is>
          <t>Michael Reyes</t>
        </is>
      </c>
      <c r="CH69" s="9" t="inlineStr">
        <is>
          <t>(210) 477-6130</t>
        </is>
      </c>
    </row>
    <row r="70">
      <c r="A70" s="8" t="inlineStr">
        <is>
          <t>2026-02-10</t>
        </is>
      </c>
      <c r="B70" s="9" t="inlineStr">
        <is>
          <t>2026-02-10</t>
        </is>
      </c>
      <c r="C70" s="9" t="inlineStr">
        <is>
          <t>25608</t>
        </is>
      </c>
      <c r="D70" s="9" t="n">
        <v>24605</v>
      </c>
      <c r="E70" s="9" t="inlineStr">
        <is>
          <t>The Preserve at Dominion Park</t>
        </is>
      </c>
      <c r="F70" s="9" t="inlineStr">
        <is>
          <t>Houston</t>
        </is>
      </c>
      <c r="G70" s="9" t="inlineStr">
        <is>
          <t>Harris</t>
        </is>
      </c>
      <c r="H70" s="9" t="n">
        <v>6</v>
      </c>
      <c r="I70" s="9" t="inlineStr">
        <is>
          <t>13100 Kuykendahl Road</t>
        </is>
      </c>
      <c r="J70" s="9" t="n">
        <v>77090</v>
      </c>
      <c r="K70" s="8" t="n">
        <v>45877</v>
      </c>
      <c r="L70" s="9" t="inlineStr">
        <is>
          <t>Active</t>
        </is>
      </c>
      <c r="M70" s="8" t="n">
        <v>46002</v>
      </c>
      <c r="N70" s="8" t="n"/>
      <c r="O70" s="8" t="n">
        <v>45883</v>
      </c>
      <c r="P70" s="8" t="n">
        <v>46063</v>
      </c>
      <c r="Q70" s="8" t="n"/>
      <c r="R70" s="9" t="inlineStr">
        <is>
          <t>New Construction</t>
        </is>
      </c>
      <c r="S70" s="9" t="inlineStr">
        <is>
          <t>Elderly</t>
        </is>
      </c>
      <c r="T70" s="10" t="n">
        <v>134</v>
      </c>
      <c r="U70" s="10" t="n">
        <v>134</v>
      </c>
      <c r="V70" s="9" t="n"/>
      <c r="W70" s="9" t="n"/>
      <c r="X70" s="9" t="inlineStr">
        <is>
          <t>TDHCA</t>
        </is>
      </c>
      <c r="Y70" s="9" t="inlineStr">
        <is>
          <t>TDHCA</t>
        </is>
      </c>
      <c r="Z70" s="11" t="n">
        <v>20000000</v>
      </c>
      <c r="AA70" s="11" t="n"/>
      <c r="AB70" s="11" t="n">
        <v>1463676</v>
      </c>
      <c r="AC70" s="11" t="n"/>
      <c r="AD70" s="11" t="n"/>
      <c r="AE70" s="11" t="n"/>
      <c r="AF70" s="9" t="inlineStr">
        <is>
          <t>N</t>
        </is>
      </c>
      <c r="AG70" s="9" t="inlineStr">
        <is>
          <t>N</t>
        </is>
      </c>
      <c r="AH70" s="9" t="n"/>
      <c r="AI70" s="9" t="inlineStr">
        <is>
          <t>Y</t>
        </is>
      </c>
      <c r="AJ70" s="8" t="n"/>
      <c r="AK70" s="9" t="inlineStr">
        <is>
          <t>Y</t>
        </is>
      </c>
      <c r="AL70" s="9" t="inlineStr">
        <is>
          <t>Y</t>
        </is>
      </c>
      <c r="AM70" s="9" t="inlineStr">
        <is>
          <t>Y</t>
        </is>
      </c>
      <c r="AN70" s="9" t="n"/>
      <c r="AO70" s="9" t="n"/>
      <c r="AP70" s="9" t="n"/>
      <c r="AQ70" s="9" t="n"/>
      <c r="AR70" s="9" t="n"/>
      <c r="AS70" s="9" t="inlineStr">
        <is>
          <t>N</t>
        </is>
      </c>
      <c r="AT70" s="8" t="n"/>
      <c r="AU70" s="8" t="n"/>
      <c r="AV70" s="9" t="n"/>
      <c r="AW70" s="8" t="n"/>
      <c r="AX70" s="9" t="inlineStr">
        <is>
          <t>N</t>
        </is>
      </c>
      <c r="AY70" s="9" t="inlineStr">
        <is>
          <t>Y</t>
        </is>
      </c>
      <c r="AZ70" s="9" t="inlineStr">
        <is>
          <t>Y</t>
        </is>
      </c>
      <c r="BA70" s="9" t="inlineStr">
        <is>
          <t>Y</t>
        </is>
      </c>
      <c r="BB70" s="9" t="inlineStr">
        <is>
          <t>Y</t>
        </is>
      </c>
      <c r="BC70" s="9" t="inlineStr">
        <is>
          <t>Y</t>
        </is>
      </c>
      <c r="BD70" s="9" t="n"/>
      <c r="BE70" s="9" t="inlineStr">
        <is>
          <t>N</t>
        </is>
      </c>
      <c r="BF70" s="9" t="n"/>
      <c r="BG70" s="9" t="n"/>
      <c r="BH70" s="9" t="n"/>
      <c r="BI70" s="9" t="n"/>
      <c r="BJ70" s="9" t="inlineStr">
        <is>
          <t>Y</t>
        </is>
      </c>
      <c r="BK70" s="9" t="inlineStr">
        <is>
          <t>N</t>
        </is>
      </c>
      <c r="BL70" s="9" t="inlineStr">
        <is>
          <t>N</t>
        </is>
      </c>
      <c r="BM70" s="9" t="inlineStr">
        <is>
          <t>Y</t>
        </is>
      </c>
      <c r="BN70" s="9" t="inlineStr">
        <is>
          <t>Y</t>
        </is>
      </c>
      <c r="BO70" s="8" t="n">
        <v>45877</v>
      </c>
      <c r="BP70" s="9" t="inlineStr">
        <is>
          <t>N</t>
        </is>
      </c>
      <c r="BQ70" s="9" t="inlineStr">
        <is>
          <t>Y</t>
        </is>
      </c>
      <c r="BR70" s="13">
        <f>IF(COUNTIF(AI70:BM70,"N")+COUNTBLANK(AI70:BM70)=0,"Y","N")</f>
        <v/>
      </c>
      <c r="BS70" s="13">
        <f>IF(AND(BR70="Y",OR(L70="Submitted",L70="Under Review")),"Y",IF(L70="Closed","Y","N"))</f>
        <v/>
      </c>
      <c r="BT70" s="10" t="n">
        <v>67</v>
      </c>
      <c r="BU70" s="13">
        <f>Rule_Flags!Q69</f>
        <v/>
      </c>
      <c r="BV70" s="13">
        <f>Rule_Flags!P69</f>
        <v/>
      </c>
      <c r="BW70" s="13">
        <f>IF(Rule_Flags!E69=1,"SITE_CONTROL",IF(Rule_Flags!F69=1,"APPROVALS",IF(Rule_Flags!G69=1,"REPORTS",IF(Rule_Flags!H69=1,"DEFICIENCY",IF(Rule_Flags!I69=1,"UNDERWRITING",IF(Rule_Flags!J69=1,"COMPLIANCE",""))))))</f>
        <v/>
      </c>
      <c r="BX70" s="13">
        <f>IF(BW70="SITE_CONTROL","Site control missing or invalid",IF(BW70="APPROVALS","Required approvals or resolutions incomplete",IF(BW70="REPORTS","Required third-party reports incomplete",IF(BW70="DEFICIENCY","Unresolved deficiency or material deficiency",IF(BW70="UNDERWRITING","Underwriting / feasibility not passed",IF(BW70="COMPLIANCE","Deconcentration, one-mile, LURA, or Chapter 12 issue","Ready under current engine rules"))))))</f>
        <v/>
      </c>
      <c r="BY70" s="13">
        <f>IF(BV70="Determination Notice","Streamlined + DN-ready assumptions satisfied",IF(BV70="Board","Board-required or board-ready assumptions satisfied",""))</f>
        <v/>
      </c>
      <c r="BZ70" s="13">
        <f>IF(AND(BP70="Y",BQ70&lt;&gt;"Y"),"Carryforward project retains queue priority",IF(BQ70="Y","New project enters behind carryforward projects",""))</f>
        <v/>
      </c>
      <c r="CA70" s="13">
        <f>_xludf.RANK.EQ(Rule_Flags!O69,Rule_Flags!$O$3:$O$402,0)</f>
        <v/>
      </c>
      <c r="CB70" s="13">
        <f>IF(OR(BU70="Determination Notice Issued",BU70="Board",BU70="Closed"),"Y","N")</f>
        <v/>
      </c>
      <c r="CC70" s="9" t="inlineStr">
        <is>
          <t>construction_type mapped from raw 'NC' to 'New Construction'</t>
        </is>
      </c>
      <c r="CD70" s="9" t="inlineStr">
        <is>
          <t>Willie Drew</t>
        </is>
      </c>
      <c r="CE70" s="9" t="inlineStr">
        <is>
          <t>(713) 232-0354</t>
        </is>
      </c>
      <c r="CF70" s="9" t="inlineStr">
        <is>
          <t>mountaintopdev@live.com</t>
        </is>
      </c>
      <c r="CG70" s="9" t="inlineStr">
        <is>
          <t>Teresa Morales</t>
        </is>
      </c>
      <c r="CH70" s="9" t="inlineStr">
        <is>
          <t>(512) 475-3344</t>
        </is>
      </c>
    </row>
    <row r="71">
      <c r="A71" s="8" t="inlineStr">
        <is>
          <t>2026-02-10</t>
        </is>
      </c>
      <c r="B71" s="9" t="inlineStr">
        <is>
          <t>2026-02-10</t>
        </is>
      </c>
      <c r="C71" s="9" t="inlineStr">
        <is>
          <t>25469</t>
        </is>
      </c>
      <c r="D71" s="9" t="n"/>
      <c r="E71" s="9" t="inlineStr">
        <is>
          <t>Sacred Heart Villas</t>
        </is>
      </c>
      <c r="F71" s="9" t="inlineStr">
        <is>
          <t>San Antonio</t>
        </is>
      </c>
      <c r="G71" s="9" t="inlineStr">
        <is>
          <t>Bexar</t>
        </is>
      </c>
      <c r="H71" s="9" t="n">
        <v>9</v>
      </c>
      <c r="I71" s="9" t="inlineStr">
        <is>
          <t>120 S. Trinity Street</t>
        </is>
      </c>
      <c r="J71" s="9" t="n">
        <v>78207</v>
      </c>
      <c r="K71" s="8" t="n">
        <v>45852</v>
      </c>
      <c r="L71" s="9" t="inlineStr">
        <is>
          <t>Approved</t>
        </is>
      </c>
      <c r="M71" s="8" t="n">
        <v>45939</v>
      </c>
      <c r="N71" s="8" t="n">
        <v>45939</v>
      </c>
      <c r="O71" s="8" t="n">
        <v>46051</v>
      </c>
      <c r="P71" s="8" t="n">
        <v>46231</v>
      </c>
      <c r="Q71" s="8" t="n"/>
      <c r="R71" s="9" t="inlineStr">
        <is>
          <t>Acq/Rehab</t>
        </is>
      </c>
      <c r="S71" s="9" t="inlineStr">
        <is>
          <t>General</t>
        </is>
      </c>
      <c r="T71" s="10" t="n">
        <v>89</v>
      </c>
      <c r="U71" s="10" t="n">
        <v>89</v>
      </c>
      <c r="V71" s="9" t="n"/>
      <c r="W71" s="9" t="n"/>
      <c r="X71" s="9" t="inlineStr">
        <is>
          <t>Las Varas PFC</t>
        </is>
      </c>
      <c r="Y71" s="9" t="inlineStr">
        <is>
          <t>Other</t>
        </is>
      </c>
      <c r="Z71" s="11" t="n">
        <v>12000000</v>
      </c>
      <c r="AA71" s="11" t="n"/>
      <c r="AB71" s="11" t="n">
        <v>1035566</v>
      </c>
      <c r="AC71" s="11" t="n">
        <v>1035566</v>
      </c>
      <c r="AD71" s="11" t="n"/>
      <c r="AE71" s="11" t="n"/>
      <c r="AF71" s="9" t="inlineStr">
        <is>
          <t>N</t>
        </is>
      </c>
      <c r="AG71" s="9" t="inlineStr">
        <is>
          <t>Y</t>
        </is>
      </c>
      <c r="AH71" s="9" t="inlineStr">
        <is>
          <t>Y</t>
        </is>
      </c>
      <c r="AI71" s="9" t="inlineStr">
        <is>
          <t>Y</t>
        </is>
      </c>
      <c r="AJ71" s="8" t="n"/>
      <c r="AK71" s="9" t="inlineStr">
        <is>
          <t>Y</t>
        </is>
      </c>
      <c r="AL71" s="9" t="inlineStr">
        <is>
          <t>Y</t>
        </is>
      </c>
      <c r="AM71" s="9" t="inlineStr">
        <is>
          <t>Y</t>
        </is>
      </c>
      <c r="AN71" s="9" t="n"/>
      <c r="AO71" s="9" t="n"/>
      <c r="AP71" s="9" t="n"/>
      <c r="AQ71" s="9" t="n"/>
      <c r="AR71" s="9" t="n"/>
      <c r="AS71" s="9" t="inlineStr">
        <is>
          <t>N</t>
        </is>
      </c>
      <c r="AT71" s="8" t="n"/>
      <c r="AU71" s="8" t="n"/>
      <c r="AV71" s="9" t="n"/>
      <c r="AW71" s="8" t="n"/>
      <c r="AX71" s="9" t="inlineStr">
        <is>
          <t>N</t>
        </is>
      </c>
      <c r="AY71" s="9" t="inlineStr">
        <is>
          <t>Y</t>
        </is>
      </c>
      <c r="AZ71" s="9" t="inlineStr">
        <is>
          <t>Y</t>
        </is>
      </c>
      <c r="BA71" s="9" t="inlineStr">
        <is>
          <t>Y</t>
        </is>
      </c>
      <c r="BB71" s="9" t="inlineStr">
        <is>
          <t>Y</t>
        </is>
      </c>
      <c r="BC71" s="9" t="inlineStr">
        <is>
          <t>Y</t>
        </is>
      </c>
      <c r="BD71" s="9" t="n"/>
      <c r="BE71" s="9" t="inlineStr">
        <is>
          <t>N</t>
        </is>
      </c>
      <c r="BF71" s="9" t="n"/>
      <c r="BG71" s="9" t="n"/>
      <c r="BH71" s="9" t="n"/>
      <c r="BI71" s="9" t="n"/>
      <c r="BJ71" s="9" t="inlineStr">
        <is>
          <t>Y</t>
        </is>
      </c>
      <c r="BK71" s="9" t="inlineStr">
        <is>
          <t>N</t>
        </is>
      </c>
      <c r="BL71" s="9" t="inlineStr">
        <is>
          <t>N</t>
        </is>
      </c>
      <c r="BM71" s="9" t="inlineStr">
        <is>
          <t>Y</t>
        </is>
      </c>
      <c r="BN71" s="9" t="inlineStr">
        <is>
          <t>Y</t>
        </is>
      </c>
      <c r="BO71" s="8" t="n">
        <v>45852</v>
      </c>
      <c r="BP71" s="9" t="inlineStr">
        <is>
          <t>N</t>
        </is>
      </c>
      <c r="BQ71" s="9" t="inlineStr">
        <is>
          <t>Y</t>
        </is>
      </c>
      <c r="BR71" s="13">
        <f>IF(COUNTIF(AI71:BM71,"N")+COUNTBLANK(AI71:BM71)=0,"Y","N")</f>
        <v/>
      </c>
      <c r="BS71" s="13">
        <f>IF(AND(BR71="Y",OR(L71="Submitted",L71="Under Review")),"Y",IF(L71="Closed","Y","N"))</f>
        <v/>
      </c>
      <c r="BT71" s="10" t="n">
        <v>65</v>
      </c>
      <c r="BU71" s="13">
        <f>Rule_Flags!Q70</f>
        <v/>
      </c>
      <c r="BV71" s="13">
        <f>Rule_Flags!P70</f>
        <v/>
      </c>
      <c r="BW71" s="13">
        <f>IF(Rule_Flags!E70=1,"SITE_CONTROL",IF(Rule_Flags!F70=1,"APPROVALS",IF(Rule_Flags!G70=1,"REPORTS",IF(Rule_Flags!H70=1,"DEFICIENCY",IF(Rule_Flags!I70=1,"UNDERWRITING",IF(Rule_Flags!J70=1,"COMPLIANCE",""))))))</f>
        <v/>
      </c>
      <c r="BX71" s="13">
        <f>IF(BW71="SITE_CONTROL","Site control missing or invalid",IF(BW71="APPROVALS","Required approvals or resolutions incomplete",IF(BW71="REPORTS","Required third-party reports incomplete",IF(BW71="DEFICIENCY","Unresolved deficiency or material deficiency",IF(BW71="UNDERWRITING","Underwriting / feasibility not passed",IF(BW71="COMPLIANCE","Deconcentration, one-mile, LURA, or Chapter 12 issue","Ready under current engine rules"))))))</f>
        <v/>
      </c>
      <c r="BY71" s="13">
        <f>IF(BV71="Determination Notice","Streamlined + DN-ready assumptions satisfied",IF(BV71="Board","Board-required or board-ready assumptions satisfied",""))</f>
        <v/>
      </c>
      <c r="BZ71" s="13">
        <f>IF(AND(BP71="Y",BQ71&lt;&gt;"Y"),"Carryforward project retains queue priority",IF(BQ71="Y","New project enters behind carryforward projects",""))</f>
        <v/>
      </c>
      <c r="CA71" s="13">
        <f>_xludf.RANK.EQ(Rule_Flags!O70,Rule_Flags!$O$3:$O$402,0)</f>
        <v/>
      </c>
      <c r="CB71" s="13">
        <f>IF(OR(BU71="Determination Notice Issued",BU71="Board",BU71="Closed"),"Y","N")</f>
        <v/>
      </c>
      <c r="CC71" s="9" t="inlineStr">
        <is>
          <t>property_tax_exemption normalized from 'Y (50%)' to 'Y'</t>
        </is>
      </c>
      <c r="CD71" s="9" t="inlineStr">
        <is>
          <t>Sarah McDowell</t>
        </is>
      </c>
      <c r="CE71" s="9" t="inlineStr">
        <is>
          <t>(206) 697-1386</t>
        </is>
      </c>
      <c r="CF71" s="9" t="inlineStr">
        <is>
          <t>smcdowell@chavezfoundation.org</t>
        </is>
      </c>
      <c r="CG71" s="9" t="inlineStr">
        <is>
          <t>Miranda Castro</t>
        </is>
      </c>
      <c r="CH71" s="9" t="inlineStr">
        <is>
          <t>(210) 556-5725</t>
        </is>
      </c>
    </row>
    <row r="72">
      <c r="A72" s="8" t="inlineStr">
        <is>
          <t>2026-02-10</t>
        </is>
      </c>
      <c r="B72" s="9" t="inlineStr">
        <is>
          <t>2026-02-10</t>
        </is>
      </c>
      <c r="C72" s="9" t="inlineStr">
        <is>
          <t>25609</t>
        </is>
      </c>
      <c r="D72" s="9" t="n">
        <v>24617</v>
      </c>
      <c r="E72" s="9" t="inlineStr">
        <is>
          <t>The Gateway at Trinity Forest</t>
        </is>
      </c>
      <c r="F72" s="9" t="inlineStr">
        <is>
          <t>Dallas</t>
        </is>
      </c>
      <c r="G72" s="9" t="inlineStr">
        <is>
          <t>Dallas</t>
        </is>
      </c>
      <c r="H72" s="9" t="n">
        <v>3</v>
      </c>
      <c r="I72" s="9" t="inlineStr">
        <is>
          <t>2050 Dowdy Ferry Road</t>
        </is>
      </c>
      <c r="J72" s="9" t="n">
        <v>75217</v>
      </c>
      <c r="K72" s="8" t="n">
        <v>45874</v>
      </c>
      <c r="L72" s="9" t="inlineStr">
        <is>
          <t>Closed</t>
        </is>
      </c>
      <c r="M72" s="8" t="n">
        <v>45967</v>
      </c>
      <c r="N72" s="8" t="n"/>
      <c r="O72" s="8" t="n">
        <v>45883</v>
      </c>
      <c r="P72" s="8" t="n">
        <v>46063</v>
      </c>
      <c r="Q72" s="8" t="n"/>
      <c r="R72" s="9" t="inlineStr">
        <is>
          <t>New Construction</t>
        </is>
      </c>
      <c r="S72" s="9" t="inlineStr">
        <is>
          <t>General</t>
        </is>
      </c>
      <c r="T72" s="10" t="n">
        <v>330</v>
      </c>
      <c r="U72" s="10" t="n">
        <v>330</v>
      </c>
      <c r="V72" s="9" t="n"/>
      <c r="W72" s="9" t="n"/>
      <c r="X72" s="9" t="inlineStr">
        <is>
          <t>TDHCA</t>
        </is>
      </c>
      <c r="Y72" s="9" t="inlineStr">
        <is>
          <t>TDHCA</t>
        </is>
      </c>
      <c r="Z72" s="11" t="n">
        <v>50000000</v>
      </c>
      <c r="AA72" s="11" t="n"/>
      <c r="AB72" s="11" t="n">
        <v>4514430</v>
      </c>
      <c r="AC72" s="11" t="n">
        <v>4514387</v>
      </c>
      <c r="AD72" s="11" t="n"/>
      <c r="AE72" s="11" t="n"/>
      <c r="AF72" s="9" t="inlineStr">
        <is>
          <t>N</t>
        </is>
      </c>
      <c r="AG72" s="9" t="inlineStr">
        <is>
          <t>Y</t>
        </is>
      </c>
      <c r="AH72" s="9" t="n"/>
      <c r="AI72" s="9" t="inlineStr">
        <is>
          <t>Y</t>
        </is>
      </c>
      <c r="AJ72" s="8" t="n"/>
      <c r="AK72" s="9" t="inlineStr">
        <is>
          <t>Y</t>
        </is>
      </c>
      <c r="AL72" s="9" t="inlineStr">
        <is>
          <t>Y</t>
        </is>
      </c>
      <c r="AM72" s="9" t="inlineStr">
        <is>
          <t>Y</t>
        </is>
      </c>
      <c r="AN72" s="9" t="n"/>
      <c r="AO72" s="9" t="n"/>
      <c r="AP72" s="9" t="n"/>
      <c r="AQ72" s="9" t="n"/>
      <c r="AR72" s="9" t="n"/>
      <c r="AS72" s="9" t="inlineStr">
        <is>
          <t>N</t>
        </is>
      </c>
      <c r="AT72" s="8" t="n"/>
      <c r="AU72" s="8" t="n"/>
      <c r="AV72" s="9" t="n"/>
      <c r="AW72" s="8" t="n"/>
      <c r="AX72" s="9" t="inlineStr">
        <is>
          <t>N</t>
        </is>
      </c>
      <c r="AY72" s="9" t="inlineStr">
        <is>
          <t>Y</t>
        </is>
      </c>
      <c r="AZ72" s="9" t="inlineStr">
        <is>
          <t>Y</t>
        </is>
      </c>
      <c r="BA72" s="9" t="inlineStr">
        <is>
          <t>Y</t>
        </is>
      </c>
      <c r="BB72" s="9" t="inlineStr">
        <is>
          <t>Y</t>
        </is>
      </c>
      <c r="BC72" s="9" t="inlineStr">
        <is>
          <t>Y</t>
        </is>
      </c>
      <c r="BD72" s="9" t="n"/>
      <c r="BE72" s="9" t="inlineStr">
        <is>
          <t>N</t>
        </is>
      </c>
      <c r="BF72" s="9" t="n"/>
      <c r="BG72" s="9" t="n"/>
      <c r="BH72" s="9" t="n"/>
      <c r="BI72" s="9" t="n"/>
      <c r="BJ72" s="9" t="inlineStr">
        <is>
          <t>Y</t>
        </is>
      </c>
      <c r="BK72" s="9" t="inlineStr">
        <is>
          <t>N</t>
        </is>
      </c>
      <c r="BL72" s="9" t="inlineStr">
        <is>
          <t>N</t>
        </is>
      </c>
      <c r="BM72" s="9" t="inlineStr">
        <is>
          <t>Y</t>
        </is>
      </c>
      <c r="BN72" s="9" t="inlineStr">
        <is>
          <t>Y</t>
        </is>
      </c>
      <c r="BO72" s="8" t="n">
        <v>45874</v>
      </c>
      <c r="BP72" s="9" t="inlineStr">
        <is>
          <t>N</t>
        </is>
      </c>
      <c r="BQ72" s="9" t="inlineStr">
        <is>
          <t>Y</t>
        </is>
      </c>
      <c r="BR72" s="13">
        <f>IF(COUNTIF(AI72:BM72,"N")+COUNTBLANK(AI72:BM72)=0,"Y","N")</f>
        <v/>
      </c>
      <c r="BS72" s="13">
        <f>IF(AND(BR72="Y",OR(L72="Submitted",L72="Under Review")),"Y",IF(L72="Closed","Y","N"))</f>
        <v/>
      </c>
      <c r="BT72" s="10" t="n">
        <v>66</v>
      </c>
      <c r="BU72" s="13">
        <f>Rule_Flags!Q71</f>
        <v/>
      </c>
      <c r="BV72" s="13">
        <f>Rule_Flags!P71</f>
        <v/>
      </c>
      <c r="BW72" s="13">
        <f>IF(Rule_Flags!E71=1,"SITE_CONTROL",IF(Rule_Flags!F71=1,"APPROVALS",IF(Rule_Flags!G71=1,"REPORTS",IF(Rule_Flags!H71=1,"DEFICIENCY",IF(Rule_Flags!I71=1,"UNDERWRITING",IF(Rule_Flags!J71=1,"COMPLIANCE",""))))))</f>
        <v/>
      </c>
      <c r="BX72" s="13">
        <f>IF(BW72="SITE_CONTROL","Site control missing or invalid",IF(BW72="APPROVALS","Required approvals or resolutions incomplete",IF(BW72="REPORTS","Required third-party reports incomplete",IF(BW72="DEFICIENCY","Unresolved deficiency or material deficiency",IF(BW72="UNDERWRITING","Underwriting / feasibility not passed",IF(BW72="COMPLIANCE","Deconcentration, one-mile, LURA, or Chapter 12 issue","Ready under current engine rules"))))))</f>
        <v/>
      </c>
      <c r="BY72" s="13">
        <f>IF(BV72="Determination Notice","Streamlined + DN-ready assumptions satisfied",IF(BV72="Board","Board-required or board-ready assumptions satisfied",""))</f>
        <v/>
      </c>
      <c r="BZ72" s="13">
        <f>IF(AND(BP72="Y",BQ72&lt;&gt;"Y"),"Carryforward project retains queue priority",IF(BQ72="Y","New project enters behind carryforward projects",""))</f>
        <v/>
      </c>
      <c r="CA72" s="13">
        <f>_xludf.RANK.EQ(Rule_Flags!O71,Rule_Flags!$O$3:$O$402,0)</f>
        <v/>
      </c>
      <c r="CB72" s="13">
        <f>IF(OR(BU72="Determination Notice Issued",BU72="Board",BU72="Closed"),"Y","N")</f>
        <v/>
      </c>
      <c r="CC72" s="9" t="inlineStr">
        <is>
          <t>construction_type mapped from raw 'NC' to 'New Construction'</t>
        </is>
      </c>
      <c r="CD72" s="9" t="inlineStr">
        <is>
          <t>Jason Trevino</t>
        </is>
      </c>
      <c r="CE72" s="9" t="inlineStr">
        <is>
          <t>(512) 578-8488</t>
        </is>
      </c>
      <c r="CF72" s="9" t="inlineStr">
        <is>
          <t>jtrevino@ldgdevelopment.com</t>
        </is>
      </c>
      <c r="CG72" s="9" t="inlineStr">
        <is>
          <t>Teresa Morales</t>
        </is>
      </c>
      <c r="CH72" s="9" t="inlineStr">
        <is>
          <t>(512) 475-3344</t>
        </is>
      </c>
    </row>
    <row r="73">
      <c r="A73" s="8" t="inlineStr">
        <is>
          <t>2026-02-10</t>
        </is>
      </c>
      <c r="B73" s="9" t="inlineStr">
        <is>
          <t>2026-02-10</t>
        </is>
      </c>
      <c r="C73" s="9" t="inlineStr">
        <is>
          <t>25471</t>
        </is>
      </c>
      <c r="D73" s="9" t="inlineStr">
        <is>
          <t>060617</t>
        </is>
      </c>
      <c r="E73" s="9" t="inlineStr">
        <is>
          <t>Idlewilde Apartments</t>
        </is>
      </c>
      <c r="F73" s="9" t="inlineStr">
        <is>
          <t>Houston</t>
        </is>
      </c>
      <c r="G73" s="9" t="inlineStr">
        <is>
          <t>Harris</t>
        </is>
      </c>
      <c r="H73" s="9" t="n">
        <v>6</v>
      </c>
      <c r="I73" s="9" t="inlineStr">
        <is>
          <t>9915 FM 1960</t>
        </is>
      </c>
      <c r="J73" s="9" t="n">
        <v>77070</v>
      </c>
      <c r="K73" s="8" t="n">
        <v>45881</v>
      </c>
      <c r="L73" s="9" t="inlineStr">
        <is>
          <t>Approved</t>
        </is>
      </c>
      <c r="M73" s="8" t="n">
        <v>46002</v>
      </c>
      <c r="N73" s="8" t="n">
        <v>45975</v>
      </c>
      <c r="O73" s="8" t="n">
        <v>45880</v>
      </c>
      <c r="P73" s="8" t="n">
        <v>46060</v>
      </c>
      <c r="Q73" s="8" t="n"/>
      <c r="R73" s="9" t="inlineStr">
        <is>
          <t>Acq/Rehab</t>
        </is>
      </c>
      <c r="S73" s="9" t="inlineStr">
        <is>
          <t>General</t>
        </is>
      </c>
      <c r="T73" s="10" t="n">
        <v>250</v>
      </c>
      <c r="U73" s="10" t="n">
        <v>250</v>
      </c>
      <c r="V73" s="9" t="n"/>
      <c r="W73" s="9" t="n"/>
      <c r="X73" s="9" t="inlineStr">
        <is>
          <t>HHA Fountainview PFC</t>
        </is>
      </c>
      <c r="Y73" s="9" t="inlineStr">
        <is>
          <t>Other</t>
        </is>
      </c>
      <c r="Z73" s="11" t="n">
        <v>30000000</v>
      </c>
      <c r="AA73" s="11" t="n"/>
      <c r="AB73" s="11" t="n">
        <v>1399297</v>
      </c>
      <c r="AC73" s="11" t="n">
        <v>1399297</v>
      </c>
      <c r="AD73" s="11" t="n"/>
      <c r="AE73" s="11" t="n"/>
      <c r="AF73" s="9" t="inlineStr">
        <is>
          <t>N</t>
        </is>
      </c>
      <c r="AG73" s="9" t="inlineStr">
        <is>
          <t>Y</t>
        </is>
      </c>
      <c r="AH73" s="9" t="inlineStr">
        <is>
          <t>Y</t>
        </is>
      </c>
      <c r="AI73" s="9" t="inlineStr">
        <is>
          <t>Y</t>
        </is>
      </c>
      <c r="AJ73" s="8" t="n"/>
      <c r="AK73" s="9" t="inlineStr">
        <is>
          <t>Y</t>
        </is>
      </c>
      <c r="AL73" s="9" t="inlineStr">
        <is>
          <t>Y</t>
        </is>
      </c>
      <c r="AM73" s="9" t="inlineStr">
        <is>
          <t>Y</t>
        </is>
      </c>
      <c r="AN73" s="9" t="n"/>
      <c r="AO73" s="9" t="n"/>
      <c r="AP73" s="9" t="n"/>
      <c r="AQ73" s="9" t="n"/>
      <c r="AR73" s="9" t="n"/>
      <c r="AS73" s="9" t="inlineStr">
        <is>
          <t>N</t>
        </is>
      </c>
      <c r="AT73" s="8" t="n"/>
      <c r="AU73" s="8" t="n"/>
      <c r="AV73" s="9" t="n"/>
      <c r="AW73" s="8" t="n"/>
      <c r="AX73" s="9" t="inlineStr">
        <is>
          <t>N</t>
        </is>
      </c>
      <c r="AY73" s="9" t="inlineStr">
        <is>
          <t>Y</t>
        </is>
      </c>
      <c r="AZ73" s="9" t="inlineStr">
        <is>
          <t>Y</t>
        </is>
      </c>
      <c r="BA73" s="9" t="inlineStr">
        <is>
          <t>Y</t>
        </is>
      </c>
      <c r="BB73" s="9" t="inlineStr">
        <is>
          <t>Y</t>
        </is>
      </c>
      <c r="BC73" s="9" t="inlineStr">
        <is>
          <t>Y</t>
        </is>
      </c>
      <c r="BD73" s="9" t="n"/>
      <c r="BE73" s="9" t="inlineStr">
        <is>
          <t>N</t>
        </is>
      </c>
      <c r="BF73" s="9" t="n"/>
      <c r="BG73" s="9" t="n"/>
      <c r="BH73" s="9" t="n"/>
      <c r="BI73" s="9" t="n"/>
      <c r="BJ73" s="9" t="inlineStr">
        <is>
          <t>Y</t>
        </is>
      </c>
      <c r="BK73" s="9" t="inlineStr">
        <is>
          <t>N</t>
        </is>
      </c>
      <c r="BL73" s="9" t="inlineStr">
        <is>
          <t>N</t>
        </is>
      </c>
      <c r="BM73" s="9" t="inlineStr">
        <is>
          <t>Y</t>
        </is>
      </c>
      <c r="BN73" s="9" t="inlineStr">
        <is>
          <t>Y</t>
        </is>
      </c>
      <c r="BO73" s="8" t="n">
        <v>45881</v>
      </c>
      <c r="BP73" s="9" t="inlineStr">
        <is>
          <t>N</t>
        </is>
      </c>
      <c r="BQ73" s="9" t="inlineStr">
        <is>
          <t>Y</t>
        </is>
      </c>
      <c r="BR73" s="13">
        <f>IF(COUNTIF(AI73:BM73,"N")+COUNTBLANK(AI73:BM73)=0,"Y","N")</f>
        <v/>
      </c>
      <c r="BS73" s="13">
        <f>IF(AND(BR73="Y",OR(L73="Submitted",L73="Under Review")),"Y",IF(L73="Closed","Y","N"))</f>
        <v/>
      </c>
      <c r="BT73" s="10" t="n">
        <v>68</v>
      </c>
      <c r="BU73" s="13">
        <f>Rule_Flags!Q72</f>
        <v/>
      </c>
      <c r="BV73" s="13">
        <f>Rule_Flags!P72</f>
        <v/>
      </c>
      <c r="BW73" s="13">
        <f>IF(Rule_Flags!E72=1,"SITE_CONTROL",IF(Rule_Flags!F72=1,"APPROVALS",IF(Rule_Flags!G72=1,"REPORTS",IF(Rule_Flags!H72=1,"DEFICIENCY",IF(Rule_Flags!I72=1,"UNDERWRITING",IF(Rule_Flags!J72=1,"COMPLIANCE",""))))))</f>
        <v/>
      </c>
      <c r="BX73" s="13">
        <f>IF(BW73="SITE_CONTROL","Site control missing or invalid",IF(BW73="APPROVALS","Required approvals or resolutions incomplete",IF(BW73="REPORTS","Required third-party reports incomplete",IF(BW73="DEFICIENCY","Unresolved deficiency or material deficiency",IF(BW73="UNDERWRITING","Underwriting / feasibility not passed",IF(BW73="COMPLIANCE","Deconcentration, one-mile, LURA, or Chapter 12 issue","Ready under current engine rules"))))))</f>
        <v/>
      </c>
      <c r="BY73" s="13">
        <f>IF(BV73="Determination Notice","Streamlined + DN-ready assumptions satisfied",IF(BV73="Board","Board-required or board-ready assumptions satisfied",""))</f>
        <v/>
      </c>
      <c r="BZ73" s="13">
        <f>IF(AND(BP73="Y",BQ73&lt;&gt;"Y"),"Carryforward project retains queue priority",IF(BQ73="Y","New project enters behind carryforward projects",""))</f>
        <v/>
      </c>
      <c r="CA73" s="13">
        <f>_xludf.RANK.EQ(Rule_Flags!O72,Rule_Flags!$O$3:$O$402,0)</f>
        <v/>
      </c>
      <c r="CB73" s="13">
        <f>IF(OR(BU73="Determination Notice Issued",BU73="Board",BU73="Closed"),"Y","N")</f>
        <v/>
      </c>
      <c r="CC73" s="9" t="n"/>
      <c r="CD73" s="9" t="inlineStr">
        <is>
          <t>Jeremy Bartholomew</t>
        </is>
      </c>
      <c r="CE73" s="9" t="inlineStr">
        <is>
          <t>(713) 334-5514</t>
        </is>
      </c>
      <c r="CF73" s="9" t="inlineStr">
        <is>
          <t>jeremy@resolutioncompanies.com</t>
        </is>
      </c>
      <c r="CG73" s="9" t="inlineStr">
        <is>
          <t>Jamie Bryant</t>
        </is>
      </c>
      <c r="CH73" s="9" t="inlineStr">
        <is>
          <t>(713) 260-0522</t>
        </is>
      </c>
    </row>
    <row r="74">
      <c r="A74" s="8" t="inlineStr">
        <is>
          <t>2026-02-10</t>
        </is>
      </c>
      <c r="B74" s="9" t="inlineStr">
        <is>
          <t>2026-02-10</t>
        </is>
      </c>
      <c r="C74" s="9" t="inlineStr">
        <is>
          <t>25481</t>
        </is>
      </c>
      <c r="D74" s="9" t="n"/>
      <c r="E74" s="9" t="inlineStr">
        <is>
          <t>Odem Victoria Apartments</t>
        </is>
      </c>
      <c r="F74" s="9" t="inlineStr">
        <is>
          <t>Victoria</t>
        </is>
      </c>
      <c r="G74" s="9" t="inlineStr">
        <is>
          <t>Victoria</t>
        </is>
      </c>
      <c r="H74" s="9" t="n">
        <v>10</v>
      </c>
      <c r="I74" s="9" t="inlineStr">
        <is>
          <t>2303 Odem Street</t>
        </is>
      </c>
      <c r="J74" s="9" t="n">
        <v>77901</v>
      </c>
      <c r="K74" s="8" t="n">
        <v>45882</v>
      </c>
      <c r="L74" s="9" t="inlineStr">
        <is>
          <t>Withdrawn</t>
        </is>
      </c>
      <c r="M74" s="8" t="n">
        <v>46002</v>
      </c>
      <c r="N74" s="8" t="n"/>
      <c r="O74" s="8" t="n">
        <v>45882</v>
      </c>
      <c r="P74" s="8" t="n">
        <v>46062</v>
      </c>
      <c r="Q74" s="8" t="n"/>
      <c r="R74" s="9" t="inlineStr">
        <is>
          <t>New Construction</t>
        </is>
      </c>
      <c r="S74" s="9" t="inlineStr">
        <is>
          <t>General</t>
        </is>
      </c>
      <c r="T74" s="10" t="n">
        <v>300</v>
      </c>
      <c r="U74" s="10" t="n">
        <v>300</v>
      </c>
      <c r="V74" s="9" t="n"/>
      <c r="W74" s="9" t="n"/>
      <c r="X74" s="9" t="inlineStr">
        <is>
          <t>Victoria HFC</t>
        </is>
      </c>
      <c r="Y74" s="9" t="inlineStr">
        <is>
          <t>Local HFC</t>
        </is>
      </c>
      <c r="Z74" s="11" t="n">
        <v>35000000</v>
      </c>
      <c r="AA74" s="11" t="n"/>
      <c r="AB74" s="11" t="n">
        <v>2625990</v>
      </c>
      <c r="AC74" s="11" t="n">
        <v>2816555</v>
      </c>
      <c r="AD74" s="11" t="n"/>
      <c r="AE74" s="11" t="n"/>
      <c r="AF74" s="9" t="inlineStr">
        <is>
          <t>N</t>
        </is>
      </c>
      <c r="AG74" s="9" t="inlineStr">
        <is>
          <t>Y</t>
        </is>
      </c>
      <c r="AH74" s="9" t="n"/>
      <c r="AI74" s="9" t="inlineStr">
        <is>
          <t>Y</t>
        </is>
      </c>
      <c r="AJ74" s="8" t="n"/>
      <c r="AK74" s="9" t="inlineStr">
        <is>
          <t>Y</t>
        </is>
      </c>
      <c r="AL74" s="9" t="inlineStr">
        <is>
          <t>Y</t>
        </is>
      </c>
      <c r="AM74" s="9" t="inlineStr">
        <is>
          <t>Y</t>
        </is>
      </c>
      <c r="AN74" s="9" t="n"/>
      <c r="AO74" s="9" t="n"/>
      <c r="AP74" s="9" t="n"/>
      <c r="AQ74" s="9" t="n"/>
      <c r="AR74" s="9" t="n"/>
      <c r="AS74" s="9" t="inlineStr">
        <is>
          <t>N</t>
        </is>
      </c>
      <c r="AT74" s="8" t="n"/>
      <c r="AU74" s="8" t="n"/>
      <c r="AV74" s="9" t="n"/>
      <c r="AW74" s="8" t="n"/>
      <c r="AX74" s="9" t="inlineStr">
        <is>
          <t>N</t>
        </is>
      </c>
      <c r="AY74" s="9" t="inlineStr">
        <is>
          <t>Y</t>
        </is>
      </c>
      <c r="AZ74" s="9" t="inlineStr">
        <is>
          <t>Y</t>
        </is>
      </c>
      <c r="BA74" s="9" t="inlineStr">
        <is>
          <t>Y</t>
        </is>
      </c>
      <c r="BB74" s="9" t="inlineStr">
        <is>
          <t>Y</t>
        </is>
      </c>
      <c r="BC74" s="9" t="inlineStr">
        <is>
          <t>Y</t>
        </is>
      </c>
      <c r="BD74" s="9" t="n"/>
      <c r="BE74" s="9" t="inlineStr">
        <is>
          <t>N</t>
        </is>
      </c>
      <c r="BF74" s="9" t="n"/>
      <c r="BG74" s="9" t="n"/>
      <c r="BH74" s="9" t="n"/>
      <c r="BI74" s="9" t="n"/>
      <c r="BJ74" s="9" t="inlineStr">
        <is>
          <t>Y</t>
        </is>
      </c>
      <c r="BK74" s="9" t="inlineStr">
        <is>
          <t>N</t>
        </is>
      </c>
      <c r="BL74" s="9" t="inlineStr">
        <is>
          <t>N</t>
        </is>
      </c>
      <c r="BM74" s="9" t="inlineStr">
        <is>
          <t>Y</t>
        </is>
      </c>
      <c r="BN74" s="9" t="inlineStr">
        <is>
          <t>Y</t>
        </is>
      </c>
      <c r="BO74" s="8" t="n">
        <v>45882</v>
      </c>
      <c r="BP74" s="9" t="inlineStr">
        <is>
          <t>N</t>
        </is>
      </c>
      <c r="BQ74" s="9" t="inlineStr">
        <is>
          <t>Y</t>
        </is>
      </c>
      <c r="BR74" s="13">
        <f>IF(COUNTIF(AI74:BM74,"N")+COUNTBLANK(AI74:BM74)=0,"Y","N")</f>
        <v/>
      </c>
      <c r="BS74" s="13">
        <f>IF(AND(BR74="Y",OR(L74="Submitted",L74="Under Review")),"Y",IF(L74="Closed","Y","N"))</f>
        <v/>
      </c>
      <c r="BT74" s="10" t="n">
        <v>69</v>
      </c>
      <c r="BU74" s="13">
        <f>Rule_Flags!Q73</f>
        <v/>
      </c>
      <c r="BV74" s="13">
        <f>Rule_Flags!P73</f>
        <v/>
      </c>
      <c r="BW74" s="13">
        <f>IF(Rule_Flags!E73=1,"SITE_CONTROL",IF(Rule_Flags!F73=1,"APPROVALS",IF(Rule_Flags!G73=1,"REPORTS",IF(Rule_Flags!H73=1,"DEFICIENCY",IF(Rule_Flags!I73=1,"UNDERWRITING",IF(Rule_Flags!J73=1,"COMPLIANCE",""))))))</f>
        <v/>
      </c>
      <c r="BX74" s="13">
        <f>IF(BW74="SITE_CONTROL","Site control missing or invalid",IF(BW74="APPROVALS","Required approvals or resolutions incomplete",IF(BW74="REPORTS","Required third-party reports incomplete",IF(BW74="DEFICIENCY","Unresolved deficiency or material deficiency",IF(BW74="UNDERWRITING","Underwriting / feasibility not passed",IF(BW74="COMPLIANCE","Deconcentration, one-mile, LURA, or Chapter 12 issue","Ready under current engine rules"))))))</f>
        <v/>
      </c>
      <c r="BY74" s="13">
        <f>IF(BV74="Determination Notice","Streamlined + DN-ready assumptions satisfied",IF(BV74="Board","Board-required or board-ready assumptions satisfied",""))</f>
        <v/>
      </c>
      <c r="BZ74" s="13">
        <f>IF(AND(BP74="Y",BQ74&lt;&gt;"Y"),"Carryforward project retains queue priority",IF(BQ74="Y","New project enters behind carryforward projects",""))</f>
        <v/>
      </c>
      <c r="CA74" s="13">
        <f>_xludf.RANK.EQ(Rule_Flags!O73,Rule_Flags!$O$3:$O$402,0)</f>
        <v/>
      </c>
      <c r="CB74" s="13">
        <f>IF(OR(BU74="Determination Notice Issued",BU74="Board",BU74="Closed"),"Y","N")</f>
        <v/>
      </c>
      <c r="CC74" s="9" t="inlineStr">
        <is>
          <t>construction_type mapped from raw 'NC' to 'New Construction'</t>
        </is>
      </c>
      <c r="CD74" s="9" t="inlineStr">
        <is>
          <t>Alex Ison</t>
        </is>
      </c>
      <c r="CE74" s="9" t="inlineStr">
        <is>
          <t>(440) 715-5154</t>
        </is>
      </c>
      <c r="CF74" s="9" t="inlineStr">
        <is>
          <t>alex.ison@rbmliving.com</t>
        </is>
      </c>
      <c r="CG74" s="9" t="inlineStr">
        <is>
          <t>Allison Lacey</t>
        </is>
      </c>
      <c r="CH74" s="9" t="inlineStr">
        <is>
          <t>(361) 485-3520</t>
        </is>
      </c>
    </row>
    <row r="75">
      <c r="A75" s="8" t="inlineStr">
        <is>
          <t>2026-02-10</t>
        </is>
      </c>
      <c r="B75" s="9" t="inlineStr">
        <is>
          <t>2026-02-10</t>
        </is>
      </c>
      <c r="C75" s="9" t="inlineStr">
        <is>
          <t>25480</t>
        </is>
      </c>
      <c r="D75" s="9" t="n"/>
      <c r="E75" s="9" t="inlineStr">
        <is>
          <t>Westmoreland Townhomes</t>
        </is>
      </c>
      <c r="F75" s="9" t="inlineStr">
        <is>
          <t>Dallas</t>
        </is>
      </c>
      <c r="G75" s="9" t="inlineStr">
        <is>
          <t>Dallas</t>
        </is>
      </c>
      <c r="H75" s="9" t="n">
        <v>3</v>
      </c>
      <c r="I75" s="9" t="inlineStr">
        <is>
          <t>6600 South Westmoreland Drive</t>
        </is>
      </c>
      <c r="J75" s="9" t="n">
        <v>75237</v>
      </c>
      <c r="K75" s="8" t="n">
        <v>45887</v>
      </c>
      <c r="L75" s="9" t="inlineStr">
        <is>
          <t>Closed</t>
        </is>
      </c>
      <c r="M75" s="8" t="n">
        <v>46002</v>
      </c>
      <c r="N75" s="8" t="n">
        <v>45981</v>
      </c>
      <c r="O75" s="8" t="n">
        <v>45832</v>
      </c>
      <c r="P75" s="8" t="n">
        <v>46012</v>
      </c>
      <c r="Q75" s="8" t="n"/>
      <c r="R75" s="9" t="inlineStr">
        <is>
          <t>New Construction</t>
        </is>
      </c>
      <c r="S75" s="9" t="inlineStr">
        <is>
          <t>Elderly</t>
        </is>
      </c>
      <c r="T75" s="10" t="n">
        <v>216</v>
      </c>
      <c r="U75" s="10" t="n">
        <v>216</v>
      </c>
      <c r="V75" s="9" t="n"/>
      <c r="W75" s="9" t="n"/>
      <c r="X75" s="9" t="inlineStr">
        <is>
          <t>City of Dallas HFC</t>
        </is>
      </c>
      <c r="Y75" s="9" t="inlineStr">
        <is>
          <t>Local HFC</t>
        </is>
      </c>
      <c r="Z75" s="11" t="n">
        <v>40000000</v>
      </c>
      <c r="AA75" s="11" t="n"/>
      <c r="AB75" s="11" t="n">
        <v>3065774</v>
      </c>
      <c r="AC75" s="11" t="n">
        <v>3065445</v>
      </c>
      <c r="AD75" s="11" t="n"/>
      <c r="AE75" s="11" t="n"/>
      <c r="AF75" s="9" t="inlineStr">
        <is>
          <t>N</t>
        </is>
      </c>
      <c r="AG75" s="9" t="inlineStr">
        <is>
          <t>Y</t>
        </is>
      </c>
      <c r="AH75" s="9" t="n"/>
      <c r="AI75" s="9" t="inlineStr">
        <is>
          <t>Y</t>
        </is>
      </c>
      <c r="AJ75" s="8" t="n"/>
      <c r="AK75" s="9" t="inlineStr">
        <is>
          <t>Y</t>
        </is>
      </c>
      <c r="AL75" s="9" t="inlineStr">
        <is>
          <t>Y</t>
        </is>
      </c>
      <c r="AM75" s="9" t="inlineStr">
        <is>
          <t>Y</t>
        </is>
      </c>
      <c r="AN75" s="9" t="n"/>
      <c r="AO75" s="9" t="n"/>
      <c r="AP75" s="9" t="n"/>
      <c r="AQ75" s="9" t="n"/>
      <c r="AR75" s="9" t="n"/>
      <c r="AS75" s="9" t="inlineStr">
        <is>
          <t>N</t>
        </is>
      </c>
      <c r="AT75" s="8" t="n"/>
      <c r="AU75" s="8" t="n"/>
      <c r="AV75" s="9" t="n"/>
      <c r="AW75" s="8" t="n"/>
      <c r="AX75" s="9" t="inlineStr">
        <is>
          <t>N</t>
        </is>
      </c>
      <c r="AY75" s="9" t="inlineStr">
        <is>
          <t>Y</t>
        </is>
      </c>
      <c r="AZ75" s="9" t="inlineStr">
        <is>
          <t>Y</t>
        </is>
      </c>
      <c r="BA75" s="9" t="inlineStr">
        <is>
          <t>Y</t>
        </is>
      </c>
      <c r="BB75" s="9" t="inlineStr">
        <is>
          <t>Y</t>
        </is>
      </c>
      <c r="BC75" s="9" t="inlineStr">
        <is>
          <t>Y</t>
        </is>
      </c>
      <c r="BD75" s="9" t="n"/>
      <c r="BE75" s="9" t="inlineStr">
        <is>
          <t>N</t>
        </is>
      </c>
      <c r="BF75" s="9" t="n"/>
      <c r="BG75" s="9" t="n"/>
      <c r="BH75" s="9" t="n"/>
      <c r="BI75" s="9" t="n"/>
      <c r="BJ75" s="9" t="inlineStr">
        <is>
          <t>Y</t>
        </is>
      </c>
      <c r="BK75" s="9" t="inlineStr">
        <is>
          <t>N</t>
        </is>
      </c>
      <c r="BL75" s="9" t="inlineStr">
        <is>
          <t>N</t>
        </is>
      </c>
      <c r="BM75" s="9" t="inlineStr">
        <is>
          <t>Y</t>
        </is>
      </c>
      <c r="BN75" s="9" t="inlineStr">
        <is>
          <t>Y</t>
        </is>
      </c>
      <c r="BO75" s="8" t="n">
        <v>45887</v>
      </c>
      <c r="BP75" s="9" t="inlineStr">
        <is>
          <t>N</t>
        </is>
      </c>
      <c r="BQ75" s="9" t="inlineStr">
        <is>
          <t>Y</t>
        </is>
      </c>
      <c r="BR75" s="13">
        <f>IF(COUNTIF(AI75:BM75,"N")+COUNTBLANK(AI75:BM75)=0,"Y","N")</f>
        <v/>
      </c>
      <c r="BS75" s="13">
        <f>IF(AND(BR75="Y",OR(L75="Submitted",L75="Under Review")),"Y",IF(L75="Closed","Y","N"))</f>
        <v/>
      </c>
      <c r="BT75" s="10" t="n">
        <v>70</v>
      </c>
      <c r="BU75" s="13">
        <f>Rule_Flags!Q74</f>
        <v/>
      </c>
      <c r="BV75" s="13">
        <f>Rule_Flags!P74</f>
        <v/>
      </c>
      <c r="BW75" s="13">
        <f>IF(Rule_Flags!E74=1,"SITE_CONTROL",IF(Rule_Flags!F74=1,"APPROVALS",IF(Rule_Flags!G74=1,"REPORTS",IF(Rule_Flags!H74=1,"DEFICIENCY",IF(Rule_Flags!I74=1,"UNDERWRITING",IF(Rule_Flags!J74=1,"COMPLIANCE",""))))))</f>
        <v/>
      </c>
      <c r="BX75" s="13">
        <f>IF(BW75="SITE_CONTROL","Site control missing or invalid",IF(BW75="APPROVALS","Required approvals or resolutions incomplete",IF(BW75="REPORTS","Required third-party reports incomplete",IF(BW75="DEFICIENCY","Unresolved deficiency or material deficiency",IF(BW75="UNDERWRITING","Underwriting / feasibility not passed",IF(BW75="COMPLIANCE","Deconcentration, one-mile, LURA, or Chapter 12 issue","Ready under current engine rules"))))))</f>
        <v/>
      </c>
      <c r="BY75" s="13">
        <f>IF(BV75="Determination Notice","Streamlined + DN-ready assumptions satisfied",IF(BV75="Board","Board-required or board-ready assumptions satisfied",""))</f>
        <v/>
      </c>
      <c r="BZ75" s="13">
        <f>IF(AND(BP75="Y",BQ75&lt;&gt;"Y"),"Carryforward project retains queue priority",IF(BQ75="Y","New project enters behind carryforward projects",""))</f>
        <v/>
      </c>
      <c r="CA75" s="13">
        <f>_xludf.RANK.EQ(Rule_Flags!O74,Rule_Flags!$O$3:$O$402,0)</f>
        <v/>
      </c>
      <c r="CB75" s="13">
        <f>IF(OR(BU75="Determination Notice Issued",BU75="Board",BU75="Closed"),"Y","N")</f>
        <v/>
      </c>
      <c r="CC75" s="9" t="inlineStr">
        <is>
          <t>construction_type mapped from raw 'NC' to 'New Construction'</t>
        </is>
      </c>
      <c r="CD75" s="9" t="inlineStr">
        <is>
          <t>Blake Hopkins</t>
        </is>
      </c>
      <c r="CE75" s="9" t="inlineStr">
        <is>
          <t>(469) 929-9445</t>
        </is>
      </c>
      <c r="CF75" s="9" t="inlineStr">
        <is>
          <t>bhopkins@lincolnavenue.com</t>
        </is>
      </c>
      <c r="CG75" s="9" t="inlineStr">
        <is>
          <t>Aaron Eaquinto</t>
        </is>
      </c>
      <c r="CH75" s="9" t="inlineStr">
        <is>
          <t>214-670-5988</t>
        </is>
      </c>
    </row>
    <row r="76">
      <c r="A76" s="8" t="inlineStr">
        <is>
          <t>2026-02-10</t>
        </is>
      </c>
      <c r="B76" s="9" t="inlineStr">
        <is>
          <t>2026-02-10</t>
        </is>
      </c>
      <c r="C76" s="9" t="inlineStr">
        <is>
          <t>25475</t>
        </is>
      </c>
      <c r="D76" s="9" t="n"/>
      <c r="E76" s="9" t="inlineStr">
        <is>
          <t>Humble Family Apartments</t>
        </is>
      </c>
      <c r="F76" s="9" t="inlineStr">
        <is>
          <t>Humble</t>
        </is>
      </c>
      <c r="G76" s="9" t="inlineStr">
        <is>
          <t>Harris</t>
        </is>
      </c>
      <c r="H76" s="9" t="n">
        <v>6</v>
      </c>
      <c r="I76" s="9" t="inlineStr">
        <is>
          <t>W Lake Houston Parkway</t>
        </is>
      </c>
      <c r="J76" s="9" t="n">
        <v>77346</v>
      </c>
      <c r="K76" s="8" t="n">
        <v>45888</v>
      </c>
      <c r="L76" s="9" t="inlineStr">
        <is>
          <t>Withdrawn</t>
        </is>
      </c>
      <c r="M76" s="8" t="n">
        <v>46002</v>
      </c>
      <c r="N76" s="8" t="n"/>
      <c r="O76" s="8" t="n">
        <v>45881</v>
      </c>
      <c r="P76" s="8" t="n">
        <v>46061</v>
      </c>
      <c r="Q76" s="8" t="n"/>
      <c r="R76" s="9" t="inlineStr">
        <is>
          <t>New Construction</t>
        </is>
      </c>
      <c r="S76" s="9" t="inlineStr">
        <is>
          <t>General</t>
        </is>
      </c>
      <c r="T76" s="10" t="n">
        <v>306</v>
      </c>
      <c r="U76" s="10" t="n">
        <v>306</v>
      </c>
      <c r="V76" s="9" t="n"/>
      <c r="W76" s="9" t="n"/>
      <c r="X76" s="9" t="inlineStr">
        <is>
          <t>Harris County HFC</t>
        </is>
      </c>
      <c r="Y76" s="9" t="inlineStr">
        <is>
          <t>Local HFC</t>
        </is>
      </c>
      <c r="Z76" s="11" t="n">
        <v>69152737</v>
      </c>
      <c r="AA76" s="11" t="n"/>
      <c r="AB76" s="11" t="n">
        <v>5638702</v>
      </c>
      <c r="AC76" s="11" t="n"/>
      <c r="AD76" s="11" t="n"/>
      <c r="AE76" s="11" t="n"/>
      <c r="AF76" s="9" t="inlineStr">
        <is>
          <t>N</t>
        </is>
      </c>
      <c r="AG76" s="9" t="inlineStr">
        <is>
          <t>Y</t>
        </is>
      </c>
      <c r="AH76" s="9" t="n"/>
      <c r="AI76" s="9" t="inlineStr">
        <is>
          <t>Y</t>
        </is>
      </c>
      <c r="AJ76" s="8" t="n"/>
      <c r="AK76" s="9" t="inlineStr">
        <is>
          <t>Y</t>
        </is>
      </c>
      <c r="AL76" s="9" t="inlineStr">
        <is>
          <t>Y</t>
        </is>
      </c>
      <c r="AM76" s="9" t="inlineStr">
        <is>
          <t>Y</t>
        </is>
      </c>
      <c r="AN76" s="9" t="n"/>
      <c r="AO76" s="9" t="n"/>
      <c r="AP76" s="9" t="n"/>
      <c r="AQ76" s="9" t="n"/>
      <c r="AR76" s="9" t="n"/>
      <c r="AS76" s="9" t="inlineStr">
        <is>
          <t>N</t>
        </is>
      </c>
      <c r="AT76" s="8" t="n"/>
      <c r="AU76" s="8" t="n"/>
      <c r="AV76" s="9" t="n"/>
      <c r="AW76" s="8" t="n"/>
      <c r="AX76" s="9" t="inlineStr">
        <is>
          <t>N</t>
        </is>
      </c>
      <c r="AY76" s="9" t="inlineStr">
        <is>
          <t>Y</t>
        </is>
      </c>
      <c r="AZ76" s="9" t="inlineStr">
        <is>
          <t>Y</t>
        </is>
      </c>
      <c r="BA76" s="9" t="inlineStr">
        <is>
          <t>Y</t>
        </is>
      </c>
      <c r="BB76" s="9" t="inlineStr">
        <is>
          <t>Y</t>
        </is>
      </c>
      <c r="BC76" s="9" t="inlineStr">
        <is>
          <t>Y</t>
        </is>
      </c>
      <c r="BD76" s="9" t="n"/>
      <c r="BE76" s="9" t="inlineStr">
        <is>
          <t>N</t>
        </is>
      </c>
      <c r="BF76" s="9" t="n"/>
      <c r="BG76" s="9" t="n"/>
      <c r="BH76" s="9" t="n"/>
      <c r="BI76" s="9" t="n"/>
      <c r="BJ76" s="9" t="inlineStr">
        <is>
          <t>Y</t>
        </is>
      </c>
      <c r="BK76" s="9" t="inlineStr">
        <is>
          <t>N</t>
        </is>
      </c>
      <c r="BL76" s="9" t="inlineStr">
        <is>
          <t>N</t>
        </is>
      </c>
      <c r="BM76" s="9" t="inlineStr">
        <is>
          <t>Y</t>
        </is>
      </c>
      <c r="BN76" s="9" t="inlineStr">
        <is>
          <t>Y</t>
        </is>
      </c>
      <c r="BO76" s="8" t="n">
        <v>45888</v>
      </c>
      <c r="BP76" s="9" t="inlineStr">
        <is>
          <t>N</t>
        </is>
      </c>
      <c r="BQ76" s="9" t="inlineStr">
        <is>
          <t>Y</t>
        </is>
      </c>
      <c r="BR76" s="13">
        <f>IF(COUNTIF(AI76:BM76,"N")+COUNTBLANK(AI76:BM76)=0,"Y","N")</f>
        <v/>
      </c>
      <c r="BS76" s="13">
        <f>IF(AND(BR76="Y",OR(L76="Submitted",L76="Under Review")),"Y",IF(L76="Closed","Y","N"))</f>
        <v/>
      </c>
      <c r="BT76" s="10" t="n">
        <v>71</v>
      </c>
      <c r="BU76" s="13">
        <f>Rule_Flags!Q75</f>
        <v/>
      </c>
      <c r="BV76" s="13">
        <f>Rule_Flags!P75</f>
        <v/>
      </c>
      <c r="BW76" s="13">
        <f>IF(Rule_Flags!E75=1,"SITE_CONTROL",IF(Rule_Flags!F75=1,"APPROVALS",IF(Rule_Flags!G75=1,"REPORTS",IF(Rule_Flags!H75=1,"DEFICIENCY",IF(Rule_Flags!I75=1,"UNDERWRITING",IF(Rule_Flags!J75=1,"COMPLIANCE",""))))))</f>
        <v/>
      </c>
      <c r="BX76" s="13">
        <f>IF(BW76="SITE_CONTROL","Site control missing or invalid",IF(BW76="APPROVALS","Required approvals or resolutions incomplete",IF(BW76="REPORTS","Required third-party reports incomplete",IF(BW76="DEFICIENCY","Unresolved deficiency or material deficiency",IF(BW76="UNDERWRITING","Underwriting / feasibility not passed",IF(BW76="COMPLIANCE","Deconcentration, one-mile, LURA, or Chapter 12 issue","Ready under current engine rules"))))))</f>
        <v/>
      </c>
      <c r="BY76" s="13">
        <f>IF(BV76="Determination Notice","Streamlined + DN-ready assumptions satisfied",IF(BV76="Board","Board-required or board-ready assumptions satisfied",""))</f>
        <v/>
      </c>
      <c r="BZ76" s="13">
        <f>IF(AND(BP76="Y",BQ76&lt;&gt;"Y"),"Carryforward project retains queue priority",IF(BQ76="Y","New project enters behind carryforward projects",""))</f>
        <v/>
      </c>
      <c r="CA76" s="13">
        <f>_xludf.RANK.EQ(Rule_Flags!O75,Rule_Flags!$O$3:$O$402,0)</f>
        <v/>
      </c>
      <c r="CB76" s="13">
        <f>IF(OR(BU76="Determination Notice Issued",BU76="Board",BU76="Closed"),"Y","N")</f>
        <v/>
      </c>
      <c r="CC76" s="9" t="inlineStr">
        <is>
          <t>construction_type mapped from raw 'NC' to 'New Construction'</t>
        </is>
      </c>
      <c r="CD76" s="9" t="inlineStr">
        <is>
          <t>Jeff Spicer</t>
        </is>
      </c>
      <c r="CE76" s="9" t="inlineStr">
        <is>
          <t>214-960-1158</t>
        </is>
      </c>
      <c r="CF76" s="9" t="inlineStr">
        <is>
          <t>jeff.spicer@Dominiuminc.com</t>
        </is>
      </c>
      <c r="CG76" s="9" t="inlineStr">
        <is>
          <t>Rene Martinez</t>
        </is>
      </c>
      <c r="CH76" s="9" t="inlineStr">
        <is>
          <t>832-927-4824</t>
        </is>
      </c>
    </row>
    <row r="77">
      <c r="A77" s="8" t="inlineStr">
        <is>
          <t>2026-02-10</t>
        </is>
      </c>
      <c r="B77" s="9" t="inlineStr">
        <is>
          <t>2026-02-10</t>
        </is>
      </c>
      <c r="C77" s="9" t="inlineStr">
        <is>
          <t>25479</t>
        </is>
      </c>
      <c r="D77" s="9" t="n"/>
      <c r="E77" s="9" t="inlineStr">
        <is>
          <t>Tabor Village</t>
        </is>
      </c>
      <c r="F77" s="9" t="inlineStr">
        <is>
          <t>Dallas</t>
        </is>
      </c>
      <c r="G77" s="9" t="inlineStr">
        <is>
          <t>Dallas</t>
        </is>
      </c>
      <c r="H77" s="9" t="n">
        <v>3</v>
      </c>
      <c r="I77" s="9" t="inlineStr">
        <is>
          <t>6200 Baraboo Drive</t>
        </is>
      </c>
      <c r="J77" s="9" t="n">
        <v>75241</v>
      </c>
      <c r="K77" s="8" t="n">
        <v>45890</v>
      </c>
      <c r="L77" s="9" t="inlineStr">
        <is>
          <t>Closed</t>
        </is>
      </c>
      <c r="M77" s="8" t="n">
        <v>46002</v>
      </c>
      <c r="N77" s="8" t="n">
        <v>45994</v>
      </c>
      <c r="O77" s="8" t="n">
        <v>45866</v>
      </c>
      <c r="P77" s="8" t="n">
        <v>46046</v>
      </c>
      <c r="Q77" s="8" t="n"/>
      <c r="R77" s="9" t="inlineStr">
        <is>
          <t>New Construction</t>
        </is>
      </c>
      <c r="S77" s="9" t="inlineStr">
        <is>
          <t>Elderly</t>
        </is>
      </c>
      <c r="T77" s="10" t="n">
        <v>229</v>
      </c>
      <c r="U77" s="10" t="n">
        <v>206</v>
      </c>
      <c r="V77" s="9" t="n"/>
      <c r="W77" s="9" t="n"/>
      <c r="X77" s="9" t="inlineStr">
        <is>
          <t>City of Dallas HFC</t>
        </is>
      </c>
      <c r="Y77" s="9" t="inlineStr">
        <is>
          <t>Local HFC</t>
        </is>
      </c>
      <c r="Z77" s="11" t="n">
        <v>38000000</v>
      </c>
      <c r="AA77" s="11" t="n"/>
      <c r="AB77" s="11" t="n">
        <v>2598977</v>
      </c>
      <c r="AC77" s="11" t="n">
        <v>2598977</v>
      </c>
      <c r="AD77" s="11" t="n"/>
      <c r="AE77" s="11" t="n"/>
      <c r="AF77" s="9" t="inlineStr">
        <is>
          <t>N</t>
        </is>
      </c>
      <c r="AG77" s="9" t="inlineStr">
        <is>
          <t>Y</t>
        </is>
      </c>
      <c r="AH77" s="9" t="n"/>
      <c r="AI77" s="9" t="inlineStr">
        <is>
          <t>Y</t>
        </is>
      </c>
      <c r="AJ77" s="8" t="n"/>
      <c r="AK77" s="9" t="inlineStr">
        <is>
          <t>Y</t>
        </is>
      </c>
      <c r="AL77" s="9" t="inlineStr">
        <is>
          <t>Y</t>
        </is>
      </c>
      <c r="AM77" s="9" t="inlineStr">
        <is>
          <t>Y</t>
        </is>
      </c>
      <c r="AN77" s="9" t="n"/>
      <c r="AO77" s="9" t="n"/>
      <c r="AP77" s="9" t="n"/>
      <c r="AQ77" s="9" t="n"/>
      <c r="AR77" s="9" t="n"/>
      <c r="AS77" s="9" t="inlineStr">
        <is>
          <t>N</t>
        </is>
      </c>
      <c r="AT77" s="8" t="n"/>
      <c r="AU77" s="8" t="n"/>
      <c r="AV77" s="9" t="n"/>
      <c r="AW77" s="8" t="n"/>
      <c r="AX77" s="9" t="inlineStr">
        <is>
          <t>N</t>
        </is>
      </c>
      <c r="AY77" s="9" t="inlineStr">
        <is>
          <t>Y</t>
        </is>
      </c>
      <c r="AZ77" s="9" t="inlineStr">
        <is>
          <t>Y</t>
        </is>
      </c>
      <c r="BA77" s="9" t="inlineStr">
        <is>
          <t>Y</t>
        </is>
      </c>
      <c r="BB77" s="9" t="inlineStr">
        <is>
          <t>Y</t>
        </is>
      </c>
      <c r="BC77" s="9" t="inlineStr">
        <is>
          <t>Y</t>
        </is>
      </c>
      <c r="BD77" s="9" t="n"/>
      <c r="BE77" s="9" t="inlineStr">
        <is>
          <t>N</t>
        </is>
      </c>
      <c r="BF77" s="9" t="n"/>
      <c r="BG77" s="9" t="n"/>
      <c r="BH77" s="9" t="n"/>
      <c r="BI77" s="9" t="n"/>
      <c r="BJ77" s="9" t="inlineStr">
        <is>
          <t>Y</t>
        </is>
      </c>
      <c r="BK77" s="9" t="inlineStr">
        <is>
          <t>N</t>
        </is>
      </c>
      <c r="BL77" s="9" t="inlineStr">
        <is>
          <t>N</t>
        </is>
      </c>
      <c r="BM77" s="9" t="inlineStr">
        <is>
          <t>Y</t>
        </is>
      </c>
      <c r="BN77" s="9" t="inlineStr">
        <is>
          <t>Y</t>
        </is>
      </c>
      <c r="BO77" s="8" t="n">
        <v>45890</v>
      </c>
      <c r="BP77" s="9" t="inlineStr">
        <is>
          <t>N</t>
        </is>
      </c>
      <c r="BQ77" s="9" t="inlineStr">
        <is>
          <t>Y</t>
        </is>
      </c>
      <c r="BR77" s="13">
        <f>IF(COUNTIF(AI77:BM77,"N")+COUNTBLANK(AI77:BM77)=0,"Y","N")</f>
        <v/>
      </c>
      <c r="BS77" s="13">
        <f>IF(AND(BR77="Y",OR(L77="Submitted",L77="Under Review")),"Y",IF(L77="Closed","Y","N"))</f>
        <v/>
      </c>
      <c r="BT77" s="10" t="n">
        <v>72</v>
      </c>
      <c r="BU77" s="13">
        <f>Rule_Flags!Q76</f>
        <v/>
      </c>
      <c r="BV77" s="13">
        <f>Rule_Flags!P76</f>
        <v/>
      </c>
      <c r="BW77" s="13">
        <f>IF(Rule_Flags!E76=1,"SITE_CONTROL",IF(Rule_Flags!F76=1,"APPROVALS",IF(Rule_Flags!G76=1,"REPORTS",IF(Rule_Flags!H76=1,"DEFICIENCY",IF(Rule_Flags!I76=1,"UNDERWRITING",IF(Rule_Flags!J76=1,"COMPLIANCE",""))))))</f>
        <v/>
      </c>
      <c r="BX77" s="13">
        <f>IF(BW77="SITE_CONTROL","Site control missing or invalid",IF(BW77="APPROVALS","Required approvals or resolutions incomplete",IF(BW77="REPORTS","Required third-party reports incomplete",IF(BW77="DEFICIENCY","Unresolved deficiency or material deficiency",IF(BW77="UNDERWRITING","Underwriting / feasibility not passed",IF(BW77="COMPLIANCE","Deconcentration, one-mile, LURA, or Chapter 12 issue","Ready under current engine rules"))))))</f>
        <v/>
      </c>
      <c r="BY77" s="13">
        <f>IF(BV77="Determination Notice","Streamlined + DN-ready assumptions satisfied",IF(BV77="Board","Board-required or board-ready assumptions satisfied",""))</f>
        <v/>
      </c>
      <c r="BZ77" s="13">
        <f>IF(AND(BP77="Y",BQ77&lt;&gt;"Y"),"Carryforward project retains queue priority",IF(BQ77="Y","New project enters behind carryforward projects",""))</f>
        <v/>
      </c>
      <c r="CA77" s="13">
        <f>_xludf.RANK.EQ(Rule_Flags!O76,Rule_Flags!$O$3:$O$402,0)</f>
        <v/>
      </c>
      <c r="CB77" s="13">
        <f>IF(OR(BU77="Determination Notice Issued",BU77="Board",BU77="Closed"),"Y","N")</f>
        <v/>
      </c>
      <c r="CC77" s="9" t="inlineStr">
        <is>
          <t>construction_type mapped from raw 'NC' to 'New Construction'</t>
        </is>
      </c>
      <c r="CD77" s="9" t="inlineStr">
        <is>
          <t>Blake Hopkins</t>
        </is>
      </c>
      <c r="CE77" s="9" t="inlineStr">
        <is>
          <t>(469) 929-9445</t>
        </is>
      </c>
      <c r="CF77" s="9" t="inlineStr">
        <is>
          <t>bhopkins@lincolnavenue.com</t>
        </is>
      </c>
      <c r="CG77" s="9" t="inlineStr">
        <is>
          <t>Aaron Eaquinto</t>
        </is>
      </c>
      <c r="CH77" s="9" t="inlineStr">
        <is>
          <t>(214) 670-5988</t>
        </is>
      </c>
    </row>
    <row r="78">
      <c r="A78" s="8" t="inlineStr">
        <is>
          <t>2026-02-10</t>
        </is>
      </c>
      <c r="B78" s="9" t="inlineStr">
        <is>
          <t>2026-02-10</t>
        </is>
      </c>
      <c r="C78" s="9" t="inlineStr">
        <is>
          <t>25483</t>
        </is>
      </c>
      <c r="D78" s="9" t="n"/>
      <c r="E78" s="9" t="inlineStr">
        <is>
          <t>Cobblestone Manor</t>
        </is>
      </c>
      <c r="F78" s="9" t="inlineStr">
        <is>
          <t>Fort Worth</t>
        </is>
      </c>
      <c r="G78" s="9" t="inlineStr">
        <is>
          <t>Tarrant</t>
        </is>
      </c>
      <c r="H78" s="9" t="n">
        <v>3</v>
      </c>
      <c r="I78" s="9" t="inlineStr">
        <is>
          <t>8201 Sartain Drive</t>
        </is>
      </c>
      <c r="J78" s="9" t="n">
        <v>76120</v>
      </c>
      <c r="K78" s="8" t="n">
        <v>45896</v>
      </c>
      <c r="L78" s="9" t="inlineStr">
        <is>
          <t>Approved</t>
        </is>
      </c>
      <c r="M78" s="8" t="n">
        <v>46002</v>
      </c>
      <c r="N78" s="8" t="n">
        <v>46010</v>
      </c>
      <c r="O78" s="8" t="n">
        <v>45891</v>
      </c>
      <c r="P78" s="8" t="n">
        <v>46071</v>
      </c>
      <c r="Q78" s="8" t="n"/>
      <c r="R78" s="9" t="inlineStr">
        <is>
          <t>Acq/Rehab</t>
        </is>
      </c>
      <c r="S78" s="9" t="inlineStr">
        <is>
          <t>Elderly</t>
        </is>
      </c>
      <c r="T78" s="10" t="n">
        <v>220</v>
      </c>
      <c r="U78" s="10" t="n">
        <v>220</v>
      </c>
      <c r="V78" s="9" t="n"/>
      <c r="W78" s="9" t="n"/>
      <c r="X78" s="9" t="inlineStr">
        <is>
          <t>Tarrant County HFC</t>
        </is>
      </c>
      <c r="Y78" s="9" t="inlineStr">
        <is>
          <t>Local HFC</t>
        </is>
      </c>
      <c r="Z78" s="11" t="n">
        <v>45000000</v>
      </c>
      <c r="AA78" s="11" t="n"/>
      <c r="AB78" s="11" t="n">
        <v>2044665</v>
      </c>
      <c r="AC78" s="11" t="n">
        <v>2007397</v>
      </c>
      <c r="AD78" s="11" t="n"/>
      <c r="AE78" s="11" t="n"/>
      <c r="AF78" s="9" t="inlineStr">
        <is>
          <t>N</t>
        </is>
      </c>
      <c r="AG78" s="9" t="inlineStr">
        <is>
          <t>Y</t>
        </is>
      </c>
      <c r="AH78" s="9" t="n"/>
      <c r="AI78" s="9" t="inlineStr">
        <is>
          <t>Y</t>
        </is>
      </c>
      <c r="AJ78" s="8" t="n"/>
      <c r="AK78" s="9" t="inlineStr">
        <is>
          <t>Y</t>
        </is>
      </c>
      <c r="AL78" s="9" t="inlineStr">
        <is>
          <t>Y</t>
        </is>
      </c>
      <c r="AM78" s="9" t="inlineStr">
        <is>
          <t>Y</t>
        </is>
      </c>
      <c r="AN78" s="9" t="n"/>
      <c r="AO78" s="9" t="n"/>
      <c r="AP78" s="9" t="n"/>
      <c r="AQ78" s="9" t="n"/>
      <c r="AR78" s="9" t="n"/>
      <c r="AS78" s="9" t="inlineStr">
        <is>
          <t>N</t>
        </is>
      </c>
      <c r="AT78" s="8" t="n"/>
      <c r="AU78" s="8" t="n"/>
      <c r="AV78" s="9" t="n"/>
      <c r="AW78" s="8" t="n"/>
      <c r="AX78" s="9" t="inlineStr">
        <is>
          <t>N</t>
        </is>
      </c>
      <c r="AY78" s="9" t="inlineStr">
        <is>
          <t>Y</t>
        </is>
      </c>
      <c r="AZ78" s="9" t="inlineStr">
        <is>
          <t>Y</t>
        </is>
      </c>
      <c r="BA78" s="9" t="inlineStr">
        <is>
          <t>Y</t>
        </is>
      </c>
      <c r="BB78" s="9" t="inlineStr">
        <is>
          <t>Y</t>
        </is>
      </c>
      <c r="BC78" s="9" t="inlineStr">
        <is>
          <t>Y</t>
        </is>
      </c>
      <c r="BD78" s="9" t="n"/>
      <c r="BE78" s="9" t="inlineStr">
        <is>
          <t>N</t>
        </is>
      </c>
      <c r="BF78" s="9" t="n"/>
      <c r="BG78" s="9" t="n"/>
      <c r="BH78" s="9" t="n"/>
      <c r="BI78" s="9" t="n"/>
      <c r="BJ78" s="9" t="inlineStr">
        <is>
          <t>Y</t>
        </is>
      </c>
      <c r="BK78" s="9" t="inlineStr">
        <is>
          <t>N</t>
        </is>
      </c>
      <c r="BL78" s="9" t="inlineStr">
        <is>
          <t>N</t>
        </is>
      </c>
      <c r="BM78" s="9" t="inlineStr">
        <is>
          <t>Y</t>
        </is>
      </c>
      <c r="BN78" s="9" t="inlineStr">
        <is>
          <t>Y</t>
        </is>
      </c>
      <c r="BO78" s="8" t="n">
        <v>45896</v>
      </c>
      <c r="BP78" s="9" t="inlineStr">
        <is>
          <t>N</t>
        </is>
      </c>
      <c r="BQ78" s="9" t="inlineStr">
        <is>
          <t>Y</t>
        </is>
      </c>
      <c r="BR78" s="13">
        <f>IF(COUNTIF(AI78:BM78,"N")+COUNTBLANK(AI78:BM78)=0,"Y","N")</f>
        <v/>
      </c>
      <c r="BS78" s="13">
        <f>IF(AND(BR78="Y",OR(L78="Submitted",L78="Under Review")),"Y",IF(L78="Closed","Y","N"))</f>
        <v/>
      </c>
      <c r="BT78" s="10" t="n">
        <v>73</v>
      </c>
      <c r="BU78" s="13">
        <f>Rule_Flags!Q77</f>
        <v/>
      </c>
      <c r="BV78" s="13">
        <f>Rule_Flags!P77</f>
        <v/>
      </c>
      <c r="BW78" s="13">
        <f>IF(Rule_Flags!E77=1,"SITE_CONTROL",IF(Rule_Flags!F77=1,"APPROVALS",IF(Rule_Flags!G77=1,"REPORTS",IF(Rule_Flags!H77=1,"DEFICIENCY",IF(Rule_Flags!I77=1,"UNDERWRITING",IF(Rule_Flags!J77=1,"COMPLIANCE",""))))))</f>
        <v/>
      </c>
      <c r="BX78" s="13">
        <f>IF(BW78="SITE_CONTROL","Site control missing or invalid",IF(BW78="APPROVALS","Required approvals or resolutions incomplete",IF(BW78="REPORTS","Required third-party reports incomplete",IF(BW78="DEFICIENCY","Unresolved deficiency or material deficiency",IF(BW78="UNDERWRITING","Underwriting / feasibility not passed",IF(BW78="COMPLIANCE","Deconcentration, one-mile, LURA, or Chapter 12 issue","Ready under current engine rules"))))))</f>
        <v/>
      </c>
      <c r="BY78" s="13">
        <f>IF(BV78="Determination Notice","Streamlined + DN-ready assumptions satisfied",IF(BV78="Board","Board-required or board-ready assumptions satisfied",""))</f>
        <v/>
      </c>
      <c r="BZ78" s="13">
        <f>IF(AND(BP78="Y",BQ78&lt;&gt;"Y"),"Carryforward project retains queue priority",IF(BQ78="Y","New project enters behind carryforward projects",""))</f>
        <v/>
      </c>
      <c r="CA78" s="13">
        <f>_xludf.RANK.EQ(Rule_Flags!O77,Rule_Flags!$O$3:$O$402,0)</f>
        <v/>
      </c>
      <c r="CB78" s="13">
        <f>IF(OR(BU78="Determination Notice Issued",BU78="Board",BU78="Closed"),"Y","N")</f>
        <v/>
      </c>
      <c r="CC78" s="9" t="n"/>
      <c r="CD78" s="9" t="inlineStr">
        <is>
          <t>Neal Route</t>
        </is>
      </c>
      <c r="CE78" s="9" t="inlineStr">
        <is>
          <t>(214)960-1162</t>
        </is>
      </c>
      <c r="CF78" s="9" t="inlineStr">
        <is>
          <t>nroute@dominiuminc.com</t>
        </is>
      </c>
      <c r="CG78" s="9" t="inlineStr">
        <is>
          <t>Tim Nelson</t>
        </is>
      </c>
      <c r="CH78" s="9" t="inlineStr">
        <is>
          <t>(512) 481-2022</t>
        </is>
      </c>
    </row>
    <row r="79">
      <c r="A79" s="8" t="inlineStr">
        <is>
          <t>2026-02-10</t>
        </is>
      </c>
      <c r="B79" s="9" t="inlineStr">
        <is>
          <t>2026-02-10</t>
        </is>
      </c>
      <c r="C79" s="9" t="inlineStr">
        <is>
          <t>25484</t>
        </is>
      </c>
      <c r="D79" s="9" t="n"/>
      <c r="E79" s="9" t="inlineStr">
        <is>
          <t>Ella Apartments</t>
        </is>
      </c>
      <c r="F79" s="9" t="inlineStr">
        <is>
          <t>Lubbock</t>
        </is>
      </c>
      <c r="G79" s="9" t="inlineStr">
        <is>
          <t>Lubbock</t>
        </is>
      </c>
      <c r="H79" s="9" t="n">
        <v>1</v>
      </c>
      <c r="I79" s="9" t="inlineStr">
        <is>
          <t>1102 58th Street</t>
        </is>
      </c>
      <c r="J79" s="9" t="n">
        <v>79412</v>
      </c>
      <c r="K79" s="8" t="n">
        <v>45905</v>
      </c>
      <c r="L79" s="9" t="inlineStr">
        <is>
          <t>Approved</t>
        </is>
      </c>
      <c r="M79" s="8" t="n">
        <v>46002</v>
      </c>
      <c r="N79" s="8" t="n">
        <v>46048</v>
      </c>
      <c r="O79" s="8" t="n">
        <v>45882</v>
      </c>
      <c r="P79" s="8" t="n">
        <v>46062</v>
      </c>
      <c r="Q79" s="8" t="n"/>
      <c r="R79" s="9" t="inlineStr">
        <is>
          <t>Acq/Rehab</t>
        </is>
      </c>
      <c r="S79" s="9" t="inlineStr">
        <is>
          <t>General</t>
        </is>
      </c>
      <c r="T79" s="10" t="n">
        <v>152</v>
      </c>
      <c r="U79" s="10" t="n">
        <v>152</v>
      </c>
      <c r="V79" s="9" t="n"/>
      <c r="W79" s="9" t="n"/>
      <c r="X79" s="9" t="inlineStr">
        <is>
          <t>Lubbock HFC</t>
        </is>
      </c>
      <c r="Y79" s="9" t="inlineStr">
        <is>
          <t>Local HFC</t>
        </is>
      </c>
      <c r="Z79" s="11" t="n">
        <v>22000000</v>
      </c>
      <c r="AA79" s="11" t="n"/>
      <c r="AB79" s="11" t="n">
        <v>1171123</v>
      </c>
      <c r="AC79" s="11" t="n">
        <v>1171123</v>
      </c>
      <c r="AD79" s="11" t="n"/>
      <c r="AE79" s="11" t="n"/>
      <c r="AF79" s="9" t="inlineStr">
        <is>
          <t>N</t>
        </is>
      </c>
      <c r="AG79" s="9" t="inlineStr">
        <is>
          <t>Y</t>
        </is>
      </c>
      <c r="AH79" s="9" t="n"/>
      <c r="AI79" s="9" t="inlineStr">
        <is>
          <t>Y</t>
        </is>
      </c>
      <c r="AJ79" s="8" t="n"/>
      <c r="AK79" s="9" t="inlineStr">
        <is>
          <t>Y</t>
        </is>
      </c>
      <c r="AL79" s="9" t="inlineStr">
        <is>
          <t>Y</t>
        </is>
      </c>
      <c r="AM79" s="9" t="inlineStr">
        <is>
          <t>Y</t>
        </is>
      </c>
      <c r="AN79" s="9" t="n"/>
      <c r="AO79" s="9" t="n"/>
      <c r="AP79" s="9" t="n"/>
      <c r="AQ79" s="9" t="n"/>
      <c r="AR79" s="9" t="n"/>
      <c r="AS79" s="9" t="inlineStr">
        <is>
          <t>N</t>
        </is>
      </c>
      <c r="AT79" s="8" t="n"/>
      <c r="AU79" s="8" t="n"/>
      <c r="AV79" s="9" t="n"/>
      <c r="AW79" s="8" t="n"/>
      <c r="AX79" s="9" t="inlineStr">
        <is>
          <t>N</t>
        </is>
      </c>
      <c r="AY79" s="9" t="inlineStr">
        <is>
          <t>Y</t>
        </is>
      </c>
      <c r="AZ79" s="9" t="inlineStr">
        <is>
          <t>Y</t>
        </is>
      </c>
      <c r="BA79" s="9" t="inlineStr">
        <is>
          <t>Y</t>
        </is>
      </c>
      <c r="BB79" s="9" t="inlineStr">
        <is>
          <t>Y</t>
        </is>
      </c>
      <c r="BC79" s="9" t="inlineStr">
        <is>
          <t>Y</t>
        </is>
      </c>
      <c r="BD79" s="9" t="n"/>
      <c r="BE79" s="9" t="inlineStr">
        <is>
          <t>N</t>
        </is>
      </c>
      <c r="BF79" s="9" t="n"/>
      <c r="BG79" s="9" t="n"/>
      <c r="BH79" s="9" t="n"/>
      <c r="BI79" s="9" t="n"/>
      <c r="BJ79" s="9" t="inlineStr">
        <is>
          <t>Y</t>
        </is>
      </c>
      <c r="BK79" s="9" t="inlineStr">
        <is>
          <t>N</t>
        </is>
      </c>
      <c r="BL79" s="9" t="inlineStr">
        <is>
          <t>N</t>
        </is>
      </c>
      <c r="BM79" s="9" t="inlineStr">
        <is>
          <t>Y</t>
        </is>
      </c>
      <c r="BN79" s="9" t="inlineStr">
        <is>
          <t>Y</t>
        </is>
      </c>
      <c r="BO79" s="8" t="n">
        <v>45905</v>
      </c>
      <c r="BP79" s="9" t="inlineStr">
        <is>
          <t>N</t>
        </is>
      </c>
      <c r="BQ79" s="9" t="inlineStr">
        <is>
          <t>Y</t>
        </is>
      </c>
      <c r="BR79" s="13">
        <f>IF(COUNTIF(AI79:BM79,"N")+COUNTBLANK(AI79:BM79)=0,"Y","N")</f>
        <v/>
      </c>
      <c r="BS79" s="13">
        <f>IF(AND(BR79="Y",OR(L79="Submitted",L79="Under Review")),"Y",IF(L79="Closed","Y","N"))</f>
        <v/>
      </c>
      <c r="BT79" s="10" t="n">
        <v>76</v>
      </c>
      <c r="BU79" s="13">
        <f>Rule_Flags!Q78</f>
        <v/>
      </c>
      <c r="BV79" s="13">
        <f>Rule_Flags!P78</f>
        <v/>
      </c>
      <c r="BW79" s="13">
        <f>IF(Rule_Flags!E78=1,"SITE_CONTROL",IF(Rule_Flags!F78=1,"APPROVALS",IF(Rule_Flags!G78=1,"REPORTS",IF(Rule_Flags!H78=1,"DEFICIENCY",IF(Rule_Flags!I78=1,"UNDERWRITING",IF(Rule_Flags!J78=1,"COMPLIANCE",""))))))</f>
        <v/>
      </c>
      <c r="BX79" s="13">
        <f>IF(BW79="SITE_CONTROL","Site control missing or invalid",IF(BW79="APPROVALS","Required approvals or resolutions incomplete",IF(BW79="REPORTS","Required third-party reports incomplete",IF(BW79="DEFICIENCY","Unresolved deficiency or material deficiency",IF(BW79="UNDERWRITING","Underwriting / feasibility not passed",IF(BW79="COMPLIANCE","Deconcentration, one-mile, LURA, or Chapter 12 issue","Ready under current engine rules"))))))</f>
        <v/>
      </c>
      <c r="BY79" s="13">
        <f>IF(BV79="Determination Notice","Streamlined + DN-ready assumptions satisfied",IF(BV79="Board","Board-required or board-ready assumptions satisfied",""))</f>
        <v/>
      </c>
      <c r="BZ79" s="13">
        <f>IF(AND(BP79="Y",BQ79&lt;&gt;"Y"),"Carryforward project retains queue priority",IF(BQ79="Y","New project enters behind carryforward projects",""))</f>
        <v/>
      </c>
      <c r="CA79" s="13">
        <f>_xludf.RANK.EQ(Rule_Flags!O78,Rule_Flags!$O$3:$O$402,0)</f>
        <v/>
      </c>
      <c r="CB79" s="13">
        <f>IF(OR(BU79="Determination Notice Issued",BU79="Board",BU79="Closed"),"Y","N")</f>
        <v/>
      </c>
      <c r="CC79" s="9" t="n"/>
      <c r="CD79" s="9" t="inlineStr">
        <is>
          <t>Tisha Vaidya</t>
        </is>
      </c>
      <c r="CE79" s="9" t="inlineStr">
        <is>
          <t>214-336-7495</t>
        </is>
      </c>
      <c r="CF79" s="9" t="inlineStr">
        <is>
          <t>tisha@elizabethpropertygroup.com</t>
        </is>
      </c>
      <c r="CG79" s="9" t="inlineStr">
        <is>
          <t>Shari Flynn</t>
        </is>
      </c>
      <c r="CH79" s="9" t="inlineStr">
        <is>
          <t>(806) 866-9801</t>
        </is>
      </c>
    </row>
    <row r="80">
      <c r="A80" s="8" t="inlineStr">
        <is>
          <t>2026-02-10</t>
        </is>
      </c>
      <c r="B80" s="9" t="inlineStr">
        <is>
          <t>2026-02-10</t>
        </is>
      </c>
      <c r="C80" s="9" t="inlineStr">
        <is>
          <t>25473</t>
        </is>
      </c>
      <c r="D80" s="9" t="inlineStr">
        <is>
          <t>04452</t>
        </is>
      </c>
      <c r="E80" s="9" t="inlineStr">
        <is>
          <t>Seville Place</t>
        </is>
      </c>
      <c r="F80" s="9" t="inlineStr">
        <is>
          <t>La Porte</t>
        </is>
      </c>
      <c r="G80" s="9" t="inlineStr">
        <is>
          <t>Harris</t>
        </is>
      </c>
      <c r="H80" s="9" t="n">
        <v>6</v>
      </c>
      <c r="I80" s="9" t="inlineStr">
        <is>
          <t>3701 Louella Blvd</t>
        </is>
      </c>
      <c r="J80" s="9" t="n">
        <v>77571</v>
      </c>
      <c r="K80" s="8" t="n">
        <v>45905</v>
      </c>
      <c r="L80" s="9" t="inlineStr">
        <is>
          <t>Approved</t>
        </is>
      </c>
      <c r="M80" s="8" t="n">
        <v>46002</v>
      </c>
      <c r="N80" s="8" t="n">
        <v>46009</v>
      </c>
      <c r="O80" s="8" t="n">
        <v>46057</v>
      </c>
      <c r="P80" s="8" t="n">
        <v>46237</v>
      </c>
      <c r="Q80" s="8" t="n"/>
      <c r="R80" s="9" t="inlineStr">
        <is>
          <t>Acq/Rehab</t>
        </is>
      </c>
      <c r="S80" s="9" t="inlineStr">
        <is>
          <t>General</t>
        </is>
      </c>
      <c r="T80" s="10" t="n">
        <v>180</v>
      </c>
      <c r="U80" s="10" t="n">
        <v>180</v>
      </c>
      <c r="V80" s="9" t="n"/>
      <c r="W80" s="9" t="n"/>
      <c r="X80" s="9" t="inlineStr">
        <is>
          <t>The Southeast Texas HFC</t>
        </is>
      </c>
      <c r="Y80" s="9" t="inlineStr">
        <is>
          <t>Local HFC</t>
        </is>
      </c>
      <c r="Z80" s="11" t="n">
        <v>22500000</v>
      </c>
      <c r="AA80" s="11" t="n"/>
      <c r="AB80" s="11" t="n">
        <v>1130081</v>
      </c>
      <c r="AC80" s="11" t="n">
        <v>1130081</v>
      </c>
      <c r="AD80" s="11" t="n"/>
      <c r="AE80" s="11" t="n"/>
      <c r="AF80" s="9" t="inlineStr">
        <is>
          <t>N</t>
        </is>
      </c>
      <c r="AG80" s="9" t="inlineStr">
        <is>
          <t>Y</t>
        </is>
      </c>
      <c r="AH80" s="9" t="n"/>
      <c r="AI80" s="9" t="inlineStr">
        <is>
          <t>Y</t>
        </is>
      </c>
      <c r="AJ80" s="8" t="n"/>
      <c r="AK80" s="9" t="inlineStr">
        <is>
          <t>Y</t>
        </is>
      </c>
      <c r="AL80" s="9" t="inlineStr">
        <is>
          <t>Y</t>
        </is>
      </c>
      <c r="AM80" s="9" t="inlineStr">
        <is>
          <t>Y</t>
        </is>
      </c>
      <c r="AN80" s="9" t="n"/>
      <c r="AO80" s="9" t="n"/>
      <c r="AP80" s="9" t="n"/>
      <c r="AQ80" s="9" t="n"/>
      <c r="AR80" s="9" t="n"/>
      <c r="AS80" s="9" t="inlineStr">
        <is>
          <t>N</t>
        </is>
      </c>
      <c r="AT80" s="8" t="n"/>
      <c r="AU80" s="8" t="n"/>
      <c r="AV80" s="9" t="n"/>
      <c r="AW80" s="8" t="n"/>
      <c r="AX80" s="9" t="inlineStr">
        <is>
          <t>N</t>
        </is>
      </c>
      <c r="AY80" s="9" t="inlineStr">
        <is>
          <t>Y</t>
        </is>
      </c>
      <c r="AZ80" s="9" t="inlineStr">
        <is>
          <t>Y</t>
        </is>
      </c>
      <c r="BA80" s="9" t="inlineStr">
        <is>
          <t>Y</t>
        </is>
      </c>
      <c r="BB80" s="9" t="inlineStr">
        <is>
          <t>Y</t>
        </is>
      </c>
      <c r="BC80" s="9" t="inlineStr">
        <is>
          <t>Y</t>
        </is>
      </c>
      <c r="BD80" s="9" t="n"/>
      <c r="BE80" s="9" t="inlineStr">
        <is>
          <t>N</t>
        </is>
      </c>
      <c r="BF80" s="9" t="n"/>
      <c r="BG80" s="9" t="n"/>
      <c r="BH80" s="9" t="n"/>
      <c r="BI80" s="9" t="n"/>
      <c r="BJ80" s="9" t="inlineStr">
        <is>
          <t>Y</t>
        </is>
      </c>
      <c r="BK80" s="9" t="inlineStr">
        <is>
          <t>N</t>
        </is>
      </c>
      <c r="BL80" s="9" t="inlineStr">
        <is>
          <t>N</t>
        </is>
      </c>
      <c r="BM80" s="9" t="inlineStr">
        <is>
          <t>Y</t>
        </is>
      </c>
      <c r="BN80" s="9" t="inlineStr">
        <is>
          <t>Y</t>
        </is>
      </c>
      <c r="BO80" s="8" t="n">
        <v>45905</v>
      </c>
      <c r="BP80" s="9" t="inlineStr">
        <is>
          <t>N</t>
        </is>
      </c>
      <c r="BQ80" s="9" t="inlineStr">
        <is>
          <t>Y</t>
        </is>
      </c>
      <c r="BR80" s="13">
        <f>IF(COUNTIF(AI80:BM80,"N")+COUNTBLANK(AI80:BM80)=0,"Y","N")</f>
        <v/>
      </c>
      <c r="BS80" s="13">
        <f>IF(AND(BR80="Y",OR(L80="Submitted",L80="Under Review")),"Y",IF(L80="Closed","Y","N"))</f>
        <v/>
      </c>
      <c r="BT80" s="10" t="n">
        <v>74</v>
      </c>
      <c r="BU80" s="13">
        <f>Rule_Flags!Q79</f>
        <v/>
      </c>
      <c r="BV80" s="13">
        <f>Rule_Flags!P79</f>
        <v/>
      </c>
      <c r="BW80" s="13">
        <f>IF(Rule_Flags!E79=1,"SITE_CONTROL",IF(Rule_Flags!F79=1,"APPROVALS",IF(Rule_Flags!G79=1,"REPORTS",IF(Rule_Flags!H79=1,"DEFICIENCY",IF(Rule_Flags!I79=1,"UNDERWRITING",IF(Rule_Flags!J79=1,"COMPLIANCE",""))))))</f>
        <v/>
      </c>
      <c r="BX80" s="13">
        <f>IF(BW80="SITE_CONTROL","Site control missing or invalid",IF(BW80="APPROVALS","Required approvals or resolutions incomplete",IF(BW80="REPORTS","Required third-party reports incomplete",IF(BW80="DEFICIENCY","Unresolved deficiency or material deficiency",IF(BW80="UNDERWRITING","Underwriting / feasibility not passed",IF(BW80="COMPLIANCE","Deconcentration, one-mile, LURA, or Chapter 12 issue","Ready under current engine rules"))))))</f>
        <v/>
      </c>
      <c r="BY80" s="13">
        <f>IF(BV80="Determination Notice","Streamlined + DN-ready assumptions satisfied",IF(BV80="Board","Board-required or board-ready assumptions satisfied",""))</f>
        <v/>
      </c>
      <c r="BZ80" s="13">
        <f>IF(AND(BP80="Y",BQ80&lt;&gt;"Y"),"Carryforward project retains queue priority",IF(BQ80="Y","New project enters behind carryforward projects",""))</f>
        <v/>
      </c>
      <c r="CA80" s="13">
        <f>_xludf.RANK.EQ(Rule_Flags!O79,Rule_Flags!$O$3:$O$402,0)</f>
        <v/>
      </c>
      <c r="CB80" s="13">
        <f>IF(OR(BU80="Determination Notice Issued",BU80="Board",BU80="Closed"),"Y","N")</f>
        <v/>
      </c>
      <c r="CC80" s="9" t="n"/>
      <c r="CD80" s="9" t="inlineStr">
        <is>
          <t>Jeremy Bartholomew</t>
        </is>
      </c>
      <c r="CE80" s="9" t="inlineStr">
        <is>
          <t>(713) 334-5514</t>
        </is>
      </c>
      <c r="CF80" s="9" t="inlineStr">
        <is>
          <t>jeremy@resolutioncompanies.com</t>
        </is>
      </c>
      <c r="CG80" s="9" t="inlineStr">
        <is>
          <t>Jennine Hovell-Cox</t>
        </is>
      </c>
      <c r="CH80" s="9" t="inlineStr">
        <is>
          <t>(713) 260-0501</t>
        </is>
      </c>
    </row>
    <row r="81">
      <c r="A81" s="8" t="inlineStr">
        <is>
          <t>2026-02-10</t>
        </is>
      </c>
      <c r="B81" s="9" t="inlineStr">
        <is>
          <t>2026-02-10</t>
        </is>
      </c>
      <c r="C81" s="9" t="inlineStr">
        <is>
          <t>25474</t>
        </is>
      </c>
      <c r="D81" s="9" t="n"/>
      <c r="E81" s="9" t="inlineStr">
        <is>
          <t>Central at Commerce</t>
        </is>
      </c>
      <c r="F81" s="9" t="inlineStr">
        <is>
          <t>San Antonio</t>
        </is>
      </c>
      <c r="G81" s="9" t="inlineStr">
        <is>
          <t>Bexar</t>
        </is>
      </c>
      <c r="H81" s="9" t="n">
        <v>9</v>
      </c>
      <c r="I81" s="9" t="inlineStr">
        <is>
          <t>1231 East Commerce Street</t>
        </is>
      </c>
      <c r="J81" s="9" t="n">
        <v>78205</v>
      </c>
      <c r="K81" s="8" t="n">
        <v>45905</v>
      </c>
      <c r="L81" s="9" t="inlineStr">
        <is>
          <t>Closed</t>
        </is>
      </c>
      <c r="M81" s="8" t="n">
        <v>46002</v>
      </c>
      <c r="N81" s="8" t="n">
        <v>46000</v>
      </c>
      <c r="O81" s="8" t="n">
        <v>45863</v>
      </c>
      <c r="P81" s="8" t="n">
        <v>46043</v>
      </c>
      <c r="Q81" s="8" t="n"/>
      <c r="R81" s="9" t="inlineStr">
        <is>
          <t>New Construction</t>
        </is>
      </c>
      <c r="S81" s="9" t="inlineStr">
        <is>
          <t>General</t>
        </is>
      </c>
      <c r="T81" s="10" t="n">
        <v>279</v>
      </c>
      <c r="U81" s="10" t="n">
        <v>279</v>
      </c>
      <c r="V81" s="9" t="n"/>
      <c r="W81" s="9" t="n"/>
      <c r="X81" s="9" t="inlineStr">
        <is>
          <t>Las Varas PFC</t>
        </is>
      </c>
      <c r="Y81" s="9" t="inlineStr">
        <is>
          <t>Other</t>
        </is>
      </c>
      <c r="Z81" s="11" t="n">
        <v>50000000</v>
      </c>
      <c r="AA81" s="11" t="n"/>
      <c r="AB81" s="11" t="n">
        <v>4205378</v>
      </c>
      <c r="AC81" s="11" t="n">
        <v>4186219</v>
      </c>
      <c r="AD81" s="11" t="n"/>
      <c r="AE81" s="11" t="n"/>
      <c r="AF81" s="9" t="inlineStr">
        <is>
          <t>N</t>
        </is>
      </c>
      <c r="AG81" s="9" t="inlineStr">
        <is>
          <t>Y</t>
        </is>
      </c>
      <c r="AH81" s="9" t="inlineStr">
        <is>
          <t>Y</t>
        </is>
      </c>
      <c r="AI81" s="9" t="inlineStr">
        <is>
          <t>Y</t>
        </is>
      </c>
      <c r="AJ81" s="8" t="n"/>
      <c r="AK81" s="9" t="inlineStr">
        <is>
          <t>Y</t>
        </is>
      </c>
      <c r="AL81" s="9" t="inlineStr">
        <is>
          <t>Y</t>
        </is>
      </c>
      <c r="AM81" s="9" t="inlineStr">
        <is>
          <t>Y</t>
        </is>
      </c>
      <c r="AN81" s="9" t="n"/>
      <c r="AO81" s="9" t="n"/>
      <c r="AP81" s="9" t="n"/>
      <c r="AQ81" s="9" t="n"/>
      <c r="AR81" s="9" t="n"/>
      <c r="AS81" s="9" t="inlineStr">
        <is>
          <t>N</t>
        </is>
      </c>
      <c r="AT81" s="8" t="n"/>
      <c r="AU81" s="8" t="n"/>
      <c r="AV81" s="9" t="n"/>
      <c r="AW81" s="8" t="n"/>
      <c r="AX81" s="9" t="inlineStr">
        <is>
          <t>N</t>
        </is>
      </c>
      <c r="AY81" s="9" t="inlineStr">
        <is>
          <t>Y</t>
        </is>
      </c>
      <c r="AZ81" s="9" t="inlineStr">
        <is>
          <t>Y</t>
        </is>
      </c>
      <c r="BA81" s="9" t="inlineStr">
        <is>
          <t>Y</t>
        </is>
      </c>
      <c r="BB81" s="9" t="inlineStr">
        <is>
          <t>Y</t>
        </is>
      </c>
      <c r="BC81" s="9" t="inlineStr">
        <is>
          <t>Y</t>
        </is>
      </c>
      <c r="BD81" s="9" t="n"/>
      <c r="BE81" s="9" t="inlineStr">
        <is>
          <t>N</t>
        </is>
      </c>
      <c r="BF81" s="9" t="n"/>
      <c r="BG81" s="9" t="n"/>
      <c r="BH81" s="9" t="n"/>
      <c r="BI81" s="9" t="n"/>
      <c r="BJ81" s="9" t="inlineStr">
        <is>
          <t>Y</t>
        </is>
      </c>
      <c r="BK81" s="9" t="inlineStr">
        <is>
          <t>N</t>
        </is>
      </c>
      <c r="BL81" s="9" t="inlineStr">
        <is>
          <t>N</t>
        </is>
      </c>
      <c r="BM81" s="9" t="inlineStr">
        <is>
          <t>Y</t>
        </is>
      </c>
      <c r="BN81" s="9" t="inlineStr">
        <is>
          <t>Y</t>
        </is>
      </c>
      <c r="BO81" s="8" t="n">
        <v>45905</v>
      </c>
      <c r="BP81" s="9" t="inlineStr">
        <is>
          <t>N</t>
        </is>
      </c>
      <c r="BQ81" s="9" t="inlineStr">
        <is>
          <t>Y</t>
        </is>
      </c>
      <c r="BR81" s="13">
        <f>IF(COUNTIF(AI81:BM81,"N")+COUNTBLANK(AI81:BM81)=0,"Y","N")</f>
        <v/>
      </c>
      <c r="BS81" s="13">
        <f>IF(AND(BR81="Y",OR(L81="Submitted",L81="Under Review")),"Y",IF(L81="Closed","Y","N"))</f>
        <v/>
      </c>
      <c r="BT81" s="10" t="n">
        <v>75</v>
      </c>
      <c r="BU81" s="13">
        <f>Rule_Flags!Q80</f>
        <v/>
      </c>
      <c r="BV81" s="13">
        <f>Rule_Flags!P80</f>
        <v/>
      </c>
      <c r="BW81" s="13">
        <f>IF(Rule_Flags!E80=1,"SITE_CONTROL",IF(Rule_Flags!F80=1,"APPROVALS",IF(Rule_Flags!G80=1,"REPORTS",IF(Rule_Flags!H80=1,"DEFICIENCY",IF(Rule_Flags!I80=1,"UNDERWRITING",IF(Rule_Flags!J80=1,"COMPLIANCE",""))))))</f>
        <v/>
      </c>
      <c r="BX81" s="13">
        <f>IF(BW81="SITE_CONTROL","Site control missing or invalid",IF(BW81="APPROVALS","Required approvals or resolutions incomplete",IF(BW81="REPORTS","Required third-party reports incomplete",IF(BW81="DEFICIENCY","Unresolved deficiency or material deficiency",IF(BW81="UNDERWRITING","Underwriting / feasibility not passed",IF(BW81="COMPLIANCE","Deconcentration, one-mile, LURA, or Chapter 12 issue","Ready under current engine rules"))))))</f>
        <v/>
      </c>
      <c r="BY81" s="13">
        <f>IF(BV81="Determination Notice","Streamlined + DN-ready assumptions satisfied",IF(BV81="Board","Board-required or board-ready assumptions satisfied",""))</f>
        <v/>
      </c>
      <c r="BZ81" s="13">
        <f>IF(AND(BP81="Y",BQ81&lt;&gt;"Y"),"Carryforward project retains queue priority",IF(BQ81="Y","New project enters behind carryforward projects",""))</f>
        <v/>
      </c>
      <c r="CA81" s="13">
        <f>_xludf.RANK.EQ(Rule_Flags!O80,Rule_Flags!$O$3:$O$402,0)</f>
        <v/>
      </c>
      <c r="CB81" s="13">
        <f>IF(OR(BU81="Determination Notice Issued",BU81="Board",BU81="Closed"),"Y","N")</f>
        <v/>
      </c>
      <c r="CC81" s="9" t="inlineStr">
        <is>
          <t>construction_type mapped from raw 'NC' to 'New Construction'</t>
        </is>
      </c>
      <c r="CD81" s="9" t="inlineStr">
        <is>
          <t>Derek Hays</t>
        </is>
      </c>
      <c r="CE81" s="9" t="inlineStr">
        <is>
          <t>(317) 506-6537</t>
        </is>
      </c>
      <c r="CF81" s="9" t="inlineStr">
        <is>
          <t>dhays@theannexgrp.com</t>
        </is>
      </c>
      <c r="CG81" s="9" t="inlineStr">
        <is>
          <t>Timothy Alcott</t>
        </is>
      </c>
      <c r="CH81" s="9" t="inlineStr">
        <is>
          <t>(210) 477-6633</t>
        </is>
      </c>
    </row>
    <row r="82">
      <c r="A82" s="8" t="inlineStr">
        <is>
          <t>2026-02-10</t>
        </is>
      </c>
      <c r="B82" s="9" t="inlineStr">
        <is>
          <t>2026-02-10</t>
        </is>
      </c>
      <c r="C82" s="9" t="inlineStr">
        <is>
          <t>25490</t>
        </is>
      </c>
      <c r="D82" s="9" t="n"/>
      <c r="E82" s="9" t="inlineStr">
        <is>
          <t>Aster Villas Apartments</t>
        </is>
      </c>
      <c r="F82" s="9" t="inlineStr">
        <is>
          <t>Pharr</t>
        </is>
      </c>
      <c r="G82" s="9" t="inlineStr">
        <is>
          <t>Hidalgo</t>
        </is>
      </c>
      <c r="H82" s="9" t="n">
        <v>11</v>
      </c>
      <c r="I82" s="9" t="inlineStr">
        <is>
          <t>102 Polk Ave</t>
        </is>
      </c>
      <c r="J82" s="9" t="n">
        <v>78577</v>
      </c>
      <c r="K82" s="8" t="n">
        <v>45908</v>
      </c>
      <c r="L82" s="9" t="inlineStr">
        <is>
          <t>Withdrawn</t>
        </is>
      </c>
      <c r="M82" s="8" t="n">
        <v>46002</v>
      </c>
      <c r="N82" s="8" t="n"/>
      <c r="O82" s="8" t="n">
        <v>45866</v>
      </c>
      <c r="P82" s="8" t="n">
        <v>46046</v>
      </c>
      <c r="Q82" s="8" t="n"/>
      <c r="R82" s="9" t="inlineStr">
        <is>
          <t>New Construction</t>
        </is>
      </c>
      <c r="S82" s="9" t="inlineStr">
        <is>
          <t>Elderly</t>
        </is>
      </c>
      <c r="T82" s="10" t="n">
        <v>196</v>
      </c>
      <c r="U82" s="10" t="n">
        <v>196</v>
      </c>
      <c r="V82" s="9" t="n"/>
      <c r="W82" s="9" t="n"/>
      <c r="X82" s="9" t="inlineStr">
        <is>
          <t>Pharr HFC</t>
        </is>
      </c>
      <c r="Y82" s="9" t="inlineStr">
        <is>
          <t>Local HFC</t>
        </is>
      </c>
      <c r="Z82" s="11" t="n">
        <v>37000000</v>
      </c>
      <c r="AA82" s="11" t="n"/>
      <c r="AB82" s="11" t="n">
        <v>1794968</v>
      </c>
      <c r="AC82" s="11" t="n"/>
      <c r="AD82" s="11" t="n"/>
      <c r="AE82" s="11" t="n"/>
      <c r="AF82" s="9" t="inlineStr">
        <is>
          <t>N</t>
        </is>
      </c>
      <c r="AG82" s="9" t="inlineStr">
        <is>
          <t>Y</t>
        </is>
      </c>
      <c r="AH82" s="9" t="n"/>
      <c r="AI82" s="9" t="inlineStr">
        <is>
          <t>Y</t>
        </is>
      </c>
      <c r="AJ82" s="8" t="n"/>
      <c r="AK82" s="9" t="inlineStr">
        <is>
          <t>Y</t>
        </is>
      </c>
      <c r="AL82" s="9" t="inlineStr">
        <is>
          <t>Y</t>
        </is>
      </c>
      <c r="AM82" s="9" t="inlineStr">
        <is>
          <t>Y</t>
        </is>
      </c>
      <c r="AN82" s="9" t="n"/>
      <c r="AO82" s="9" t="n"/>
      <c r="AP82" s="9" t="n"/>
      <c r="AQ82" s="9" t="n"/>
      <c r="AR82" s="9" t="n"/>
      <c r="AS82" s="9" t="inlineStr">
        <is>
          <t>N</t>
        </is>
      </c>
      <c r="AT82" s="8" t="n"/>
      <c r="AU82" s="8" t="n"/>
      <c r="AV82" s="9" t="n"/>
      <c r="AW82" s="8" t="n"/>
      <c r="AX82" s="9" t="inlineStr">
        <is>
          <t>N</t>
        </is>
      </c>
      <c r="AY82" s="9" t="inlineStr">
        <is>
          <t>Y</t>
        </is>
      </c>
      <c r="AZ82" s="9" t="inlineStr">
        <is>
          <t>Y</t>
        </is>
      </c>
      <c r="BA82" s="9" t="inlineStr">
        <is>
          <t>Y</t>
        </is>
      </c>
      <c r="BB82" s="9" t="inlineStr">
        <is>
          <t>Y</t>
        </is>
      </c>
      <c r="BC82" s="9" t="inlineStr">
        <is>
          <t>Y</t>
        </is>
      </c>
      <c r="BD82" s="9" t="n"/>
      <c r="BE82" s="9" t="inlineStr">
        <is>
          <t>N</t>
        </is>
      </c>
      <c r="BF82" s="9" t="n"/>
      <c r="BG82" s="9" t="n"/>
      <c r="BH82" s="9" t="n"/>
      <c r="BI82" s="9" t="n"/>
      <c r="BJ82" s="9" t="inlineStr">
        <is>
          <t>Y</t>
        </is>
      </c>
      <c r="BK82" s="9" t="inlineStr">
        <is>
          <t>N</t>
        </is>
      </c>
      <c r="BL82" s="9" t="inlineStr">
        <is>
          <t>N</t>
        </is>
      </c>
      <c r="BM82" s="9" t="inlineStr">
        <is>
          <t>Y</t>
        </is>
      </c>
      <c r="BN82" s="9" t="inlineStr">
        <is>
          <t>Y</t>
        </is>
      </c>
      <c r="BO82" s="8" t="n">
        <v>45908</v>
      </c>
      <c r="BP82" s="9" t="inlineStr">
        <is>
          <t>N</t>
        </is>
      </c>
      <c r="BQ82" s="9" t="inlineStr">
        <is>
          <t>Y</t>
        </is>
      </c>
      <c r="BR82" s="13">
        <f>IF(COUNTIF(AI82:BM82,"N")+COUNTBLANK(AI82:BM82)=0,"Y","N")</f>
        <v/>
      </c>
      <c r="BS82" s="13">
        <f>IF(AND(BR82="Y",OR(L82="Submitted",L82="Under Review")),"Y",IF(L82="Closed","Y","N"))</f>
        <v/>
      </c>
      <c r="BT82" s="10" t="n">
        <v>77</v>
      </c>
      <c r="BU82" s="13">
        <f>Rule_Flags!Q81</f>
        <v/>
      </c>
      <c r="BV82" s="13">
        <f>Rule_Flags!P81</f>
        <v/>
      </c>
      <c r="BW82" s="13">
        <f>IF(Rule_Flags!E81=1,"SITE_CONTROL",IF(Rule_Flags!F81=1,"APPROVALS",IF(Rule_Flags!G81=1,"REPORTS",IF(Rule_Flags!H81=1,"DEFICIENCY",IF(Rule_Flags!I81=1,"UNDERWRITING",IF(Rule_Flags!J81=1,"COMPLIANCE",""))))))</f>
        <v/>
      </c>
      <c r="BX82" s="13">
        <f>IF(BW82="SITE_CONTROL","Site control missing or invalid",IF(BW82="APPROVALS","Required approvals or resolutions incomplete",IF(BW82="REPORTS","Required third-party reports incomplete",IF(BW82="DEFICIENCY","Unresolved deficiency or material deficiency",IF(BW82="UNDERWRITING","Underwriting / feasibility not passed",IF(BW82="COMPLIANCE","Deconcentration, one-mile, LURA, or Chapter 12 issue","Ready under current engine rules"))))))</f>
        <v/>
      </c>
      <c r="BY82" s="13">
        <f>IF(BV82="Determination Notice","Streamlined + DN-ready assumptions satisfied",IF(BV82="Board","Board-required or board-ready assumptions satisfied",""))</f>
        <v/>
      </c>
      <c r="BZ82" s="13">
        <f>IF(AND(BP82="Y",BQ82&lt;&gt;"Y"),"Carryforward project retains queue priority",IF(BQ82="Y","New project enters behind carryforward projects",""))</f>
        <v/>
      </c>
      <c r="CA82" s="13">
        <f>_xludf.RANK.EQ(Rule_Flags!O81,Rule_Flags!$O$3:$O$402,0)</f>
        <v/>
      </c>
      <c r="CB82" s="13">
        <f>IF(OR(BU82="Determination Notice Issued",BU82="Board",BU82="Closed"),"Y","N")</f>
        <v/>
      </c>
      <c r="CC82" s="9" t="inlineStr">
        <is>
          <t>construction_type mapped from raw 'NC' to 'New Construction'</t>
        </is>
      </c>
      <c r="CD82" s="9" t="inlineStr">
        <is>
          <t>Lazaro Guerra</t>
        </is>
      </c>
      <c r="CE82" s="9" t="inlineStr">
        <is>
          <t>(956) 787-1822</t>
        </is>
      </c>
      <c r="CF82" s="9" t="inlineStr">
        <is>
          <t>lazaro.guerra@pharrha.org</t>
        </is>
      </c>
      <c r="CG82" s="9" t="inlineStr">
        <is>
          <t>Lazaro Guerra</t>
        </is>
      </c>
      <c r="CH82" s="9" t="inlineStr">
        <is>
          <t>(956) 787-1822</t>
        </is>
      </c>
    </row>
    <row r="83">
      <c r="A83" s="8" t="inlineStr">
        <is>
          <t>2026-02-10</t>
        </is>
      </c>
      <c r="B83" s="9" t="inlineStr">
        <is>
          <t>2026-02-10</t>
        </is>
      </c>
      <c r="C83" s="9" t="inlineStr">
        <is>
          <t>25402</t>
        </is>
      </c>
      <c r="D83" s="9" t="n"/>
      <c r="E83" s="9" t="inlineStr">
        <is>
          <t>Tapestry at Katy</t>
        </is>
      </c>
      <c r="F83" s="9" t="inlineStr">
        <is>
          <t>Katy</t>
        </is>
      </c>
      <c r="G83" s="9" t="inlineStr">
        <is>
          <t>Harris</t>
        </is>
      </c>
      <c r="H83" s="9" t="n">
        <v>6</v>
      </c>
      <c r="I83" s="9" t="inlineStr">
        <is>
          <t>5138 &amp; 5202 Katy Hockley Road</t>
        </is>
      </c>
      <c r="J83" s="9" t="n">
        <v>77493</v>
      </c>
      <c r="K83" s="8" t="n">
        <v>45924</v>
      </c>
      <c r="L83" s="9" t="inlineStr">
        <is>
          <t>Approved</t>
        </is>
      </c>
      <c r="M83" s="8" t="n">
        <v>46037</v>
      </c>
      <c r="N83" s="8" t="n">
        <v>46001</v>
      </c>
      <c r="O83" s="8" t="n">
        <v>45884</v>
      </c>
      <c r="P83" s="8" t="n">
        <v>46064</v>
      </c>
      <c r="Q83" s="8" t="n"/>
      <c r="R83" s="9" t="inlineStr">
        <is>
          <t>New Construction</t>
        </is>
      </c>
      <c r="S83" s="9" t="inlineStr">
        <is>
          <t>General</t>
        </is>
      </c>
      <c r="T83" s="10" t="n">
        <v>360</v>
      </c>
      <c r="U83" s="10" t="n">
        <v>360</v>
      </c>
      <c r="V83" s="9" t="n"/>
      <c r="W83" s="9" t="n"/>
      <c r="X83" s="9" t="inlineStr">
        <is>
          <t>Harris County HFC</t>
        </is>
      </c>
      <c r="Y83" s="9" t="inlineStr">
        <is>
          <t>Local HFC</t>
        </is>
      </c>
      <c r="Z83" s="11" t="n">
        <v>50000000</v>
      </c>
      <c r="AA83" s="11" t="n"/>
      <c r="AB83" s="11" t="n">
        <v>3954296</v>
      </c>
      <c r="AC83" s="11" t="n">
        <v>3932722</v>
      </c>
      <c r="AD83" s="11" t="n"/>
      <c r="AE83" s="11" t="n"/>
      <c r="AF83" s="9" t="inlineStr">
        <is>
          <t>N</t>
        </is>
      </c>
      <c r="AG83" s="9" t="inlineStr">
        <is>
          <t>Y</t>
        </is>
      </c>
      <c r="AH83" s="9" t="n"/>
      <c r="AI83" s="9" t="inlineStr">
        <is>
          <t>Y</t>
        </is>
      </c>
      <c r="AJ83" s="8" t="n"/>
      <c r="AK83" s="9" t="inlineStr">
        <is>
          <t>Y</t>
        </is>
      </c>
      <c r="AL83" s="9" t="inlineStr">
        <is>
          <t>Y</t>
        </is>
      </c>
      <c r="AM83" s="9" t="inlineStr">
        <is>
          <t>Y</t>
        </is>
      </c>
      <c r="AN83" s="9" t="n"/>
      <c r="AO83" s="9" t="n"/>
      <c r="AP83" s="9" t="n"/>
      <c r="AQ83" s="9" t="n"/>
      <c r="AR83" s="9" t="n"/>
      <c r="AS83" s="9" t="inlineStr">
        <is>
          <t>N</t>
        </is>
      </c>
      <c r="AT83" s="8" t="n"/>
      <c r="AU83" s="8" t="n"/>
      <c r="AV83" s="9" t="n"/>
      <c r="AW83" s="8" t="n"/>
      <c r="AX83" s="9" t="inlineStr">
        <is>
          <t>N</t>
        </is>
      </c>
      <c r="AY83" s="9" t="inlineStr">
        <is>
          <t>Y</t>
        </is>
      </c>
      <c r="AZ83" s="9" t="inlineStr">
        <is>
          <t>Y</t>
        </is>
      </c>
      <c r="BA83" s="9" t="inlineStr">
        <is>
          <t>Y</t>
        </is>
      </c>
      <c r="BB83" s="9" t="inlineStr">
        <is>
          <t>Y</t>
        </is>
      </c>
      <c r="BC83" s="9" t="inlineStr">
        <is>
          <t>Y</t>
        </is>
      </c>
      <c r="BD83" s="9" t="n"/>
      <c r="BE83" s="9" t="inlineStr">
        <is>
          <t>N</t>
        </is>
      </c>
      <c r="BF83" s="9" t="n"/>
      <c r="BG83" s="9" t="n"/>
      <c r="BH83" s="9" t="n"/>
      <c r="BI83" s="9" t="n"/>
      <c r="BJ83" s="9" t="inlineStr">
        <is>
          <t>Y</t>
        </is>
      </c>
      <c r="BK83" s="9" t="inlineStr">
        <is>
          <t>N</t>
        </is>
      </c>
      <c r="BL83" s="9" t="inlineStr">
        <is>
          <t>N</t>
        </is>
      </c>
      <c r="BM83" s="9" t="inlineStr">
        <is>
          <t>Y</t>
        </is>
      </c>
      <c r="BN83" s="9" t="inlineStr">
        <is>
          <t>Y</t>
        </is>
      </c>
      <c r="BO83" s="8" t="n">
        <v>45924</v>
      </c>
      <c r="BP83" s="9" t="inlineStr">
        <is>
          <t>Y</t>
        </is>
      </c>
      <c r="BQ83" s="9" t="inlineStr">
        <is>
          <t>N</t>
        </is>
      </c>
      <c r="BR83" s="13">
        <f>IF(COUNTIF(AI83:BM83,"N")+COUNTBLANK(AI83:BM83)=0,"Y","N")</f>
        <v/>
      </c>
      <c r="BS83" s="13">
        <f>IF(AND(BR83="Y",OR(L83="Submitted",L83="Under Review")),"Y",IF(L83="Closed","Y","N"))</f>
        <v/>
      </c>
      <c r="BT83" s="10" t="n">
        <v>78</v>
      </c>
      <c r="BU83" s="13">
        <f>Rule_Flags!Q82</f>
        <v/>
      </c>
      <c r="BV83" s="13">
        <f>Rule_Flags!P82</f>
        <v/>
      </c>
      <c r="BW83" s="13">
        <f>IF(Rule_Flags!E82=1,"SITE_CONTROL",IF(Rule_Flags!F82=1,"APPROVALS",IF(Rule_Flags!G82=1,"REPORTS",IF(Rule_Flags!H82=1,"DEFICIENCY",IF(Rule_Flags!I82=1,"UNDERWRITING",IF(Rule_Flags!J82=1,"COMPLIANCE",""))))))</f>
        <v/>
      </c>
      <c r="BX83" s="13">
        <f>IF(BW83="SITE_CONTROL","Site control missing or invalid",IF(BW83="APPROVALS","Required approvals or resolutions incomplete",IF(BW83="REPORTS","Required third-party reports incomplete",IF(BW83="DEFICIENCY","Unresolved deficiency or material deficiency",IF(BW83="UNDERWRITING","Underwriting / feasibility not passed",IF(BW83="COMPLIANCE","Deconcentration, one-mile, LURA, or Chapter 12 issue","Ready under current engine rules"))))))</f>
        <v/>
      </c>
      <c r="BY83" s="13">
        <f>IF(BV83="Determination Notice","Streamlined + DN-ready assumptions satisfied",IF(BV83="Board","Board-required or board-ready assumptions satisfied",""))</f>
        <v/>
      </c>
      <c r="BZ83" s="13">
        <f>IF(AND(BP83="Y",BQ83&lt;&gt;"Y"),"Carryforward project retains queue priority",IF(BQ83="Y","New project enters behind carryforward projects",""))</f>
        <v/>
      </c>
      <c r="CA83" s="13">
        <f>_xludf.RANK.EQ(Rule_Flags!O82,Rule_Flags!$O$3:$O$402,0)</f>
        <v/>
      </c>
      <c r="CB83" s="13">
        <f>IF(OR(BU83="Determination Notice Issued",BU83="Board",BU83="Closed"),"Y","N")</f>
        <v/>
      </c>
      <c r="CC83" s="9" t="inlineStr">
        <is>
          <t>construction_type mapped from raw 'NC' to 'New Construction'</t>
        </is>
      </c>
      <c r="CD83" s="9" t="inlineStr">
        <is>
          <t>Mark Gregg</t>
        </is>
      </c>
      <c r="CE83" s="9" t="inlineStr">
        <is>
          <t>(210) 771-4127</t>
        </is>
      </c>
      <c r="CF83" s="9" t="inlineStr">
        <is>
          <t>mgregg@streamlineap.com</t>
        </is>
      </c>
      <c r="CG83" s="9" t="inlineStr">
        <is>
          <t>Rene Martinez</t>
        </is>
      </c>
      <c r="CH83" s="9" t="inlineStr">
        <is>
          <t>(832) 927-4955</t>
        </is>
      </c>
    </row>
    <row r="84">
      <c r="A84" s="8" t="inlineStr">
        <is>
          <t>2026-02-10</t>
        </is>
      </c>
      <c r="B84" s="9" t="inlineStr">
        <is>
          <t>2026-02-10</t>
        </is>
      </c>
      <c r="C84" s="9" t="inlineStr">
        <is>
          <t>24499/25419</t>
        </is>
      </c>
      <c r="D84" s="9" t="n"/>
      <c r="E84" s="9" t="inlineStr">
        <is>
          <t>Belmont Apartments</t>
        </is>
      </c>
      <c r="F84" s="9" t="inlineStr">
        <is>
          <t>Austin</t>
        </is>
      </c>
      <c r="G84" s="9" t="inlineStr">
        <is>
          <t>Travis</t>
        </is>
      </c>
      <c r="H84" s="9" t="n">
        <v>7</v>
      </c>
      <c r="I84" s="9" t="inlineStr">
        <is>
          <t>4401 East Slaughter Lane</t>
        </is>
      </c>
      <c r="J84" s="9" t="n">
        <v>78747</v>
      </c>
      <c r="K84" s="8" t="n">
        <v>45926</v>
      </c>
      <c r="L84" s="9" t="inlineStr">
        <is>
          <t>Approved</t>
        </is>
      </c>
      <c r="M84" s="8" t="n">
        <v>46037</v>
      </c>
      <c r="N84" s="8" t="n">
        <v>46050</v>
      </c>
      <c r="O84" s="8" t="n">
        <v>45904</v>
      </c>
      <c r="P84" s="8" t="n">
        <v>46084</v>
      </c>
      <c r="Q84" s="8" t="n"/>
      <c r="R84" s="9" t="inlineStr">
        <is>
          <t>New Construction</t>
        </is>
      </c>
      <c r="S84" s="9" t="inlineStr">
        <is>
          <t>General</t>
        </is>
      </c>
      <c r="T84" s="10" t="n">
        <v>348</v>
      </c>
      <c r="U84" s="10" t="n">
        <v>348</v>
      </c>
      <c r="V84" s="9" t="n"/>
      <c r="W84" s="9" t="n"/>
      <c r="X84" s="9" t="inlineStr">
        <is>
          <t>Travis County Facilities Corporation</t>
        </is>
      </c>
      <c r="Y84" s="9" t="inlineStr">
        <is>
          <t>Other</t>
        </is>
      </c>
      <c r="Z84" s="11" t="n">
        <v>60000000</v>
      </c>
      <c r="AA84" s="11" t="n"/>
      <c r="AB84" s="11" t="n">
        <v>3206071</v>
      </c>
      <c r="AC84" s="11" t="n">
        <v>3206071</v>
      </c>
      <c r="AD84" s="11" t="n"/>
      <c r="AE84" s="11" t="n"/>
      <c r="AF84" s="9" t="inlineStr">
        <is>
          <t>N</t>
        </is>
      </c>
      <c r="AG84" s="9" t="inlineStr">
        <is>
          <t>Y</t>
        </is>
      </c>
      <c r="AH84" s="9" t="n"/>
      <c r="AI84" s="9" t="inlineStr">
        <is>
          <t>Y</t>
        </is>
      </c>
      <c r="AJ84" s="8" t="n"/>
      <c r="AK84" s="9" t="inlineStr">
        <is>
          <t>Y</t>
        </is>
      </c>
      <c r="AL84" s="9" t="inlineStr">
        <is>
          <t>Y</t>
        </is>
      </c>
      <c r="AM84" s="9" t="inlineStr">
        <is>
          <t>Y</t>
        </is>
      </c>
      <c r="AN84" s="9" t="n"/>
      <c r="AO84" s="9" t="n"/>
      <c r="AP84" s="9" t="n"/>
      <c r="AQ84" s="9" t="n"/>
      <c r="AR84" s="9" t="n"/>
      <c r="AS84" s="9" t="inlineStr">
        <is>
          <t>N</t>
        </is>
      </c>
      <c r="AT84" s="8" t="n"/>
      <c r="AU84" s="8" t="n"/>
      <c r="AV84" s="9" t="n"/>
      <c r="AW84" s="8" t="n"/>
      <c r="AX84" s="9" t="inlineStr">
        <is>
          <t>N</t>
        </is>
      </c>
      <c r="AY84" s="9" t="inlineStr">
        <is>
          <t>Y</t>
        </is>
      </c>
      <c r="AZ84" s="9" t="inlineStr">
        <is>
          <t>Y</t>
        </is>
      </c>
      <c r="BA84" s="9" t="inlineStr">
        <is>
          <t>Y</t>
        </is>
      </c>
      <c r="BB84" s="9" t="inlineStr">
        <is>
          <t>Y</t>
        </is>
      </c>
      <c r="BC84" s="9" t="inlineStr">
        <is>
          <t>Y</t>
        </is>
      </c>
      <c r="BD84" s="9" t="n"/>
      <c r="BE84" s="9" t="inlineStr">
        <is>
          <t>N</t>
        </is>
      </c>
      <c r="BF84" s="9" t="n"/>
      <c r="BG84" s="9" t="n"/>
      <c r="BH84" s="9" t="n"/>
      <c r="BI84" s="9" t="n"/>
      <c r="BJ84" s="9" t="inlineStr">
        <is>
          <t>Y</t>
        </is>
      </c>
      <c r="BK84" s="9" t="inlineStr">
        <is>
          <t>N</t>
        </is>
      </c>
      <c r="BL84" s="9" t="inlineStr">
        <is>
          <t>N</t>
        </is>
      </c>
      <c r="BM84" s="9" t="inlineStr">
        <is>
          <t>Y</t>
        </is>
      </c>
      <c r="BN84" s="9" t="inlineStr">
        <is>
          <t>Y</t>
        </is>
      </c>
      <c r="BO84" s="8" t="n">
        <v>45926</v>
      </c>
      <c r="BP84" s="9" t="inlineStr">
        <is>
          <t>N</t>
        </is>
      </c>
      <c r="BQ84" s="9" t="inlineStr">
        <is>
          <t>Y</t>
        </is>
      </c>
      <c r="BR84" s="13">
        <f>IF(COUNTIF(AI84:BM84,"N")+COUNTBLANK(AI84:BM84)=0,"Y","N")</f>
        <v/>
      </c>
      <c r="BS84" s="13">
        <f>IF(AND(BR84="Y",OR(L84="Submitted",L84="Under Review")),"Y",IF(L84="Closed","Y","N"))</f>
        <v/>
      </c>
      <c r="BT84" s="10" t="n">
        <v>79</v>
      </c>
      <c r="BU84" s="13">
        <f>Rule_Flags!Q83</f>
        <v/>
      </c>
      <c r="BV84" s="13">
        <f>Rule_Flags!P83</f>
        <v/>
      </c>
      <c r="BW84" s="13">
        <f>IF(Rule_Flags!E83=1,"SITE_CONTROL",IF(Rule_Flags!F83=1,"APPROVALS",IF(Rule_Flags!G83=1,"REPORTS",IF(Rule_Flags!H83=1,"DEFICIENCY",IF(Rule_Flags!I83=1,"UNDERWRITING",IF(Rule_Flags!J83=1,"COMPLIANCE",""))))))</f>
        <v/>
      </c>
      <c r="BX84" s="13">
        <f>IF(BW84="SITE_CONTROL","Site control missing or invalid",IF(BW84="APPROVALS","Required approvals or resolutions incomplete",IF(BW84="REPORTS","Required third-party reports incomplete",IF(BW84="DEFICIENCY","Unresolved deficiency or material deficiency",IF(BW84="UNDERWRITING","Underwriting / feasibility not passed",IF(BW84="COMPLIANCE","Deconcentration, one-mile, LURA, or Chapter 12 issue","Ready under current engine rules"))))))</f>
        <v/>
      </c>
      <c r="BY84" s="13">
        <f>IF(BV84="Determination Notice","Streamlined + DN-ready assumptions satisfied",IF(BV84="Board","Board-required or board-ready assumptions satisfied",""))</f>
        <v/>
      </c>
      <c r="BZ84" s="13">
        <f>IF(AND(BP84="Y",BQ84&lt;&gt;"Y"),"Carryforward project retains queue priority",IF(BQ84="Y","New project enters behind carryforward projects",""))</f>
        <v/>
      </c>
      <c r="CA84" s="13">
        <f>_xludf.RANK.EQ(Rule_Flags!O83,Rule_Flags!$O$3:$O$402,0)</f>
        <v/>
      </c>
      <c r="CB84" s="13">
        <f>IF(OR(BU84="Determination Notice Issued",BU84="Board",BU84="Closed"),"Y","N")</f>
        <v/>
      </c>
      <c r="CC84" s="9" t="inlineStr">
        <is>
          <t>construction_type mapped from raw 'NC' to 'New Construction'</t>
        </is>
      </c>
      <c r="CD84" s="9" t="inlineStr">
        <is>
          <t>Anne Tyler</t>
        </is>
      </c>
      <c r="CE84" s="9" t="inlineStr">
        <is>
          <t>(440) 773-7850</t>
        </is>
      </c>
      <c r="CF84" s="9" t="inlineStr">
        <is>
          <t>atyler@nrpgroup.com</t>
        </is>
      </c>
      <c r="CG84" s="9" t="inlineStr">
        <is>
          <t>Patrick Howard</t>
        </is>
      </c>
      <c r="CH84" s="9" t="inlineStr">
        <is>
          <t>(512) 854-1885</t>
        </is>
      </c>
    </row>
    <row r="85">
      <c r="A85" s="8" t="inlineStr">
        <is>
          <t>2026-02-10</t>
        </is>
      </c>
      <c r="B85" s="9" t="inlineStr">
        <is>
          <t>2026-02-10</t>
        </is>
      </c>
      <c r="C85" s="9" t="inlineStr">
        <is>
          <t>25610</t>
        </is>
      </c>
      <c r="D85" s="9" t="n"/>
      <c r="E85" s="9" t="inlineStr">
        <is>
          <t>South 1st Affordable Apartments</t>
        </is>
      </c>
      <c r="F85" s="9" t="inlineStr">
        <is>
          <t>Austin</t>
        </is>
      </c>
      <c r="G85" s="9" t="inlineStr">
        <is>
          <t>Travis</t>
        </is>
      </c>
      <c r="H85" s="9" t="n">
        <v>7</v>
      </c>
      <c r="I85" s="9" t="inlineStr">
        <is>
          <t>714 Turtle Creek Boulevard</t>
        </is>
      </c>
      <c r="J85" s="9" t="n">
        <v>78745</v>
      </c>
      <c r="K85" s="8" t="n">
        <v>45931</v>
      </c>
      <c r="L85" s="9" t="inlineStr">
        <is>
          <t>Pre-Application</t>
        </is>
      </c>
      <c r="M85" s="8" t="inlineStr">
        <is>
          <t>TBD</t>
        </is>
      </c>
      <c r="N85" s="8" t="n"/>
      <c r="O85" s="8" t="inlineStr">
        <is>
          <t>TBD</t>
        </is>
      </c>
      <c r="P85" s="8" t="inlineStr">
        <is>
          <t>TBD</t>
        </is>
      </c>
      <c r="Q85" s="8" t="n"/>
      <c r="R85" s="9" t="inlineStr">
        <is>
          <t>Acq/Rehab</t>
        </is>
      </c>
      <c r="S85" s="9" t="inlineStr">
        <is>
          <t>General</t>
        </is>
      </c>
      <c r="T85" s="10" t="n">
        <v>125</v>
      </c>
      <c r="U85" s="10" t="n">
        <v>125</v>
      </c>
      <c r="V85" s="9" t="n"/>
      <c r="W85" s="9" t="n"/>
      <c r="X85" s="9" t="inlineStr">
        <is>
          <t>TDHCA</t>
        </is>
      </c>
      <c r="Y85" s="9" t="inlineStr">
        <is>
          <t>TDHCA</t>
        </is>
      </c>
      <c r="Z85" s="11" t="n">
        <v>20000000</v>
      </c>
      <c r="AA85" s="11" t="n"/>
      <c r="AB85" s="11" t="n">
        <v>1285218</v>
      </c>
      <c r="AC85" s="11" t="n"/>
      <c r="AD85" s="11" t="n"/>
      <c r="AE85" s="11" t="n"/>
      <c r="AF85" s="9" t="inlineStr">
        <is>
          <t>N</t>
        </is>
      </c>
      <c r="AG85" s="9" t="inlineStr">
        <is>
          <t>Y</t>
        </is>
      </c>
      <c r="AH85" s="9" t="n"/>
      <c r="AI85" s="9" t="inlineStr">
        <is>
          <t>Y</t>
        </is>
      </c>
      <c r="AJ85" s="8" t="n"/>
      <c r="AK85" s="9" t="inlineStr">
        <is>
          <t>Y</t>
        </is>
      </c>
      <c r="AL85" s="9" t="inlineStr">
        <is>
          <t>Y</t>
        </is>
      </c>
      <c r="AM85" s="9" t="inlineStr">
        <is>
          <t>Y</t>
        </is>
      </c>
      <c r="AN85" s="9" t="n"/>
      <c r="AO85" s="9" t="n"/>
      <c r="AP85" s="9" t="n"/>
      <c r="AQ85" s="9" t="n"/>
      <c r="AR85" s="9" t="n"/>
      <c r="AS85" s="9" t="inlineStr">
        <is>
          <t>N</t>
        </is>
      </c>
      <c r="AT85" s="8" t="n"/>
      <c r="AU85" s="8" t="n"/>
      <c r="AV85" s="9" t="n"/>
      <c r="AW85" s="8" t="n"/>
      <c r="AX85" s="9" t="inlineStr">
        <is>
          <t>N</t>
        </is>
      </c>
      <c r="AY85" s="9" t="inlineStr">
        <is>
          <t>Y</t>
        </is>
      </c>
      <c r="AZ85" s="9" t="inlineStr">
        <is>
          <t>Y</t>
        </is>
      </c>
      <c r="BA85" s="9" t="inlineStr">
        <is>
          <t>Y</t>
        </is>
      </c>
      <c r="BB85" s="9" t="inlineStr">
        <is>
          <t>Y</t>
        </is>
      </c>
      <c r="BC85" s="9" t="inlineStr">
        <is>
          <t>Y</t>
        </is>
      </c>
      <c r="BD85" s="9" t="n"/>
      <c r="BE85" s="9" t="inlineStr">
        <is>
          <t>N</t>
        </is>
      </c>
      <c r="BF85" s="9" t="n"/>
      <c r="BG85" s="9" t="n"/>
      <c r="BH85" s="9" t="n"/>
      <c r="BI85" s="9" t="n"/>
      <c r="BJ85" s="9" t="inlineStr">
        <is>
          <t>Y</t>
        </is>
      </c>
      <c r="BK85" s="9" t="inlineStr">
        <is>
          <t>N</t>
        </is>
      </c>
      <c r="BL85" s="9" t="inlineStr">
        <is>
          <t>N</t>
        </is>
      </c>
      <c r="BM85" s="9" t="inlineStr">
        <is>
          <t>Y</t>
        </is>
      </c>
      <c r="BN85" s="9" t="inlineStr">
        <is>
          <t>Y</t>
        </is>
      </c>
      <c r="BO85" s="8" t="n">
        <v>45931</v>
      </c>
      <c r="BP85" s="9" t="inlineStr">
        <is>
          <t>N</t>
        </is>
      </c>
      <c r="BQ85" s="9" t="inlineStr">
        <is>
          <t>Y</t>
        </is>
      </c>
      <c r="BR85" s="13">
        <f>IF(COUNTIF(AI85:BM85,"N")+COUNTBLANK(AI85:BM85)=0,"Y","N")</f>
        <v/>
      </c>
      <c r="BS85" s="13">
        <f>IF(AND(BR85="Y",OR(L85="Submitted",L85="Under Review")),"Y",IF(L85="Closed","Y","N"))</f>
        <v/>
      </c>
      <c r="BT85" s="10" t="n">
        <v>80</v>
      </c>
      <c r="BU85" s="13">
        <f>Rule_Flags!Q84</f>
        <v/>
      </c>
      <c r="BV85" s="13">
        <f>Rule_Flags!P84</f>
        <v/>
      </c>
      <c r="BW85" s="13">
        <f>IF(Rule_Flags!E84=1,"SITE_CONTROL",IF(Rule_Flags!F84=1,"APPROVALS",IF(Rule_Flags!G84=1,"REPORTS",IF(Rule_Flags!H84=1,"DEFICIENCY",IF(Rule_Flags!I84=1,"UNDERWRITING",IF(Rule_Flags!J84=1,"COMPLIANCE",""))))))</f>
        <v/>
      </c>
      <c r="BX85" s="13">
        <f>IF(BW85="SITE_CONTROL","Site control missing or invalid",IF(BW85="APPROVALS","Required approvals or resolutions incomplete",IF(BW85="REPORTS","Required third-party reports incomplete",IF(BW85="DEFICIENCY","Unresolved deficiency or material deficiency",IF(BW85="UNDERWRITING","Underwriting / feasibility not passed",IF(BW85="COMPLIANCE","Deconcentration, one-mile, LURA, or Chapter 12 issue","Ready under current engine rules"))))))</f>
        <v/>
      </c>
      <c r="BY85" s="13">
        <f>IF(BV85="Determination Notice","Streamlined + DN-ready assumptions satisfied",IF(BV85="Board","Board-required or board-ready assumptions satisfied",""))</f>
        <v/>
      </c>
      <c r="BZ85" s="13">
        <f>IF(AND(BP85="Y",BQ85&lt;&gt;"Y"),"Carryforward project retains queue priority",IF(BQ85="Y","New project enters behind carryforward projects",""))</f>
        <v/>
      </c>
      <c r="CA85" s="13">
        <f>_xludf.RANK.EQ(Rule_Flags!O84,Rule_Flags!$O$3:$O$402,0)</f>
        <v/>
      </c>
      <c r="CB85" s="13">
        <f>IF(OR(BU85="Determination Notice Issued",BU85="Board",BU85="Closed"),"Y","N")</f>
        <v/>
      </c>
      <c r="CC85" s="9" t="inlineStr">
        <is>
          <t>property_tax_exemption normalized from 'Y(50%)' to 'Y'</t>
        </is>
      </c>
      <c r="CD85" s="9" t="inlineStr">
        <is>
          <t>Anthony Clark</t>
        </is>
      </c>
      <c r="CE85" s="9" t="inlineStr">
        <is>
          <t>(512) 502-2032</t>
        </is>
      </c>
      <c r="CF85" s="9" t="inlineStr">
        <is>
          <t>anthony@narrowroad.com</t>
        </is>
      </c>
      <c r="CG85" s="9" t="inlineStr">
        <is>
          <t>Teresa Morales</t>
        </is>
      </c>
      <c r="CH85" s="9" t="inlineStr">
        <is>
          <t>(512) 475-3344</t>
        </is>
      </c>
    </row>
    <row r="86">
      <c r="A86" s="8" t="inlineStr">
        <is>
          <t>2026-02-10</t>
        </is>
      </c>
      <c r="B86" s="9" t="inlineStr">
        <is>
          <t>2026-02-10</t>
        </is>
      </c>
      <c r="C86" s="9" t="inlineStr">
        <is>
          <t>25491</t>
        </is>
      </c>
      <c r="D86" s="9" t="n"/>
      <c r="E86" s="9" t="inlineStr">
        <is>
          <t>Avanti Hills</t>
        </is>
      </c>
      <c r="F86" s="9" t="inlineStr">
        <is>
          <t>Mesquite</t>
        </is>
      </c>
      <c r="G86" s="9" t="inlineStr">
        <is>
          <t>Dallas</t>
        </is>
      </c>
      <c r="H86" s="9" t="n">
        <v>3</v>
      </c>
      <c r="I86" s="9" t="inlineStr">
        <is>
          <t>NWQ E Glen Blvd &amp; Clay Mathis Road</t>
        </is>
      </c>
      <c r="J86" s="9" t="n">
        <v>75181</v>
      </c>
      <c r="K86" s="8" t="n">
        <v>45932</v>
      </c>
      <c r="L86" s="9" t="inlineStr">
        <is>
          <t>Approved</t>
        </is>
      </c>
      <c r="M86" s="8" t="n">
        <v>46037</v>
      </c>
      <c r="N86" s="8" t="n">
        <v>46034</v>
      </c>
      <c r="O86" s="8" t="n">
        <v>46049</v>
      </c>
      <c r="P86" s="8" t="n">
        <v>46229</v>
      </c>
      <c r="Q86" s="8" t="n"/>
      <c r="R86" s="9" t="inlineStr">
        <is>
          <t>New Construction</t>
        </is>
      </c>
      <c r="S86" s="9" t="inlineStr">
        <is>
          <t>Elderly</t>
        </is>
      </c>
      <c r="T86" s="10" t="n">
        <v>260</v>
      </c>
      <c r="U86" s="10" t="n">
        <v>260</v>
      </c>
      <c r="V86" s="9" t="n"/>
      <c r="W86" s="9" t="n"/>
      <c r="X86" s="9" t="inlineStr">
        <is>
          <t>The Mesquite HFC</t>
        </is>
      </c>
      <c r="Y86" s="9" t="inlineStr">
        <is>
          <t>Local HFC</t>
        </is>
      </c>
      <c r="Z86" s="11" t="n">
        <v>60000000</v>
      </c>
      <c r="AA86" s="11" t="n"/>
      <c r="AB86" s="11" t="n">
        <v>3525639</v>
      </c>
      <c r="AC86" s="11" t="n">
        <v>3497922</v>
      </c>
      <c r="AD86" s="11" t="n"/>
      <c r="AE86" s="11" t="n"/>
      <c r="AF86" s="9" t="inlineStr">
        <is>
          <t>N</t>
        </is>
      </c>
      <c r="AG86" s="9" t="inlineStr">
        <is>
          <t>Y</t>
        </is>
      </c>
      <c r="AH86" s="9" t="n"/>
      <c r="AI86" s="9" t="inlineStr">
        <is>
          <t>Y</t>
        </is>
      </c>
      <c r="AJ86" s="8" t="n"/>
      <c r="AK86" s="9" t="inlineStr">
        <is>
          <t>Y</t>
        </is>
      </c>
      <c r="AL86" s="9" t="inlineStr">
        <is>
          <t>Y</t>
        </is>
      </c>
      <c r="AM86" s="9" t="inlineStr">
        <is>
          <t>Y</t>
        </is>
      </c>
      <c r="AN86" s="9" t="n"/>
      <c r="AO86" s="9" t="n"/>
      <c r="AP86" s="9" t="n"/>
      <c r="AQ86" s="9" t="n"/>
      <c r="AR86" s="9" t="n"/>
      <c r="AS86" s="9" t="inlineStr">
        <is>
          <t>N</t>
        </is>
      </c>
      <c r="AT86" s="8" t="n"/>
      <c r="AU86" s="8" t="n"/>
      <c r="AV86" s="9" t="n"/>
      <c r="AW86" s="8" t="n"/>
      <c r="AX86" s="9" t="inlineStr">
        <is>
          <t>N</t>
        </is>
      </c>
      <c r="AY86" s="9" t="inlineStr">
        <is>
          <t>Y</t>
        </is>
      </c>
      <c r="AZ86" s="9" t="inlineStr">
        <is>
          <t>Y</t>
        </is>
      </c>
      <c r="BA86" s="9" t="inlineStr">
        <is>
          <t>Y</t>
        </is>
      </c>
      <c r="BB86" s="9" t="inlineStr">
        <is>
          <t>Y</t>
        </is>
      </c>
      <c r="BC86" s="9" t="inlineStr">
        <is>
          <t>Y</t>
        </is>
      </c>
      <c r="BD86" s="9" t="n"/>
      <c r="BE86" s="9" t="inlineStr">
        <is>
          <t>N</t>
        </is>
      </c>
      <c r="BF86" s="9" t="n"/>
      <c r="BG86" s="9" t="n"/>
      <c r="BH86" s="9" t="n"/>
      <c r="BI86" s="9" t="n"/>
      <c r="BJ86" s="9" t="inlineStr">
        <is>
          <t>Y</t>
        </is>
      </c>
      <c r="BK86" s="9" t="inlineStr">
        <is>
          <t>N</t>
        </is>
      </c>
      <c r="BL86" s="9" t="inlineStr">
        <is>
          <t>N</t>
        </is>
      </c>
      <c r="BM86" s="9" t="inlineStr">
        <is>
          <t>Y</t>
        </is>
      </c>
      <c r="BN86" s="9" t="inlineStr">
        <is>
          <t>Y</t>
        </is>
      </c>
      <c r="BO86" s="8" t="n">
        <v>45932</v>
      </c>
      <c r="BP86" s="9" t="inlineStr">
        <is>
          <t>N</t>
        </is>
      </c>
      <c r="BQ86" s="9" t="inlineStr">
        <is>
          <t>Y</t>
        </is>
      </c>
      <c r="BR86" s="13">
        <f>IF(COUNTIF(AI86:BM86,"N")+COUNTBLANK(AI86:BM86)=0,"Y","N")</f>
        <v/>
      </c>
      <c r="BS86" s="13">
        <f>IF(AND(BR86="Y",OR(L86="Submitted",L86="Under Review")),"Y",IF(L86="Closed","Y","N"))</f>
        <v/>
      </c>
      <c r="BT86" s="10" t="n">
        <v>81</v>
      </c>
      <c r="BU86" s="13">
        <f>Rule_Flags!Q85</f>
        <v/>
      </c>
      <c r="BV86" s="13">
        <f>Rule_Flags!P85</f>
        <v/>
      </c>
      <c r="BW86" s="13">
        <f>IF(Rule_Flags!E85=1,"SITE_CONTROL",IF(Rule_Flags!F85=1,"APPROVALS",IF(Rule_Flags!G85=1,"REPORTS",IF(Rule_Flags!H85=1,"DEFICIENCY",IF(Rule_Flags!I85=1,"UNDERWRITING",IF(Rule_Flags!J85=1,"COMPLIANCE",""))))))</f>
        <v/>
      </c>
      <c r="BX86" s="13">
        <f>IF(BW86="SITE_CONTROL","Site control missing or invalid",IF(BW86="APPROVALS","Required approvals or resolutions incomplete",IF(BW86="REPORTS","Required third-party reports incomplete",IF(BW86="DEFICIENCY","Unresolved deficiency or material deficiency",IF(BW86="UNDERWRITING","Underwriting / feasibility not passed",IF(BW86="COMPLIANCE","Deconcentration, one-mile, LURA, or Chapter 12 issue","Ready under current engine rules"))))))</f>
        <v/>
      </c>
      <c r="BY86" s="13">
        <f>IF(BV86="Determination Notice","Streamlined + DN-ready assumptions satisfied",IF(BV86="Board","Board-required or board-ready assumptions satisfied",""))</f>
        <v/>
      </c>
      <c r="BZ86" s="13">
        <f>IF(AND(BP86="Y",BQ86&lt;&gt;"Y"),"Carryforward project retains queue priority",IF(BQ86="Y","New project enters behind carryforward projects",""))</f>
        <v/>
      </c>
      <c r="CA86" s="13">
        <f>_xludf.RANK.EQ(Rule_Flags!O85,Rule_Flags!$O$3:$O$402,0)</f>
        <v/>
      </c>
      <c r="CB86" s="13">
        <f>IF(OR(BU86="Determination Notice Issued",BU86="Board",BU86="Closed"),"Y","N")</f>
        <v/>
      </c>
      <c r="CC86" s="9" t="inlineStr">
        <is>
          <t>construction_type mapped from raw 'NC' to 'New Construction'</t>
        </is>
      </c>
      <c r="CD86" s="9" t="inlineStr">
        <is>
          <t>CJ Lintner</t>
        </is>
      </c>
      <c r="CE86" s="9" t="inlineStr">
        <is>
          <t>(317) 502-9239</t>
        </is>
      </c>
      <c r="CF86" s="9" t="inlineStr">
        <is>
          <t>clintner@kcgcompanies.com</t>
        </is>
      </c>
      <c r="CG86" s="9" t="inlineStr">
        <is>
          <t>Ted Chinn</t>
        </is>
      </c>
      <c r="CH86" s="9" t="inlineStr">
        <is>
          <t>(972) 216-6287</t>
        </is>
      </c>
    </row>
    <row r="87">
      <c r="A87" s="8" t="inlineStr">
        <is>
          <t>2026-02-10</t>
        </is>
      </c>
      <c r="B87" s="9" t="inlineStr">
        <is>
          <t>2026-02-10</t>
        </is>
      </c>
      <c r="C87" s="9" t="inlineStr">
        <is>
          <t>25477</t>
        </is>
      </c>
      <c r="D87" s="9" t="n"/>
      <c r="E87" s="9" t="inlineStr">
        <is>
          <t>Torrington Forest</t>
        </is>
      </c>
      <c r="F87" s="9" t="inlineStr">
        <is>
          <t>Dallas</t>
        </is>
      </c>
      <c r="G87" s="9" t="inlineStr">
        <is>
          <t>Dallas</t>
        </is>
      </c>
      <c r="H87" s="9" t="n">
        <v>3</v>
      </c>
      <c r="I87" s="9" t="inlineStr">
        <is>
          <t>7100 Great Trinity Forest Way</t>
        </is>
      </c>
      <c r="J87" s="9" t="n">
        <v>75217</v>
      </c>
      <c r="K87" s="8" t="n">
        <v>45936</v>
      </c>
      <c r="L87" s="9" t="inlineStr">
        <is>
          <t>Approved</t>
        </is>
      </c>
      <c r="M87" s="8" t="n">
        <v>46037</v>
      </c>
      <c r="N87" s="8" t="n">
        <v>46034</v>
      </c>
      <c r="O87" s="8" t="n">
        <v>46057</v>
      </c>
      <c r="P87" s="8" t="n">
        <v>46092</v>
      </c>
      <c r="Q87" s="8" t="n"/>
      <c r="R87" s="9" t="inlineStr">
        <is>
          <t>New Construction</t>
        </is>
      </c>
      <c r="S87" s="9" t="inlineStr">
        <is>
          <t>General</t>
        </is>
      </c>
      <c r="T87" s="10" t="n">
        <v>248</v>
      </c>
      <c r="U87" s="10" t="n">
        <v>248</v>
      </c>
      <c r="V87" s="9" t="n"/>
      <c r="W87" s="9" t="n"/>
      <c r="X87" s="9" t="inlineStr">
        <is>
          <t>City of Dallas HFC</t>
        </is>
      </c>
      <c r="Y87" s="9" t="inlineStr">
        <is>
          <t>Local HFC</t>
        </is>
      </c>
      <c r="Z87" s="11" t="n">
        <v>40000000</v>
      </c>
      <c r="AA87" s="11" t="n"/>
      <c r="AB87" s="11" t="n">
        <v>3408255</v>
      </c>
      <c r="AC87" s="11" t="n">
        <v>3280417</v>
      </c>
      <c r="AD87" s="11" t="n"/>
      <c r="AE87" s="11" t="n"/>
      <c r="AF87" s="9" t="inlineStr">
        <is>
          <t>N</t>
        </is>
      </c>
      <c r="AG87" s="9" t="inlineStr">
        <is>
          <t>Y</t>
        </is>
      </c>
      <c r="AH87" s="9" t="n"/>
      <c r="AI87" s="9" t="inlineStr">
        <is>
          <t>Y</t>
        </is>
      </c>
      <c r="AJ87" s="8" t="n"/>
      <c r="AK87" s="9" t="inlineStr">
        <is>
          <t>Y</t>
        </is>
      </c>
      <c r="AL87" s="9" t="inlineStr">
        <is>
          <t>Y</t>
        </is>
      </c>
      <c r="AM87" s="9" t="inlineStr">
        <is>
          <t>Y</t>
        </is>
      </c>
      <c r="AN87" s="9" t="n"/>
      <c r="AO87" s="9" t="n"/>
      <c r="AP87" s="9" t="n"/>
      <c r="AQ87" s="9" t="n"/>
      <c r="AR87" s="9" t="n"/>
      <c r="AS87" s="9" t="inlineStr">
        <is>
          <t>N</t>
        </is>
      </c>
      <c r="AT87" s="8" t="n"/>
      <c r="AU87" s="8" t="n"/>
      <c r="AV87" s="9" t="n"/>
      <c r="AW87" s="8" t="n"/>
      <c r="AX87" s="9" t="inlineStr">
        <is>
          <t>N</t>
        </is>
      </c>
      <c r="AY87" s="9" t="inlineStr">
        <is>
          <t>Y</t>
        </is>
      </c>
      <c r="AZ87" s="9" t="inlineStr">
        <is>
          <t>Y</t>
        </is>
      </c>
      <c r="BA87" s="9" t="inlineStr">
        <is>
          <t>Y</t>
        </is>
      </c>
      <c r="BB87" s="9" t="inlineStr">
        <is>
          <t>Y</t>
        </is>
      </c>
      <c r="BC87" s="9" t="inlineStr">
        <is>
          <t>Y</t>
        </is>
      </c>
      <c r="BD87" s="9" t="n"/>
      <c r="BE87" s="9" t="inlineStr">
        <is>
          <t>N</t>
        </is>
      </c>
      <c r="BF87" s="9" t="n"/>
      <c r="BG87" s="9" t="n"/>
      <c r="BH87" s="9" t="n"/>
      <c r="BI87" s="9" t="n"/>
      <c r="BJ87" s="9" t="inlineStr">
        <is>
          <t>Y</t>
        </is>
      </c>
      <c r="BK87" s="9" t="inlineStr">
        <is>
          <t>N</t>
        </is>
      </c>
      <c r="BL87" s="9" t="inlineStr">
        <is>
          <t>N</t>
        </is>
      </c>
      <c r="BM87" s="9" t="inlineStr">
        <is>
          <t>Y</t>
        </is>
      </c>
      <c r="BN87" s="9" t="inlineStr">
        <is>
          <t>Y</t>
        </is>
      </c>
      <c r="BO87" s="8" t="n">
        <v>45936</v>
      </c>
      <c r="BP87" s="9" t="inlineStr">
        <is>
          <t>N</t>
        </is>
      </c>
      <c r="BQ87" s="9" t="inlineStr">
        <is>
          <t>Y</t>
        </is>
      </c>
      <c r="BR87" s="13">
        <f>IF(COUNTIF(AI87:BM87,"N")+COUNTBLANK(AI87:BM87)=0,"Y","N")</f>
        <v/>
      </c>
      <c r="BS87" s="13">
        <f>IF(AND(BR87="Y",OR(L87="Submitted",L87="Under Review")),"Y",IF(L87="Closed","Y","N"))</f>
        <v/>
      </c>
      <c r="BT87" s="10" t="n">
        <v>82</v>
      </c>
      <c r="BU87" s="13">
        <f>Rule_Flags!Q86</f>
        <v/>
      </c>
      <c r="BV87" s="13">
        <f>Rule_Flags!P86</f>
        <v/>
      </c>
      <c r="BW87" s="13">
        <f>IF(Rule_Flags!E86=1,"SITE_CONTROL",IF(Rule_Flags!F86=1,"APPROVALS",IF(Rule_Flags!G86=1,"REPORTS",IF(Rule_Flags!H86=1,"DEFICIENCY",IF(Rule_Flags!I86=1,"UNDERWRITING",IF(Rule_Flags!J86=1,"COMPLIANCE",""))))))</f>
        <v/>
      </c>
      <c r="BX87" s="13">
        <f>IF(BW87="SITE_CONTROL","Site control missing or invalid",IF(BW87="APPROVALS","Required approvals or resolutions incomplete",IF(BW87="REPORTS","Required third-party reports incomplete",IF(BW87="DEFICIENCY","Unresolved deficiency or material deficiency",IF(BW87="UNDERWRITING","Underwriting / feasibility not passed",IF(BW87="COMPLIANCE","Deconcentration, one-mile, LURA, or Chapter 12 issue","Ready under current engine rules"))))))</f>
        <v/>
      </c>
      <c r="BY87" s="13">
        <f>IF(BV87="Determination Notice","Streamlined + DN-ready assumptions satisfied",IF(BV87="Board","Board-required or board-ready assumptions satisfied",""))</f>
        <v/>
      </c>
      <c r="BZ87" s="13">
        <f>IF(AND(BP87="Y",BQ87&lt;&gt;"Y"),"Carryforward project retains queue priority",IF(BQ87="Y","New project enters behind carryforward projects",""))</f>
        <v/>
      </c>
      <c r="CA87" s="13">
        <f>_xludf.RANK.EQ(Rule_Flags!O86,Rule_Flags!$O$3:$O$402,0)</f>
        <v/>
      </c>
      <c r="CB87" s="13">
        <f>IF(OR(BU87="Determination Notice Issued",BU87="Board",BU87="Closed"),"Y","N")</f>
        <v/>
      </c>
      <c r="CC87" s="9" t="inlineStr">
        <is>
          <t>construction_type mapped from raw 'NC' to 'New Construction'</t>
        </is>
      </c>
      <c r="CD87" s="9" t="inlineStr">
        <is>
          <t>Karsten Lowe</t>
        </is>
      </c>
      <c r="CE87" s="9" t="inlineStr">
        <is>
          <t>(210) 493-8633</t>
        </is>
      </c>
      <c r="CF87" s="9" t="inlineStr">
        <is>
          <t>Karsten.Lowe@jpi.com</t>
        </is>
      </c>
      <c r="CG87" s="9" t="inlineStr">
        <is>
          <t>Aaron Eaquinto</t>
        </is>
      </c>
      <c r="CH87" s="9" t="inlineStr">
        <is>
          <t>(469) 799-2670</t>
        </is>
      </c>
    </row>
    <row r="88">
      <c r="A88" s="8" t="inlineStr">
        <is>
          <t>2026-02-10</t>
        </is>
      </c>
      <c r="B88" s="9" t="inlineStr">
        <is>
          <t>2026-02-10</t>
        </is>
      </c>
      <c r="C88" s="9" t="inlineStr">
        <is>
          <t>25494</t>
        </is>
      </c>
      <c r="D88" s="9" t="n"/>
      <c r="E88" s="9" t="inlineStr">
        <is>
          <t>Lakeside Lofts</t>
        </is>
      </c>
      <c r="F88" s="9" t="inlineStr">
        <is>
          <t>San Antonio</t>
        </is>
      </c>
      <c r="G88" s="9" t="inlineStr">
        <is>
          <t>Bexar</t>
        </is>
      </c>
      <c r="H88" s="9" t="n">
        <v>9</v>
      </c>
      <c r="I88" s="9" t="inlineStr">
        <is>
          <t>5606 US Highway 87 E</t>
        </is>
      </c>
      <c r="J88" s="9" t="n">
        <v>78222</v>
      </c>
      <c r="K88" s="8" t="n">
        <v>45936</v>
      </c>
      <c r="L88" s="9" t="inlineStr">
        <is>
          <t>Approved</t>
        </is>
      </c>
      <c r="M88" s="8" t="n">
        <v>46037</v>
      </c>
      <c r="N88" s="8" t="n">
        <v>46010</v>
      </c>
      <c r="O88" s="8" t="n">
        <v>46057</v>
      </c>
      <c r="P88" s="8" t="n">
        <v>46092</v>
      </c>
      <c r="Q88" s="8" t="n"/>
      <c r="R88" s="9" t="inlineStr">
        <is>
          <t>New Construction</t>
        </is>
      </c>
      <c r="S88" s="9" t="inlineStr">
        <is>
          <t>General</t>
        </is>
      </c>
      <c r="T88" s="10" t="n">
        <v>336</v>
      </c>
      <c r="U88" s="10" t="n">
        <v>336</v>
      </c>
      <c r="V88" s="9" t="n"/>
      <c r="W88" s="9" t="n"/>
      <c r="X88" s="9" t="inlineStr">
        <is>
          <t>Las Varas PFC</t>
        </is>
      </c>
      <c r="Y88" s="9" t="inlineStr">
        <is>
          <t>Other</t>
        </is>
      </c>
      <c r="Z88" s="11" t="n">
        <v>45000000</v>
      </c>
      <c r="AA88" s="11" t="n"/>
      <c r="AB88" s="11" t="n">
        <v>3512745</v>
      </c>
      <c r="AC88" s="11" t="n">
        <v>3512745</v>
      </c>
      <c r="AD88" s="11" t="n"/>
      <c r="AE88" s="11" t="n"/>
      <c r="AF88" s="9" t="inlineStr">
        <is>
          <t>N</t>
        </is>
      </c>
      <c r="AG88" s="9" t="inlineStr">
        <is>
          <t>Y</t>
        </is>
      </c>
      <c r="AH88" s="9" t="inlineStr">
        <is>
          <t>Y</t>
        </is>
      </c>
      <c r="AI88" s="9" t="inlineStr">
        <is>
          <t>Y</t>
        </is>
      </c>
      <c r="AJ88" s="8" t="n"/>
      <c r="AK88" s="9" t="inlineStr">
        <is>
          <t>Y</t>
        </is>
      </c>
      <c r="AL88" s="9" t="inlineStr">
        <is>
          <t>Y</t>
        </is>
      </c>
      <c r="AM88" s="9" t="inlineStr">
        <is>
          <t>Y</t>
        </is>
      </c>
      <c r="AN88" s="9" t="n"/>
      <c r="AO88" s="9" t="n"/>
      <c r="AP88" s="9" t="n"/>
      <c r="AQ88" s="9" t="n"/>
      <c r="AR88" s="9" t="n"/>
      <c r="AS88" s="9" t="inlineStr">
        <is>
          <t>N</t>
        </is>
      </c>
      <c r="AT88" s="8" t="n"/>
      <c r="AU88" s="8" t="n"/>
      <c r="AV88" s="9" t="n"/>
      <c r="AW88" s="8" t="n"/>
      <c r="AX88" s="9" t="inlineStr">
        <is>
          <t>N</t>
        </is>
      </c>
      <c r="AY88" s="9" t="inlineStr">
        <is>
          <t>Y</t>
        </is>
      </c>
      <c r="AZ88" s="9" t="inlineStr">
        <is>
          <t>Y</t>
        </is>
      </c>
      <c r="BA88" s="9" t="inlineStr">
        <is>
          <t>Y</t>
        </is>
      </c>
      <c r="BB88" s="9" t="inlineStr">
        <is>
          <t>Y</t>
        </is>
      </c>
      <c r="BC88" s="9" t="inlineStr">
        <is>
          <t>Y</t>
        </is>
      </c>
      <c r="BD88" s="9" t="n"/>
      <c r="BE88" s="9" t="inlineStr">
        <is>
          <t>N</t>
        </is>
      </c>
      <c r="BF88" s="9" t="n"/>
      <c r="BG88" s="9" t="n"/>
      <c r="BH88" s="9" t="n"/>
      <c r="BI88" s="9" t="n"/>
      <c r="BJ88" s="9" t="inlineStr">
        <is>
          <t>Y</t>
        </is>
      </c>
      <c r="BK88" s="9" t="inlineStr">
        <is>
          <t>N</t>
        </is>
      </c>
      <c r="BL88" s="9" t="inlineStr">
        <is>
          <t>N</t>
        </is>
      </c>
      <c r="BM88" s="9" t="inlineStr">
        <is>
          <t>Y</t>
        </is>
      </c>
      <c r="BN88" s="9" t="inlineStr">
        <is>
          <t>Y</t>
        </is>
      </c>
      <c r="BO88" s="8" t="n">
        <v>45936</v>
      </c>
      <c r="BP88" s="9" t="inlineStr">
        <is>
          <t>N</t>
        </is>
      </c>
      <c r="BQ88" s="9" t="inlineStr">
        <is>
          <t>Y</t>
        </is>
      </c>
      <c r="BR88" s="13">
        <f>IF(COUNTIF(AI88:BM88,"N")+COUNTBLANK(AI88:BM88)=0,"Y","N")</f>
        <v/>
      </c>
      <c r="BS88" s="13">
        <f>IF(AND(BR88="Y",OR(L88="Submitted",L88="Under Review")),"Y",IF(L88="Closed","Y","N"))</f>
        <v/>
      </c>
      <c r="BT88" s="10" t="n">
        <v>83</v>
      </c>
      <c r="BU88" s="13">
        <f>Rule_Flags!Q87</f>
        <v/>
      </c>
      <c r="BV88" s="13">
        <f>Rule_Flags!P87</f>
        <v/>
      </c>
      <c r="BW88" s="13">
        <f>IF(Rule_Flags!E87=1,"SITE_CONTROL",IF(Rule_Flags!F87=1,"APPROVALS",IF(Rule_Flags!G87=1,"REPORTS",IF(Rule_Flags!H87=1,"DEFICIENCY",IF(Rule_Flags!I87=1,"UNDERWRITING",IF(Rule_Flags!J87=1,"COMPLIANCE",""))))))</f>
        <v/>
      </c>
      <c r="BX88" s="13">
        <f>IF(BW88="SITE_CONTROL","Site control missing or invalid",IF(BW88="APPROVALS","Required approvals or resolutions incomplete",IF(BW88="REPORTS","Required third-party reports incomplete",IF(BW88="DEFICIENCY","Unresolved deficiency or material deficiency",IF(BW88="UNDERWRITING","Underwriting / feasibility not passed",IF(BW88="COMPLIANCE","Deconcentration, one-mile, LURA, or Chapter 12 issue","Ready under current engine rules"))))))</f>
        <v/>
      </c>
      <c r="BY88" s="13">
        <f>IF(BV88="Determination Notice","Streamlined + DN-ready assumptions satisfied",IF(BV88="Board","Board-required or board-ready assumptions satisfied",""))</f>
        <v/>
      </c>
      <c r="BZ88" s="13">
        <f>IF(AND(BP88="Y",BQ88&lt;&gt;"Y"),"Carryforward project retains queue priority",IF(BQ88="Y","New project enters behind carryforward projects",""))</f>
        <v/>
      </c>
      <c r="CA88" s="13">
        <f>_xludf.RANK.EQ(Rule_Flags!O87,Rule_Flags!$O$3:$O$402,0)</f>
        <v/>
      </c>
      <c r="CB88" s="13">
        <f>IF(OR(BU88="Determination Notice Issued",BU88="Board",BU88="Closed"),"Y","N")</f>
        <v/>
      </c>
      <c r="CC88" s="9" t="inlineStr">
        <is>
          <t>construction_type mapped from raw 'NC' to 'New Construction'</t>
        </is>
      </c>
      <c r="CD88" s="9" t="inlineStr">
        <is>
          <t>Jason Arechiga</t>
        </is>
      </c>
      <c r="CE88" s="9" t="inlineStr">
        <is>
          <t>(210) 216-4600</t>
        </is>
      </c>
      <c r="CF88" s="9" t="inlineStr">
        <is>
          <t>jarechiga@nrpgroup.com</t>
        </is>
      </c>
      <c r="CG88" s="9" t="inlineStr">
        <is>
          <t>Timothy Alcott</t>
        </is>
      </c>
      <c r="CH88" s="9" t="inlineStr">
        <is>
          <t>(210) 477-6633</t>
        </is>
      </c>
    </row>
    <row r="89">
      <c r="A89" s="8" t="inlineStr">
        <is>
          <t>2026-02-10</t>
        </is>
      </c>
      <c r="B89" s="9" t="inlineStr">
        <is>
          <t>2026-02-10</t>
        </is>
      </c>
      <c r="C89" s="9" t="inlineStr">
        <is>
          <t>25487</t>
        </is>
      </c>
      <c r="D89" s="9" t="inlineStr">
        <is>
          <t>00011</t>
        </is>
      </c>
      <c r="E89" s="9" t="inlineStr">
        <is>
          <t>Heritage Oaks</t>
        </is>
      </c>
      <c r="F89" s="9" t="inlineStr">
        <is>
          <t>Kerrville</t>
        </is>
      </c>
      <c r="G89" s="9" t="inlineStr">
        <is>
          <t>Kerr</t>
        </is>
      </c>
      <c r="H89" s="9" t="n">
        <v>9</v>
      </c>
      <c r="I89" s="9" t="inlineStr">
        <is>
          <t>2350 Junction Hwy</t>
        </is>
      </c>
      <c r="J89" s="9" t="n">
        <v>78028</v>
      </c>
      <c r="K89" s="8" t="n">
        <v>45938</v>
      </c>
      <c r="L89" s="9" t="inlineStr">
        <is>
          <t>Approved</t>
        </is>
      </c>
      <c r="M89" s="8" t="n">
        <v>46037</v>
      </c>
      <c r="N89" s="8" t="n">
        <v>46056</v>
      </c>
      <c r="O89" s="8" t="n">
        <v>45890</v>
      </c>
      <c r="P89" s="8" t="n">
        <v>46070</v>
      </c>
      <c r="Q89" s="8" t="n"/>
      <c r="R89" s="9" t="inlineStr">
        <is>
          <t>Acq/Rehab</t>
        </is>
      </c>
      <c r="S89" s="9" t="inlineStr">
        <is>
          <t>General</t>
        </is>
      </c>
      <c r="T89" s="10" t="n">
        <v>76</v>
      </c>
      <c r="U89" s="10" t="n">
        <v>76</v>
      </c>
      <c r="V89" s="9" t="n"/>
      <c r="W89" s="9" t="n"/>
      <c r="X89" s="9" t="inlineStr">
        <is>
          <t>Alamo Area PFC</t>
        </is>
      </c>
      <c r="Y89" s="9" t="inlineStr">
        <is>
          <t>Other</t>
        </is>
      </c>
      <c r="Z89" s="11" t="n">
        <v>22000000</v>
      </c>
      <c r="AA89" s="11" t="n"/>
      <c r="AB89" s="11" t="n">
        <v>709033</v>
      </c>
      <c r="AC89" s="11" t="n">
        <v>709033</v>
      </c>
      <c r="AD89" s="11" t="n"/>
      <c r="AE89" s="11" t="n"/>
      <c r="AF89" s="9" t="inlineStr">
        <is>
          <t>N</t>
        </is>
      </c>
      <c r="AG89" s="9" t="inlineStr">
        <is>
          <t>Y</t>
        </is>
      </c>
      <c r="AH89" s="9" t="inlineStr">
        <is>
          <t>Y</t>
        </is>
      </c>
      <c r="AI89" s="9" t="inlineStr">
        <is>
          <t>Y</t>
        </is>
      </c>
      <c r="AJ89" s="8" t="n"/>
      <c r="AK89" s="9" t="inlineStr">
        <is>
          <t>Y</t>
        </is>
      </c>
      <c r="AL89" s="9" t="inlineStr">
        <is>
          <t>Y</t>
        </is>
      </c>
      <c r="AM89" s="9" t="inlineStr">
        <is>
          <t>Y</t>
        </is>
      </c>
      <c r="AN89" s="9" t="n"/>
      <c r="AO89" s="9" t="n"/>
      <c r="AP89" s="9" t="n"/>
      <c r="AQ89" s="9" t="n"/>
      <c r="AR89" s="9" t="n"/>
      <c r="AS89" s="9" t="inlineStr">
        <is>
          <t>N</t>
        </is>
      </c>
      <c r="AT89" s="8" t="n"/>
      <c r="AU89" s="8" t="n"/>
      <c r="AV89" s="9" t="n"/>
      <c r="AW89" s="8" t="n"/>
      <c r="AX89" s="9" t="inlineStr">
        <is>
          <t>N</t>
        </is>
      </c>
      <c r="AY89" s="9" t="inlineStr">
        <is>
          <t>Y</t>
        </is>
      </c>
      <c r="AZ89" s="9" t="inlineStr">
        <is>
          <t>Y</t>
        </is>
      </c>
      <c r="BA89" s="9" t="inlineStr">
        <is>
          <t>Y</t>
        </is>
      </c>
      <c r="BB89" s="9" t="inlineStr">
        <is>
          <t>Y</t>
        </is>
      </c>
      <c r="BC89" s="9" t="inlineStr">
        <is>
          <t>Y</t>
        </is>
      </c>
      <c r="BD89" s="9" t="n"/>
      <c r="BE89" s="9" t="inlineStr">
        <is>
          <t>N</t>
        </is>
      </c>
      <c r="BF89" s="9" t="n"/>
      <c r="BG89" s="9" t="n"/>
      <c r="BH89" s="9" t="n"/>
      <c r="BI89" s="9" t="n"/>
      <c r="BJ89" s="9" t="inlineStr">
        <is>
          <t>Y</t>
        </is>
      </c>
      <c r="BK89" s="9" t="inlineStr">
        <is>
          <t>N</t>
        </is>
      </c>
      <c r="BL89" s="9" t="inlineStr">
        <is>
          <t>N</t>
        </is>
      </c>
      <c r="BM89" s="9" t="inlineStr">
        <is>
          <t>Y</t>
        </is>
      </c>
      <c r="BN89" s="9" t="inlineStr">
        <is>
          <t>Y</t>
        </is>
      </c>
      <c r="BO89" s="8" t="n">
        <v>45938</v>
      </c>
      <c r="BP89" s="9" t="inlineStr">
        <is>
          <t>N</t>
        </is>
      </c>
      <c r="BQ89" s="9" t="inlineStr">
        <is>
          <t>Y</t>
        </is>
      </c>
      <c r="BR89" s="13">
        <f>IF(COUNTIF(AI89:BM89,"N")+COUNTBLANK(AI89:BM89)=0,"Y","N")</f>
        <v/>
      </c>
      <c r="BS89" s="13">
        <f>IF(AND(BR89="Y",OR(L89="Submitted",L89="Under Review")),"Y",IF(L89="Closed","Y","N"))</f>
        <v/>
      </c>
      <c r="BT89" s="10" t="n">
        <v>84</v>
      </c>
      <c r="BU89" s="13">
        <f>Rule_Flags!Q88</f>
        <v/>
      </c>
      <c r="BV89" s="13">
        <f>Rule_Flags!P88</f>
        <v/>
      </c>
      <c r="BW89" s="13">
        <f>IF(Rule_Flags!E88=1,"SITE_CONTROL",IF(Rule_Flags!F88=1,"APPROVALS",IF(Rule_Flags!G88=1,"REPORTS",IF(Rule_Flags!H88=1,"DEFICIENCY",IF(Rule_Flags!I88=1,"UNDERWRITING",IF(Rule_Flags!J88=1,"COMPLIANCE",""))))))</f>
        <v/>
      </c>
      <c r="BX89" s="13">
        <f>IF(BW89="SITE_CONTROL","Site control missing or invalid",IF(BW89="APPROVALS","Required approvals or resolutions incomplete",IF(BW89="REPORTS","Required third-party reports incomplete",IF(BW89="DEFICIENCY","Unresolved deficiency or material deficiency",IF(BW89="UNDERWRITING","Underwriting / feasibility not passed",IF(BW89="COMPLIANCE","Deconcentration, one-mile, LURA, or Chapter 12 issue","Ready under current engine rules"))))))</f>
        <v/>
      </c>
      <c r="BY89" s="13">
        <f>IF(BV89="Determination Notice","Streamlined + DN-ready assumptions satisfied",IF(BV89="Board","Board-required or board-ready assumptions satisfied",""))</f>
        <v/>
      </c>
      <c r="BZ89" s="13">
        <f>IF(AND(BP89="Y",BQ89&lt;&gt;"Y"),"Carryforward project retains queue priority",IF(BQ89="Y","New project enters behind carryforward projects",""))</f>
        <v/>
      </c>
      <c r="CA89" s="13">
        <f>_xludf.RANK.EQ(Rule_Flags!O88,Rule_Flags!$O$3:$O$402,0)</f>
        <v/>
      </c>
      <c r="CB89" s="13">
        <f>IF(OR(BU89="Determination Notice Issued",BU89="Board",BU89="Closed"),"Y","N")</f>
        <v/>
      </c>
      <c r="CC89" s="9" t="inlineStr">
        <is>
          <t>property_tax_exemption normalized from 'Y (50%)' to 'Y'</t>
        </is>
      </c>
      <c r="CD89" s="9" t="inlineStr">
        <is>
          <t>Lisa Toler</t>
        </is>
      </c>
      <c r="CE89" s="9" t="inlineStr">
        <is>
          <t>(334) 954-4458</t>
        </is>
      </c>
      <c r="CF89" s="9" t="inlineStr">
        <is>
          <t>lisa.toler@envolvellc.com</t>
        </is>
      </c>
      <c r="CG89" s="9" t="inlineStr">
        <is>
          <t>Clifford Herberg</t>
        </is>
      </c>
      <c r="CH89" s="9" t="inlineStr">
        <is>
          <t>(210) 362-5200</t>
        </is>
      </c>
    </row>
    <row r="90">
      <c r="A90" s="8" t="inlineStr">
        <is>
          <t>2026-02-10</t>
        </is>
      </c>
      <c r="B90" s="9" t="inlineStr">
        <is>
          <t>2026-02-10</t>
        </is>
      </c>
      <c r="C90" s="9" t="inlineStr">
        <is>
          <t>25488</t>
        </is>
      </c>
      <c r="D90" s="9" t="inlineStr">
        <is>
          <t>07242/08935</t>
        </is>
      </c>
      <c r="E90" s="9" t="inlineStr">
        <is>
          <t>Paseo de Paz</t>
        </is>
      </c>
      <c r="F90" s="9" t="inlineStr">
        <is>
          <t>Kerrville</t>
        </is>
      </c>
      <c r="G90" s="9" t="inlineStr">
        <is>
          <t>Kerr</t>
        </is>
      </c>
      <c r="H90" s="9" t="n">
        <v>9</v>
      </c>
      <c r="I90" s="9" t="inlineStr">
        <is>
          <t>401 Clearwater Paseo</t>
        </is>
      </c>
      <c r="J90" s="9" t="n">
        <v>78028</v>
      </c>
      <c r="K90" s="8" t="n">
        <v>45938</v>
      </c>
      <c r="L90" s="9" t="inlineStr">
        <is>
          <t>Approved</t>
        </is>
      </c>
      <c r="M90" s="8" t="n">
        <v>46037</v>
      </c>
      <c r="N90" s="8" t="n">
        <v>46056</v>
      </c>
      <c r="O90" s="8" t="n">
        <v>45890</v>
      </c>
      <c r="P90" s="8" t="n">
        <v>46070</v>
      </c>
      <c r="Q90" s="8" t="n"/>
      <c r="R90" s="9" t="inlineStr">
        <is>
          <t>Acq/Rehab</t>
        </is>
      </c>
      <c r="S90" s="9" t="inlineStr">
        <is>
          <t>General</t>
        </is>
      </c>
      <c r="T90" s="10" t="n">
        <v>76</v>
      </c>
      <c r="U90" s="10" t="n">
        <v>76</v>
      </c>
      <c r="V90" s="9" t="n"/>
      <c r="W90" s="9" t="n"/>
      <c r="X90" s="9" t="inlineStr">
        <is>
          <t>Alamo Area PFC</t>
        </is>
      </c>
      <c r="Y90" s="9" t="inlineStr">
        <is>
          <t>Other</t>
        </is>
      </c>
      <c r="Z90" s="11" t="n">
        <v>22000000</v>
      </c>
      <c r="AA90" s="11" t="n"/>
      <c r="AB90" s="11" t="n">
        <v>568048</v>
      </c>
      <c r="AC90" s="11" t="n">
        <v>568048</v>
      </c>
      <c r="AD90" s="11" t="n"/>
      <c r="AE90" s="11" t="n"/>
      <c r="AF90" s="9" t="inlineStr">
        <is>
          <t>N</t>
        </is>
      </c>
      <c r="AG90" s="9" t="inlineStr">
        <is>
          <t>Y</t>
        </is>
      </c>
      <c r="AH90" s="9" t="inlineStr">
        <is>
          <t>Y</t>
        </is>
      </c>
      <c r="AI90" s="9" t="inlineStr">
        <is>
          <t>Y</t>
        </is>
      </c>
      <c r="AJ90" s="8" t="n"/>
      <c r="AK90" s="9" t="inlineStr">
        <is>
          <t>Y</t>
        </is>
      </c>
      <c r="AL90" s="9" t="inlineStr">
        <is>
          <t>Y</t>
        </is>
      </c>
      <c r="AM90" s="9" t="inlineStr">
        <is>
          <t>Y</t>
        </is>
      </c>
      <c r="AN90" s="9" t="n"/>
      <c r="AO90" s="9" t="n"/>
      <c r="AP90" s="9" t="n"/>
      <c r="AQ90" s="9" t="n"/>
      <c r="AR90" s="9" t="n"/>
      <c r="AS90" s="9" t="inlineStr">
        <is>
          <t>N</t>
        </is>
      </c>
      <c r="AT90" s="8" t="n"/>
      <c r="AU90" s="8" t="n"/>
      <c r="AV90" s="9" t="n"/>
      <c r="AW90" s="8" t="n"/>
      <c r="AX90" s="9" t="inlineStr">
        <is>
          <t>N</t>
        </is>
      </c>
      <c r="AY90" s="9" t="inlineStr">
        <is>
          <t>Y</t>
        </is>
      </c>
      <c r="AZ90" s="9" t="inlineStr">
        <is>
          <t>Y</t>
        </is>
      </c>
      <c r="BA90" s="9" t="inlineStr">
        <is>
          <t>Y</t>
        </is>
      </c>
      <c r="BB90" s="9" t="inlineStr">
        <is>
          <t>Y</t>
        </is>
      </c>
      <c r="BC90" s="9" t="inlineStr">
        <is>
          <t>Y</t>
        </is>
      </c>
      <c r="BD90" s="9" t="n"/>
      <c r="BE90" s="9" t="inlineStr">
        <is>
          <t>N</t>
        </is>
      </c>
      <c r="BF90" s="9" t="n"/>
      <c r="BG90" s="9" t="n"/>
      <c r="BH90" s="9" t="n"/>
      <c r="BI90" s="9" t="n"/>
      <c r="BJ90" s="9" t="inlineStr">
        <is>
          <t>Y</t>
        </is>
      </c>
      <c r="BK90" s="9" t="inlineStr">
        <is>
          <t>N</t>
        </is>
      </c>
      <c r="BL90" s="9" t="inlineStr">
        <is>
          <t>N</t>
        </is>
      </c>
      <c r="BM90" s="9" t="inlineStr">
        <is>
          <t>Y</t>
        </is>
      </c>
      <c r="BN90" s="9" t="inlineStr">
        <is>
          <t>Y</t>
        </is>
      </c>
      <c r="BO90" s="8" t="n">
        <v>45938</v>
      </c>
      <c r="BP90" s="9" t="inlineStr">
        <is>
          <t>N</t>
        </is>
      </c>
      <c r="BQ90" s="9" t="inlineStr">
        <is>
          <t>Y</t>
        </is>
      </c>
      <c r="BR90" s="13">
        <f>IF(COUNTIF(AI90:BM90,"N")+COUNTBLANK(AI90:BM90)=0,"Y","N")</f>
        <v/>
      </c>
      <c r="BS90" s="13">
        <f>IF(AND(BR90="Y",OR(L90="Submitted",L90="Under Review")),"Y",IF(L90="Closed","Y","N"))</f>
        <v/>
      </c>
      <c r="BT90" s="10" t="n">
        <v>85</v>
      </c>
      <c r="BU90" s="13">
        <f>Rule_Flags!Q89</f>
        <v/>
      </c>
      <c r="BV90" s="13">
        <f>Rule_Flags!P89</f>
        <v/>
      </c>
      <c r="BW90" s="13">
        <f>IF(Rule_Flags!E89=1,"SITE_CONTROL",IF(Rule_Flags!F89=1,"APPROVALS",IF(Rule_Flags!G89=1,"REPORTS",IF(Rule_Flags!H89=1,"DEFICIENCY",IF(Rule_Flags!I89=1,"UNDERWRITING",IF(Rule_Flags!J89=1,"COMPLIANCE",""))))))</f>
        <v/>
      </c>
      <c r="BX90" s="13">
        <f>IF(BW90="SITE_CONTROL","Site control missing or invalid",IF(BW90="APPROVALS","Required approvals or resolutions incomplete",IF(BW90="REPORTS","Required third-party reports incomplete",IF(BW90="DEFICIENCY","Unresolved deficiency or material deficiency",IF(BW90="UNDERWRITING","Underwriting / feasibility not passed",IF(BW90="COMPLIANCE","Deconcentration, one-mile, LURA, or Chapter 12 issue","Ready under current engine rules"))))))</f>
        <v/>
      </c>
      <c r="BY90" s="13">
        <f>IF(BV90="Determination Notice","Streamlined + DN-ready assumptions satisfied",IF(BV90="Board","Board-required or board-ready assumptions satisfied",""))</f>
        <v/>
      </c>
      <c r="BZ90" s="13">
        <f>IF(AND(BP90="Y",BQ90&lt;&gt;"Y"),"Carryforward project retains queue priority",IF(BQ90="Y","New project enters behind carryforward projects",""))</f>
        <v/>
      </c>
      <c r="CA90" s="13">
        <f>_xludf.RANK.EQ(Rule_Flags!O89,Rule_Flags!$O$3:$O$402,0)</f>
        <v/>
      </c>
      <c r="CB90" s="13">
        <f>IF(OR(BU90="Determination Notice Issued",BU90="Board",BU90="Closed"),"Y","N")</f>
        <v/>
      </c>
      <c r="CC90" s="9" t="inlineStr">
        <is>
          <t>property_tax_exemption normalized from 'Y (50%)' to 'Y'</t>
        </is>
      </c>
      <c r="CD90" s="9" t="inlineStr">
        <is>
          <t>Lisa Toler</t>
        </is>
      </c>
      <c r="CE90" s="9" t="inlineStr">
        <is>
          <t>(334) 954-4458</t>
        </is>
      </c>
      <c r="CF90" s="9" t="inlineStr">
        <is>
          <t>lisa.toler@envolvellc.com</t>
        </is>
      </c>
      <c r="CG90" s="9" t="inlineStr">
        <is>
          <t>Clifford Herberg</t>
        </is>
      </c>
      <c r="CH90" s="9" t="inlineStr">
        <is>
          <t>(210) 362-5200</t>
        </is>
      </c>
    </row>
    <row r="91">
      <c r="A91" s="8" t="inlineStr">
        <is>
          <t>2026-02-10</t>
        </is>
      </c>
      <c r="B91" s="9" t="inlineStr">
        <is>
          <t>2026-02-10</t>
        </is>
      </c>
      <c r="C91" s="9" t="inlineStr">
        <is>
          <t>25489</t>
        </is>
      </c>
      <c r="D91" s="9" t="n">
        <v>98156</v>
      </c>
      <c r="E91" s="9" t="inlineStr">
        <is>
          <t>The Meadows</t>
        </is>
      </c>
      <c r="F91" s="9" t="inlineStr">
        <is>
          <t>Kerrville</t>
        </is>
      </c>
      <c r="G91" s="9" t="inlineStr">
        <is>
          <t>Kerr</t>
        </is>
      </c>
      <c r="H91" s="9" t="n">
        <v>9</v>
      </c>
      <c r="I91" s="9" t="inlineStr">
        <is>
          <t>2300 Junction Hwy</t>
        </is>
      </c>
      <c r="J91" s="9" t="n">
        <v>78028</v>
      </c>
      <c r="K91" s="8" t="n">
        <v>45938</v>
      </c>
      <c r="L91" s="9" t="inlineStr">
        <is>
          <t>Approved</t>
        </is>
      </c>
      <c r="M91" s="8" t="n">
        <v>46037</v>
      </c>
      <c r="N91" s="8" t="n">
        <v>46056</v>
      </c>
      <c r="O91" s="8" t="n">
        <v>45890</v>
      </c>
      <c r="P91" s="8" t="n">
        <v>46070</v>
      </c>
      <c r="Q91" s="8" t="n"/>
      <c r="R91" s="9" t="inlineStr">
        <is>
          <t>Acq/Rehab</t>
        </is>
      </c>
      <c r="S91" s="9" t="inlineStr">
        <is>
          <t>General</t>
        </is>
      </c>
      <c r="T91" s="10" t="n">
        <v>72</v>
      </c>
      <c r="U91" s="10" t="n">
        <v>72</v>
      </c>
      <c r="V91" s="9" t="n"/>
      <c r="W91" s="9" t="n"/>
      <c r="X91" s="9" t="inlineStr">
        <is>
          <t>Alamo Area PFC</t>
        </is>
      </c>
      <c r="Y91" s="9" t="inlineStr">
        <is>
          <t>Other</t>
        </is>
      </c>
      <c r="Z91" s="11" t="n">
        <v>22000000</v>
      </c>
      <c r="AA91" s="11" t="n"/>
      <c r="AB91" s="11" t="n">
        <v>597966</v>
      </c>
      <c r="AC91" s="11" t="n">
        <v>597966</v>
      </c>
      <c r="AD91" s="11" t="n"/>
      <c r="AE91" s="11" t="n"/>
      <c r="AF91" s="9" t="inlineStr">
        <is>
          <t>N</t>
        </is>
      </c>
      <c r="AG91" s="9" t="inlineStr">
        <is>
          <t>Y</t>
        </is>
      </c>
      <c r="AH91" s="9" t="inlineStr">
        <is>
          <t>Y</t>
        </is>
      </c>
      <c r="AI91" s="9" t="inlineStr">
        <is>
          <t>Y</t>
        </is>
      </c>
      <c r="AJ91" s="8" t="n"/>
      <c r="AK91" s="9" t="inlineStr">
        <is>
          <t>Y</t>
        </is>
      </c>
      <c r="AL91" s="9" t="inlineStr">
        <is>
          <t>Y</t>
        </is>
      </c>
      <c r="AM91" s="9" t="inlineStr">
        <is>
          <t>Y</t>
        </is>
      </c>
      <c r="AN91" s="9" t="n"/>
      <c r="AO91" s="9" t="n"/>
      <c r="AP91" s="9" t="n"/>
      <c r="AQ91" s="9" t="n"/>
      <c r="AR91" s="9" t="n"/>
      <c r="AS91" s="9" t="inlineStr">
        <is>
          <t>N</t>
        </is>
      </c>
      <c r="AT91" s="8" t="n"/>
      <c r="AU91" s="8" t="n"/>
      <c r="AV91" s="9" t="n"/>
      <c r="AW91" s="8" t="n"/>
      <c r="AX91" s="9" t="inlineStr">
        <is>
          <t>N</t>
        </is>
      </c>
      <c r="AY91" s="9" t="inlineStr">
        <is>
          <t>Y</t>
        </is>
      </c>
      <c r="AZ91" s="9" t="inlineStr">
        <is>
          <t>Y</t>
        </is>
      </c>
      <c r="BA91" s="9" t="inlineStr">
        <is>
          <t>Y</t>
        </is>
      </c>
      <c r="BB91" s="9" t="inlineStr">
        <is>
          <t>Y</t>
        </is>
      </c>
      <c r="BC91" s="9" t="inlineStr">
        <is>
          <t>Y</t>
        </is>
      </c>
      <c r="BD91" s="9" t="n"/>
      <c r="BE91" s="9" t="inlineStr">
        <is>
          <t>N</t>
        </is>
      </c>
      <c r="BF91" s="9" t="n"/>
      <c r="BG91" s="9" t="n"/>
      <c r="BH91" s="9" t="n"/>
      <c r="BI91" s="9" t="n"/>
      <c r="BJ91" s="9" t="inlineStr">
        <is>
          <t>Y</t>
        </is>
      </c>
      <c r="BK91" s="9" t="inlineStr">
        <is>
          <t>N</t>
        </is>
      </c>
      <c r="BL91" s="9" t="inlineStr">
        <is>
          <t>N</t>
        </is>
      </c>
      <c r="BM91" s="9" t="inlineStr">
        <is>
          <t>Y</t>
        </is>
      </c>
      <c r="BN91" s="9" t="inlineStr">
        <is>
          <t>Y</t>
        </is>
      </c>
      <c r="BO91" s="8" t="n">
        <v>45938</v>
      </c>
      <c r="BP91" s="9" t="inlineStr">
        <is>
          <t>N</t>
        </is>
      </c>
      <c r="BQ91" s="9" t="inlineStr">
        <is>
          <t>Y</t>
        </is>
      </c>
      <c r="BR91" s="13">
        <f>IF(COUNTIF(AI91:BM91,"N")+COUNTBLANK(AI91:BM91)=0,"Y","N")</f>
        <v/>
      </c>
      <c r="BS91" s="13">
        <f>IF(AND(BR91="Y",OR(L91="Submitted",L91="Under Review")),"Y",IF(L91="Closed","Y","N"))</f>
        <v/>
      </c>
      <c r="BT91" s="10" t="n">
        <v>86</v>
      </c>
      <c r="BU91" s="13">
        <f>Rule_Flags!Q90</f>
        <v/>
      </c>
      <c r="BV91" s="13">
        <f>Rule_Flags!P90</f>
        <v/>
      </c>
      <c r="BW91" s="13">
        <f>IF(Rule_Flags!E90=1,"SITE_CONTROL",IF(Rule_Flags!F90=1,"APPROVALS",IF(Rule_Flags!G90=1,"REPORTS",IF(Rule_Flags!H90=1,"DEFICIENCY",IF(Rule_Flags!I90=1,"UNDERWRITING",IF(Rule_Flags!J90=1,"COMPLIANCE",""))))))</f>
        <v/>
      </c>
      <c r="BX91" s="13">
        <f>IF(BW91="SITE_CONTROL","Site control missing or invalid",IF(BW91="APPROVALS","Required approvals or resolutions incomplete",IF(BW91="REPORTS","Required third-party reports incomplete",IF(BW91="DEFICIENCY","Unresolved deficiency or material deficiency",IF(BW91="UNDERWRITING","Underwriting / feasibility not passed",IF(BW91="COMPLIANCE","Deconcentration, one-mile, LURA, or Chapter 12 issue","Ready under current engine rules"))))))</f>
        <v/>
      </c>
      <c r="BY91" s="13">
        <f>IF(BV91="Determination Notice","Streamlined + DN-ready assumptions satisfied",IF(BV91="Board","Board-required or board-ready assumptions satisfied",""))</f>
        <v/>
      </c>
      <c r="BZ91" s="13">
        <f>IF(AND(BP91="Y",BQ91&lt;&gt;"Y"),"Carryforward project retains queue priority",IF(BQ91="Y","New project enters behind carryforward projects",""))</f>
        <v/>
      </c>
      <c r="CA91" s="13">
        <f>_xludf.RANK.EQ(Rule_Flags!O90,Rule_Flags!$O$3:$O$402,0)</f>
        <v/>
      </c>
      <c r="CB91" s="13">
        <f>IF(OR(BU91="Determination Notice Issued",BU91="Board",BU91="Closed"),"Y","N")</f>
        <v/>
      </c>
      <c r="CC91" s="9" t="inlineStr">
        <is>
          <t>property_tax_exemption normalized from 'Y (50%)' to 'Y'</t>
        </is>
      </c>
      <c r="CD91" s="9" t="inlineStr">
        <is>
          <t>Lisa Toler</t>
        </is>
      </c>
      <c r="CE91" s="9" t="inlineStr">
        <is>
          <t>(334) 954-4458</t>
        </is>
      </c>
      <c r="CF91" s="9" t="inlineStr">
        <is>
          <t>lisa.toler@envolvellc.com</t>
        </is>
      </c>
      <c r="CG91" s="9" t="inlineStr">
        <is>
          <t>Clifford Herberg</t>
        </is>
      </c>
      <c r="CH91" s="9" t="inlineStr">
        <is>
          <t>(210) 362-5200</t>
        </is>
      </c>
    </row>
    <row r="92">
      <c r="A92" s="8" t="inlineStr">
        <is>
          <t>2026-02-10</t>
        </is>
      </c>
      <c r="B92" s="9" t="inlineStr">
        <is>
          <t>2026-02-10</t>
        </is>
      </c>
      <c r="C92" s="9" t="inlineStr">
        <is>
          <t>25614</t>
        </is>
      </c>
      <c r="D92" s="9" t="n"/>
      <c r="E92" s="9" t="inlineStr">
        <is>
          <t>Lariat</t>
        </is>
      </c>
      <c r="F92" s="9" t="inlineStr">
        <is>
          <t>Mustang Ridge</t>
        </is>
      </c>
      <c r="G92" s="9" t="inlineStr">
        <is>
          <t>Travis</t>
        </is>
      </c>
      <c r="H92" s="9" t="n">
        <v>7</v>
      </c>
      <c r="I92" s="9" t="inlineStr">
        <is>
          <t>NEQ S Hwy 183 &amp; Gunnison Grove Ave</t>
        </is>
      </c>
      <c r="J92" s="9" t="n">
        <v>78610</v>
      </c>
      <c r="K92" s="8" t="n">
        <v>45966</v>
      </c>
      <c r="L92" s="9" t="inlineStr">
        <is>
          <t>Withdrawn</t>
        </is>
      </c>
      <c r="M92" s="8" t="inlineStr">
        <is>
          <t>TBD</t>
        </is>
      </c>
      <c r="N92" s="8" t="n"/>
      <c r="O92" s="8" t="inlineStr">
        <is>
          <t>TBD</t>
        </is>
      </c>
      <c r="P92" s="8" t="inlineStr">
        <is>
          <t>TBD</t>
        </is>
      </c>
      <c r="Q92" s="8" t="n"/>
      <c r="R92" s="9" t="inlineStr">
        <is>
          <t>New Construction</t>
        </is>
      </c>
      <c r="S92" s="9" t="inlineStr">
        <is>
          <t>General</t>
        </is>
      </c>
      <c r="T92" s="10" t="n">
        <v>264</v>
      </c>
      <c r="U92" s="10" t="n">
        <v>264</v>
      </c>
      <c r="V92" s="9" t="n"/>
      <c r="W92" s="9" t="n"/>
      <c r="X92" s="9" t="inlineStr">
        <is>
          <t>TDHCA</t>
        </is>
      </c>
      <c r="Y92" s="9" t="inlineStr">
        <is>
          <t>TDHCA</t>
        </is>
      </c>
      <c r="Z92" s="11" t="n">
        <v>50000000</v>
      </c>
      <c r="AA92" s="11" t="n"/>
      <c r="AB92" s="11" t="n">
        <v>4078838</v>
      </c>
      <c r="AC92" s="11" t="n"/>
      <c r="AD92" s="11" t="n"/>
      <c r="AE92" s="11" t="n"/>
      <c r="AF92" s="9" t="inlineStr">
        <is>
          <t>N</t>
        </is>
      </c>
      <c r="AG92" s="9" t="inlineStr">
        <is>
          <t>Y</t>
        </is>
      </c>
      <c r="AH92" s="9" t="n"/>
      <c r="AI92" s="9" t="inlineStr">
        <is>
          <t>Y</t>
        </is>
      </c>
      <c r="AJ92" s="8" t="n"/>
      <c r="AK92" s="9" t="inlineStr">
        <is>
          <t>Y</t>
        </is>
      </c>
      <c r="AL92" s="9" t="inlineStr">
        <is>
          <t>Y</t>
        </is>
      </c>
      <c r="AM92" s="9" t="inlineStr">
        <is>
          <t>Y</t>
        </is>
      </c>
      <c r="AN92" s="9" t="n"/>
      <c r="AO92" s="9" t="n"/>
      <c r="AP92" s="9" t="n"/>
      <c r="AQ92" s="9" t="n"/>
      <c r="AR92" s="9" t="n"/>
      <c r="AS92" s="9" t="inlineStr">
        <is>
          <t>N</t>
        </is>
      </c>
      <c r="AT92" s="8" t="n"/>
      <c r="AU92" s="8" t="n"/>
      <c r="AV92" s="9" t="n"/>
      <c r="AW92" s="8" t="n"/>
      <c r="AX92" s="9" t="inlineStr">
        <is>
          <t>N</t>
        </is>
      </c>
      <c r="AY92" s="9" t="inlineStr">
        <is>
          <t>Y</t>
        </is>
      </c>
      <c r="AZ92" s="9" t="inlineStr">
        <is>
          <t>Y</t>
        </is>
      </c>
      <c r="BA92" s="9" t="inlineStr">
        <is>
          <t>Y</t>
        </is>
      </c>
      <c r="BB92" s="9" t="inlineStr">
        <is>
          <t>Y</t>
        </is>
      </c>
      <c r="BC92" s="9" t="inlineStr">
        <is>
          <t>Y</t>
        </is>
      </c>
      <c r="BD92" s="9" t="n"/>
      <c r="BE92" s="9" t="inlineStr">
        <is>
          <t>N</t>
        </is>
      </c>
      <c r="BF92" s="9" t="n"/>
      <c r="BG92" s="9" t="n"/>
      <c r="BH92" s="9" t="n"/>
      <c r="BI92" s="9" t="n"/>
      <c r="BJ92" s="9" t="inlineStr">
        <is>
          <t>Y</t>
        </is>
      </c>
      <c r="BK92" s="9" t="inlineStr">
        <is>
          <t>N</t>
        </is>
      </c>
      <c r="BL92" s="9" t="inlineStr">
        <is>
          <t>N</t>
        </is>
      </c>
      <c r="BM92" s="9" t="inlineStr">
        <is>
          <t>Y</t>
        </is>
      </c>
      <c r="BN92" s="9" t="inlineStr">
        <is>
          <t>Y</t>
        </is>
      </c>
      <c r="BO92" s="8" t="n">
        <v>45966</v>
      </c>
      <c r="BP92" s="9" t="inlineStr">
        <is>
          <t>N</t>
        </is>
      </c>
      <c r="BQ92" s="9" t="inlineStr">
        <is>
          <t>Y</t>
        </is>
      </c>
      <c r="BR92" s="13">
        <f>IF(COUNTIF(AI92:BM92,"N")+COUNTBLANK(AI92:BM92)=0,"Y","N")</f>
        <v/>
      </c>
      <c r="BS92" s="13">
        <f>IF(AND(BR92="Y",OR(L92="Submitted",L92="Under Review")),"Y",IF(L92="Closed","Y","N"))</f>
        <v/>
      </c>
      <c r="BT92" s="10" t="n">
        <v>87</v>
      </c>
      <c r="BU92" s="13">
        <f>Rule_Flags!Q91</f>
        <v/>
      </c>
      <c r="BV92" s="13">
        <f>Rule_Flags!P91</f>
        <v/>
      </c>
      <c r="BW92" s="13">
        <f>IF(Rule_Flags!E91=1,"SITE_CONTROL",IF(Rule_Flags!F91=1,"APPROVALS",IF(Rule_Flags!G91=1,"REPORTS",IF(Rule_Flags!H91=1,"DEFICIENCY",IF(Rule_Flags!I91=1,"UNDERWRITING",IF(Rule_Flags!J91=1,"COMPLIANCE",""))))))</f>
        <v/>
      </c>
      <c r="BX92" s="13">
        <f>IF(BW92="SITE_CONTROL","Site control missing or invalid",IF(BW92="APPROVALS","Required approvals or resolutions incomplete",IF(BW92="REPORTS","Required third-party reports incomplete",IF(BW92="DEFICIENCY","Unresolved deficiency or material deficiency",IF(BW92="UNDERWRITING","Underwriting / feasibility not passed",IF(BW92="COMPLIANCE","Deconcentration, one-mile, LURA, or Chapter 12 issue","Ready under current engine rules"))))))</f>
        <v/>
      </c>
      <c r="BY92" s="13">
        <f>IF(BV92="Determination Notice","Streamlined + DN-ready assumptions satisfied",IF(BV92="Board","Board-required or board-ready assumptions satisfied",""))</f>
        <v/>
      </c>
      <c r="BZ92" s="13">
        <f>IF(AND(BP92="Y",BQ92&lt;&gt;"Y"),"Carryforward project retains queue priority",IF(BQ92="Y","New project enters behind carryforward projects",""))</f>
        <v/>
      </c>
      <c r="CA92" s="13">
        <f>_xludf.RANK.EQ(Rule_Flags!O91,Rule_Flags!$O$3:$O$402,0)</f>
        <v/>
      </c>
      <c r="CB92" s="13">
        <f>IF(OR(BU92="Determination Notice Issued",BU92="Board",BU92="Closed"),"Y","N")</f>
        <v/>
      </c>
      <c r="CC92" s="9" t="inlineStr">
        <is>
          <t>construction_type mapped from raw 'NC' to 'New Construction'</t>
        </is>
      </c>
      <c r="CD92" s="9" t="inlineStr">
        <is>
          <t>Jason Trevino</t>
        </is>
      </c>
      <c r="CE92" s="9" t="inlineStr">
        <is>
          <t>(512) 578-8488</t>
        </is>
      </c>
      <c r="CF92" s="9" t="inlineStr">
        <is>
          <t>jtrevino@ldgdevelopment.com</t>
        </is>
      </c>
      <c r="CG92" s="9" t="inlineStr">
        <is>
          <t>Teresa Morales</t>
        </is>
      </c>
      <c r="CH92" s="9" t="inlineStr">
        <is>
          <t>(512) 475-3344</t>
        </is>
      </c>
    </row>
    <row r="93">
      <c r="A93" s="8" t="inlineStr">
        <is>
          <t>2026-02-10</t>
        </is>
      </c>
      <c r="B93" s="9" t="inlineStr">
        <is>
          <t>2026-02-10</t>
        </is>
      </c>
      <c r="C93" s="9" t="inlineStr">
        <is>
          <t>25482</t>
        </is>
      </c>
      <c r="D93" s="9" t="n"/>
      <c r="E93" s="9" t="inlineStr">
        <is>
          <t>Tapestry at Easton Park</t>
        </is>
      </c>
      <c r="F93" s="9" t="inlineStr">
        <is>
          <t>Austin</t>
        </is>
      </c>
      <c r="G93" s="9" t="inlineStr">
        <is>
          <t>Travis</t>
        </is>
      </c>
      <c r="H93" s="9" t="n">
        <v>7</v>
      </c>
      <c r="I93" s="9" t="inlineStr">
        <is>
          <t>7504 Cota Vista Drive</t>
        </is>
      </c>
      <c r="J93" s="9" t="n">
        <v>78744</v>
      </c>
      <c r="K93" s="8" t="n">
        <v>45974</v>
      </c>
      <c r="L93" s="9" t="inlineStr">
        <is>
          <t>Withdrawn</t>
        </is>
      </c>
      <c r="M93" s="8" t="n">
        <v>46037</v>
      </c>
      <c r="N93" s="8" t="n"/>
      <c r="O93" s="8" t="n">
        <v>45881</v>
      </c>
      <c r="P93" s="8" t="n">
        <v>46061</v>
      </c>
      <c r="Q93" s="8" t="n"/>
      <c r="R93" s="9" t="inlineStr">
        <is>
          <t>New Construction</t>
        </is>
      </c>
      <c r="S93" s="9" t="inlineStr">
        <is>
          <t>General</t>
        </is>
      </c>
      <c r="T93" s="10" t="n">
        <v>323</v>
      </c>
      <c r="U93" s="10" t="n">
        <v>323</v>
      </c>
      <c r="V93" s="9" t="n"/>
      <c r="W93" s="9" t="n"/>
      <c r="X93" s="9" t="inlineStr">
        <is>
          <t>Travis County HFC</t>
        </is>
      </c>
      <c r="Y93" s="9" t="inlineStr">
        <is>
          <t>Local HFC</t>
        </is>
      </c>
      <c r="Z93" s="11" t="n">
        <v>52000000</v>
      </c>
      <c r="AA93" s="11" t="n"/>
      <c r="AB93" s="11" t="n">
        <v>2955340</v>
      </c>
      <c r="AC93" s="11" t="n"/>
      <c r="AD93" s="11" t="n"/>
      <c r="AE93" s="11" t="n"/>
      <c r="AF93" s="9" t="inlineStr">
        <is>
          <t>N</t>
        </is>
      </c>
      <c r="AG93" s="9" t="inlineStr">
        <is>
          <t>Y</t>
        </is>
      </c>
      <c r="AH93" s="9" t="n"/>
      <c r="AI93" s="9" t="inlineStr">
        <is>
          <t>Y</t>
        </is>
      </c>
      <c r="AJ93" s="8" t="n"/>
      <c r="AK93" s="9" t="inlineStr">
        <is>
          <t>Y</t>
        </is>
      </c>
      <c r="AL93" s="9" t="inlineStr">
        <is>
          <t>Y</t>
        </is>
      </c>
      <c r="AM93" s="9" t="inlineStr">
        <is>
          <t>Y</t>
        </is>
      </c>
      <c r="AN93" s="9" t="n"/>
      <c r="AO93" s="9" t="n"/>
      <c r="AP93" s="9" t="n"/>
      <c r="AQ93" s="9" t="n"/>
      <c r="AR93" s="9" t="n"/>
      <c r="AS93" s="9" t="inlineStr">
        <is>
          <t>N</t>
        </is>
      </c>
      <c r="AT93" s="8" t="n"/>
      <c r="AU93" s="8" t="n"/>
      <c r="AV93" s="9" t="n"/>
      <c r="AW93" s="8" t="n"/>
      <c r="AX93" s="9" t="inlineStr">
        <is>
          <t>N</t>
        </is>
      </c>
      <c r="AY93" s="9" t="inlineStr">
        <is>
          <t>Y</t>
        </is>
      </c>
      <c r="AZ93" s="9" t="inlineStr">
        <is>
          <t>Y</t>
        </is>
      </c>
      <c r="BA93" s="9" t="inlineStr">
        <is>
          <t>Y</t>
        </is>
      </c>
      <c r="BB93" s="9" t="inlineStr">
        <is>
          <t>Y</t>
        </is>
      </c>
      <c r="BC93" s="9" t="inlineStr">
        <is>
          <t>Y</t>
        </is>
      </c>
      <c r="BD93" s="9" t="n"/>
      <c r="BE93" s="9" t="inlineStr">
        <is>
          <t>N</t>
        </is>
      </c>
      <c r="BF93" s="9" t="n"/>
      <c r="BG93" s="9" t="n"/>
      <c r="BH93" s="9" t="n"/>
      <c r="BI93" s="9" t="n"/>
      <c r="BJ93" s="9" t="inlineStr">
        <is>
          <t>Y</t>
        </is>
      </c>
      <c r="BK93" s="9" t="inlineStr">
        <is>
          <t>N</t>
        </is>
      </c>
      <c r="BL93" s="9" t="inlineStr">
        <is>
          <t>N</t>
        </is>
      </c>
      <c r="BM93" s="9" t="inlineStr">
        <is>
          <t>Y</t>
        </is>
      </c>
      <c r="BN93" s="9" t="inlineStr">
        <is>
          <t>Y</t>
        </is>
      </c>
      <c r="BO93" s="8" t="n">
        <v>45974</v>
      </c>
      <c r="BP93" s="9" t="inlineStr">
        <is>
          <t>N</t>
        </is>
      </c>
      <c r="BQ93" s="9" t="inlineStr">
        <is>
          <t>Y</t>
        </is>
      </c>
      <c r="BR93" s="13">
        <f>IF(COUNTIF(AI93:BM93,"N")+COUNTBLANK(AI93:BM93)=0,"Y","N")</f>
        <v/>
      </c>
      <c r="BS93" s="13">
        <f>IF(AND(BR93="Y",OR(L93="Submitted",L93="Under Review")),"Y",IF(L93="Closed","Y","N"))</f>
        <v/>
      </c>
      <c r="BT93" s="10" t="n">
        <v>88</v>
      </c>
      <c r="BU93" s="13">
        <f>Rule_Flags!Q92</f>
        <v/>
      </c>
      <c r="BV93" s="13">
        <f>Rule_Flags!P92</f>
        <v/>
      </c>
      <c r="BW93" s="13">
        <f>IF(Rule_Flags!E92=1,"SITE_CONTROL",IF(Rule_Flags!F92=1,"APPROVALS",IF(Rule_Flags!G92=1,"REPORTS",IF(Rule_Flags!H92=1,"DEFICIENCY",IF(Rule_Flags!I92=1,"UNDERWRITING",IF(Rule_Flags!J92=1,"COMPLIANCE",""))))))</f>
        <v/>
      </c>
      <c r="BX93" s="13">
        <f>IF(BW93="SITE_CONTROL","Site control missing or invalid",IF(BW93="APPROVALS","Required approvals or resolutions incomplete",IF(BW93="REPORTS","Required third-party reports incomplete",IF(BW93="DEFICIENCY","Unresolved deficiency or material deficiency",IF(BW93="UNDERWRITING","Underwriting / feasibility not passed",IF(BW93="COMPLIANCE","Deconcentration, one-mile, LURA, or Chapter 12 issue","Ready under current engine rules"))))))</f>
        <v/>
      </c>
      <c r="BY93" s="13">
        <f>IF(BV93="Determination Notice","Streamlined + DN-ready assumptions satisfied",IF(BV93="Board","Board-required or board-ready assumptions satisfied",""))</f>
        <v/>
      </c>
      <c r="BZ93" s="13">
        <f>IF(AND(BP93="Y",BQ93&lt;&gt;"Y"),"Carryforward project retains queue priority",IF(BQ93="Y","New project enters behind carryforward projects",""))</f>
        <v/>
      </c>
      <c r="CA93" s="13">
        <f>_xludf.RANK.EQ(Rule_Flags!O92,Rule_Flags!$O$3:$O$402,0)</f>
        <v/>
      </c>
      <c r="CB93" s="13">
        <f>IF(OR(BU93="Determination Notice Issued",BU93="Board",BU93="Closed"),"Y","N")</f>
        <v/>
      </c>
      <c r="CC93" s="9" t="inlineStr">
        <is>
          <t>construction_type mapped from raw 'NC' to 'New Construction'</t>
        </is>
      </c>
      <c r="CD93" s="9" t="inlineStr">
        <is>
          <t>Mark Gregg</t>
        </is>
      </c>
      <c r="CE93" s="9" t="inlineStr">
        <is>
          <t>(210) 771-4127</t>
        </is>
      </c>
      <c r="CF93" s="9" t="inlineStr">
        <is>
          <t>mgregg@streamlineap.com</t>
        </is>
      </c>
      <c r="CG93" s="9" t="inlineStr">
        <is>
          <t>Andy Brown</t>
        </is>
      </c>
      <c r="CH93" s="9" t="inlineStr">
        <is>
          <t>(512) 854‐9555</t>
        </is>
      </c>
    </row>
    <row r="94">
      <c r="A94" s="8" t="inlineStr">
        <is>
          <t>2026-02-10</t>
        </is>
      </c>
      <c r="B94" s="9" t="inlineStr">
        <is>
          <t>2026-02-10</t>
        </is>
      </c>
      <c r="C94" s="9" t="inlineStr">
        <is>
          <t>25615</t>
        </is>
      </c>
      <c r="D94" s="9" t="n"/>
      <c r="E94" s="9" t="inlineStr">
        <is>
          <t>Mela Ranch</t>
        </is>
      </c>
      <c r="F94" s="9" t="inlineStr">
        <is>
          <t>Cleburne</t>
        </is>
      </c>
      <c r="G94" s="9" t="inlineStr">
        <is>
          <t>Johnson</t>
        </is>
      </c>
      <c r="H94" s="9" t="n">
        <v>3</v>
      </c>
      <c r="I94" s="9" t="inlineStr">
        <is>
          <t>427 N. Hyde Park Boulevard</t>
        </is>
      </c>
      <c r="J94" s="9" t="n">
        <v>76033</v>
      </c>
      <c r="K94" s="8" t="n">
        <v>45987</v>
      </c>
      <c r="L94" s="9" t="inlineStr">
        <is>
          <t>Pre-Application</t>
        </is>
      </c>
      <c r="M94" s="8" t="inlineStr">
        <is>
          <t>TBD</t>
        </is>
      </c>
      <c r="N94" s="8" t="n"/>
      <c r="O94" s="8" t="inlineStr">
        <is>
          <t>TBD</t>
        </is>
      </c>
      <c r="P94" s="8" t="inlineStr">
        <is>
          <t>TBD</t>
        </is>
      </c>
      <c r="Q94" s="8" t="n"/>
      <c r="R94" s="9" t="inlineStr">
        <is>
          <t>New Construction</t>
        </is>
      </c>
      <c r="S94" s="9" t="inlineStr">
        <is>
          <t>General</t>
        </is>
      </c>
      <c r="T94" s="10" t="n">
        <v>280</v>
      </c>
      <c r="U94" s="10" t="n">
        <v>280</v>
      </c>
      <c r="V94" s="9" t="n"/>
      <c r="W94" s="9" t="n"/>
      <c r="X94" s="9" t="inlineStr">
        <is>
          <t>TDHCA</t>
        </is>
      </c>
      <c r="Y94" s="9" t="inlineStr">
        <is>
          <t>TDHCA</t>
        </is>
      </c>
      <c r="Z94" s="11" t="n">
        <v>31000000</v>
      </c>
      <c r="AA94" s="11" t="n"/>
      <c r="AB94" s="11" t="n">
        <v>2865362</v>
      </c>
      <c r="AC94" s="11" t="n"/>
      <c r="AD94" s="11" t="n"/>
      <c r="AE94" s="11" t="n"/>
      <c r="AF94" s="9" t="inlineStr">
        <is>
          <t>N</t>
        </is>
      </c>
      <c r="AG94" s="9" t="inlineStr">
        <is>
          <t>Y</t>
        </is>
      </c>
      <c r="AH94" s="9" t="n"/>
      <c r="AI94" s="9" t="inlineStr">
        <is>
          <t>Y</t>
        </is>
      </c>
      <c r="AJ94" s="8" t="n"/>
      <c r="AK94" s="9" t="inlineStr">
        <is>
          <t>Y</t>
        </is>
      </c>
      <c r="AL94" s="9" t="inlineStr">
        <is>
          <t>Y</t>
        </is>
      </c>
      <c r="AM94" s="9" t="inlineStr">
        <is>
          <t>Y</t>
        </is>
      </c>
      <c r="AN94" s="9" t="n"/>
      <c r="AO94" s="9" t="n"/>
      <c r="AP94" s="9" t="n"/>
      <c r="AQ94" s="9" t="n"/>
      <c r="AR94" s="9" t="n"/>
      <c r="AS94" s="9" t="inlineStr">
        <is>
          <t>N</t>
        </is>
      </c>
      <c r="AT94" s="8" t="n"/>
      <c r="AU94" s="8" t="n"/>
      <c r="AV94" s="9" t="n"/>
      <c r="AW94" s="8" t="n"/>
      <c r="AX94" s="9" t="inlineStr">
        <is>
          <t>N</t>
        </is>
      </c>
      <c r="AY94" s="9" t="inlineStr">
        <is>
          <t>Y</t>
        </is>
      </c>
      <c r="AZ94" s="9" t="inlineStr">
        <is>
          <t>Y</t>
        </is>
      </c>
      <c r="BA94" s="9" t="inlineStr">
        <is>
          <t>Y</t>
        </is>
      </c>
      <c r="BB94" s="9" t="inlineStr">
        <is>
          <t>Y</t>
        </is>
      </c>
      <c r="BC94" s="9" t="inlineStr">
        <is>
          <t>Y</t>
        </is>
      </c>
      <c r="BD94" s="9" t="n"/>
      <c r="BE94" s="9" t="inlineStr">
        <is>
          <t>N</t>
        </is>
      </c>
      <c r="BF94" s="9" t="n"/>
      <c r="BG94" s="9" t="n"/>
      <c r="BH94" s="9" t="n"/>
      <c r="BI94" s="9" t="n"/>
      <c r="BJ94" s="9" t="inlineStr">
        <is>
          <t>Y</t>
        </is>
      </c>
      <c r="BK94" s="9" t="inlineStr">
        <is>
          <t>N</t>
        </is>
      </c>
      <c r="BL94" s="9" t="inlineStr">
        <is>
          <t>N</t>
        </is>
      </c>
      <c r="BM94" s="9" t="inlineStr">
        <is>
          <t>Y</t>
        </is>
      </c>
      <c r="BN94" s="9" t="inlineStr">
        <is>
          <t>Y</t>
        </is>
      </c>
      <c r="BO94" s="8" t="n">
        <v>45987</v>
      </c>
      <c r="BP94" s="9" t="inlineStr">
        <is>
          <t>N</t>
        </is>
      </c>
      <c r="BQ94" s="9" t="inlineStr">
        <is>
          <t>Y</t>
        </is>
      </c>
      <c r="BR94" s="13">
        <f>IF(COUNTIF(AI94:BM94,"N")+COUNTBLANK(AI94:BM94)=0,"Y","N")</f>
        <v/>
      </c>
      <c r="BS94" s="13">
        <f>IF(AND(BR94="Y",OR(L94="Submitted",L94="Under Review")),"Y",IF(L94="Closed","Y","N"))</f>
        <v/>
      </c>
      <c r="BT94" s="10" t="n">
        <v>89</v>
      </c>
      <c r="BU94" s="13">
        <f>Rule_Flags!Q93</f>
        <v/>
      </c>
      <c r="BV94" s="13">
        <f>Rule_Flags!P93</f>
        <v/>
      </c>
      <c r="BW94" s="13">
        <f>IF(Rule_Flags!E93=1,"SITE_CONTROL",IF(Rule_Flags!F93=1,"APPROVALS",IF(Rule_Flags!G93=1,"REPORTS",IF(Rule_Flags!H93=1,"DEFICIENCY",IF(Rule_Flags!I93=1,"UNDERWRITING",IF(Rule_Flags!J93=1,"COMPLIANCE",""))))))</f>
        <v/>
      </c>
      <c r="BX94" s="13">
        <f>IF(BW94="SITE_CONTROL","Site control missing or invalid",IF(BW94="APPROVALS","Required approvals or resolutions incomplete",IF(BW94="REPORTS","Required third-party reports incomplete",IF(BW94="DEFICIENCY","Unresolved deficiency or material deficiency",IF(BW94="UNDERWRITING","Underwriting / feasibility not passed",IF(BW94="COMPLIANCE","Deconcentration, one-mile, LURA, or Chapter 12 issue","Ready under current engine rules"))))))</f>
        <v/>
      </c>
      <c r="BY94" s="13">
        <f>IF(BV94="Determination Notice","Streamlined + DN-ready assumptions satisfied",IF(BV94="Board","Board-required or board-ready assumptions satisfied",""))</f>
        <v/>
      </c>
      <c r="BZ94" s="13">
        <f>IF(AND(BP94="Y",BQ94&lt;&gt;"Y"),"Carryforward project retains queue priority",IF(BQ94="Y","New project enters behind carryforward projects",""))</f>
        <v/>
      </c>
      <c r="CA94" s="13">
        <f>_xludf.RANK.EQ(Rule_Flags!O93,Rule_Flags!$O$3:$O$402,0)</f>
        <v/>
      </c>
      <c r="CB94" s="13">
        <f>IF(OR(BU94="Determination Notice Issued",BU94="Board",BU94="Closed"),"Y","N")</f>
        <v/>
      </c>
      <c r="CC94" s="9" t="inlineStr">
        <is>
          <t>construction_type mapped from raw 'NC' to 'New Construction'</t>
        </is>
      </c>
      <c r="CD94" s="9" t="inlineStr">
        <is>
          <t>Jerod Mund</t>
        </is>
      </c>
      <c r="CE94" s="9" t="inlineStr">
        <is>
          <t>(817) 300-9838</t>
        </is>
      </c>
      <c r="CF94" s="9" t="inlineStr">
        <is>
          <t>jmund00@gmail.com</t>
        </is>
      </c>
      <c r="CG94" s="9" t="inlineStr">
        <is>
          <t>Teresa Morales</t>
        </is>
      </c>
      <c r="CH94" s="9" t="inlineStr">
        <is>
          <t>(512) 473-3344</t>
        </is>
      </c>
    </row>
    <row r="95">
      <c r="A95" s="8" t="n"/>
      <c r="B95" s="9" t="n"/>
      <c r="C95" s="9" t="n"/>
      <c r="D95" s="9" t="n"/>
      <c r="E95" s="9" t="inlineStr">
        <is>
          <t>Jimbo's Apartment</t>
        </is>
      </c>
      <c r="F95" s="9" t="inlineStr">
        <is>
          <t>Houston</t>
        </is>
      </c>
      <c r="G95" s="9" t="n"/>
      <c r="H95" s="9" t="n"/>
      <c r="I95" s="9" t="n"/>
      <c r="J95" s="9" t="n"/>
      <c r="K95" s="8" t="n"/>
      <c r="L95" s="9" t="n"/>
      <c r="M95" s="8" t="n"/>
      <c r="N95" s="8" t="n"/>
      <c r="O95" s="8" t="n"/>
      <c r="P95" s="8" t="n"/>
      <c r="Q95" s="8" t="n"/>
      <c r="R95" s="9" t="inlineStr">
        <is>
          <t>New Construction</t>
        </is>
      </c>
      <c r="S95" s="9" t="n"/>
      <c r="T95" s="10" t="n">
        <v>100</v>
      </c>
      <c r="U95" s="10" t="n"/>
      <c r="V95" s="9" t="n"/>
      <c r="W95" s="9" t="n"/>
      <c r="X95" s="9" t="n"/>
      <c r="Y95" s="9" t="n"/>
      <c r="Z95" s="11" t="n"/>
      <c r="AA95" s="11" t="n"/>
      <c r="AB95" s="11" t="n">
        <v>10</v>
      </c>
      <c r="AC95" s="11" t="n"/>
      <c r="AD95" s="11" t="n"/>
      <c r="AE95" s="11" t="n"/>
      <c r="AF95" s="9" t="n"/>
      <c r="AG95" s="9" t="n"/>
      <c r="AH95" s="9" t="n"/>
      <c r="AI95" s="9" t="inlineStr">
        <is>
          <t>Y</t>
        </is>
      </c>
      <c r="AJ95" s="8" t="n"/>
      <c r="AK95" s="9" t="inlineStr">
        <is>
          <t>Y</t>
        </is>
      </c>
      <c r="AL95" s="9" t="inlineStr">
        <is>
          <t>Y</t>
        </is>
      </c>
      <c r="AM95" s="9" t="inlineStr">
        <is>
          <t>Y</t>
        </is>
      </c>
      <c r="AN95" s="9" t="n"/>
      <c r="AO95" s="9" t="n"/>
      <c r="AP95" s="9" t="n"/>
      <c r="AQ95" s="9" t="n"/>
      <c r="AR95" s="9" t="n"/>
      <c r="AS95" s="9" t="inlineStr">
        <is>
          <t>N</t>
        </is>
      </c>
      <c r="AT95" s="8" t="n"/>
      <c r="AU95" s="8" t="n"/>
      <c r="AV95" s="9" t="n"/>
      <c r="AW95" s="8" t="n"/>
      <c r="AX95" s="9" t="inlineStr">
        <is>
          <t>N</t>
        </is>
      </c>
      <c r="AY95" s="9" t="inlineStr">
        <is>
          <t>Y</t>
        </is>
      </c>
      <c r="AZ95" s="9" t="inlineStr">
        <is>
          <t>Y</t>
        </is>
      </c>
      <c r="BA95" s="9" t="inlineStr">
        <is>
          <t>Y</t>
        </is>
      </c>
      <c r="BB95" s="9" t="inlineStr">
        <is>
          <t>Y</t>
        </is>
      </c>
      <c r="BC95" s="9" t="inlineStr">
        <is>
          <t>Y</t>
        </is>
      </c>
      <c r="BD95" s="9" t="n"/>
      <c r="BE95" s="9" t="inlineStr">
        <is>
          <t>N</t>
        </is>
      </c>
      <c r="BF95" s="9" t="n"/>
      <c r="BG95" s="9" t="n"/>
      <c r="BH95" s="9" t="n"/>
      <c r="BI95" s="9" t="n"/>
      <c r="BJ95" s="9" t="inlineStr">
        <is>
          <t>Y</t>
        </is>
      </c>
      <c r="BK95" s="9" t="inlineStr">
        <is>
          <t>N</t>
        </is>
      </c>
      <c r="BL95" s="9" t="inlineStr">
        <is>
          <t>N</t>
        </is>
      </c>
      <c r="BM95" s="9" t="inlineStr">
        <is>
          <t>Y</t>
        </is>
      </c>
      <c r="BN95" s="9" t="inlineStr">
        <is>
          <t>Y</t>
        </is>
      </c>
      <c r="BO95" s="8" t="n"/>
      <c r="BP95" s="9" t="inlineStr">
        <is>
          <t>N</t>
        </is>
      </c>
      <c r="BQ95" s="9" t="inlineStr">
        <is>
          <t>Y</t>
        </is>
      </c>
      <c r="BR95" s="12">
        <f>IF(COUNTIF(AI95:BM95,"N")+COUNTBLANK(AI95:BM95)=0,"Y","N")</f>
        <v/>
      </c>
      <c r="BS95" s="12">
        <f>IF(AND(BR95="Y",OR(L95="Submitted",L95="Under Review")),"Y",IF(L95="Closed","Y","N"))</f>
        <v/>
      </c>
      <c r="BT95" s="10" t="n"/>
      <c r="BU95" s="13">
        <f>IF(L95="Closed","Closed",IF(OR(L95="Withdrawn",L95="Terminated"),L95,IF(OR(AI95="N",AI95="",AK95="N",AK95="",AL95="N",AL95="",AM95="N",AM95="",AX95="Y",AND(AS95="Y",AV95&lt;&gt;"Y"),AZ95="N",AZ95="",BA95="N",BA95="",BB95="N",BB95="",BC95="N",BE95="Y",BL95="Y"),"No Advancement",IF(AND(BJ95="Y",BM95="Y",BK95&lt;&gt;"Y"),"Determination Notice Issued",IF(OR(BN95="Y",BK95="Y"),"Board","Under Review")))))</f>
        <v/>
      </c>
      <c r="BV95" s="13">
        <f>IF(BU95="Determination Notice Issued","Determination Notice",IF(BU95="Board","Board",IF(BU95="No Advancement","Blocked","Under Review")))</f>
        <v/>
      </c>
      <c r="BW95" s="13">
        <f>IF(OR(AI95="N",AI95=""),"SITE_CONTROL",IF(OR(AK95="N",AK95="",AL95="N",AL95=""),"APPROVALS",IF(OR(AM95="N",AM95=""),"REPORTS",IF(OR(AX95="Y",AND(AS95="Y",AV95&lt;&gt;"Y")),"DEFICIENCY",IF(OR(AZ95="N",AZ95="",BA95="N",BA95=""),"UNDERWRITING",IF(OR(BB95="N",BB95="",BC95="N",BE95="Y",BL95="Y"),"COMPLIANCE",""))))))</f>
        <v/>
      </c>
      <c r="BX95" s="13">
        <f>IF(BW95="","Ready under current engine rules",BW95)</f>
        <v/>
      </c>
      <c r="BY95" s="13" t="n"/>
      <c r="BZ95" s="13" t="n"/>
      <c r="CA95" s="14">
        <f>1</f>
        <v/>
      </c>
      <c r="CB95" s="13">
        <f>IF(OR(BU95="Determination Notice Issued",BU95="Board",BU95="Closed"),"Y","N")</f>
        <v/>
      </c>
      <c r="CC95" s="9" t="n"/>
      <c r="CD95" s="9" t="n"/>
      <c r="CE95" s="9" t="n"/>
      <c r="CF95" s="9" t="n"/>
      <c r="CG95" s="9" t="n"/>
      <c r="CH95" s="9" t="n"/>
    </row>
    <row r="96">
      <c r="A96" s="8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8" t="n"/>
      <c r="L96" s="9" t="n"/>
      <c r="M96" s="8" t="n"/>
      <c r="N96" s="8" t="n"/>
      <c r="O96" s="8" t="n"/>
      <c r="P96" s="8" t="n"/>
      <c r="Q96" s="8" t="n"/>
      <c r="R96" s="9" t="n"/>
      <c r="S96" s="9" t="n"/>
      <c r="T96" s="10" t="n"/>
      <c r="U96" s="10" t="n"/>
      <c r="V96" s="9" t="n"/>
      <c r="W96" s="9" t="n"/>
      <c r="X96" s="9" t="n"/>
      <c r="Y96" s="9" t="n"/>
      <c r="Z96" s="11" t="n"/>
      <c r="AA96" s="11" t="n"/>
      <c r="AB96" s="11" t="n"/>
      <c r="AC96" s="11" t="n"/>
      <c r="AD96" s="11" t="n"/>
      <c r="AE96" s="11" t="n"/>
      <c r="AF96" s="9" t="n"/>
      <c r="AG96" s="9" t="n"/>
      <c r="AH96" s="9" t="n"/>
      <c r="AI96" s="9" t="n"/>
      <c r="AJ96" s="8" t="n"/>
      <c r="AK96" s="9" t="n"/>
      <c r="AL96" s="9" t="n"/>
      <c r="AM96" s="9" t="n"/>
      <c r="AN96" s="9" t="n"/>
      <c r="AO96" s="9" t="n"/>
      <c r="AP96" s="9" t="n"/>
      <c r="AQ96" s="9" t="n"/>
      <c r="AR96" s="9" t="n"/>
      <c r="AS96" s="9" t="n"/>
      <c r="AT96" s="8" t="n"/>
      <c r="AU96" s="8" t="n"/>
      <c r="AV96" s="9" t="n"/>
      <c r="AW96" s="8" t="n"/>
      <c r="AX96" s="9" t="n"/>
      <c r="AY96" s="9" t="n"/>
      <c r="AZ96" s="9" t="n"/>
      <c r="BA96" s="9" t="n"/>
      <c r="BB96" s="9" t="n"/>
      <c r="BC96" s="9" t="n"/>
      <c r="BD96" s="9" t="n"/>
      <c r="BE96" s="9" t="n"/>
      <c r="BF96" s="9" t="n"/>
      <c r="BG96" s="9" t="n"/>
      <c r="BH96" s="9" t="n"/>
      <c r="BI96" s="9" t="n"/>
      <c r="BJ96" s="9" t="n"/>
      <c r="BK96" s="9" t="n"/>
      <c r="BL96" s="9" t="n"/>
      <c r="BM96" s="9" t="n"/>
      <c r="BN96" s="9" t="n"/>
      <c r="BO96" s="8" t="n"/>
      <c r="BP96" s="9" t="n"/>
      <c r="BQ96" s="9" t="n"/>
      <c r="BR96" s="13">
        <f>IF(COUNTIF(AI96:BM96,"N")+COUNTBLANK(AI96:BM96)=0,"Y","N")</f>
        <v/>
      </c>
      <c r="BS96" s="13">
        <f>IF(AND(BR96="Y",OR(L96="Submitted",L96="Under Review")),"Y",IF(L96="Closed","Y","N"))</f>
        <v/>
      </c>
      <c r="BT96" s="10" t="n"/>
      <c r="BU96" s="13">
        <f>Rule_Flags!Q95</f>
        <v/>
      </c>
      <c r="BV96" s="13">
        <f>Rule_Flags!P95</f>
        <v/>
      </c>
      <c r="BW96" s="13">
        <f>IF(Rule_Flags!E95=1,"SITE_CONTROL",IF(Rule_Flags!F95=1,"APPROVALS",IF(Rule_Flags!G95=1,"REPORTS",IF(Rule_Flags!H95=1,"DEFICIENCY",IF(Rule_Flags!I95=1,"UNDERWRITING",IF(Rule_Flags!J95=1,"COMPLIANCE",""))))))</f>
        <v/>
      </c>
      <c r="BX96" s="13">
        <f>IF(BW96="SITE_CONTROL","Site control missing or invalid",IF(BW96="APPROVALS","Required approvals or resolutions incomplete",IF(BW96="REPORTS","Required third-party reports incomplete",IF(BW96="DEFICIENCY","Unresolved deficiency or material deficiency",IF(BW96="UNDERWRITING","Underwriting / feasibility not passed",IF(BW96="COMPLIANCE","Deconcentration, one-mile, LURA, or Chapter 12 issue","Ready under current engine rules"))))))</f>
        <v/>
      </c>
      <c r="BY96" s="13">
        <f>IF(BV96="Determination Notice","Streamlined + DN-ready assumptions satisfied",IF(BV96="Board","Board-required or board-ready assumptions satisfied",""))</f>
        <v/>
      </c>
      <c r="BZ96" s="13">
        <f>IF(AND(BP96="Y",BQ96&lt;&gt;"Y"),"Carryforward project retains queue priority",IF(BQ96="Y","New project enters behind carryforward projects",""))</f>
        <v/>
      </c>
      <c r="CA96" s="13">
        <f>_xludf.RANK.EQ(Rule_Flags!O95,Rule_Flags!$O$3:$O$402,0)</f>
        <v/>
      </c>
      <c r="CB96" s="13">
        <f>IF(OR(BU96="Determination Notice Issued",BU96="Board",BU96="Closed"),"Y","N")</f>
        <v/>
      </c>
      <c r="CC96" s="9" t="n"/>
      <c r="CD96" s="9" t="n"/>
      <c r="CE96" s="9" t="n"/>
      <c r="CF96" s="9" t="n"/>
      <c r="CG96" s="9" t="n"/>
      <c r="CH96" s="9" t="n"/>
    </row>
    <row r="97">
      <c r="A97" s="8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8" t="n"/>
      <c r="L97" s="9" t="n"/>
      <c r="M97" s="8" t="n"/>
      <c r="N97" s="8" t="n"/>
      <c r="O97" s="8" t="n"/>
      <c r="P97" s="8" t="n"/>
      <c r="Q97" s="8" t="n"/>
      <c r="R97" s="9" t="n"/>
      <c r="S97" s="9" t="n"/>
      <c r="T97" s="10" t="n"/>
      <c r="U97" s="10" t="n"/>
      <c r="V97" s="9" t="n"/>
      <c r="W97" s="9" t="n"/>
      <c r="X97" s="9" t="n"/>
      <c r="Y97" s="9" t="n"/>
      <c r="Z97" s="11" t="n"/>
      <c r="AA97" s="11" t="n"/>
      <c r="AB97" s="11" t="n"/>
      <c r="AC97" s="11" t="n"/>
      <c r="AD97" s="11" t="n"/>
      <c r="AE97" s="11" t="n"/>
      <c r="AF97" s="9" t="n"/>
      <c r="AG97" s="9" t="n"/>
      <c r="AH97" s="9" t="n"/>
      <c r="AI97" s="9" t="n"/>
      <c r="AJ97" s="8" t="n"/>
      <c r="AK97" s="9" t="n"/>
      <c r="AL97" s="9" t="n"/>
      <c r="AM97" s="9" t="n"/>
      <c r="AN97" s="9" t="n"/>
      <c r="AO97" s="9" t="n"/>
      <c r="AP97" s="9" t="n"/>
      <c r="AQ97" s="9" t="n"/>
      <c r="AR97" s="9" t="n"/>
      <c r="AS97" s="9" t="n"/>
      <c r="AT97" s="8" t="n"/>
      <c r="AU97" s="8" t="n"/>
      <c r="AV97" s="9" t="n"/>
      <c r="AW97" s="8" t="n"/>
      <c r="AX97" s="9" t="n"/>
      <c r="AY97" s="9" t="n"/>
      <c r="AZ97" s="9" t="n"/>
      <c r="BA97" s="9" t="n"/>
      <c r="BB97" s="9" t="n"/>
      <c r="BC97" s="9" t="n"/>
      <c r="BD97" s="9" t="n"/>
      <c r="BE97" s="9" t="n"/>
      <c r="BF97" s="9" t="n"/>
      <c r="BG97" s="9" t="n"/>
      <c r="BH97" s="9" t="n"/>
      <c r="BI97" s="9" t="n"/>
      <c r="BJ97" s="9" t="n"/>
      <c r="BK97" s="9" t="n"/>
      <c r="BL97" s="9" t="n"/>
      <c r="BM97" s="9" t="n"/>
      <c r="BN97" s="9" t="n"/>
      <c r="BO97" s="8" t="n"/>
      <c r="BP97" s="9" t="n"/>
      <c r="BQ97" s="9" t="n"/>
      <c r="BR97" s="13">
        <f>IF(COUNTIF(AI97:BM97,"N")+COUNTBLANK(AI97:BM97)=0,"Y","N")</f>
        <v/>
      </c>
      <c r="BS97" s="13">
        <f>IF(AND(BR97="Y",OR(L97="Submitted",L97="Under Review")),"Y",IF(L97="Closed","Y","N"))</f>
        <v/>
      </c>
      <c r="BT97" s="10" t="n"/>
      <c r="BU97" s="13">
        <f>Rule_Flags!Q96</f>
        <v/>
      </c>
      <c r="BV97" s="13">
        <f>Rule_Flags!P96</f>
        <v/>
      </c>
      <c r="BW97" s="13">
        <f>IF(Rule_Flags!E96=1,"SITE_CONTROL",IF(Rule_Flags!F96=1,"APPROVALS",IF(Rule_Flags!G96=1,"REPORTS",IF(Rule_Flags!H96=1,"DEFICIENCY",IF(Rule_Flags!I96=1,"UNDERWRITING",IF(Rule_Flags!J96=1,"COMPLIANCE",""))))))</f>
        <v/>
      </c>
      <c r="BX97" s="13">
        <f>IF(BW97="SITE_CONTROL","Site control missing or invalid",IF(BW97="APPROVALS","Required approvals or resolutions incomplete",IF(BW97="REPORTS","Required third-party reports incomplete",IF(BW97="DEFICIENCY","Unresolved deficiency or material deficiency",IF(BW97="UNDERWRITING","Underwriting / feasibility not passed",IF(BW97="COMPLIANCE","Deconcentration, one-mile, LURA, or Chapter 12 issue","Ready under current engine rules"))))))</f>
        <v/>
      </c>
      <c r="BY97" s="13">
        <f>IF(BV97="Determination Notice","Streamlined + DN-ready assumptions satisfied",IF(BV97="Board","Board-required or board-ready assumptions satisfied",""))</f>
        <v/>
      </c>
      <c r="BZ97" s="13">
        <f>IF(AND(BP97="Y",BQ97&lt;&gt;"Y"),"Carryforward project retains queue priority",IF(BQ97="Y","New project enters behind carryforward projects",""))</f>
        <v/>
      </c>
      <c r="CA97" s="13">
        <f>_xludf.RANK.EQ(Rule_Flags!O96,Rule_Flags!$O$3:$O$402,0)</f>
        <v/>
      </c>
      <c r="CB97" s="13">
        <f>IF(OR(BU97="Determination Notice Issued",BU97="Board",BU97="Closed"),"Y","N")</f>
        <v/>
      </c>
      <c r="CC97" s="9" t="n"/>
      <c r="CD97" s="9" t="n"/>
      <c r="CE97" s="9" t="n"/>
      <c r="CF97" s="9" t="n"/>
      <c r="CG97" s="9" t="n"/>
      <c r="CH97" s="9" t="n"/>
    </row>
    <row r="98">
      <c r="A98" s="8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8" t="n"/>
      <c r="L98" s="9" t="n"/>
      <c r="M98" s="8" t="n"/>
      <c r="N98" s="8" t="n"/>
      <c r="O98" s="8" t="n"/>
      <c r="P98" s="8" t="n"/>
      <c r="Q98" s="8" t="n"/>
      <c r="R98" s="9" t="n"/>
      <c r="S98" s="9" t="n"/>
      <c r="T98" s="10" t="n"/>
      <c r="U98" s="10" t="n"/>
      <c r="V98" s="9" t="n"/>
      <c r="W98" s="9" t="n"/>
      <c r="X98" s="9" t="n"/>
      <c r="Y98" s="9" t="n"/>
      <c r="Z98" s="11" t="n"/>
      <c r="AA98" s="11" t="n"/>
      <c r="AB98" s="11" t="n"/>
      <c r="AC98" s="11" t="n"/>
      <c r="AD98" s="11" t="n"/>
      <c r="AE98" s="11" t="n"/>
      <c r="AF98" s="9" t="n"/>
      <c r="AG98" s="9" t="n"/>
      <c r="AH98" s="9" t="n"/>
      <c r="AI98" s="9" t="n"/>
      <c r="AJ98" s="8" t="n"/>
      <c r="AK98" s="9" t="n"/>
      <c r="AL98" s="9" t="n"/>
      <c r="AM98" s="9" t="n"/>
      <c r="AN98" s="9" t="n"/>
      <c r="AO98" s="9" t="n"/>
      <c r="AP98" s="9" t="n"/>
      <c r="AQ98" s="9" t="n"/>
      <c r="AR98" s="9" t="n"/>
      <c r="AS98" s="9" t="n"/>
      <c r="AT98" s="8" t="n"/>
      <c r="AU98" s="8" t="n"/>
      <c r="AV98" s="9" t="n"/>
      <c r="AW98" s="8" t="n"/>
      <c r="AX98" s="9" t="n"/>
      <c r="AY98" s="9" t="n"/>
      <c r="AZ98" s="9" t="n"/>
      <c r="BA98" s="9" t="n"/>
      <c r="BB98" s="9" t="n"/>
      <c r="BC98" s="9" t="n"/>
      <c r="BD98" s="9" t="n"/>
      <c r="BE98" s="9" t="n"/>
      <c r="BF98" s="9" t="n"/>
      <c r="BG98" s="9" t="n"/>
      <c r="BH98" s="9" t="n"/>
      <c r="BI98" s="9" t="n"/>
      <c r="BJ98" s="9" t="n"/>
      <c r="BK98" s="9" t="n"/>
      <c r="BL98" s="9" t="n"/>
      <c r="BM98" s="9" t="n"/>
      <c r="BN98" s="9" t="n"/>
      <c r="BO98" s="8" t="n"/>
      <c r="BP98" s="9" t="n"/>
      <c r="BQ98" s="9" t="n"/>
      <c r="BR98" s="13">
        <f>IF(COUNTIF(AI98:BM98,"N")+COUNTBLANK(AI98:BM98)=0,"Y","N")</f>
        <v/>
      </c>
      <c r="BS98" s="13">
        <f>IF(AND(BR98="Y",OR(L98="Submitted",L98="Under Review")),"Y",IF(L98="Closed","Y","N"))</f>
        <v/>
      </c>
      <c r="BT98" s="10" t="n"/>
      <c r="BU98" s="13">
        <f>Rule_Flags!Q97</f>
        <v/>
      </c>
      <c r="BV98" s="13">
        <f>Rule_Flags!P97</f>
        <v/>
      </c>
      <c r="BW98" s="13">
        <f>IF(Rule_Flags!E97=1,"SITE_CONTROL",IF(Rule_Flags!F97=1,"APPROVALS",IF(Rule_Flags!G97=1,"REPORTS",IF(Rule_Flags!H97=1,"DEFICIENCY",IF(Rule_Flags!I97=1,"UNDERWRITING",IF(Rule_Flags!J97=1,"COMPLIANCE",""))))))</f>
        <v/>
      </c>
      <c r="BX98" s="13">
        <f>IF(BW98="SITE_CONTROL","Site control missing or invalid",IF(BW98="APPROVALS","Required approvals or resolutions incomplete",IF(BW98="REPORTS","Required third-party reports incomplete",IF(BW98="DEFICIENCY","Unresolved deficiency or material deficiency",IF(BW98="UNDERWRITING","Underwriting / feasibility not passed",IF(BW98="COMPLIANCE","Deconcentration, one-mile, LURA, or Chapter 12 issue","Ready under current engine rules"))))))</f>
        <v/>
      </c>
      <c r="BY98" s="13">
        <f>IF(BV98="Determination Notice","Streamlined + DN-ready assumptions satisfied",IF(BV98="Board","Board-required or board-ready assumptions satisfied",""))</f>
        <v/>
      </c>
      <c r="BZ98" s="13">
        <f>IF(AND(BP98="Y",BQ98&lt;&gt;"Y"),"Carryforward project retains queue priority",IF(BQ98="Y","New project enters behind carryforward projects",""))</f>
        <v/>
      </c>
      <c r="CA98" s="13">
        <f>_xludf.RANK.EQ(Rule_Flags!O97,Rule_Flags!$O$3:$O$402,0)</f>
        <v/>
      </c>
      <c r="CB98" s="13">
        <f>IF(OR(BU98="Determination Notice Issued",BU98="Board",BU98="Closed"),"Y","N")</f>
        <v/>
      </c>
      <c r="CC98" s="9" t="n"/>
      <c r="CD98" s="9" t="n"/>
      <c r="CE98" s="9" t="n"/>
      <c r="CF98" s="9" t="n"/>
      <c r="CG98" s="9" t="n"/>
      <c r="CH98" s="9" t="n"/>
    </row>
    <row r="99">
      <c r="A99" s="8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8" t="n"/>
      <c r="L99" s="9" t="n"/>
      <c r="M99" s="8" t="n"/>
      <c r="N99" s="8" t="n"/>
      <c r="O99" s="8" t="n"/>
      <c r="P99" s="8" t="n"/>
      <c r="Q99" s="8" t="n"/>
      <c r="R99" s="9" t="n"/>
      <c r="S99" s="9" t="n"/>
      <c r="T99" s="10" t="n"/>
      <c r="U99" s="10" t="n"/>
      <c r="V99" s="9" t="n"/>
      <c r="W99" s="9" t="n"/>
      <c r="X99" s="9" t="n"/>
      <c r="Y99" s="9" t="n"/>
      <c r="Z99" s="11" t="n"/>
      <c r="AA99" s="11" t="n"/>
      <c r="AB99" s="11" t="n"/>
      <c r="AC99" s="11" t="n"/>
      <c r="AD99" s="11" t="n"/>
      <c r="AE99" s="11" t="n"/>
      <c r="AF99" s="9" t="n"/>
      <c r="AG99" s="9" t="n"/>
      <c r="AH99" s="9" t="n"/>
      <c r="AI99" s="9" t="n"/>
      <c r="AJ99" s="8" t="n"/>
      <c r="AK99" s="9" t="n"/>
      <c r="AL99" s="9" t="n"/>
      <c r="AM99" s="9" t="n"/>
      <c r="AN99" s="9" t="n"/>
      <c r="AO99" s="9" t="n"/>
      <c r="AP99" s="9" t="n"/>
      <c r="AQ99" s="9" t="n"/>
      <c r="AR99" s="9" t="n"/>
      <c r="AS99" s="9" t="n"/>
      <c r="AT99" s="8" t="n"/>
      <c r="AU99" s="8" t="n"/>
      <c r="AV99" s="9" t="n"/>
      <c r="AW99" s="8" t="n"/>
      <c r="AX99" s="9" t="n"/>
      <c r="AY99" s="9" t="n"/>
      <c r="AZ99" s="9" t="n"/>
      <c r="BA99" s="9" t="n"/>
      <c r="BB99" s="9" t="n"/>
      <c r="BC99" s="9" t="n"/>
      <c r="BD99" s="9" t="n"/>
      <c r="BE99" s="9" t="n"/>
      <c r="BF99" s="9" t="n"/>
      <c r="BG99" s="9" t="n"/>
      <c r="BH99" s="9" t="n"/>
      <c r="BI99" s="9" t="n"/>
      <c r="BJ99" s="9" t="n"/>
      <c r="BK99" s="9" t="n"/>
      <c r="BL99" s="9" t="n"/>
      <c r="BM99" s="9" t="n"/>
      <c r="BN99" s="9" t="n"/>
      <c r="BO99" s="8" t="n"/>
      <c r="BP99" s="9" t="n"/>
      <c r="BQ99" s="9" t="n"/>
      <c r="BR99" s="13">
        <f>IF(COUNTIF(AI99:BM99,"N")+COUNTBLANK(AI99:BM99)=0,"Y","N")</f>
        <v/>
      </c>
      <c r="BS99" s="13">
        <f>IF(AND(BR99="Y",OR(L99="Submitted",L99="Under Review")),"Y",IF(L99="Closed","Y","N"))</f>
        <v/>
      </c>
      <c r="BT99" s="10" t="n"/>
      <c r="BU99" s="13">
        <f>Rule_Flags!Q98</f>
        <v/>
      </c>
      <c r="BV99" s="13">
        <f>Rule_Flags!P98</f>
        <v/>
      </c>
      <c r="BW99" s="13">
        <f>IF(Rule_Flags!E98=1,"SITE_CONTROL",IF(Rule_Flags!F98=1,"APPROVALS",IF(Rule_Flags!G98=1,"REPORTS",IF(Rule_Flags!H98=1,"DEFICIENCY",IF(Rule_Flags!I98=1,"UNDERWRITING",IF(Rule_Flags!J98=1,"COMPLIANCE",""))))))</f>
        <v/>
      </c>
      <c r="BX99" s="13">
        <f>IF(BW99="SITE_CONTROL","Site control missing or invalid",IF(BW99="APPROVALS","Required approvals or resolutions incomplete",IF(BW99="REPORTS","Required third-party reports incomplete",IF(BW99="DEFICIENCY","Unresolved deficiency or material deficiency",IF(BW99="UNDERWRITING","Underwriting / feasibility not passed",IF(BW99="COMPLIANCE","Deconcentration, one-mile, LURA, or Chapter 12 issue","Ready under current engine rules"))))))</f>
        <v/>
      </c>
      <c r="BY99" s="13">
        <f>IF(BV99="Determination Notice","Streamlined + DN-ready assumptions satisfied",IF(BV99="Board","Board-required or board-ready assumptions satisfied",""))</f>
        <v/>
      </c>
      <c r="BZ99" s="13">
        <f>IF(AND(BP99="Y",BQ99&lt;&gt;"Y"),"Carryforward project retains queue priority",IF(BQ99="Y","New project enters behind carryforward projects",""))</f>
        <v/>
      </c>
      <c r="CA99" s="13">
        <f>_xludf.RANK.EQ(Rule_Flags!O98,Rule_Flags!$O$3:$O$402,0)</f>
        <v/>
      </c>
      <c r="CB99" s="13">
        <f>IF(OR(BU99="Determination Notice Issued",BU99="Board",BU99="Closed"),"Y","N")</f>
        <v/>
      </c>
      <c r="CC99" s="9" t="n"/>
      <c r="CD99" s="9" t="n"/>
      <c r="CE99" s="9" t="n"/>
      <c r="CF99" s="9" t="n"/>
      <c r="CG99" s="9" t="n"/>
      <c r="CH99" s="9" t="n"/>
    </row>
    <row r="100">
      <c r="A100" s="8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8" t="n"/>
      <c r="L100" s="9" t="n"/>
      <c r="M100" s="8" t="n"/>
      <c r="N100" s="8" t="n"/>
      <c r="O100" s="8" t="n"/>
      <c r="P100" s="8" t="n"/>
      <c r="Q100" s="8" t="n"/>
      <c r="R100" s="9" t="n"/>
      <c r="S100" s="9" t="n"/>
      <c r="T100" s="10" t="n"/>
      <c r="U100" s="10" t="n"/>
      <c r="V100" s="9" t="n"/>
      <c r="W100" s="9" t="n"/>
      <c r="X100" s="9" t="n"/>
      <c r="Y100" s="9" t="n"/>
      <c r="Z100" s="11" t="n"/>
      <c r="AA100" s="11" t="n"/>
      <c r="AB100" s="11" t="n"/>
      <c r="AC100" s="11" t="n"/>
      <c r="AD100" s="11" t="n"/>
      <c r="AE100" s="11" t="n"/>
      <c r="AF100" s="9" t="n"/>
      <c r="AG100" s="9" t="n"/>
      <c r="AH100" s="9" t="n"/>
      <c r="AI100" s="9" t="n"/>
      <c r="AJ100" s="8" t="n"/>
      <c r="AK100" s="9" t="n"/>
      <c r="AL100" s="9" t="n"/>
      <c r="AM100" s="9" t="n"/>
      <c r="AN100" s="9" t="n"/>
      <c r="AO100" s="9" t="n"/>
      <c r="AP100" s="9" t="n"/>
      <c r="AQ100" s="9" t="n"/>
      <c r="AR100" s="9" t="n"/>
      <c r="AS100" s="9" t="n"/>
      <c r="AT100" s="8" t="n"/>
      <c r="AU100" s="8" t="n"/>
      <c r="AV100" s="9" t="n"/>
      <c r="AW100" s="8" t="n"/>
      <c r="AX100" s="9" t="n"/>
      <c r="AY100" s="9" t="n"/>
      <c r="AZ100" s="9" t="n"/>
      <c r="BA100" s="9" t="n"/>
      <c r="BB100" s="9" t="n"/>
      <c r="BC100" s="9" t="n"/>
      <c r="BD100" s="9" t="n"/>
      <c r="BE100" s="9" t="n"/>
      <c r="BF100" s="9" t="n"/>
      <c r="BG100" s="9" t="n"/>
      <c r="BH100" s="9" t="n"/>
      <c r="BI100" s="9" t="n"/>
      <c r="BJ100" s="9" t="n"/>
      <c r="BK100" s="9" t="n"/>
      <c r="BL100" s="9" t="n"/>
      <c r="BM100" s="9" t="n"/>
      <c r="BN100" s="9" t="n"/>
      <c r="BO100" s="8" t="n"/>
      <c r="BP100" s="9" t="n"/>
      <c r="BQ100" s="9" t="n"/>
      <c r="BR100" s="13">
        <f>IF(COUNTIF(AI100:BM100,"N")+COUNTBLANK(AI100:BM100)=0,"Y","N")</f>
        <v/>
      </c>
      <c r="BS100" s="13">
        <f>IF(AND(BR100="Y",OR(L100="Submitted",L100="Under Review")),"Y",IF(L100="Closed","Y","N"))</f>
        <v/>
      </c>
      <c r="BT100" s="10" t="n"/>
      <c r="BU100" s="13">
        <f>Rule_Flags!Q99</f>
        <v/>
      </c>
      <c r="BV100" s="13">
        <f>Rule_Flags!P99</f>
        <v/>
      </c>
      <c r="BW100" s="13">
        <f>IF(Rule_Flags!E99=1,"SITE_CONTROL",IF(Rule_Flags!F99=1,"APPROVALS",IF(Rule_Flags!G99=1,"REPORTS",IF(Rule_Flags!H99=1,"DEFICIENCY",IF(Rule_Flags!I99=1,"UNDERWRITING",IF(Rule_Flags!J99=1,"COMPLIANCE",""))))))</f>
        <v/>
      </c>
      <c r="BX100" s="13">
        <f>IF(BW100="SITE_CONTROL","Site control missing or invalid",IF(BW100="APPROVALS","Required approvals or resolutions incomplete",IF(BW100="REPORTS","Required third-party reports incomplete",IF(BW100="DEFICIENCY","Unresolved deficiency or material deficiency",IF(BW100="UNDERWRITING","Underwriting / feasibility not passed",IF(BW100="COMPLIANCE","Deconcentration, one-mile, LURA, or Chapter 12 issue","Ready under current engine rules"))))))</f>
        <v/>
      </c>
      <c r="BY100" s="13">
        <f>IF(BV100="Determination Notice","Streamlined + DN-ready assumptions satisfied",IF(BV100="Board","Board-required or board-ready assumptions satisfied",""))</f>
        <v/>
      </c>
      <c r="BZ100" s="13">
        <f>IF(AND(BP100="Y",BQ100&lt;&gt;"Y"),"Carryforward project retains queue priority",IF(BQ100="Y","New project enters behind carryforward projects",""))</f>
        <v/>
      </c>
      <c r="CA100" s="13">
        <f>_xludf.RANK.EQ(Rule_Flags!O99,Rule_Flags!$O$3:$O$402,0)</f>
        <v/>
      </c>
      <c r="CB100" s="13">
        <f>IF(OR(BU100="Determination Notice Issued",BU100="Board",BU100="Closed"),"Y","N")</f>
        <v/>
      </c>
      <c r="CC100" s="9" t="n"/>
      <c r="CD100" s="9" t="n"/>
      <c r="CE100" s="9" t="n"/>
      <c r="CF100" s="9" t="n"/>
      <c r="CG100" s="9" t="n"/>
      <c r="CH100" s="9" t="n"/>
    </row>
    <row r="101">
      <c r="A101" s="8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8" t="n"/>
      <c r="L101" s="9" t="n"/>
      <c r="M101" s="8" t="n"/>
      <c r="N101" s="8" t="n"/>
      <c r="O101" s="8" t="n"/>
      <c r="P101" s="8" t="n"/>
      <c r="Q101" s="8" t="n"/>
      <c r="R101" s="9" t="n"/>
      <c r="S101" s="9" t="n"/>
      <c r="T101" s="10" t="n"/>
      <c r="U101" s="10" t="n"/>
      <c r="V101" s="9" t="n"/>
      <c r="W101" s="9" t="n"/>
      <c r="X101" s="9" t="n"/>
      <c r="Y101" s="9" t="n"/>
      <c r="Z101" s="11" t="n"/>
      <c r="AA101" s="11" t="n"/>
      <c r="AB101" s="11" t="n"/>
      <c r="AC101" s="11" t="n"/>
      <c r="AD101" s="11" t="n"/>
      <c r="AE101" s="11" t="n"/>
      <c r="AF101" s="9" t="n"/>
      <c r="AG101" s="9" t="n"/>
      <c r="AH101" s="9" t="n"/>
      <c r="AI101" s="9" t="n"/>
      <c r="AJ101" s="8" t="n"/>
      <c r="AK101" s="9" t="n"/>
      <c r="AL101" s="9" t="n"/>
      <c r="AM101" s="9" t="n"/>
      <c r="AN101" s="9" t="n"/>
      <c r="AO101" s="9" t="n"/>
      <c r="AP101" s="9" t="n"/>
      <c r="AQ101" s="9" t="n"/>
      <c r="AR101" s="9" t="n"/>
      <c r="AS101" s="9" t="n"/>
      <c r="AT101" s="8" t="n"/>
      <c r="AU101" s="8" t="n"/>
      <c r="AV101" s="9" t="n"/>
      <c r="AW101" s="8" t="n"/>
      <c r="AX101" s="9" t="n"/>
      <c r="AY101" s="9" t="n"/>
      <c r="AZ101" s="9" t="n"/>
      <c r="BA101" s="9" t="n"/>
      <c r="BB101" s="9" t="n"/>
      <c r="BC101" s="9" t="n"/>
      <c r="BD101" s="9" t="n"/>
      <c r="BE101" s="9" t="n"/>
      <c r="BF101" s="9" t="n"/>
      <c r="BG101" s="9" t="n"/>
      <c r="BH101" s="9" t="n"/>
      <c r="BI101" s="9" t="n"/>
      <c r="BJ101" s="9" t="n"/>
      <c r="BK101" s="9" t="n"/>
      <c r="BL101" s="9" t="n"/>
      <c r="BM101" s="9" t="n"/>
      <c r="BN101" s="9" t="n"/>
      <c r="BO101" s="8" t="n"/>
      <c r="BP101" s="9" t="n"/>
      <c r="BQ101" s="9" t="n"/>
      <c r="BR101" s="13">
        <f>IF(COUNTIF(AI101:BM101,"N")+COUNTBLANK(AI101:BM101)=0,"Y","N")</f>
        <v/>
      </c>
      <c r="BS101" s="13">
        <f>IF(AND(BR101="Y",OR(L101="Submitted",L101="Under Review")),"Y",IF(L101="Closed","Y","N"))</f>
        <v/>
      </c>
      <c r="BT101" s="10" t="n"/>
      <c r="BU101" s="13">
        <f>Rule_Flags!Q100</f>
        <v/>
      </c>
      <c r="BV101" s="13">
        <f>Rule_Flags!P100</f>
        <v/>
      </c>
      <c r="BW101" s="13">
        <f>IF(Rule_Flags!E100=1,"SITE_CONTROL",IF(Rule_Flags!F100=1,"APPROVALS",IF(Rule_Flags!G100=1,"REPORTS",IF(Rule_Flags!H100=1,"DEFICIENCY",IF(Rule_Flags!I100=1,"UNDERWRITING",IF(Rule_Flags!J100=1,"COMPLIANCE",""))))))</f>
        <v/>
      </c>
      <c r="BX101" s="13">
        <f>IF(BW101="SITE_CONTROL","Site control missing or invalid",IF(BW101="APPROVALS","Required approvals or resolutions incomplete",IF(BW101="REPORTS","Required third-party reports incomplete",IF(BW101="DEFICIENCY","Unresolved deficiency or material deficiency",IF(BW101="UNDERWRITING","Underwriting / feasibility not passed",IF(BW101="COMPLIANCE","Deconcentration, one-mile, LURA, or Chapter 12 issue","Ready under current engine rules"))))))</f>
        <v/>
      </c>
      <c r="BY101" s="13">
        <f>IF(BV101="Determination Notice","Streamlined + DN-ready assumptions satisfied",IF(BV101="Board","Board-required or board-ready assumptions satisfied",""))</f>
        <v/>
      </c>
      <c r="BZ101" s="13">
        <f>IF(AND(BP101="Y",BQ101&lt;&gt;"Y"),"Carryforward project retains queue priority",IF(BQ101="Y","New project enters behind carryforward projects",""))</f>
        <v/>
      </c>
      <c r="CA101" s="13">
        <f>_xludf.RANK.EQ(Rule_Flags!O100,Rule_Flags!$O$3:$O$402,0)</f>
        <v/>
      </c>
      <c r="CB101" s="13">
        <f>IF(OR(BU101="Determination Notice Issued",BU101="Board",BU101="Closed"),"Y","N")</f>
        <v/>
      </c>
      <c r="CC101" s="9" t="n"/>
      <c r="CD101" s="9" t="n"/>
      <c r="CE101" s="9" t="n"/>
      <c r="CF101" s="9" t="n"/>
      <c r="CG101" s="9" t="n"/>
      <c r="CH101" s="9" t="n"/>
    </row>
    <row r="102">
      <c r="A102" s="8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8" t="n"/>
      <c r="L102" s="9" t="n"/>
      <c r="M102" s="8" t="n"/>
      <c r="N102" s="8" t="n"/>
      <c r="O102" s="8" t="n"/>
      <c r="P102" s="8" t="n"/>
      <c r="Q102" s="8" t="n"/>
      <c r="R102" s="9" t="n"/>
      <c r="S102" s="9" t="n"/>
      <c r="T102" s="10" t="n"/>
      <c r="U102" s="10" t="n"/>
      <c r="V102" s="9" t="n"/>
      <c r="W102" s="9" t="n"/>
      <c r="X102" s="9" t="n"/>
      <c r="Y102" s="9" t="n"/>
      <c r="Z102" s="11" t="n"/>
      <c r="AA102" s="11" t="n"/>
      <c r="AB102" s="11" t="n"/>
      <c r="AC102" s="11" t="n"/>
      <c r="AD102" s="11" t="n"/>
      <c r="AE102" s="11" t="n"/>
      <c r="AF102" s="9" t="n"/>
      <c r="AG102" s="9" t="n"/>
      <c r="AH102" s="9" t="n"/>
      <c r="AI102" s="9" t="n"/>
      <c r="AJ102" s="8" t="n"/>
      <c r="AK102" s="9" t="n"/>
      <c r="AL102" s="9" t="n"/>
      <c r="AM102" s="9" t="n"/>
      <c r="AN102" s="9" t="n"/>
      <c r="AO102" s="9" t="n"/>
      <c r="AP102" s="9" t="n"/>
      <c r="AQ102" s="9" t="n"/>
      <c r="AR102" s="9" t="n"/>
      <c r="AS102" s="9" t="n"/>
      <c r="AT102" s="8" t="n"/>
      <c r="AU102" s="8" t="n"/>
      <c r="AV102" s="9" t="n"/>
      <c r="AW102" s="8" t="n"/>
      <c r="AX102" s="9" t="n"/>
      <c r="AY102" s="9" t="n"/>
      <c r="AZ102" s="9" t="n"/>
      <c r="BA102" s="9" t="n"/>
      <c r="BB102" s="9" t="n"/>
      <c r="BC102" s="9" t="n"/>
      <c r="BD102" s="9" t="n"/>
      <c r="BE102" s="9" t="n"/>
      <c r="BF102" s="9" t="n"/>
      <c r="BG102" s="9" t="n"/>
      <c r="BH102" s="9" t="n"/>
      <c r="BI102" s="9" t="n"/>
      <c r="BJ102" s="9" t="n"/>
      <c r="BK102" s="9" t="n"/>
      <c r="BL102" s="9" t="n"/>
      <c r="BM102" s="9" t="n"/>
      <c r="BN102" s="9" t="n"/>
      <c r="BO102" s="8" t="n"/>
      <c r="BP102" s="9" t="n"/>
      <c r="BQ102" s="9" t="n"/>
      <c r="BR102" s="13">
        <f>IF(COUNTIF(AI102:BM102,"N")+COUNTBLANK(AI102:BM102)=0,"Y","N")</f>
        <v/>
      </c>
      <c r="BS102" s="13">
        <f>IF(AND(BR102="Y",OR(L102="Submitted",L102="Under Review")),"Y",IF(L102="Closed","Y","N"))</f>
        <v/>
      </c>
      <c r="BT102" s="10" t="n"/>
      <c r="BU102" s="13">
        <f>Rule_Flags!Q101</f>
        <v/>
      </c>
      <c r="BV102" s="13">
        <f>Rule_Flags!P101</f>
        <v/>
      </c>
      <c r="BW102" s="13">
        <f>IF(Rule_Flags!E101=1,"SITE_CONTROL",IF(Rule_Flags!F101=1,"APPROVALS",IF(Rule_Flags!G101=1,"REPORTS",IF(Rule_Flags!H101=1,"DEFICIENCY",IF(Rule_Flags!I101=1,"UNDERWRITING",IF(Rule_Flags!J101=1,"COMPLIANCE",""))))))</f>
        <v/>
      </c>
      <c r="BX102" s="13">
        <f>IF(BW102="SITE_CONTROL","Site control missing or invalid",IF(BW102="APPROVALS","Required approvals or resolutions incomplete",IF(BW102="REPORTS","Required third-party reports incomplete",IF(BW102="DEFICIENCY","Unresolved deficiency or material deficiency",IF(BW102="UNDERWRITING","Underwriting / feasibility not passed",IF(BW102="COMPLIANCE","Deconcentration, one-mile, LURA, or Chapter 12 issue","Ready under current engine rules"))))))</f>
        <v/>
      </c>
      <c r="BY102" s="13">
        <f>IF(BV102="Determination Notice","Streamlined + DN-ready assumptions satisfied",IF(BV102="Board","Board-required or board-ready assumptions satisfied",""))</f>
        <v/>
      </c>
      <c r="BZ102" s="13">
        <f>IF(AND(BP102="Y",BQ102&lt;&gt;"Y"),"Carryforward project retains queue priority",IF(BQ102="Y","New project enters behind carryforward projects",""))</f>
        <v/>
      </c>
      <c r="CA102" s="13">
        <f>_xludf.RANK.EQ(Rule_Flags!O101,Rule_Flags!$O$3:$O$402,0)</f>
        <v/>
      </c>
      <c r="CB102" s="13">
        <f>IF(OR(BU102="Determination Notice Issued",BU102="Board",BU102="Closed"),"Y","N")</f>
        <v/>
      </c>
      <c r="CC102" s="9" t="n"/>
      <c r="CD102" s="9" t="n"/>
      <c r="CE102" s="9" t="n"/>
      <c r="CF102" s="9" t="n"/>
      <c r="CG102" s="9" t="n"/>
      <c r="CH102" s="9" t="n"/>
    </row>
    <row r="103">
      <c r="A103" s="8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8" t="n"/>
      <c r="L103" s="9" t="n"/>
      <c r="M103" s="8" t="n"/>
      <c r="N103" s="8" t="n"/>
      <c r="O103" s="8" t="n"/>
      <c r="P103" s="8" t="n"/>
      <c r="Q103" s="8" t="n"/>
      <c r="R103" s="9" t="n"/>
      <c r="S103" s="9" t="n"/>
      <c r="T103" s="10" t="n"/>
      <c r="U103" s="10" t="n"/>
      <c r="V103" s="9" t="n"/>
      <c r="W103" s="9" t="n"/>
      <c r="X103" s="9" t="n"/>
      <c r="Y103" s="9" t="n"/>
      <c r="Z103" s="11" t="n"/>
      <c r="AA103" s="11" t="n"/>
      <c r="AB103" s="11" t="n"/>
      <c r="AC103" s="11" t="n"/>
      <c r="AD103" s="11" t="n"/>
      <c r="AE103" s="11" t="n"/>
      <c r="AF103" s="9" t="n"/>
      <c r="AG103" s="9" t="n"/>
      <c r="AH103" s="9" t="n"/>
      <c r="AI103" s="9" t="n"/>
      <c r="AJ103" s="8" t="n"/>
      <c r="AK103" s="9" t="n"/>
      <c r="AL103" s="9" t="n"/>
      <c r="AM103" s="9" t="n"/>
      <c r="AN103" s="9" t="n"/>
      <c r="AO103" s="9" t="n"/>
      <c r="AP103" s="9" t="n"/>
      <c r="AQ103" s="9" t="n"/>
      <c r="AR103" s="9" t="n"/>
      <c r="AS103" s="9" t="n"/>
      <c r="AT103" s="8" t="n"/>
      <c r="AU103" s="8" t="n"/>
      <c r="AV103" s="9" t="n"/>
      <c r="AW103" s="8" t="n"/>
      <c r="AX103" s="9" t="n"/>
      <c r="AY103" s="9" t="n"/>
      <c r="AZ103" s="9" t="n"/>
      <c r="BA103" s="9" t="n"/>
      <c r="BB103" s="9" t="n"/>
      <c r="BC103" s="9" t="n"/>
      <c r="BD103" s="9" t="n"/>
      <c r="BE103" s="9" t="n"/>
      <c r="BF103" s="9" t="n"/>
      <c r="BG103" s="9" t="n"/>
      <c r="BH103" s="9" t="n"/>
      <c r="BI103" s="9" t="n"/>
      <c r="BJ103" s="9" t="n"/>
      <c r="BK103" s="9" t="n"/>
      <c r="BL103" s="9" t="n"/>
      <c r="BM103" s="9" t="n"/>
      <c r="BN103" s="9" t="n"/>
      <c r="BO103" s="8" t="n"/>
      <c r="BP103" s="9" t="n"/>
      <c r="BQ103" s="9" t="n"/>
      <c r="BR103" s="13">
        <f>IF(COUNTIF(AI103:BM103,"N")+COUNTBLANK(AI103:BM103)=0,"Y","N")</f>
        <v/>
      </c>
      <c r="BS103" s="13">
        <f>IF(AND(BR103="Y",OR(L103="Submitted",L103="Under Review")),"Y",IF(L103="Closed","Y","N"))</f>
        <v/>
      </c>
      <c r="BT103" s="10" t="n"/>
      <c r="BU103" s="13">
        <f>Rule_Flags!Q102</f>
        <v/>
      </c>
      <c r="BV103" s="13">
        <f>Rule_Flags!P102</f>
        <v/>
      </c>
      <c r="BW103" s="13">
        <f>IF(Rule_Flags!E102=1,"SITE_CONTROL",IF(Rule_Flags!F102=1,"APPROVALS",IF(Rule_Flags!G102=1,"REPORTS",IF(Rule_Flags!H102=1,"DEFICIENCY",IF(Rule_Flags!I102=1,"UNDERWRITING",IF(Rule_Flags!J102=1,"COMPLIANCE",""))))))</f>
        <v/>
      </c>
      <c r="BX103" s="13">
        <f>IF(BW103="SITE_CONTROL","Site control missing or invalid",IF(BW103="APPROVALS","Required approvals or resolutions incomplete",IF(BW103="REPORTS","Required third-party reports incomplete",IF(BW103="DEFICIENCY","Unresolved deficiency or material deficiency",IF(BW103="UNDERWRITING","Underwriting / feasibility not passed",IF(BW103="COMPLIANCE","Deconcentration, one-mile, LURA, or Chapter 12 issue","Ready under current engine rules"))))))</f>
        <v/>
      </c>
      <c r="BY103" s="13">
        <f>IF(BV103="Determination Notice","Streamlined + DN-ready assumptions satisfied",IF(BV103="Board","Board-required or board-ready assumptions satisfied",""))</f>
        <v/>
      </c>
      <c r="BZ103" s="13">
        <f>IF(AND(BP103="Y",BQ103&lt;&gt;"Y"),"Carryforward project retains queue priority",IF(BQ103="Y","New project enters behind carryforward projects",""))</f>
        <v/>
      </c>
      <c r="CA103" s="13">
        <f>_xludf.RANK.EQ(Rule_Flags!O102,Rule_Flags!$O$3:$O$402,0)</f>
        <v/>
      </c>
      <c r="CB103" s="13">
        <f>IF(OR(BU103="Determination Notice Issued",BU103="Board",BU103="Closed"),"Y","N")</f>
        <v/>
      </c>
      <c r="CC103" s="9" t="n"/>
      <c r="CD103" s="9" t="n"/>
      <c r="CE103" s="9" t="n"/>
      <c r="CF103" s="9" t="n"/>
      <c r="CG103" s="9" t="n"/>
      <c r="CH103" s="9" t="n"/>
    </row>
    <row r="104">
      <c r="A104" s="8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8" t="n"/>
      <c r="L104" s="9" t="n"/>
      <c r="M104" s="8" t="n"/>
      <c r="N104" s="8" t="n"/>
      <c r="O104" s="8" t="n"/>
      <c r="P104" s="8" t="n"/>
      <c r="Q104" s="8" t="n"/>
      <c r="R104" s="9" t="n"/>
      <c r="S104" s="9" t="n"/>
      <c r="T104" s="10" t="n"/>
      <c r="U104" s="10" t="n"/>
      <c r="V104" s="9" t="n"/>
      <c r="W104" s="9" t="n"/>
      <c r="X104" s="9" t="n"/>
      <c r="Y104" s="9" t="n"/>
      <c r="Z104" s="11" t="n"/>
      <c r="AA104" s="11" t="n"/>
      <c r="AB104" s="11" t="n"/>
      <c r="AC104" s="11" t="n"/>
      <c r="AD104" s="11" t="n"/>
      <c r="AE104" s="11" t="n"/>
      <c r="AF104" s="9" t="n"/>
      <c r="AG104" s="9" t="n"/>
      <c r="AH104" s="9" t="n"/>
      <c r="AI104" s="9" t="n"/>
      <c r="AJ104" s="8" t="n"/>
      <c r="AK104" s="9" t="n"/>
      <c r="AL104" s="9" t="n"/>
      <c r="AM104" s="9" t="n"/>
      <c r="AN104" s="9" t="n"/>
      <c r="AO104" s="9" t="n"/>
      <c r="AP104" s="9" t="n"/>
      <c r="AQ104" s="9" t="n"/>
      <c r="AR104" s="9" t="n"/>
      <c r="AS104" s="9" t="n"/>
      <c r="AT104" s="8" t="n"/>
      <c r="AU104" s="8" t="n"/>
      <c r="AV104" s="9" t="n"/>
      <c r="AW104" s="8" t="n"/>
      <c r="AX104" s="9" t="n"/>
      <c r="AY104" s="9" t="n"/>
      <c r="AZ104" s="9" t="n"/>
      <c r="BA104" s="9" t="n"/>
      <c r="BB104" s="9" t="n"/>
      <c r="BC104" s="9" t="n"/>
      <c r="BD104" s="9" t="n"/>
      <c r="BE104" s="9" t="n"/>
      <c r="BF104" s="9" t="n"/>
      <c r="BG104" s="9" t="n"/>
      <c r="BH104" s="9" t="n"/>
      <c r="BI104" s="9" t="n"/>
      <c r="BJ104" s="9" t="n"/>
      <c r="BK104" s="9" t="n"/>
      <c r="BL104" s="9" t="n"/>
      <c r="BM104" s="9" t="n"/>
      <c r="BN104" s="9" t="n"/>
      <c r="BO104" s="8" t="n"/>
      <c r="BP104" s="9" t="n"/>
      <c r="BQ104" s="9" t="n"/>
      <c r="BR104" s="13">
        <f>IF(COUNTIF(AI104:BM104,"N")+COUNTBLANK(AI104:BM104)=0,"Y","N")</f>
        <v/>
      </c>
      <c r="BS104" s="13">
        <f>IF(AND(BR104="Y",OR(L104="Submitted",L104="Under Review")),"Y",IF(L104="Closed","Y","N"))</f>
        <v/>
      </c>
      <c r="BT104" s="10" t="n"/>
      <c r="BU104" s="13">
        <f>Rule_Flags!Q103</f>
        <v/>
      </c>
      <c r="BV104" s="13">
        <f>Rule_Flags!P103</f>
        <v/>
      </c>
      <c r="BW104" s="13">
        <f>IF(Rule_Flags!E103=1,"SITE_CONTROL",IF(Rule_Flags!F103=1,"APPROVALS",IF(Rule_Flags!G103=1,"REPORTS",IF(Rule_Flags!H103=1,"DEFICIENCY",IF(Rule_Flags!I103=1,"UNDERWRITING",IF(Rule_Flags!J103=1,"COMPLIANCE",""))))))</f>
        <v/>
      </c>
      <c r="BX104" s="13">
        <f>IF(BW104="SITE_CONTROL","Site control missing or invalid",IF(BW104="APPROVALS","Required approvals or resolutions incomplete",IF(BW104="REPORTS","Required third-party reports incomplete",IF(BW104="DEFICIENCY","Unresolved deficiency or material deficiency",IF(BW104="UNDERWRITING","Underwriting / feasibility not passed",IF(BW104="COMPLIANCE","Deconcentration, one-mile, LURA, or Chapter 12 issue","Ready under current engine rules"))))))</f>
        <v/>
      </c>
      <c r="BY104" s="13">
        <f>IF(BV104="Determination Notice","Streamlined + DN-ready assumptions satisfied",IF(BV104="Board","Board-required or board-ready assumptions satisfied",""))</f>
        <v/>
      </c>
      <c r="BZ104" s="13">
        <f>IF(AND(BP104="Y",BQ104&lt;&gt;"Y"),"Carryforward project retains queue priority",IF(BQ104="Y","New project enters behind carryforward projects",""))</f>
        <v/>
      </c>
      <c r="CA104" s="13">
        <f>_xludf.RANK.EQ(Rule_Flags!O103,Rule_Flags!$O$3:$O$402,0)</f>
        <v/>
      </c>
      <c r="CB104" s="13">
        <f>IF(OR(BU104="Determination Notice Issued",BU104="Board",BU104="Closed"),"Y","N")</f>
        <v/>
      </c>
      <c r="CC104" s="9" t="n"/>
      <c r="CD104" s="9" t="n"/>
      <c r="CE104" s="9" t="n"/>
      <c r="CF104" s="9" t="n"/>
      <c r="CG104" s="9" t="n"/>
      <c r="CH104" s="9" t="n"/>
    </row>
    <row r="105">
      <c r="A105" s="8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8" t="n"/>
      <c r="L105" s="9" t="n"/>
      <c r="M105" s="8" t="n"/>
      <c r="N105" s="8" t="n"/>
      <c r="O105" s="8" t="n"/>
      <c r="P105" s="8" t="n"/>
      <c r="Q105" s="8" t="n"/>
      <c r="R105" s="9" t="n"/>
      <c r="S105" s="9" t="n"/>
      <c r="T105" s="10" t="n"/>
      <c r="U105" s="10" t="n"/>
      <c r="V105" s="9" t="n"/>
      <c r="W105" s="9" t="n"/>
      <c r="X105" s="9" t="n"/>
      <c r="Y105" s="9" t="n"/>
      <c r="Z105" s="11" t="n"/>
      <c r="AA105" s="11" t="n"/>
      <c r="AB105" s="11" t="n"/>
      <c r="AC105" s="11" t="n"/>
      <c r="AD105" s="11" t="n"/>
      <c r="AE105" s="11" t="n"/>
      <c r="AF105" s="9" t="n"/>
      <c r="AG105" s="9" t="n"/>
      <c r="AH105" s="9" t="n"/>
      <c r="AI105" s="9" t="n"/>
      <c r="AJ105" s="8" t="n"/>
      <c r="AK105" s="9" t="n"/>
      <c r="AL105" s="9" t="n"/>
      <c r="AM105" s="9" t="n"/>
      <c r="AN105" s="9" t="n"/>
      <c r="AO105" s="9" t="n"/>
      <c r="AP105" s="9" t="n"/>
      <c r="AQ105" s="9" t="n"/>
      <c r="AR105" s="9" t="n"/>
      <c r="AS105" s="9" t="n"/>
      <c r="AT105" s="8" t="n"/>
      <c r="AU105" s="8" t="n"/>
      <c r="AV105" s="9" t="n"/>
      <c r="AW105" s="8" t="n"/>
      <c r="AX105" s="9" t="n"/>
      <c r="AY105" s="9" t="n"/>
      <c r="AZ105" s="9" t="n"/>
      <c r="BA105" s="9" t="n"/>
      <c r="BB105" s="9" t="n"/>
      <c r="BC105" s="9" t="n"/>
      <c r="BD105" s="9" t="n"/>
      <c r="BE105" s="9" t="n"/>
      <c r="BF105" s="9" t="n"/>
      <c r="BG105" s="9" t="n"/>
      <c r="BH105" s="9" t="n"/>
      <c r="BI105" s="9" t="n"/>
      <c r="BJ105" s="9" t="n"/>
      <c r="BK105" s="9" t="n"/>
      <c r="BL105" s="9" t="n"/>
      <c r="BM105" s="9" t="n"/>
      <c r="BN105" s="9" t="n"/>
      <c r="BO105" s="8" t="n"/>
      <c r="BP105" s="9" t="n"/>
      <c r="BQ105" s="9" t="n"/>
      <c r="BR105" s="13">
        <f>IF(COUNTIF(AI105:BM105,"N")+COUNTBLANK(AI105:BM105)=0,"Y","N")</f>
        <v/>
      </c>
      <c r="BS105" s="13">
        <f>IF(AND(BR105="Y",OR(L105="Submitted",L105="Under Review")),"Y",IF(L105="Closed","Y","N"))</f>
        <v/>
      </c>
      <c r="BT105" s="10" t="n"/>
      <c r="BU105" s="13">
        <f>Rule_Flags!Q104</f>
        <v/>
      </c>
      <c r="BV105" s="13">
        <f>Rule_Flags!P104</f>
        <v/>
      </c>
      <c r="BW105" s="13">
        <f>IF(Rule_Flags!E104=1,"SITE_CONTROL",IF(Rule_Flags!F104=1,"APPROVALS",IF(Rule_Flags!G104=1,"REPORTS",IF(Rule_Flags!H104=1,"DEFICIENCY",IF(Rule_Flags!I104=1,"UNDERWRITING",IF(Rule_Flags!J104=1,"COMPLIANCE",""))))))</f>
        <v/>
      </c>
      <c r="BX105" s="13">
        <f>IF(BW105="SITE_CONTROL","Site control missing or invalid",IF(BW105="APPROVALS","Required approvals or resolutions incomplete",IF(BW105="REPORTS","Required third-party reports incomplete",IF(BW105="DEFICIENCY","Unresolved deficiency or material deficiency",IF(BW105="UNDERWRITING","Underwriting / feasibility not passed",IF(BW105="COMPLIANCE","Deconcentration, one-mile, LURA, or Chapter 12 issue","Ready under current engine rules"))))))</f>
        <v/>
      </c>
      <c r="BY105" s="13">
        <f>IF(BV105="Determination Notice","Streamlined + DN-ready assumptions satisfied",IF(BV105="Board","Board-required or board-ready assumptions satisfied",""))</f>
        <v/>
      </c>
      <c r="BZ105" s="13">
        <f>IF(AND(BP105="Y",BQ105&lt;&gt;"Y"),"Carryforward project retains queue priority",IF(BQ105="Y","New project enters behind carryforward projects",""))</f>
        <v/>
      </c>
      <c r="CA105" s="13">
        <f>_xludf.RANK.EQ(Rule_Flags!O104,Rule_Flags!$O$3:$O$402,0)</f>
        <v/>
      </c>
      <c r="CB105" s="13">
        <f>IF(OR(BU105="Determination Notice Issued",BU105="Board",BU105="Closed"),"Y","N")</f>
        <v/>
      </c>
      <c r="CC105" s="9" t="n"/>
      <c r="CD105" s="9" t="n"/>
      <c r="CE105" s="9" t="n"/>
      <c r="CF105" s="9" t="n"/>
      <c r="CG105" s="9" t="n"/>
      <c r="CH105" s="9" t="n"/>
    </row>
    <row r="106">
      <c r="A106" s="8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8" t="n"/>
      <c r="L106" s="9" t="n"/>
      <c r="M106" s="8" t="n"/>
      <c r="N106" s="8" t="n"/>
      <c r="O106" s="8" t="n"/>
      <c r="P106" s="8" t="n"/>
      <c r="Q106" s="8" t="n"/>
      <c r="R106" s="9" t="n"/>
      <c r="S106" s="9" t="n"/>
      <c r="T106" s="10" t="n"/>
      <c r="U106" s="10" t="n"/>
      <c r="V106" s="9" t="n"/>
      <c r="W106" s="9" t="n"/>
      <c r="X106" s="9" t="n"/>
      <c r="Y106" s="9" t="n"/>
      <c r="Z106" s="11" t="n"/>
      <c r="AA106" s="11" t="n"/>
      <c r="AB106" s="11" t="n"/>
      <c r="AC106" s="11" t="n"/>
      <c r="AD106" s="11" t="n"/>
      <c r="AE106" s="11" t="n"/>
      <c r="AF106" s="9" t="n"/>
      <c r="AG106" s="9" t="n"/>
      <c r="AH106" s="9" t="n"/>
      <c r="AI106" s="9" t="n"/>
      <c r="AJ106" s="8" t="n"/>
      <c r="AK106" s="9" t="n"/>
      <c r="AL106" s="9" t="n"/>
      <c r="AM106" s="9" t="n"/>
      <c r="AN106" s="9" t="n"/>
      <c r="AO106" s="9" t="n"/>
      <c r="AP106" s="9" t="n"/>
      <c r="AQ106" s="9" t="n"/>
      <c r="AR106" s="9" t="n"/>
      <c r="AS106" s="9" t="n"/>
      <c r="AT106" s="8" t="n"/>
      <c r="AU106" s="8" t="n"/>
      <c r="AV106" s="9" t="n"/>
      <c r="AW106" s="8" t="n"/>
      <c r="AX106" s="9" t="n"/>
      <c r="AY106" s="9" t="n"/>
      <c r="AZ106" s="9" t="n"/>
      <c r="BA106" s="9" t="n"/>
      <c r="BB106" s="9" t="n"/>
      <c r="BC106" s="9" t="n"/>
      <c r="BD106" s="9" t="n"/>
      <c r="BE106" s="9" t="n"/>
      <c r="BF106" s="9" t="n"/>
      <c r="BG106" s="9" t="n"/>
      <c r="BH106" s="9" t="n"/>
      <c r="BI106" s="9" t="n"/>
      <c r="BJ106" s="9" t="n"/>
      <c r="BK106" s="9" t="n"/>
      <c r="BL106" s="9" t="n"/>
      <c r="BM106" s="9" t="n"/>
      <c r="BN106" s="9" t="n"/>
      <c r="BO106" s="8" t="n"/>
      <c r="BP106" s="9" t="n"/>
      <c r="BQ106" s="9" t="n"/>
      <c r="BR106" s="13">
        <f>IF(COUNTIF(AI106:BM106,"N")+COUNTBLANK(AI106:BM106)=0,"Y","N")</f>
        <v/>
      </c>
      <c r="BS106" s="13">
        <f>IF(AND(BR106="Y",OR(L106="Submitted",L106="Under Review")),"Y",IF(L106="Closed","Y","N"))</f>
        <v/>
      </c>
      <c r="BT106" s="10" t="n"/>
      <c r="BU106" s="13">
        <f>Rule_Flags!Q105</f>
        <v/>
      </c>
      <c r="BV106" s="13">
        <f>Rule_Flags!P105</f>
        <v/>
      </c>
      <c r="BW106" s="13">
        <f>IF(Rule_Flags!E105=1,"SITE_CONTROL",IF(Rule_Flags!F105=1,"APPROVALS",IF(Rule_Flags!G105=1,"REPORTS",IF(Rule_Flags!H105=1,"DEFICIENCY",IF(Rule_Flags!I105=1,"UNDERWRITING",IF(Rule_Flags!J105=1,"COMPLIANCE",""))))))</f>
        <v/>
      </c>
      <c r="BX106" s="13">
        <f>IF(BW106="SITE_CONTROL","Site control missing or invalid",IF(BW106="APPROVALS","Required approvals or resolutions incomplete",IF(BW106="REPORTS","Required third-party reports incomplete",IF(BW106="DEFICIENCY","Unresolved deficiency or material deficiency",IF(BW106="UNDERWRITING","Underwriting / feasibility not passed",IF(BW106="COMPLIANCE","Deconcentration, one-mile, LURA, or Chapter 12 issue","Ready under current engine rules"))))))</f>
        <v/>
      </c>
      <c r="BY106" s="13">
        <f>IF(BV106="Determination Notice","Streamlined + DN-ready assumptions satisfied",IF(BV106="Board","Board-required or board-ready assumptions satisfied",""))</f>
        <v/>
      </c>
      <c r="BZ106" s="13">
        <f>IF(AND(BP106="Y",BQ106&lt;&gt;"Y"),"Carryforward project retains queue priority",IF(BQ106="Y","New project enters behind carryforward projects",""))</f>
        <v/>
      </c>
      <c r="CA106" s="13">
        <f>_xludf.RANK.EQ(Rule_Flags!O105,Rule_Flags!$O$3:$O$402,0)</f>
        <v/>
      </c>
      <c r="CB106" s="13">
        <f>IF(OR(BU106="Determination Notice Issued",BU106="Board",BU106="Closed"),"Y","N")</f>
        <v/>
      </c>
      <c r="CC106" s="9" t="n"/>
      <c r="CD106" s="9" t="n"/>
      <c r="CE106" s="9" t="n"/>
      <c r="CF106" s="9" t="n"/>
      <c r="CG106" s="9" t="n"/>
      <c r="CH106" s="9" t="n"/>
    </row>
    <row r="107">
      <c r="A107" s="8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8" t="n"/>
      <c r="L107" s="9" t="n"/>
      <c r="M107" s="8" t="n"/>
      <c r="N107" s="8" t="n"/>
      <c r="O107" s="8" t="n"/>
      <c r="P107" s="8" t="n"/>
      <c r="Q107" s="8" t="n"/>
      <c r="R107" s="9" t="n"/>
      <c r="S107" s="9" t="n"/>
      <c r="T107" s="10" t="n"/>
      <c r="U107" s="10" t="n"/>
      <c r="V107" s="9" t="n"/>
      <c r="W107" s="9" t="n"/>
      <c r="X107" s="9" t="n"/>
      <c r="Y107" s="9" t="n"/>
      <c r="Z107" s="11" t="n"/>
      <c r="AA107" s="11" t="n"/>
      <c r="AB107" s="11" t="n"/>
      <c r="AC107" s="11" t="n"/>
      <c r="AD107" s="11" t="n"/>
      <c r="AE107" s="11" t="n"/>
      <c r="AF107" s="9" t="n"/>
      <c r="AG107" s="9" t="n"/>
      <c r="AH107" s="9" t="n"/>
      <c r="AI107" s="9" t="n"/>
      <c r="AJ107" s="8" t="n"/>
      <c r="AK107" s="9" t="n"/>
      <c r="AL107" s="9" t="n"/>
      <c r="AM107" s="9" t="n"/>
      <c r="AN107" s="9" t="n"/>
      <c r="AO107" s="9" t="n"/>
      <c r="AP107" s="9" t="n"/>
      <c r="AQ107" s="9" t="n"/>
      <c r="AR107" s="9" t="n"/>
      <c r="AS107" s="9" t="n"/>
      <c r="AT107" s="8" t="n"/>
      <c r="AU107" s="8" t="n"/>
      <c r="AV107" s="9" t="n"/>
      <c r="AW107" s="8" t="n"/>
      <c r="AX107" s="9" t="n"/>
      <c r="AY107" s="9" t="n"/>
      <c r="AZ107" s="9" t="n"/>
      <c r="BA107" s="9" t="n"/>
      <c r="BB107" s="9" t="n"/>
      <c r="BC107" s="9" t="n"/>
      <c r="BD107" s="9" t="n"/>
      <c r="BE107" s="9" t="n"/>
      <c r="BF107" s="9" t="n"/>
      <c r="BG107" s="9" t="n"/>
      <c r="BH107" s="9" t="n"/>
      <c r="BI107" s="9" t="n"/>
      <c r="BJ107" s="9" t="n"/>
      <c r="BK107" s="9" t="n"/>
      <c r="BL107" s="9" t="n"/>
      <c r="BM107" s="9" t="n"/>
      <c r="BN107" s="9" t="n"/>
      <c r="BO107" s="8" t="n"/>
      <c r="BP107" s="9" t="n"/>
      <c r="BQ107" s="9" t="n"/>
      <c r="BR107" s="13">
        <f>IF(COUNTIF(AI107:BM107,"N")+COUNTBLANK(AI107:BM107)=0,"Y","N")</f>
        <v/>
      </c>
      <c r="BS107" s="13">
        <f>IF(AND(BR107="Y",OR(L107="Submitted",L107="Under Review")),"Y",IF(L107="Closed","Y","N"))</f>
        <v/>
      </c>
      <c r="BT107" s="10" t="n"/>
      <c r="BU107" s="13">
        <f>Rule_Flags!Q106</f>
        <v/>
      </c>
      <c r="BV107" s="13">
        <f>Rule_Flags!P106</f>
        <v/>
      </c>
      <c r="BW107" s="13">
        <f>IF(Rule_Flags!E106=1,"SITE_CONTROL",IF(Rule_Flags!F106=1,"APPROVALS",IF(Rule_Flags!G106=1,"REPORTS",IF(Rule_Flags!H106=1,"DEFICIENCY",IF(Rule_Flags!I106=1,"UNDERWRITING",IF(Rule_Flags!J106=1,"COMPLIANCE",""))))))</f>
        <v/>
      </c>
      <c r="BX107" s="13">
        <f>IF(BW107="SITE_CONTROL","Site control missing or invalid",IF(BW107="APPROVALS","Required approvals or resolutions incomplete",IF(BW107="REPORTS","Required third-party reports incomplete",IF(BW107="DEFICIENCY","Unresolved deficiency or material deficiency",IF(BW107="UNDERWRITING","Underwriting / feasibility not passed",IF(BW107="COMPLIANCE","Deconcentration, one-mile, LURA, or Chapter 12 issue","Ready under current engine rules"))))))</f>
        <v/>
      </c>
      <c r="BY107" s="13">
        <f>IF(BV107="Determination Notice","Streamlined + DN-ready assumptions satisfied",IF(BV107="Board","Board-required or board-ready assumptions satisfied",""))</f>
        <v/>
      </c>
      <c r="BZ107" s="13">
        <f>IF(AND(BP107="Y",BQ107&lt;&gt;"Y"),"Carryforward project retains queue priority",IF(BQ107="Y","New project enters behind carryforward projects",""))</f>
        <v/>
      </c>
      <c r="CA107" s="13">
        <f>_xludf.RANK.EQ(Rule_Flags!O106,Rule_Flags!$O$3:$O$402,0)</f>
        <v/>
      </c>
      <c r="CB107" s="13">
        <f>IF(OR(BU107="Determination Notice Issued",BU107="Board",BU107="Closed"),"Y","N")</f>
        <v/>
      </c>
      <c r="CC107" s="9" t="n"/>
      <c r="CD107" s="9" t="n"/>
      <c r="CE107" s="9" t="n"/>
      <c r="CF107" s="9" t="n"/>
      <c r="CG107" s="9" t="n"/>
      <c r="CH107" s="9" t="n"/>
    </row>
    <row r="108">
      <c r="A108" s="8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8" t="n"/>
      <c r="L108" s="9" t="n"/>
      <c r="M108" s="8" t="n"/>
      <c r="N108" s="8" t="n"/>
      <c r="O108" s="8" t="n"/>
      <c r="P108" s="8" t="n"/>
      <c r="Q108" s="8" t="n"/>
      <c r="R108" s="9" t="n"/>
      <c r="S108" s="9" t="n"/>
      <c r="T108" s="10" t="n"/>
      <c r="U108" s="10" t="n"/>
      <c r="V108" s="9" t="n"/>
      <c r="W108" s="9" t="n"/>
      <c r="X108" s="9" t="n"/>
      <c r="Y108" s="9" t="n"/>
      <c r="Z108" s="11" t="n"/>
      <c r="AA108" s="11" t="n"/>
      <c r="AB108" s="11" t="n"/>
      <c r="AC108" s="11" t="n"/>
      <c r="AD108" s="11" t="n"/>
      <c r="AE108" s="11" t="n"/>
      <c r="AF108" s="9" t="n"/>
      <c r="AG108" s="9" t="n"/>
      <c r="AH108" s="9" t="n"/>
      <c r="AI108" s="9" t="n"/>
      <c r="AJ108" s="8" t="n"/>
      <c r="AK108" s="9" t="n"/>
      <c r="AL108" s="9" t="n"/>
      <c r="AM108" s="9" t="n"/>
      <c r="AN108" s="9" t="n"/>
      <c r="AO108" s="9" t="n"/>
      <c r="AP108" s="9" t="n"/>
      <c r="AQ108" s="9" t="n"/>
      <c r="AR108" s="9" t="n"/>
      <c r="AS108" s="9" t="n"/>
      <c r="AT108" s="8" t="n"/>
      <c r="AU108" s="8" t="n"/>
      <c r="AV108" s="9" t="n"/>
      <c r="AW108" s="8" t="n"/>
      <c r="AX108" s="9" t="n"/>
      <c r="AY108" s="9" t="n"/>
      <c r="AZ108" s="9" t="n"/>
      <c r="BA108" s="9" t="n"/>
      <c r="BB108" s="9" t="n"/>
      <c r="BC108" s="9" t="n"/>
      <c r="BD108" s="9" t="n"/>
      <c r="BE108" s="9" t="n"/>
      <c r="BF108" s="9" t="n"/>
      <c r="BG108" s="9" t="n"/>
      <c r="BH108" s="9" t="n"/>
      <c r="BI108" s="9" t="n"/>
      <c r="BJ108" s="9" t="n"/>
      <c r="BK108" s="9" t="n"/>
      <c r="BL108" s="9" t="n"/>
      <c r="BM108" s="9" t="n"/>
      <c r="BN108" s="9" t="n"/>
      <c r="BO108" s="8" t="n"/>
      <c r="BP108" s="9" t="n"/>
      <c r="BQ108" s="9" t="n"/>
      <c r="BR108" s="13">
        <f>IF(COUNTIF(AI108:BM108,"N")+COUNTBLANK(AI108:BM108)=0,"Y","N")</f>
        <v/>
      </c>
      <c r="BS108" s="13">
        <f>IF(AND(BR108="Y",OR(L108="Submitted",L108="Under Review")),"Y",IF(L108="Closed","Y","N"))</f>
        <v/>
      </c>
      <c r="BT108" s="10" t="n"/>
      <c r="BU108" s="13">
        <f>Rule_Flags!Q107</f>
        <v/>
      </c>
      <c r="BV108" s="13">
        <f>Rule_Flags!P107</f>
        <v/>
      </c>
      <c r="BW108" s="13">
        <f>IF(Rule_Flags!E107=1,"SITE_CONTROL",IF(Rule_Flags!F107=1,"APPROVALS",IF(Rule_Flags!G107=1,"REPORTS",IF(Rule_Flags!H107=1,"DEFICIENCY",IF(Rule_Flags!I107=1,"UNDERWRITING",IF(Rule_Flags!J107=1,"COMPLIANCE",""))))))</f>
        <v/>
      </c>
      <c r="BX108" s="13">
        <f>IF(BW108="SITE_CONTROL","Site control missing or invalid",IF(BW108="APPROVALS","Required approvals or resolutions incomplete",IF(BW108="REPORTS","Required third-party reports incomplete",IF(BW108="DEFICIENCY","Unresolved deficiency or material deficiency",IF(BW108="UNDERWRITING","Underwriting / feasibility not passed",IF(BW108="COMPLIANCE","Deconcentration, one-mile, LURA, or Chapter 12 issue","Ready under current engine rules"))))))</f>
        <v/>
      </c>
      <c r="BY108" s="13">
        <f>IF(BV108="Determination Notice","Streamlined + DN-ready assumptions satisfied",IF(BV108="Board","Board-required or board-ready assumptions satisfied",""))</f>
        <v/>
      </c>
      <c r="BZ108" s="13">
        <f>IF(AND(BP108="Y",BQ108&lt;&gt;"Y"),"Carryforward project retains queue priority",IF(BQ108="Y","New project enters behind carryforward projects",""))</f>
        <v/>
      </c>
      <c r="CA108" s="13">
        <f>_xludf.RANK.EQ(Rule_Flags!O107,Rule_Flags!$O$3:$O$402,0)</f>
        <v/>
      </c>
      <c r="CB108" s="13">
        <f>IF(OR(BU108="Determination Notice Issued",BU108="Board",BU108="Closed"),"Y","N")</f>
        <v/>
      </c>
      <c r="CC108" s="9" t="n"/>
      <c r="CD108" s="9" t="n"/>
      <c r="CE108" s="9" t="n"/>
      <c r="CF108" s="9" t="n"/>
      <c r="CG108" s="9" t="n"/>
      <c r="CH108" s="9" t="n"/>
    </row>
    <row r="109">
      <c r="A109" s="8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8" t="n"/>
      <c r="L109" s="9" t="n"/>
      <c r="M109" s="8" t="n"/>
      <c r="N109" s="8" t="n"/>
      <c r="O109" s="8" t="n"/>
      <c r="P109" s="8" t="n"/>
      <c r="Q109" s="8" t="n"/>
      <c r="R109" s="9" t="n"/>
      <c r="S109" s="9" t="n"/>
      <c r="T109" s="10" t="n"/>
      <c r="U109" s="10" t="n"/>
      <c r="V109" s="9" t="n"/>
      <c r="W109" s="9" t="n"/>
      <c r="X109" s="9" t="n"/>
      <c r="Y109" s="9" t="n"/>
      <c r="Z109" s="11" t="n"/>
      <c r="AA109" s="11" t="n"/>
      <c r="AB109" s="11" t="n"/>
      <c r="AC109" s="11" t="n"/>
      <c r="AD109" s="11" t="n"/>
      <c r="AE109" s="11" t="n"/>
      <c r="AF109" s="9" t="n"/>
      <c r="AG109" s="9" t="n"/>
      <c r="AH109" s="9" t="n"/>
      <c r="AI109" s="9" t="n"/>
      <c r="AJ109" s="8" t="n"/>
      <c r="AK109" s="9" t="n"/>
      <c r="AL109" s="9" t="n"/>
      <c r="AM109" s="9" t="n"/>
      <c r="AN109" s="9" t="n"/>
      <c r="AO109" s="9" t="n"/>
      <c r="AP109" s="9" t="n"/>
      <c r="AQ109" s="9" t="n"/>
      <c r="AR109" s="9" t="n"/>
      <c r="AS109" s="9" t="n"/>
      <c r="AT109" s="8" t="n"/>
      <c r="AU109" s="8" t="n"/>
      <c r="AV109" s="9" t="n"/>
      <c r="AW109" s="8" t="n"/>
      <c r="AX109" s="9" t="n"/>
      <c r="AY109" s="9" t="n"/>
      <c r="AZ109" s="9" t="n"/>
      <c r="BA109" s="9" t="n"/>
      <c r="BB109" s="9" t="n"/>
      <c r="BC109" s="9" t="n"/>
      <c r="BD109" s="9" t="n"/>
      <c r="BE109" s="9" t="n"/>
      <c r="BF109" s="9" t="n"/>
      <c r="BG109" s="9" t="n"/>
      <c r="BH109" s="9" t="n"/>
      <c r="BI109" s="9" t="n"/>
      <c r="BJ109" s="9" t="n"/>
      <c r="BK109" s="9" t="n"/>
      <c r="BL109" s="9" t="n"/>
      <c r="BM109" s="9" t="n"/>
      <c r="BN109" s="9" t="n"/>
      <c r="BO109" s="8" t="n"/>
      <c r="BP109" s="9" t="n"/>
      <c r="BQ109" s="9" t="n"/>
      <c r="BR109" s="13">
        <f>IF(COUNTIF(AI109:BM109,"N")+COUNTBLANK(AI109:BM109)=0,"Y","N")</f>
        <v/>
      </c>
      <c r="BS109" s="13">
        <f>IF(AND(BR109="Y",OR(L109="Submitted",L109="Under Review")),"Y",IF(L109="Closed","Y","N"))</f>
        <v/>
      </c>
      <c r="BT109" s="10" t="n"/>
      <c r="BU109" s="13">
        <f>Rule_Flags!Q108</f>
        <v/>
      </c>
      <c r="BV109" s="13">
        <f>Rule_Flags!P108</f>
        <v/>
      </c>
      <c r="BW109" s="13">
        <f>IF(Rule_Flags!E108=1,"SITE_CONTROL",IF(Rule_Flags!F108=1,"APPROVALS",IF(Rule_Flags!G108=1,"REPORTS",IF(Rule_Flags!H108=1,"DEFICIENCY",IF(Rule_Flags!I108=1,"UNDERWRITING",IF(Rule_Flags!J108=1,"COMPLIANCE",""))))))</f>
        <v/>
      </c>
      <c r="BX109" s="13">
        <f>IF(BW109="SITE_CONTROL","Site control missing or invalid",IF(BW109="APPROVALS","Required approvals or resolutions incomplete",IF(BW109="REPORTS","Required third-party reports incomplete",IF(BW109="DEFICIENCY","Unresolved deficiency or material deficiency",IF(BW109="UNDERWRITING","Underwriting / feasibility not passed",IF(BW109="COMPLIANCE","Deconcentration, one-mile, LURA, or Chapter 12 issue","Ready under current engine rules"))))))</f>
        <v/>
      </c>
      <c r="BY109" s="13">
        <f>IF(BV109="Determination Notice","Streamlined + DN-ready assumptions satisfied",IF(BV109="Board","Board-required or board-ready assumptions satisfied",""))</f>
        <v/>
      </c>
      <c r="BZ109" s="13">
        <f>IF(AND(BP109="Y",BQ109&lt;&gt;"Y"),"Carryforward project retains queue priority",IF(BQ109="Y","New project enters behind carryforward projects",""))</f>
        <v/>
      </c>
      <c r="CA109" s="13">
        <f>_xludf.RANK.EQ(Rule_Flags!O108,Rule_Flags!$O$3:$O$402,0)</f>
        <v/>
      </c>
      <c r="CB109" s="13">
        <f>IF(OR(BU109="Determination Notice Issued",BU109="Board",BU109="Closed"),"Y","N")</f>
        <v/>
      </c>
      <c r="CC109" s="9" t="n"/>
      <c r="CD109" s="9" t="n"/>
      <c r="CE109" s="9" t="n"/>
      <c r="CF109" s="9" t="n"/>
      <c r="CG109" s="9" t="n"/>
      <c r="CH109" s="9" t="n"/>
    </row>
    <row r="110">
      <c r="A110" s="8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8" t="n"/>
      <c r="L110" s="9" t="n"/>
      <c r="M110" s="8" t="n"/>
      <c r="N110" s="8" t="n"/>
      <c r="O110" s="8" t="n"/>
      <c r="P110" s="8" t="n"/>
      <c r="Q110" s="8" t="n"/>
      <c r="R110" s="9" t="n"/>
      <c r="S110" s="9" t="n"/>
      <c r="T110" s="10" t="n"/>
      <c r="U110" s="10" t="n"/>
      <c r="V110" s="9" t="n"/>
      <c r="W110" s="9" t="n"/>
      <c r="X110" s="9" t="n"/>
      <c r="Y110" s="9" t="n"/>
      <c r="Z110" s="11" t="n"/>
      <c r="AA110" s="11" t="n"/>
      <c r="AB110" s="11" t="n"/>
      <c r="AC110" s="11" t="n"/>
      <c r="AD110" s="11" t="n"/>
      <c r="AE110" s="11" t="n"/>
      <c r="AF110" s="9" t="n"/>
      <c r="AG110" s="9" t="n"/>
      <c r="AH110" s="9" t="n"/>
      <c r="AI110" s="9" t="n"/>
      <c r="AJ110" s="8" t="n"/>
      <c r="AK110" s="9" t="n"/>
      <c r="AL110" s="9" t="n"/>
      <c r="AM110" s="9" t="n"/>
      <c r="AN110" s="9" t="n"/>
      <c r="AO110" s="9" t="n"/>
      <c r="AP110" s="9" t="n"/>
      <c r="AQ110" s="9" t="n"/>
      <c r="AR110" s="9" t="n"/>
      <c r="AS110" s="9" t="n"/>
      <c r="AT110" s="8" t="n"/>
      <c r="AU110" s="8" t="n"/>
      <c r="AV110" s="9" t="n"/>
      <c r="AW110" s="8" t="n"/>
      <c r="AX110" s="9" t="n"/>
      <c r="AY110" s="9" t="n"/>
      <c r="AZ110" s="9" t="n"/>
      <c r="BA110" s="9" t="n"/>
      <c r="BB110" s="9" t="n"/>
      <c r="BC110" s="9" t="n"/>
      <c r="BD110" s="9" t="n"/>
      <c r="BE110" s="9" t="n"/>
      <c r="BF110" s="9" t="n"/>
      <c r="BG110" s="9" t="n"/>
      <c r="BH110" s="9" t="n"/>
      <c r="BI110" s="9" t="n"/>
      <c r="BJ110" s="9" t="n"/>
      <c r="BK110" s="9" t="n"/>
      <c r="BL110" s="9" t="n"/>
      <c r="BM110" s="9" t="n"/>
      <c r="BN110" s="9" t="n"/>
      <c r="BO110" s="8" t="n"/>
      <c r="BP110" s="9" t="n"/>
      <c r="BQ110" s="9" t="n"/>
      <c r="BR110" s="13">
        <f>IF(COUNTIF(AI110:BM110,"N")+COUNTBLANK(AI110:BM110)=0,"Y","N")</f>
        <v/>
      </c>
      <c r="BS110" s="13">
        <f>IF(AND(BR110="Y",OR(L110="Submitted",L110="Under Review")),"Y",IF(L110="Closed","Y","N"))</f>
        <v/>
      </c>
      <c r="BT110" s="10" t="n"/>
      <c r="BU110" s="13">
        <f>Rule_Flags!Q109</f>
        <v/>
      </c>
      <c r="BV110" s="13">
        <f>Rule_Flags!P109</f>
        <v/>
      </c>
      <c r="BW110" s="13">
        <f>IF(Rule_Flags!E109=1,"SITE_CONTROL",IF(Rule_Flags!F109=1,"APPROVALS",IF(Rule_Flags!G109=1,"REPORTS",IF(Rule_Flags!H109=1,"DEFICIENCY",IF(Rule_Flags!I109=1,"UNDERWRITING",IF(Rule_Flags!J109=1,"COMPLIANCE",""))))))</f>
        <v/>
      </c>
      <c r="BX110" s="13">
        <f>IF(BW110="SITE_CONTROL","Site control missing or invalid",IF(BW110="APPROVALS","Required approvals or resolutions incomplete",IF(BW110="REPORTS","Required third-party reports incomplete",IF(BW110="DEFICIENCY","Unresolved deficiency or material deficiency",IF(BW110="UNDERWRITING","Underwriting / feasibility not passed",IF(BW110="COMPLIANCE","Deconcentration, one-mile, LURA, or Chapter 12 issue","Ready under current engine rules"))))))</f>
        <v/>
      </c>
      <c r="BY110" s="13">
        <f>IF(BV110="Determination Notice","Streamlined + DN-ready assumptions satisfied",IF(BV110="Board","Board-required or board-ready assumptions satisfied",""))</f>
        <v/>
      </c>
      <c r="BZ110" s="13">
        <f>IF(AND(BP110="Y",BQ110&lt;&gt;"Y"),"Carryforward project retains queue priority",IF(BQ110="Y","New project enters behind carryforward projects",""))</f>
        <v/>
      </c>
      <c r="CA110" s="13">
        <f>_xludf.RANK.EQ(Rule_Flags!O109,Rule_Flags!$O$3:$O$402,0)</f>
        <v/>
      </c>
      <c r="CB110" s="13">
        <f>IF(OR(BU110="Determination Notice Issued",BU110="Board",BU110="Closed"),"Y","N")</f>
        <v/>
      </c>
      <c r="CC110" s="9" t="n"/>
      <c r="CD110" s="9" t="n"/>
      <c r="CE110" s="9" t="n"/>
      <c r="CF110" s="9" t="n"/>
      <c r="CG110" s="9" t="n"/>
      <c r="CH110" s="9" t="n"/>
    </row>
    <row r="111">
      <c r="A111" s="8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8" t="n"/>
      <c r="L111" s="9" t="n"/>
      <c r="M111" s="8" t="n"/>
      <c r="N111" s="8" t="n"/>
      <c r="O111" s="8" t="n"/>
      <c r="P111" s="8" t="n"/>
      <c r="Q111" s="8" t="n"/>
      <c r="R111" s="9" t="n"/>
      <c r="S111" s="9" t="n"/>
      <c r="T111" s="10" t="n"/>
      <c r="U111" s="10" t="n"/>
      <c r="V111" s="9" t="n"/>
      <c r="W111" s="9" t="n"/>
      <c r="X111" s="9" t="n"/>
      <c r="Y111" s="9" t="n"/>
      <c r="Z111" s="11" t="n"/>
      <c r="AA111" s="11" t="n"/>
      <c r="AB111" s="11" t="n"/>
      <c r="AC111" s="11" t="n"/>
      <c r="AD111" s="11" t="n"/>
      <c r="AE111" s="11" t="n"/>
      <c r="AF111" s="9" t="n"/>
      <c r="AG111" s="9" t="n"/>
      <c r="AH111" s="9" t="n"/>
      <c r="AI111" s="9" t="n"/>
      <c r="AJ111" s="8" t="n"/>
      <c r="AK111" s="9" t="n"/>
      <c r="AL111" s="9" t="n"/>
      <c r="AM111" s="9" t="n"/>
      <c r="AN111" s="9" t="n"/>
      <c r="AO111" s="9" t="n"/>
      <c r="AP111" s="9" t="n"/>
      <c r="AQ111" s="9" t="n"/>
      <c r="AR111" s="9" t="n"/>
      <c r="AS111" s="9" t="n"/>
      <c r="AT111" s="8" t="n"/>
      <c r="AU111" s="8" t="n"/>
      <c r="AV111" s="9" t="n"/>
      <c r="AW111" s="8" t="n"/>
      <c r="AX111" s="9" t="n"/>
      <c r="AY111" s="9" t="n"/>
      <c r="AZ111" s="9" t="n"/>
      <c r="BA111" s="9" t="n"/>
      <c r="BB111" s="9" t="n"/>
      <c r="BC111" s="9" t="n"/>
      <c r="BD111" s="9" t="n"/>
      <c r="BE111" s="9" t="n"/>
      <c r="BF111" s="9" t="n"/>
      <c r="BG111" s="9" t="n"/>
      <c r="BH111" s="9" t="n"/>
      <c r="BI111" s="9" t="n"/>
      <c r="BJ111" s="9" t="n"/>
      <c r="BK111" s="9" t="n"/>
      <c r="BL111" s="9" t="n"/>
      <c r="BM111" s="9" t="n"/>
      <c r="BN111" s="9" t="n"/>
      <c r="BO111" s="8" t="n"/>
      <c r="BP111" s="9" t="n"/>
      <c r="BQ111" s="9" t="n"/>
      <c r="BR111" s="13">
        <f>IF(COUNTIF(AI111:BM111,"N")+COUNTBLANK(AI111:BM111)=0,"Y","N")</f>
        <v/>
      </c>
      <c r="BS111" s="13">
        <f>IF(AND(BR111="Y",OR(L111="Submitted",L111="Under Review")),"Y",IF(L111="Closed","Y","N"))</f>
        <v/>
      </c>
      <c r="BT111" s="10" t="n"/>
      <c r="BU111" s="13">
        <f>Rule_Flags!Q110</f>
        <v/>
      </c>
      <c r="BV111" s="13">
        <f>Rule_Flags!P110</f>
        <v/>
      </c>
      <c r="BW111" s="13">
        <f>IF(Rule_Flags!E110=1,"SITE_CONTROL",IF(Rule_Flags!F110=1,"APPROVALS",IF(Rule_Flags!G110=1,"REPORTS",IF(Rule_Flags!H110=1,"DEFICIENCY",IF(Rule_Flags!I110=1,"UNDERWRITING",IF(Rule_Flags!J110=1,"COMPLIANCE",""))))))</f>
        <v/>
      </c>
      <c r="BX111" s="13">
        <f>IF(BW111="SITE_CONTROL","Site control missing or invalid",IF(BW111="APPROVALS","Required approvals or resolutions incomplete",IF(BW111="REPORTS","Required third-party reports incomplete",IF(BW111="DEFICIENCY","Unresolved deficiency or material deficiency",IF(BW111="UNDERWRITING","Underwriting / feasibility not passed",IF(BW111="COMPLIANCE","Deconcentration, one-mile, LURA, or Chapter 12 issue","Ready under current engine rules"))))))</f>
        <v/>
      </c>
      <c r="BY111" s="13">
        <f>IF(BV111="Determination Notice","Streamlined + DN-ready assumptions satisfied",IF(BV111="Board","Board-required or board-ready assumptions satisfied",""))</f>
        <v/>
      </c>
      <c r="BZ111" s="13">
        <f>IF(AND(BP111="Y",BQ111&lt;&gt;"Y"),"Carryforward project retains queue priority",IF(BQ111="Y","New project enters behind carryforward projects",""))</f>
        <v/>
      </c>
      <c r="CA111" s="13">
        <f>_xludf.RANK.EQ(Rule_Flags!O110,Rule_Flags!$O$3:$O$402,0)</f>
        <v/>
      </c>
      <c r="CB111" s="13">
        <f>IF(OR(BU111="Determination Notice Issued",BU111="Board",BU111="Closed"),"Y","N")</f>
        <v/>
      </c>
      <c r="CC111" s="9" t="n"/>
      <c r="CD111" s="9" t="n"/>
      <c r="CE111" s="9" t="n"/>
      <c r="CF111" s="9" t="n"/>
      <c r="CG111" s="9" t="n"/>
      <c r="CH111" s="9" t="n"/>
    </row>
    <row r="112">
      <c r="A112" s="8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8" t="n"/>
      <c r="L112" s="9" t="n"/>
      <c r="M112" s="8" t="n"/>
      <c r="N112" s="8" t="n"/>
      <c r="O112" s="8" t="n"/>
      <c r="P112" s="8" t="n"/>
      <c r="Q112" s="8" t="n"/>
      <c r="R112" s="9" t="n"/>
      <c r="S112" s="9" t="n"/>
      <c r="T112" s="10" t="n"/>
      <c r="U112" s="10" t="n"/>
      <c r="V112" s="9" t="n"/>
      <c r="W112" s="9" t="n"/>
      <c r="X112" s="9" t="n"/>
      <c r="Y112" s="9" t="n"/>
      <c r="Z112" s="11" t="n"/>
      <c r="AA112" s="11" t="n"/>
      <c r="AB112" s="11" t="n"/>
      <c r="AC112" s="11" t="n"/>
      <c r="AD112" s="11" t="n"/>
      <c r="AE112" s="11" t="n"/>
      <c r="AF112" s="9" t="n"/>
      <c r="AG112" s="9" t="n"/>
      <c r="AH112" s="9" t="n"/>
      <c r="AI112" s="9" t="n"/>
      <c r="AJ112" s="8" t="n"/>
      <c r="AK112" s="9" t="n"/>
      <c r="AL112" s="9" t="n"/>
      <c r="AM112" s="9" t="n"/>
      <c r="AN112" s="9" t="n"/>
      <c r="AO112" s="9" t="n"/>
      <c r="AP112" s="9" t="n"/>
      <c r="AQ112" s="9" t="n"/>
      <c r="AR112" s="9" t="n"/>
      <c r="AS112" s="9" t="n"/>
      <c r="AT112" s="8" t="n"/>
      <c r="AU112" s="8" t="n"/>
      <c r="AV112" s="9" t="n"/>
      <c r="AW112" s="8" t="n"/>
      <c r="AX112" s="9" t="n"/>
      <c r="AY112" s="9" t="n"/>
      <c r="AZ112" s="9" t="n"/>
      <c r="BA112" s="9" t="n"/>
      <c r="BB112" s="9" t="n"/>
      <c r="BC112" s="9" t="n"/>
      <c r="BD112" s="9" t="n"/>
      <c r="BE112" s="9" t="n"/>
      <c r="BF112" s="9" t="n"/>
      <c r="BG112" s="9" t="n"/>
      <c r="BH112" s="9" t="n"/>
      <c r="BI112" s="9" t="n"/>
      <c r="BJ112" s="9" t="n"/>
      <c r="BK112" s="9" t="n"/>
      <c r="BL112" s="9" t="n"/>
      <c r="BM112" s="9" t="n"/>
      <c r="BN112" s="9" t="n"/>
      <c r="BO112" s="8" t="n"/>
      <c r="BP112" s="9" t="n"/>
      <c r="BQ112" s="9" t="n"/>
      <c r="BR112" s="13">
        <f>IF(COUNTIF(AI112:BM112,"N")+COUNTBLANK(AI112:BM112)=0,"Y","N")</f>
        <v/>
      </c>
      <c r="BS112" s="13">
        <f>IF(AND(BR112="Y",OR(L112="Submitted",L112="Under Review")),"Y",IF(L112="Closed","Y","N"))</f>
        <v/>
      </c>
      <c r="BT112" s="10" t="n"/>
      <c r="BU112" s="13">
        <f>Rule_Flags!Q111</f>
        <v/>
      </c>
      <c r="BV112" s="13">
        <f>Rule_Flags!P111</f>
        <v/>
      </c>
      <c r="BW112" s="13">
        <f>IF(Rule_Flags!E111=1,"SITE_CONTROL",IF(Rule_Flags!F111=1,"APPROVALS",IF(Rule_Flags!G111=1,"REPORTS",IF(Rule_Flags!H111=1,"DEFICIENCY",IF(Rule_Flags!I111=1,"UNDERWRITING",IF(Rule_Flags!J111=1,"COMPLIANCE",""))))))</f>
        <v/>
      </c>
      <c r="BX112" s="13">
        <f>IF(BW112="SITE_CONTROL","Site control missing or invalid",IF(BW112="APPROVALS","Required approvals or resolutions incomplete",IF(BW112="REPORTS","Required third-party reports incomplete",IF(BW112="DEFICIENCY","Unresolved deficiency or material deficiency",IF(BW112="UNDERWRITING","Underwriting / feasibility not passed",IF(BW112="COMPLIANCE","Deconcentration, one-mile, LURA, or Chapter 12 issue","Ready under current engine rules"))))))</f>
        <v/>
      </c>
      <c r="BY112" s="13">
        <f>IF(BV112="Determination Notice","Streamlined + DN-ready assumptions satisfied",IF(BV112="Board","Board-required or board-ready assumptions satisfied",""))</f>
        <v/>
      </c>
      <c r="BZ112" s="13">
        <f>IF(AND(BP112="Y",BQ112&lt;&gt;"Y"),"Carryforward project retains queue priority",IF(BQ112="Y","New project enters behind carryforward projects",""))</f>
        <v/>
      </c>
      <c r="CA112" s="13">
        <f>_xludf.RANK.EQ(Rule_Flags!O111,Rule_Flags!$O$3:$O$402,0)</f>
        <v/>
      </c>
      <c r="CB112" s="13">
        <f>IF(OR(BU112="Determination Notice Issued",BU112="Board",BU112="Closed"),"Y","N")</f>
        <v/>
      </c>
      <c r="CC112" s="9" t="n"/>
      <c r="CD112" s="9" t="n"/>
      <c r="CE112" s="9" t="n"/>
      <c r="CF112" s="9" t="n"/>
      <c r="CG112" s="9" t="n"/>
      <c r="CH112" s="9" t="n"/>
    </row>
    <row r="113">
      <c r="A113" s="8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8" t="n"/>
      <c r="L113" s="9" t="n"/>
      <c r="M113" s="8" t="n"/>
      <c r="N113" s="8" t="n"/>
      <c r="O113" s="8" t="n"/>
      <c r="P113" s="8" t="n"/>
      <c r="Q113" s="8" t="n"/>
      <c r="R113" s="9" t="n"/>
      <c r="S113" s="9" t="n"/>
      <c r="T113" s="10" t="n"/>
      <c r="U113" s="10" t="n"/>
      <c r="V113" s="9" t="n"/>
      <c r="W113" s="9" t="n"/>
      <c r="X113" s="9" t="n"/>
      <c r="Y113" s="9" t="n"/>
      <c r="Z113" s="11" t="n"/>
      <c r="AA113" s="11" t="n"/>
      <c r="AB113" s="11" t="n"/>
      <c r="AC113" s="11" t="n"/>
      <c r="AD113" s="11" t="n"/>
      <c r="AE113" s="11" t="n"/>
      <c r="AF113" s="9" t="n"/>
      <c r="AG113" s="9" t="n"/>
      <c r="AH113" s="9" t="n"/>
      <c r="AI113" s="9" t="n"/>
      <c r="AJ113" s="8" t="n"/>
      <c r="AK113" s="9" t="n"/>
      <c r="AL113" s="9" t="n"/>
      <c r="AM113" s="9" t="n"/>
      <c r="AN113" s="9" t="n"/>
      <c r="AO113" s="9" t="n"/>
      <c r="AP113" s="9" t="n"/>
      <c r="AQ113" s="9" t="n"/>
      <c r="AR113" s="9" t="n"/>
      <c r="AS113" s="9" t="n"/>
      <c r="AT113" s="8" t="n"/>
      <c r="AU113" s="8" t="n"/>
      <c r="AV113" s="9" t="n"/>
      <c r="AW113" s="8" t="n"/>
      <c r="AX113" s="9" t="n"/>
      <c r="AY113" s="9" t="n"/>
      <c r="AZ113" s="9" t="n"/>
      <c r="BA113" s="9" t="n"/>
      <c r="BB113" s="9" t="n"/>
      <c r="BC113" s="9" t="n"/>
      <c r="BD113" s="9" t="n"/>
      <c r="BE113" s="9" t="n"/>
      <c r="BF113" s="9" t="n"/>
      <c r="BG113" s="9" t="n"/>
      <c r="BH113" s="9" t="n"/>
      <c r="BI113" s="9" t="n"/>
      <c r="BJ113" s="9" t="n"/>
      <c r="BK113" s="9" t="n"/>
      <c r="BL113" s="9" t="n"/>
      <c r="BM113" s="9" t="n"/>
      <c r="BN113" s="9" t="n"/>
      <c r="BO113" s="8" t="n"/>
      <c r="BP113" s="9" t="n"/>
      <c r="BQ113" s="9" t="n"/>
      <c r="BR113" s="13">
        <f>IF(COUNTIF(AI113:BM113,"N")+COUNTBLANK(AI113:BM113)=0,"Y","N")</f>
        <v/>
      </c>
      <c r="BS113" s="13">
        <f>IF(AND(BR113="Y",OR(L113="Submitted",L113="Under Review")),"Y",IF(L113="Closed","Y","N"))</f>
        <v/>
      </c>
      <c r="BT113" s="10" t="n"/>
      <c r="BU113" s="13">
        <f>Rule_Flags!Q112</f>
        <v/>
      </c>
      <c r="BV113" s="13">
        <f>Rule_Flags!P112</f>
        <v/>
      </c>
      <c r="BW113" s="13">
        <f>IF(Rule_Flags!E112=1,"SITE_CONTROL",IF(Rule_Flags!F112=1,"APPROVALS",IF(Rule_Flags!G112=1,"REPORTS",IF(Rule_Flags!H112=1,"DEFICIENCY",IF(Rule_Flags!I112=1,"UNDERWRITING",IF(Rule_Flags!J112=1,"COMPLIANCE",""))))))</f>
        <v/>
      </c>
      <c r="BX113" s="13">
        <f>IF(BW113="SITE_CONTROL","Site control missing or invalid",IF(BW113="APPROVALS","Required approvals or resolutions incomplete",IF(BW113="REPORTS","Required third-party reports incomplete",IF(BW113="DEFICIENCY","Unresolved deficiency or material deficiency",IF(BW113="UNDERWRITING","Underwriting / feasibility not passed",IF(BW113="COMPLIANCE","Deconcentration, one-mile, LURA, or Chapter 12 issue","Ready under current engine rules"))))))</f>
        <v/>
      </c>
      <c r="BY113" s="13">
        <f>IF(BV113="Determination Notice","Streamlined + DN-ready assumptions satisfied",IF(BV113="Board","Board-required or board-ready assumptions satisfied",""))</f>
        <v/>
      </c>
      <c r="BZ113" s="13">
        <f>IF(AND(BP113="Y",BQ113&lt;&gt;"Y"),"Carryforward project retains queue priority",IF(BQ113="Y","New project enters behind carryforward projects",""))</f>
        <v/>
      </c>
      <c r="CA113" s="13">
        <f>_xludf.RANK.EQ(Rule_Flags!O112,Rule_Flags!$O$3:$O$402,0)</f>
        <v/>
      </c>
      <c r="CB113" s="13">
        <f>IF(OR(BU113="Determination Notice Issued",BU113="Board",BU113="Closed"),"Y","N")</f>
        <v/>
      </c>
      <c r="CC113" s="9" t="n"/>
      <c r="CD113" s="9" t="n"/>
      <c r="CE113" s="9" t="n"/>
      <c r="CF113" s="9" t="n"/>
      <c r="CG113" s="9" t="n"/>
      <c r="CH113" s="9" t="n"/>
    </row>
    <row r="114">
      <c r="A114" s="8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8" t="n"/>
      <c r="L114" s="9" t="n"/>
      <c r="M114" s="8" t="n"/>
      <c r="N114" s="8" t="n"/>
      <c r="O114" s="8" t="n"/>
      <c r="P114" s="8" t="n"/>
      <c r="Q114" s="8" t="n"/>
      <c r="R114" s="9" t="n"/>
      <c r="S114" s="9" t="n"/>
      <c r="T114" s="10" t="n"/>
      <c r="U114" s="10" t="n"/>
      <c r="V114" s="9" t="n"/>
      <c r="W114" s="9" t="n"/>
      <c r="X114" s="9" t="n"/>
      <c r="Y114" s="9" t="n"/>
      <c r="Z114" s="11" t="n"/>
      <c r="AA114" s="11" t="n"/>
      <c r="AB114" s="11" t="n"/>
      <c r="AC114" s="11" t="n"/>
      <c r="AD114" s="11" t="n"/>
      <c r="AE114" s="11" t="n"/>
      <c r="AF114" s="9" t="n"/>
      <c r="AG114" s="9" t="n"/>
      <c r="AH114" s="9" t="n"/>
      <c r="AI114" s="9" t="n"/>
      <c r="AJ114" s="8" t="n"/>
      <c r="AK114" s="9" t="n"/>
      <c r="AL114" s="9" t="n"/>
      <c r="AM114" s="9" t="n"/>
      <c r="AN114" s="9" t="n"/>
      <c r="AO114" s="9" t="n"/>
      <c r="AP114" s="9" t="n"/>
      <c r="AQ114" s="9" t="n"/>
      <c r="AR114" s="9" t="n"/>
      <c r="AS114" s="9" t="n"/>
      <c r="AT114" s="8" t="n"/>
      <c r="AU114" s="8" t="n"/>
      <c r="AV114" s="9" t="n"/>
      <c r="AW114" s="8" t="n"/>
      <c r="AX114" s="9" t="n"/>
      <c r="AY114" s="9" t="n"/>
      <c r="AZ114" s="9" t="n"/>
      <c r="BA114" s="9" t="n"/>
      <c r="BB114" s="9" t="n"/>
      <c r="BC114" s="9" t="n"/>
      <c r="BD114" s="9" t="n"/>
      <c r="BE114" s="9" t="n"/>
      <c r="BF114" s="9" t="n"/>
      <c r="BG114" s="9" t="n"/>
      <c r="BH114" s="9" t="n"/>
      <c r="BI114" s="9" t="n"/>
      <c r="BJ114" s="9" t="n"/>
      <c r="BK114" s="9" t="n"/>
      <c r="BL114" s="9" t="n"/>
      <c r="BM114" s="9" t="n"/>
      <c r="BN114" s="9" t="n"/>
      <c r="BO114" s="8" t="n"/>
      <c r="BP114" s="9" t="n"/>
      <c r="BQ114" s="9" t="n"/>
      <c r="BR114" s="13">
        <f>IF(COUNTIF(AI114:BM114,"N")+COUNTBLANK(AI114:BM114)=0,"Y","N")</f>
        <v/>
      </c>
      <c r="BS114" s="13">
        <f>IF(AND(BR114="Y",OR(L114="Submitted",L114="Under Review")),"Y",IF(L114="Closed","Y","N"))</f>
        <v/>
      </c>
      <c r="BT114" s="10" t="n"/>
      <c r="BU114" s="13">
        <f>Rule_Flags!Q113</f>
        <v/>
      </c>
      <c r="BV114" s="13">
        <f>Rule_Flags!P113</f>
        <v/>
      </c>
      <c r="BW114" s="13">
        <f>IF(Rule_Flags!E113=1,"SITE_CONTROL",IF(Rule_Flags!F113=1,"APPROVALS",IF(Rule_Flags!G113=1,"REPORTS",IF(Rule_Flags!H113=1,"DEFICIENCY",IF(Rule_Flags!I113=1,"UNDERWRITING",IF(Rule_Flags!J113=1,"COMPLIANCE",""))))))</f>
        <v/>
      </c>
      <c r="BX114" s="13">
        <f>IF(BW114="SITE_CONTROL","Site control missing or invalid",IF(BW114="APPROVALS","Required approvals or resolutions incomplete",IF(BW114="REPORTS","Required third-party reports incomplete",IF(BW114="DEFICIENCY","Unresolved deficiency or material deficiency",IF(BW114="UNDERWRITING","Underwriting / feasibility not passed",IF(BW114="COMPLIANCE","Deconcentration, one-mile, LURA, or Chapter 12 issue","Ready under current engine rules"))))))</f>
        <v/>
      </c>
      <c r="BY114" s="13">
        <f>IF(BV114="Determination Notice","Streamlined + DN-ready assumptions satisfied",IF(BV114="Board","Board-required or board-ready assumptions satisfied",""))</f>
        <v/>
      </c>
      <c r="BZ114" s="13">
        <f>IF(AND(BP114="Y",BQ114&lt;&gt;"Y"),"Carryforward project retains queue priority",IF(BQ114="Y","New project enters behind carryforward projects",""))</f>
        <v/>
      </c>
      <c r="CA114" s="13">
        <f>_xludf.RANK.EQ(Rule_Flags!O113,Rule_Flags!$O$3:$O$402,0)</f>
        <v/>
      </c>
      <c r="CB114" s="13">
        <f>IF(OR(BU114="Determination Notice Issued",BU114="Board",BU114="Closed"),"Y","N")</f>
        <v/>
      </c>
      <c r="CC114" s="9" t="n"/>
      <c r="CD114" s="9" t="n"/>
      <c r="CE114" s="9" t="n"/>
      <c r="CF114" s="9" t="n"/>
      <c r="CG114" s="9" t="n"/>
      <c r="CH114" s="9" t="n"/>
    </row>
    <row r="115">
      <c r="A115" s="8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8" t="n"/>
      <c r="L115" s="9" t="n"/>
      <c r="M115" s="8" t="n"/>
      <c r="N115" s="8" t="n"/>
      <c r="O115" s="8" t="n"/>
      <c r="P115" s="8" t="n"/>
      <c r="Q115" s="8" t="n"/>
      <c r="R115" s="9" t="n"/>
      <c r="S115" s="9" t="n"/>
      <c r="T115" s="10" t="n"/>
      <c r="U115" s="10" t="n"/>
      <c r="V115" s="9" t="n"/>
      <c r="W115" s="9" t="n"/>
      <c r="X115" s="9" t="n"/>
      <c r="Y115" s="9" t="n"/>
      <c r="Z115" s="11" t="n"/>
      <c r="AA115" s="11" t="n"/>
      <c r="AB115" s="11" t="n"/>
      <c r="AC115" s="11" t="n"/>
      <c r="AD115" s="11" t="n"/>
      <c r="AE115" s="11" t="n"/>
      <c r="AF115" s="9" t="n"/>
      <c r="AG115" s="9" t="n"/>
      <c r="AH115" s="9" t="n"/>
      <c r="AI115" s="9" t="n"/>
      <c r="AJ115" s="8" t="n"/>
      <c r="AK115" s="9" t="n"/>
      <c r="AL115" s="9" t="n"/>
      <c r="AM115" s="9" t="n"/>
      <c r="AN115" s="9" t="n"/>
      <c r="AO115" s="9" t="n"/>
      <c r="AP115" s="9" t="n"/>
      <c r="AQ115" s="9" t="n"/>
      <c r="AR115" s="9" t="n"/>
      <c r="AS115" s="9" t="n"/>
      <c r="AT115" s="8" t="n"/>
      <c r="AU115" s="8" t="n"/>
      <c r="AV115" s="9" t="n"/>
      <c r="AW115" s="8" t="n"/>
      <c r="AX115" s="9" t="n"/>
      <c r="AY115" s="9" t="n"/>
      <c r="AZ115" s="9" t="n"/>
      <c r="BA115" s="9" t="n"/>
      <c r="BB115" s="9" t="n"/>
      <c r="BC115" s="9" t="n"/>
      <c r="BD115" s="9" t="n"/>
      <c r="BE115" s="9" t="n"/>
      <c r="BF115" s="9" t="n"/>
      <c r="BG115" s="9" t="n"/>
      <c r="BH115" s="9" t="n"/>
      <c r="BI115" s="9" t="n"/>
      <c r="BJ115" s="9" t="n"/>
      <c r="BK115" s="9" t="n"/>
      <c r="BL115" s="9" t="n"/>
      <c r="BM115" s="9" t="n"/>
      <c r="BN115" s="9" t="n"/>
      <c r="BO115" s="8" t="n"/>
      <c r="BP115" s="9" t="n"/>
      <c r="BQ115" s="9" t="n"/>
      <c r="BR115" s="13">
        <f>IF(COUNTIF(AI115:BM115,"N")+COUNTBLANK(AI115:BM115)=0,"Y","N")</f>
        <v/>
      </c>
      <c r="BS115" s="13">
        <f>IF(AND(BR115="Y",OR(L115="Submitted",L115="Under Review")),"Y",IF(L115="Closed","Y","N"))</f>
        <v/>
      </c>
      <c r="BT115" s="10" t="n"/>
      <c r="BU115" s="13">
        <f>Rule_Flags!Q114</f>
        <v/>
      </c>
      <c r="BV115" s="13">
        <f>Rule_Flags!P114</f>
        <v/>
      </c>
      <c r="BW115" s="13">
        <f>IF(Rule_Flags!E114=1,"SITE_CONTROL",IF(Rule_Flags!F114=1,"APPROVALS",IF(Rule_Flags!G114=1,"REPORTS",IF(Rule_Flags!H114=1,"DEFICIENCY",IF(Rule_Flags!I114=1,"UNDERWRITING",IF(Rule_Flags!J114=1,"COMPLIANCE",""))))))</f>
        <v/>
      </c>
      <c r="BX115" s="13">
        <f>IF(BW115="SITE_CONTROL","Site control missing or invalid",IF(BW115="APPROVALS","Required approvals or resolutions incomplete",IF(BW115="REPORTS","Required third-party reports incomplete",IF(BW115="DEFICIENCY","Unresolved deficiency or material deficiency",IF(BW115="UNDERWRITING","Underwriting / feasibility not passed",IF(BW115="COMPLIANCE","Deconcentration, one-mile, LURA, or Chapter 12 issue","Ready under current engine rules"))))))</f>
        <v/>
      </c>
      <c r="BY115" s="13">
        <f>IF(BV115="Determination Notice","Streamlined + DN-ready assumptions satisfied",IF(BV115="Board","Board-required or board-ready assumptions satisfied",""))</f>
        <v/>
      </c>
      <c r="BZ115" s="13">
        <f>IF(AND(BP115="Y",BQ115&lt;&gt;"Y"),"Carryforward project retains queue priority",IF(BQ115="Y","New project enters behind carryforward projects",""))</f>
        <v/>
      </c>
      <c r="CA115" s="13">
        <f>_xludf.RANK.EQ(Rule_Flags!O114,Rule_Flags!$O$3:$O$402,0)</f>
        <v/>
      </c>
      <c r="CB115" s="13">
        <f>IF(OR(BU115="Determination Notice Issued",BU115="Board",BU115="Closed"),"Y","N")</f>
        <v/>
      </c>
      <c r="CC115" s="9" t="n"/>
      <c r="CD115" s="9" t="n"/>
      <c r="CE115" s="9" t="n"/>
      <c r="CF115" s="9" t="n"/>
      <c r="CG115" s="9" t="n"/>
      <c r="CH115" s="9" t="n"/>
    </row>
    <row r="116">
      <c r="A116" s="8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8" t="n"/>
      <c r="L116" s="9" t="n"/>
      <c r="M116" s="8" t="n"/>
      <c r="N116" s="8" t="n"/>
      <c r="O116" s="8" t="n"/>
      <c r="P116" s="8" t="n"/>
      <c r="Q116" s="8" t="n"/>
      <c r="R116" s="9" t="n"/>
      <c r="S116" s="9" t="n"/>
      <c r="T116" s="10" t="n"/>
      <c r="U116" s="10" t="n"/>
      <c r="V116" s="9" t="n"/>
      <c r="W116" s="9" t="n"/>
      <c r="X116" s="9" t="n"/>
      <c r="Y116" s="9" t="n"/>
      <c r="Z116" s="11" t="n"/>
      <c r="AA116" s="11" t="n"/>
      <c r="AB116" s="11" t="n"/>
      <c r="AC116" s="11" t="n"/>
      <c r="AD116" s="11" t="n"/>
      <c r="AE116" s="11" t="n"/>
      <c r="AF116" s="9" t="n"/>
      <c r="AG116" s="9" t="n"/>
      <c r="AH116" s="9" t="n"/>
      <c r="AI116" s="9" t="n"/>
      <c r="AJ116" s="8" t="n"/>
      <c r="AK116" s="9" t="n"/>
      <c r="AL116" s="9" t="n"/>
      <c r="AM116" s="9" t="n"/>
      <c r="AN116" s="9" t="n"/>
      <c r="AO116" s="9" t="n"/>
      <c r="AP116" s="9" t="n"/>
      <c r="AQ116" s="9" t="n"/>
      <c r="AR116" s="9" t="n"/>
      <c r="AS116" s="9" t="n"/>
      <c r="AT116" s="8" t="n"/>
      <c r="AU116" s="8" t="n"/>
      <c r="AV116" s="9" t="n"/>
      <c r="AW116" s="8" t="n"/>
      <c r="AX116" s="9" t="n"/>
      <c r="AY116" s="9" t="n"/>
      <c r="AZ116" s="9" t="n"/>
      <c r="BA116" s="9" t="n"/>
      <c r="BB116" s="9" t="n"/>
      <c r="BC116" s="9" t="n"/>
      <c r="BD116" s="9" t="n"/>
      <c r="BE116" s="9" t="n"/>
      <c r="BF116" s="9" t="n"/>
      <c r="BG116" s="9" t="n"/>
      <c r="BH116" s="9" t="n"/>
      <c r="BI116" s="9" t="n"/>
      <c r="BJ116" s="9" t="n"/>
      <c r="BK116" s="9" t="n"/>
      <c r="BL116" s="9" t="n"/>
      <c r="BM116" s="9" t="n"/>
      <c r="BN116" s="9" t="n"/>
      <c r="BO116" s="8" t="n"/>
      <c r="BP116" s="9" t="n"/>
      <c r="BQ116" s="9" t="n"/>
      <c r="BR116" s="13">
        <f>IF(COUNTIF(AI116:BM116,"N")+COUNTBLANK(AI116:BM116)=0,"Y","N")</f>
        <v/>
      </c>
      <c r="BS116" s="13">
        <f>IF(AND(BR116="Y",OR(L116="Submitted",L116="Under Review")),"Y",IF(L116="Closed","Y","N"))</f>
        <v/>
      </c>
      <c r="BT116" s="10" t="n"/>
      <c r="BU116" s="13">
        <f>Rule_Flags!Q115</f>
        <v/>
      </c>
      <c r="BV116" s="13">
        <f>Rule_Flags!P115</f>
        <v/>
      </c>
      <c r="BW116" s="13">
        <f>IF(Rule_Flags!E115=1,"SITE_CONTROL",IF(Rule_Flags!F115=1,"APPROVALS",IF(Rule_Flags!G115=1,"REPORTS",IF(Rule_Flags!H115=1,"DEFICIENCY",IF(Rule_Flags!I115=1,"UNDERWRITING",IF(Rule_Flags!J115=1,"COMPLIANCE",""))))))</f>
        <v/>
      </c>
      <c r="BX116" s="13">
        <f>IF(BW116="SITE_CONTROL","Site control missing or invalid",IF(BW116="APPROVALS","Required approvals or resolutions incomplete",IF(BW116="REPORTS","Required third-party reports incomplete",IF(BW116="DEFICIENCY","Unresolved deficiency or material deficiency",IF(BW116="UNDERWRITING","Underwriting / feasibility not passed",IF(BW116="COMPLIANCE","Deconcentration, one-mile, LURA, or Chapter 12 issue","Ready under current engine rules"))))))</f>
        <v/>
      </c>
      <c r="BY116" s="13">
        <f>IF(BV116="Determination Notice","Streamlined + DN-ready assumptions satisfied",IF(BV116="Board","Board-required or board-ready assumptions satisfied",""))</f>
        <v/>
      </c>
      <c r="BZ116" s="13">
        <f>IF(AND(BP116="Y",BQ116&lt;&gt;"Y"),"Carryforward project retains queue priority",IF(BQ116="Y","New project enters behind carryforward projects",""))</f>
        <v/>
      </c>
      <c r="CA116" s="13">
        <f>_xludf.RANK.EQ(Rule_Flags!O115,Rule_Flags!$O$3:$O$402,0)</f>
        <v/>
      </c>
      <c r="CB116" s="13">
        <f>IF(OR(BU116="Determination Notice Issued",BU116="Board",BU116="Closed"),"Y","N")</f>
        <v/>
      </c>
      <c r="CC116" s="9" t="n"/>
      <c r="CD116" s="9" t="n"/>
      <c r="CE116" s="9" t="n"/>
      <c r="CF116" s="9" t="n"/>
      <c r="CG116" s="9" t="n"/>
      <c r="CH116" s="9" t="n"/>
    </row>
    <row r="117">
      <c r="A117" s="8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8" t="n"/>
      <c r="L117" s="9" t="n"/>
      <c r="M117" s="8" t="n"/>
      <c r="N117" s="8" t="n"/>
      <c r="O117" s="8" t="n"/>
      <c r="P117" s="8" t="n"/>
      <c r="Q117" s="8" t="n"/>
      <c r="R117" s="9" t="n"/>
      <c r="S117" s="9" t="n"/>
      <c r="T117" s="10" t="n"/>
      <c r="U117" s="10" t="n"/>
      <c r="V117" s="9" t="n"/>
      <c r="W117" s="9" t="n"/>
      <c r="X117" s="9" t="n"/>
      <c r="Y117" s="9" t="n"/>
      <c r="Z117" s="11" t="n"/>
      <c r="AA117" s="11" t="n"/>
      <c r="AB117" s="11" t="n"/>
      <c r="AC117" s="11" t="n"/>
      <c r="AD117" s="11" t="n"/>
      <c r="AE117" s="11" t="n"/>
      <c r="AF117" s="9" t="n"/>
      <c r="AG117" s="9" t="n"/>
      <c r="AH117" s="9" t="n"/>
      <c r="AI117" s="9" t="n"/>
      <c r="AJ117" s="8" t="n"/>
      <c r="AK117" s="9" t="n"/>
      <c r="AL117" s="9" t="n"/>
      <c r="AM117" s="9" t="n"/>
      <c r="AN117" s="9" t="n"/>
      <c r="AO117" s="9" t="n"/>
      <c r="AP117" s="9" t="n"/>
      <c r="AQ117" s="9" t="n"/>
      <c r="AR117" s="9" t="n"/>
      <c r="AS117" s="9" t="n"/>
      <c r="AT117" s="8" t="n"/>
      <c r="AU117" s="8" t="n"/>
      <c r="AV117" s="9" t="n"/>
      <c r="AW117" s="8" t="n"/>
      <c r="AX117" s="9" t="n"/>
      <c r="AY117" s="9" t="n"/>
      <c r="AZ117" s="9" t="n"/>
      <c r="BA117" s="9" t="n"/>
      <c r="BB117" s="9" t="n"/>
      <c r="BC117" s="9" t="n"/>
      <c r="BD117" s="9" t="n"/>
      <c r="BE117" s="9" t="n"/>
      <c r="BF117" s="9" t="n"/>
      <c r="BG117" s="9" t="n"/>
      <c r="BH117" s="9" t="n"/>
      <c r="BI117" s="9" t="n"/>
      <c r="BJ117" s="9" t="n"/>
      <c r="BK117" s="9" t="n"/>
      <c r="BL117" s="9" t="n"/>
      <c r="BM117" s="9" t="n"/>
      <c r="BN117" s="9" t="n"/>
      <c r="BO117" s="8" t="n"/>
      <c r="BP117" s="9" t="n"/>
      <c r="BQ117" s="9" t="n"/>
      <c r="BR117" s="13">
        <f>IF(COUNTIF(AI117:BM117,"N")+COUNTBLANK(AI117:BM117)=0,"Y","N")</f>
        <v/>
      </c>
      <c r="BS117" s="13">
        <f>IF(AND(BR117="Y",OR(L117="Submitted",L117="Under Review")),"Y",IF(L117="Closed","Y","N"))</f>
        <v/>
      </c>
      <c r="BT117" s="10" t="n"/>
      <c r="BU117" s="13">
        <f>Rule_Flags!Q116</f>
        <v/>
      </c>
      <c r="BV117" s="13">
        <f>Rule_Flags!P116</f>
        <v/>
      </c>
      <c r="BW117" s="13">
        <f>IF(Rule_Flags!E116=1,"SITE_CONTROL",IF(Rule_Flags!F116=1,"APPROVALS",IF(Rule_Flags!G116=1,"REPORTS",IF(Rule_Flags!H116=1,"DEFICIENCY",IF(Rule_Flags!I116=1,"UNDERWRITING",IF(Rule_Flags!J116=1,"COMPLIANCE",""))))))</f>
        <v/>
      </c>
      <c r="BX117" s="13">
        <f>IF(BW117="SITE_CONTROL","Site control missing or invalid",IF(BW117="APPROVALS","Required approvals or resolutions incomplete",IF(BW117="REPORTS","Required third-party reports incomplete",IF(BW117="DEFICIENCY","Unresolved deficiency or material deficiency",IF(BW117="UNDERWRITING","Underwriting / feasibility not passed",IF(BW117="COMPLIANCE","Deconcentration, one-mile, LURA, or Chapter 12 issue","Ready under current engine rules"))))))</f>
        <v/>
      </c>
      <c r="BY117" s="13">
        <f>IF(BV117="Determination Notice","Streamlined + DN-ready assumptions satisfied",IF(BV117="Board","Board-required or board-ready assumptions satisfied",""))</f>
        <v/>
      </c>
      <c r="BZ117" s="13">
        <f>IF(AND(BP117="Y",BQ117&lt;&gt;"Y"),"Carryforward project retains queue priority",IF(BQ117="Y","New project enters behind carryforward projects",""))</f>
        <v/>
      </c>
      <c r="CA117" s="13">
        <f>_xludf.RANK.EQ(Rule_Flags!O116,Rule_Flags!$O$3:$O$402,0)</f>
        <v/>
      </c>
      <c r="CB117" s="13">
        <f>IF(OR(BU117="Determination Notice Issued",BU117="Board",BU117="Closed"),"Y","N")</f>
        <v/>
      </c>
      <c r="CC117" s="9" t="n"/>
      <c r="CD117" s="9" t="n"/>
      <c r="CE117" s="9" t="n"/>
      <c r="CF117" s="9" t="n"/>
      <c r="CG117" s="9" t="n"/>
      <c r="CH117" s="9" t="n"/>
    </row>
    <row r="118">
      <c r="A118" s="8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8" t="n"/>
      <c r="L118" s="9" t="n"/>
      <c r="M118" s="8" t="n"/>
      <c r="N118" s="8" t="n"/>
      <c r="O118" s="8" t="n"/>
      <c r="P118" s="8" t="n"/>
      <c r="Q118" s="8" t="n"/>
      <c r="R118" s="9" t="n"/>
      <c r="S118" s="9" t="n"/>
      <c r="T118" s="10" t="n"/>
      <c r="U118" s="10" t="n"/>
      <c r="V118" s="9" t="n"/>
      <c r="W118" s="9" t="n"/>
      <c r="X118" s="9" t="n"/>
      <c r="Y118" s="9" t="n"/>
      <c r="Z118" s="11" t="n"/>
      <c r="AA118" s="11" t="n"/>
      <c r="AB118" s="11" t="n"/>
      <c r="AC118" s="11" t="n"/>
      <c r="AD118" s="11" t="n"/>
      <c r="AE118" s="11" t="n"/>
      <c r="AF118" s="9" t="n"/>
      <c r="AG118" s="9" t="n"/>
      <c r="AH118" s="9" t="n"/>
      <c r="AI118" s="9" t="n"/>
      <c r="AJ118" s="8" t="n"/>
      <c r="AK118" s="9" t="n"/>
      <c r="AL118" s="9" t="n"/>
      <c r="AM118" s="9" t="n"/>
      <c r="AN118" s="9" t="n"/>
      <c r="AO118" s="9" t="n"/>
      <c r="AP118" s="9" t="n"/>
      <c r="AQ118" s="9" t="n"/>
      <c r="AR118" s="9" t="n"/>
      <c r="AS118" s="9" t="n"/>
      <c r="AT118" s="8" t="n"/>
      <c r="AU118" s="8" t="n"/>
      <c r="AV118" s="9" t="n"/>
      <c r="AW118" s="8" t="n"/>
      <c r="AX118" s="9" t="n"/>
      <c r="AY118" s="9" t="n"/>
      <c r="AZ118" s="9" t="n"/>
      <c r="BA118" s="9" t="n"/>
      <c r="BB118" s="9" t="n"/>
      <c r="BC118" s="9" t="n"/>
      <c r="BD118" s="9" t="n"/>
      <c r="BE118" s="9" t="n"/>
      <c r="BF118" s="9" t="n"/>
      <c r="BG118" s="9" t="n"/>
      <c r="BH118" s="9" t="n"/>
      <c r="BI118" s="9" t="n"/>
      <c r="BJ118" s="9" t="n"/>
      <c r="BK118" s="9" t="n"/>
      <c r="BL118" s="9" t="n"/>
      <c r="BM118" s="9" t="n"/>
      <c r="BN118" s="9" t="n"/>
      <c r="BO118" s="8" t="n"/>
      <c r="BP118" s="9" t="n"/>
      <c r="BQ118" s="9" t="n"/>
      <c r="BR118" s="13">
        <f>IF(COUNTIF(AI118:BM118,"N")+COUNTBLANK(AI118:BM118)=0,"Y","N")</f>
        <v/>
      </c>
      <c r="BS118" s="13">
        <f>IF(AND(BR118="Y",OR(L118="Submitted",L118="Under Review")),"Y",IF(L118="Closed","Y","N"))</f>
        <v/>
      </c>
      <c r="BT118" s="10" t="n"/>
      <c r="BU118" s="13">
        <f>Rule_Flags!Q117</f>
        <v/>
      </c>
      <c r="BV118" s="13">
        <f>Rule_Flags!P117</f>
        <v/>
      </c>
      <c r="BW118" s="13">
        <f>IF(Rule_Flags!E117=1,"SITE_CONTROL",IF(Rule_Flags!F117=1,"APPROVALS",IF(Rule_Flags!G117=1,"REPORTS",IF(Rule_Flags!H117=1,"DEFICIENCY",IF(Rule_Flags!I117=1,"UNDERWRITING",IF(Rule_Flags!J117=1,"COMPLIANCE",""))))))</f>
        <v/>
      </c>
      <c r="BX118" s="13">
        <f>IF(BW118="SITE_CONTROL","Site control missing or invalid",IF(BW118="APPROVALS","Required approvals or resolutions incomplete",IF(BW118="REPORTS","Required third-party reports incomplete",IF(BW118="DEFICIENCY","Unresolved deficiency or material deficiency",IF(BW118="UNDERWRITING","Underwriting / feasibility not passed",IF(BW118="COMPLIANCE","Deconcentration, one-mile, LURA, or Chapter 12 issue","Ready under current engine rules"))))))</f>
        <v/>
      </c>
      <c r="BY118" s="13">
        <f>IF(BV118="Determination Notice","Streamlined + DN-ready assumptions satisfied",IF(BV118="Board","Board-required or board-ready assumptions satisfied",""))</f>
        <v/>
      </c>
      <c r="BZ118" s="13">
        <f>IF(AND(BP118="Y",BQ118&lt;&gt;"Y"),"Carryforward project retains queue priority",IF(BQ118="Y","New project enters behind carryforward projects",""))</f>
        <v/>
      </c>
      <c r="CA118" s="13">
        <f>_xludf.RANK.EQ(Rule_Flags!O117,Rule_Flags!$O$3:$O$402,0)</f>
        <v/>
      </c>
      <c r="CB118" s="13">
        <f>IF(OR(BU118="Determination Notice Issued",BU118="Board",BU118="Closed"),"Y","N")</f>
        <v/>
      </c>
      <c r="CC118" s="9" t="n"/>
      <c r="CD118" s="9" t="n"/>
      <c r="CE118" s="9" t="n"/>
      <c r="CF118" s="9" t="n"/>
      <c r="CG118" s="9" t="n"/>
      <c r="CH118" s="9" t="n"/>
    </row>
    <row r="119">
      <c r="A119" s="8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8" t="n"/>
      <c r="L119" s="9" t="n"/>
      <c r="M119" s="8" t="n"/>
      <c r="N119" s="8" t="n"/>
      <c r="O119" s="8" t="n"/>
      <c r="P119" s="8" t="n"/>
      <c r="Q119" s="8" t="n"/>
      <c r="R119" s="9" t="n"/>
      <c r="S119" s="9" t="n"/>
      <c r="T119" s="10" t="n"/>
      <c r="U119" s="10" t="n"/>
      <c r="V119" s="9" t="n"/>
      <c r="W119" s="9" t="n"/>
      <c r="X119" s="9" t="n"/>
      <c r="Y119" s="9" t="n"/>
      <c r="Z119" s="11" t="n"/>
      <c r="AA119" s="11" t="n"/>
      <c r="AB119" s="11" t="n"/>
      <c r="AC119" s="11" t="n"/>
      <c r="AD119" s="11" t="n"/>
      <c r="AE119" s="11" t="n"/>
      <c r="AF119" s="9" t="n"/>
      <c r="AG119" s="9" t="n"/>
      <c r="AH119" s="9" t="n"/>
      <c r="AI119" s="9" t="n"/>
      <c r="AJ119" s="8" t="n"/>
      <c r="AK119" s="9" t="n"/>
      <c r="AL119" s="9" t="n"/>
      <c r="AM119" s="9" t="n"/>
      <c r="AN119" s="9" t="n"/>
      <c r="AO119" s="9" t="n"/>
      <c r="AP119" s="9" t="n"/>
      <c r="AQ119" s="9" t="n"/>
      <c r="AR119" s="9" t="n"/>
      <c r="AS119" s="9" t="n"/>
      <c r="AT119" s="8" t="n"/>
      <c r="AU119" s="8" t="n"/>
      <c r="AV119" s="9" t="n"/>
      <c r="AW119" s="8" t="n"/>
      <c r="AX119" s="9" t="n"/>
      <c r="AY119" s="9" t="n"/>
      <c r="AZ119" s="9" t="n"/>
      <c r="BA119" s="9" t="n"/>
      <c r="BB119" s="9" t="n"/>
      <c r="BC119" s="9" t="n"/>
      <c r="BD119" s="9" t="n"/>
      <c r="BE119" s="9" t="n"/>
      <c r="BF119" s="9" t="n"/>
      <c r="BG119" s="9" t="n"/>
      <c r="BH119" s="9" t="n"/>
      <c r="BI119" s="9" t="n"/>
      <c r="BJ119" s="9" t="n"/>
      <c r="BK119" s="9" t="n"/>
      <c r="BL119" s="9" t="n"/>
      <c r="BM119" s="9" t="n"/>
      <c r="BN119" s="9" t="n"/>
      <c r="BO119" s="8" t="n"/>
      <c r="BP119" s="9" t="n"/>
      <c r="BQ119" s="9" t="n"/>
      <c r="BR119" s="13">
        <f>IF(COUNTIF(AI119:BM119,"N")+COUNTBLANK(AI119:BM119)=0,"Y","N")</f>
        <v/>
      </c>
      <c r="BS119" s="13">
        <f>IF(AND(BR119="Y",OR(L119="Submitted",L119="Under Review")),"Y",IF(L119="Closed","Y","N"))</f>
        <v/>
      </c>
      <c r="BT119" s="10" t="n"/>
      <c r="BU119" s="13">
        <f>Rule_Flags!Q118</f>
        <v/>
      </c>
      <c r="BV119" s="13">
        <f>Rule_Flags!P118</f>
        <v/>
      </c>
      <c r="BW119" s="13">
        <f>IF(Rule_Flags!E118=1,"SITE_CONTROL",IF(Rule_Flags!F118=1,"APPROVALS",IF(Rule_Flags!G118=1,"REPORTS",IF(Rule_Flags!H118=1,"DEFICIENCY",IF(Rule_Flags!I118=1,"UNDERWRITING",IF(Rule_Flags!J118=1,"COMPLIANCE",""))))))</f>
        <v/>
      </c>
      <c r="BX119" s="13">
        <f>IF(BW119="SITE_CONTROL","Site control missing or invalid",IF(BW119="APPROVALS","Required approvals or resolutions incomplete",IF(BW119="REPORTS","Required third-party reports incomplete",IF(BW119="DEFICIENCY","Unresolved deficiency or material deficiency",IF(BW119="UNDERWRITING","Underwriting / feasibility not passed",IF(BW119="COMPLIANCE","Deconcentration, one-mile, LURA, or Chapter 12 issue","Ready under current engine rules"))))))</f>
        <v/>
      </c>
      <c r="BY119" s="13">
        <f>IF(BV119="Determination Notice","Streamlined + DN-ready assumptions satisfied",IF(BV119="Board","Board-required or board-ready assumptions satisfied",""))</f>
        <v/>
      </c>
      <c r="BZ119" s="13">
        <f>IF(AND(BP119="Y",BQ119&lt;&gt;"Y"),"Carryforward project retains queue priority",IF(BQ119="Y","New project enters behind carryforward projects",""))</f>
        <v/>
      </c>
      <c r="CA119" s="13">
        <f>_xludf.RANK.EQ(Rule_Flags!O118,Rule_Flags!$O$3:$O$402,0)</f>
        <v/>
      </c>
      <c r="CB119" s="13">
        <f>IF(OR(BU119="Determination Notice Issued",BU119="Board",BU119="Closed"),"Y","N")</f>
        <v/>
      </c>
      <c r="CC119" s="9" t="n"/>
      <c r="CD119" s="9" t="n"/>
      <c r="CE119" s="9" t="n"/>
      <c r="CF119" s="9" t="n"/>
      <c r="CG119" s="9" t="n"/>
      <c r="CH119" s="9" t="n"/>
    </row>
    <row r="120">
      <c r="A120" s="8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8" t="n"/>
      <c r="L120" s="9" t="n"/>
      <c r="M120" s="8" t="n"/>
      <c r="N120" s="8" t="n"/>
      <c r="O120" s="8" t="n"/>
      <c r="P120" s="8" t="n"/>
      <c r="Q120" s="8" t="n"/>
      <c r="R120" s="9" t="n"/>
      <c r="S120" s="9" t="n"/>
      <c r="T120" s="10" t="n"/>
      <c r="U120" s="10" t="n"/>
      <c r="V120" s="9" t="n"/>
      <c r="W120" s="9" t="n"/>
      <c r="X120" s="9" t="n"/>
      <c r="Y120" s="9" t="n"/>
      <c r="Z120" s="11" t="n"/>
      <c r="AA120" s="11" t="n"/>
      <c r="AB120" s="11" t="n"/>
      <c r="AC120" s="11" t="n"/>
      <c r="AD120" s="11" t="n"/>
      <c r="AE120" s="11" t="n"/>
      <c r="AF120" s="9" t="n"/>
      <c r="AG120" s="9" t="n"/>
      <c r="AH120" s="9" t="n"/>
      <c r="AI120" s="9" t="n"/>
      <c r="AJ120" s="8" t="n"/>
      <c r="AK120" s="9" t="n"/>
      <c r="AL120" s="9" t="n"/>
      <c r="AM120" s="9" t="n"/>
      <c r="AN120" s="9" t="n"/>
      <c r="AO120" s="9" t="n"/>
      <c r="AP120" s="9" t="n"/>
      <c r="AQ120" s="9" t="n"/>
      <c r="AR120" s="9" t="n"/>
      <c r="AS120" s="9" t="n"/>
      <c r="AT120" s="8" t="n"/>
      <c r="AU120" s="8" t="n"/>
      <c r="AV120" s="9" t="n"/>
      <c r="AW120" s="8" t="n"/>
      <c r="AX120" s="9" t="n"/>
      <c r="AY120" s="9" t="n"/>
      <c r="AZ120" s="9" t="n"/>
      <c r="BA120" s="9" t="n"/>
      <c r="BB120" s="9" t="n"/>
      <c r="BC120" s="9" t="n"/>
      <c r="BD120" s="9" t="n"/>
      <c r="BE120" s="9" t="n"/>
      <c r="BF120" s="9" t="n"/>
      <c r="BG120" s="9" t="n"/>
      <c r="BH120" s="9" t="n"/>
      <c r="BI120" s="9" t="n"/>
      <c r="BJ120" s="9" t="n"/>
      <c r="BK120" s="9" t="n"/>
      <c r="BL120" s="9" t="n"/>
      <c r="BM120" s="9" t="n"/>
      <c r="BN120" s="9" t="n"/>
      <c r="BO120" s="8" t="n"/>
      <c r="BP120" s="9" t="n"/>
      <c r="BQ120" s="9" t="n"/>
      <c r="BR120" s="13">
        <f>IF(COUNTIF(AI120:BM120,"N")+COUNTBLANK(AI120:BM120)=0,"Y","N")</f>
        <v/>
      </c>
      <c r="BS120" s="13">
        <f>IF(AND(BR120="Y",OR(L120="Submitted",L120="Under Review")),"Y",IF(L120="Closed","Y","N"))</f>
        <v/>
      </c>
      <c r="BT120" s="10" t="n"/>
      <c r="BU120" s="13">
        <f>Rule_Flags!Q119</f>
        <v/>
      </c>
      <c r="BV120" s="13">
        <f>Rule_Flags!P119</f>
        <v/>
      </c>
      <c r="BW120" s="13">
        <f>IF(Rule_Flags!E119=1,"SITE_CONTROL",IF(Rule_Flags!F119=1,"APPROVALS",IF(Rule_Flags!G119=1,"REPORTS",IF(Rule_Flags!H119=1,"DEFICIENCY",IF(Rule_Flags!I119=1,"UNDERWRITING",IF(Rule_Flags!J119=1,"COMPLIANCE",""))))))</f>
        <v/>
      </c>
      <c r="BX120" s="13">
        <f>IF(BW120="SITE_CONTROL","Site control missing or invalid",IF(BW120="APPROVALS","Required approvals or resolutions incomplete",IF(BW120="REPORTS","Required third-party reports incomplete",IF(BW120="DEFICIENCY","Unresolved deficiency or material deficiency",IF(BW120="UNDERWRITING","Underwriting / feasibility not passed",IF(BW120="COMPLIANCE","Deconcentration, one-mile, LURA, or Chapter 12 issue","Ready under current engine rules"))))))</f>
        <v/>
      </c>
      <c r="BY120" s="13">
        <f>IF(BV120="Determination Notice","Streamlined + DN-ready assumptions satisfied",IF(BV120="Board","Board-required or board-ready assumptions satisfied",""))</f>
        <v/>
      </c>
      <c r="BZ120" s="13">
        <f>IF(AND(BP120="Y",BQ120&lt;&gt;"Y"),"Carryforward project retains queue priority",IF(BQ120="Y","New project enters behind carryforward projects",""))</f>
        <v/>
      </c>
      <c r="CA120" s="13">
        <f>_xludf.RANK.EQ(Rule_Flags!O119,Rule_Flags!$O$3:$O$402,0)</f>
        <v/>
      </c>
      <c r="CB120" s="13">
        <f>IF(OR(BU120="Determination Notice Issued",BU120="Board",BU120="Closed"),"Y","N")</f>
        <v/>
      </c>
      <c r="CC120" s="9" t="n"/>
      <c r="CD120" s="9" t="n"/>
      <c r="CE120" s="9" t="n"/>
      <c r="CF120" s="9" t="n"/>
      <c r="CG120" s="9" t="n"/>
      <c r="CH120" s="9" t="n"/>
    </row>
    <row r="121">
      <c r="A121" s="8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8" t="n"/>
      <c r="L121" s="9" t="n"/>
      <c r="M121" s="8" t="n"/>
      <c r="N121" s="8" t="n"/>
      <c r="O121" s="8" t="n"/>
      <c r="P121" s="8" t="n"/>
      <c r="Q121" s="8" t="n"/>
      <c r="R121" s="9" t="n"/>
      <c r="S121" s="9" t="n"/>
      <c r="T121" s="10" t="n"/>
      <c r="U121" s="10" t="n"/>
      <c r="V121" s="9" t="n"/>
      <c r="W121" s="9" t="n"/>
      <c r="X121" s="9" t="n"/>
      <c r="Y121" s="9" t="n"/>
      <c r="Z121" s="11" t="n"/>
      <c r="AA121" s="11" t="n"/>
      <c r="AB121" s="11" t="n"/>
      <c r="AC121" s="11" t="n"/>
      <c r="AD121" s="11" t="n"/>
      <c r="AE121" s="11" t="n"/>
      <c r="AF121" s="9" t="n"/>
      <c r="AG121" s="9" t="n"/>
      <c r="AH121" s="9" t="n"/>
      <c r="AI121" s="9" t="n"/>
      <c r="AJ121" s="8" t="n"/>
      <c r="AK121" s="9" t="n"/>
      <c r="AL121" s="9" t="n"/>
      <c r="AM121" s="9" t="n"/>
      <c r="AN121" s="9" t="n"/>
      <c r="AO121" s="9" t="n"/>
      <c r="AP121" s="9" t="n"/>
      <c r="AQ121" s="9" t="n"/>
      <c r="AR121" s="9" t="n"/>
      <c r="AS121" s="9" t="n"/>
      <c r="AT121" s="8" t="n"/>
      <c r="AU121" s="8" t="n"/>
      <c r="AV121" s="9" t="n"/>
      <c r="AW121" s="8" t="n"/>
      <c r="AX121" s="9" t="n"/>
      <c r="AY121" s="9" t="n"/>
      <c r="AZ121" s="9" t="n"/>
      <c r="BA121" s="9" t="n"/>
      <c r="BB121" s="9" t="n"/>
      <c r="BC121" s="9" t="n"/>
      <c r="BD121" s="9" t="n"/>
      <c r="BE121" s="9" t="n"/>
      <c r="BF121" s="9" t="n"/>
      <c r="BG121" s="9" t="n"/>
      <c r="BH121" s="9" t="n"/>
      <c r="BI121" s="9" t="n"/>
      <c r="BJ121" s="9" t="n"/>
      <c r="BK121" s="9" t="n"/>
      <c r="BL121" s="9" t="n"/>
      <c r="BM121" s="9" t="n"/>
      <c r="BN121" s="9" t="n"/>
      <c r="BO121" s="8" t="n"/>
      <c r="BP121" s="9" t="n"/>
      <c r="BQ121" s="9" t="n"/>
      <c r="BR121" s="13">
        <f>IF(COUNTIF(AI121:BM121,"N")+COUNTBLANK(AI121:BM121)=0,"Y","N")</f>
        <v/>
      </c>
      <c r="BS121" s="13">
        <f>IF(AND(BR121="Y",OR(L121="Submitted",L121="Under Review")),"Y",IF(L121="Closed","Y","N"))</f>
        <v/>
      </c>
      <c r="BT121" s="10" t="n"/>
      <c r="BU121" s="13">
        <f>Rule_Flags!Q120</f>
        <v/>
      </c>
      <c r="BV121" s="13">
        <f>Rule_Flags!P120</f>
        <v/>
      </c>
      <c r="BW121" s="13">
        <f>IF(Rule_Flags!E120=1,"SITE_CONTROL",IF(Rule_Flags!F120=1,"APPROVALS",IF(Rule_Flags!G120=1,"REPORTS",IF(Rule_Flags!H120=1,"DEFICIENCY",IF(Rule_Flags!I120=1,"UNDERWRITING",IF(Rule_Flags!J120=1,"COMPLIANCE",""))))))</f>
        <v/>
      </c>
      <c r="BX121" s="13">
        <f>IF(BW121="SITE_CONTROL","Site control missing or invalid",IF(BW121="APPROVALS","Required approvals or resolutions incomplete",IF(BW121="REPORTS","Required third-party reports incomplete",IF(BW121="DEFICIENCY","Unresolved deficiency or material deficiency",IF(BW121="UNDERWRITING","Underwriting / feasibility not passed",IF(BW121="COMPLIANCE","Deconcentration, one-mile, LURA, or Chapter 12 issue","Ready under current engine rules"))))))</f>
        <v/>
      </c>
      <c r="BY121" s="13">
        <f>IF(BV121="Determination Notice","Streamlined + DN-ready assumptions satisfied",IF(BV121="Board","Board-required or board-ready assumptions satisfied",""))</f>
        <v/>
      </c>
      <c r="BZ121" s="13">
        <f>IF(AND(BP121="Y",BQ121&lt;&gt;"Y"),"Carryforward project retains queue priority",IF(BQ121="Y","New project enters behind carryforward projects",""))</f>
        <v/>
      </c>
      <c r="CA121" s="13">
        <f>_xludf.RANK.EQ(Rule_Flags!O120,Rule_Flags!$O$3:$O$402,0)</f>
        <v/>
      </c>
      <c r="CB121" s="13">
        <f>IF(OR(BU121="Determination Notice Issued",BU121="Board",BU121="Closed"),"Y","N")</f>
        <v/>
      </c>
      <c r="CC121" s="9" t="n"/>
      <c r="CD121" s="9" t="n"/>
      <c r="CE121" s="9" t="n"/>
      <c r="CF121" s="9" t="n"/>
      <c r="CG121" s="9" t="n"/>
      <c r="CH121" s="9" t="n"/>
    </row>
    <row r="122">
      <c r="A122" s="8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8" t="n"/>
      <c r="L122" s="9" t="n"/>
      <c r="M122" s="8" t="n"/>
      <c r="N122" s="8" t="n"/>
      <c r="O122" s="8" t="n"/>
      <c r="P122" s="8" t="n"/>
      <c r="Q122" s="8" t="n"/>
      <c r="R122" s="9" t="n"/>
      <c r="S122" s="9" t="n"/>
      <c r="T122" s="10" t="n"/>
      <c r="U122" s="10" t="n"/>
      <c r="V122" s="9" t="n"/>
      <c r="W122" s="9" t="n"/>
      <c r="X122" s="9" t="n"/>
      <c r="Y122" s="9" t="n"/>
      <c r="Z122" s="11" t="n"/>
      <c r="AA122" s="11" t="n"/>
      <c r="AB122" s="11" t="n"/>
      <c r="AC122" s="11" t="n"/>
      <c r="AD122" s="11" t="n"/>
      <c r="AE122" s="11" t="n"/>
      <c r="AF122" s="9" t="n"/>
      <c r="AG122" s="9" t="n"/>
      <c r="AH122" s="9" t="n"/>
      <c r="AI122" s="9" t="n"/>
      <c r="AJ122" s="8" t="n"/>
      <c r="AK122" s="9" t="n"/>
      <c r="AL122" s="9" t="n"/>
      <c r="AM122" s="9" t="n"/>
      <c r="AN122" s="9" t="n"/>
      <c r="AO122" s="9" t="n"/>
      <c r="AP122" s="9" t="n"/>
      <c r="AQ122" s="9" t="n"/>
      <c r="AR122" s="9" t="n"/>
      <c r="AS122" s="9" t="n"/>
      <c r="AT122" s="8" t="n"/>
      <c r="AU122" s="8" t="n"/>
      <c r="AV122" s="9" t="n"/>
      <c r="AW122" s="8" t="n"/>
      <c r="AX122" s="9" t="n"/>
      <c r="AY122" s="9" t="n"/>
      <c r="AZ122" s="9" t="n"/>
      <c r="BA122" s="9" t="n"/>
      <c r="BB122" s="9" t="n"/>
      <c r="BC122" s="9" t="n"/>
      <c r="BD122" s="9" t="n"/>
      <c r="BE122" s="9" t="n"/>
      <c r="BF122" s="9" t="n"/>
      <c r="BG122" s="9" t="n"/>
      <c r="BH122" s="9" t="n"/>
      <c r="BI122" s="9" t="n"/>
      <c r="BJ122" s="9" t="n"/>
      <c r="BK122" s="9" t="n"/>
      <c r="BL122" s="9" t="n"/>
      <c r="BM122" s="9" t="n"/>
      <c r="BN122" s="9" t="n"/>
      <c r="BO122" s="8" t="n"/>
      <c r="BP122" s="9" t="n"/>
      <c r="BQ122" s="9" t="n"/>
      <c r="BR122" s="13">
        <f>IF(COUNTIF(AI122:BM122,"N")+COUNTBLANK(AI122:BM122)=0,"Y","N")</f>
        <v/>
      </c>
      <c r="BS122" s="13">
        <f>IF(AND(BR122="Y",OR(L122="Submitted",L122="Under Review")),"Y",IF(L122="Closed","Y","N"))</f>
        <v/>
      </c>
      <c r="BT122" s="10" t="n"/>
      <c r="BU122" s="13">
        <f>Rule_Flags!Q121</f>
        <v/>
      </c>
      <c r="BV122" s="13">
        <f>Rule_Flags!P121</f>
        <v/>
      </c>
      <c r="BW122" s="13">
        <f>IF(Rule_Flags!E121=1,"SITE_CONTROL",IF(Rule_Flags!F121=1,"APPROVALS",IF(Rule_Flags!G121=1,"REPORTS",IF(Rule_Flags!H121=1,"DEFICIENCY",IF(Rule_Flags!I121=1,"UNDERWRITING",IF(Rule_Flags!J121=1,"COMPLIANCE",""))))))</f>
        <v/>
      </c>
      <c r="BX122" s="13">
        <f>IF(BW122="SITE_CONTROL","Site control missing or invalid",IF(BW122="APPROVALS","Required approvals or resolutions incomplete",IF(BW122="REPORTS","Required third-party reports incomplete",IF(BW122="DEFICIENCY","Unresolved deficiency or material deficiency",IF(BW122="UNDERWRITING","Underwriting / feasibility not passed",IF(BW122="COMPLIANCE","Deconcentration, one-mile, LURA, or Chapter 12 issue","Ready under current engine rules"))))))</f>
        <v/>
      </c>
      <c r="BY122" s="13">
        <f>IF(BV122="Determination Notice","Streamlined + DN-ready assumptions satisfied",IF(BV122="Board","Board-required or board-ready assumptions satisfied",""))</f>
        <v/>
      </c>
      <c r="BZ122" s="13">
        <f>IF(AND(BP122="Y",BQ122&lt;&gt;"Y"),"Carryforward project retains queue priority",IF(BQ122="Y","New project enters behind carryforward projects",""))</f>
        <v/>
      </c>
      <c r="CA122" s="13">
        <f>_xludf.RANK.EQ(Rule_Flags!O121,Rule_Flags!$O$3:$O$402,0)</f>
        <v/>
      </c>
      <c r="CB122" s="13">
        <f>IF(OR(BU122="Determination Notice Issued",BU122="Board",BU122="Closed"),"Y","N")</f>
        <v/>
      </c>
      <c r="CC122" s="9" t="n"/>
      <c r="CD122" s="9" t="n"/>
      <c r="CE122" s="9" t="n"/>
      <c r="CF122" s="9" t="n"/>
      <c r="CG122" s="9" t="n"/>
      <c r="CH122" s="9" t="n"/>
    </row>
    <row r="123">
      <c r="A123" s="8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8" t="n"/>
      <c r="L123" s="9" t="n"/>
      <c r="M123" s="8" t="n"/>
      <c r="N123" s="8" t="n"/>
      <c r="O123" s="8" t="n"/>
      <c r="P123" s="8" t="n"/>
      <c r="Q123" s="8" t="n"/>
      <c r="R123" s="9" t="n"/>
      <c r="S123" s="9" t="n"/>
      <c r="T123" s="10" t="n"/>
      <c r="U123" s="10" t="n"/>
      <c r="V123" s="9" t="n"/>
      <c r="W123" s="9" t="n"/>
      <c r="X123" s="9" t="n"/>
      <c r="Y123" s="9" t="n"/>
      <c r="Z123" s="11" t="n"/>
      <c r="AA123" s="11" t="n"/>
      <c r="AB123" s="11" t="n"/>
      <c r="AC123" s="11" t="n"/>
      <c r="AD123" s="11" t="n"/>
      <c r="AE123" s="11" t="n"/>
      <c r="AF123" s="9" t="n"/>
      <c r="AG123" s="9" t="n"/>
      <c r="AH123" s="9" t="n"/>
      <c r="AI123" s="9" t="n"/>
      <c r="AJ123" s="8" t="n"/>
      <c r="AK123" s="9" t="n"/>
      <c r="AL123" s="9" t="n"/>
      <c r="AM123" s="9" t="n"/>
      <c r="AN123" s="9" t="n"/>
      <c r="AO123" s="9" t="n"/>
      <c r="AP123" s="9" t="n"/>
      <c r="AQ123" s="9" t="n"/>
      <c r="AR123" s="9" t="n"/>
      <c r="AS123" s="9" t="n"/>
      <c r="AT123" s="8" t="n"/>
      <c r="AU123" s="8" t="n"/>
      <c r="AV123" s="9" t="n"/>
      <c r="AW123" s="8" t="n"/>
      <c r="AX123" s="9" t="n"/>
      <c r="AY123" s="9" t="n"/>
      <c r="AZ123" s="9" t="n"/>
      <c r="BA123" s="9" t="n"/>
      <c r="BB123" s="9" t="n"/>
      <c r="BC123" s="9" t="n"/>
      <c r="BD123" s="9" t="n"/>
      <c r="BE123" s="9" t="n"/>
      <c r="BF123" s="9" t="n"/>
      <c r="BG123" s="9" t="n"/>
      <c r="BH123" s="9" t="n"/>
      <c r="BI123" s="9" t="n"/>
      <c r="BJ123" s="9" t="n"/>
      <c r="BK123" s="9" t="n"/>
      <c r="BL123" s="9" t="n"/>
      <c r="BM123" s="9" t="n"/>
      <c r="BN123" s="9" t="n"/>
      <c r="BO123" s="8" t="n"/>
      <c r="BP123" s="9" t="n"/>
      <c r="BQ123" s="9" t="n"/>
      <c r="BR123" s="13">
        <f>IF(COUNTIF(AI123:BM123,"N")+COUNTBLANK(AI123:BM123)=0,"Y","N")</f>
        <v/>
      </c>
      <c r="BS123" s="13">
        <f>IF(AND(BR123="Y",OR(L123="Submitted",L123="Under Review")),"Y",IF(L123="Closed","Y","N"))</f>
        <v/>
      </c>
      <c r="BT123" s="10" t="n"/>
      <c r="BU123" s="13">
        <f>Rule_Flags!Q122</f>
        <v/>
      </c>
      <c r="BV123" s="13">
        <f>Rule_Flags!P122</f>
        <v/>
      </c>
      <c r="BW123" s="13">
        <f>IF(Rule_Flags!E122=1,"SITE_CONTROL",IF(Rule_Flags!F122=1,"APPROVALS",IF(Rule_Flags!G122=1,"REPORTS",IF(Rule_Flags!H122=1,"DEFICIENCY",IF(Rule_Flags!I122=1,"UNDERWRITING",IF(Rule_Flags!J122=1,"COMPLIANCE",""))))))</f>
        <v/>
      </c>
      <c r="BX123" s="13">
        <f>IF(BW123="SITE_CONTROL","Site control missing or invalid",IF(BW123="APPROVALS","Required approvals or resolutions incomplete",IF(BW123="REPORTS","Required third-party reports incomplete",IF(BW123="DEFICIENCY","Unresolved deficiency or material deficiency",IF(BW123="UNDERWRITING","Underwriting / feasibility not passed",IF(BW123="COMPLIANCE","Deconcentration, one-mile, LURA, or Chapter 12 issue","Ready under current engine rules"))))))</f>
        <v/>
      </c>
      <c r="BY123" s="13">
        <f>IF(BV123="Determination Notice","Streamlined + DN-ready assumptions satisfied",IF(BV123="Board","Board-required or board-ready assumptions satisfied",""))</f>
        <v/>
      </c>
      <c r="BZ123" s="13">
        <f>IF(AND(BP123="Y",BQ123&lt;&gt;"Y"),"Carryforward project retains queue priority",IF(BQ123="Y","New project enters behind carryforward projects",""))</f>
        <v/>
      </c>
      <c r="CA123" s="13">
        <f>_xludf.RANK.EQ(Rule_Flags!O122,Rule_Flags!$O$3:$O$402,0)</f>
        <v/>
      </c>
      <c r="CB123" s="13">
        <f>IF(OR(BU123="Determination Notice Issued",BU123="Board",BU123="Closed"),"Y","N")</f>
        <v/>
      </c>
      <c r="CC123" s="9" t="n"/>
      <c r="CD123" s="9" t="n"/>
      <c r="CE123" s="9" t="n"/>
      <c r="CF123" s="9" t="n"/>
      <c r="CG123" s="9" t="n"/>
      <c r="CH123" s="9" t="n"/>
    </row>
    <row r="124">
      <c r="A124" s="8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8" t="n"/>
      <c r="L124" s="9" t="n"/>
      <c r="M124" s="8" t="n"/>
      <c r="N124" s="8" t="n"/>
      <c r="O124" s="8" t="n"/>
      <c r="P124" s="8" t="n"/>
      <c r="Q124" s="8" t="n"/>
      <c r="R124" s="9" t="n"/>
      <c r="S124" s="9" t="n"/>
      <c r="T124" s="10" t="n"/>
      <c r="U124" s="10" t="n"/>
      <c r="V124" s="9" t="n"/>
      <c r="W124" s="9" t="n"/>
      <c r="X124" s="9" t="n"/>
      <c r="Y124" s="9" t="n"/>
      <c r="Z124" s="11" t="n"/>
      <c r="AA124" s="11" t="n"/>
      <c r="AB124" s="11" t="n"/>
      <c r="AC124" s="11" t="n"/>
      <c r="AD124" s="11" t="n"/>
      <c r="AE124" s="11" t="n"/>
      <c r="AF124" s="9" t="n"/>
      <c r="AG124" s="9" t="n"/>
      <c r="AH124" s="9" t="n"/>
      <c r="AI124" s="9" t="n"/>
      <c r="AJ124" s="8" t="n"/>
      <c r="AK124" s="9" t="n"/>
      <c r="AL124" s="9" t="n"/>
      <c r="AM124" s="9" t="n"/>
      <c r="AN124" s="9" t="n"/>
      <c r="AO124" s="9" t="n"/>
      <c r="AP124" s="9" t="n"/>
      <c r="AQ124" s="9" t="n"/>
      <c r="AR124" s="9" t="n"/>
      <c r="AS124" s="9" t="n"/>
      <c r="AT124" s="8" t="n"/>
      <c r="AU124" s="8" t="n"/>
      <c r="AV124" s="9" t="n"/>
      <c r="AW124" s="8" t="n"/>
      <c r="AX124" s="9" t="n"/>
      <c r="AY124" s="9" t="n"/>
      <c r="AZ124" s="9" t="n"/>
      <c r="BA124" s="9" t="n"/>
      <c r="BB124" s="9" t="n"/>
      <c r="BC124" s="9" t="n"/>
      <c r="BD124" s="9" t="n"/>
      <c r="BE124" s="9" t="n"/>
      <c r="BF124" s="9" t="n"/>
      <c r="BG124" s="9" t="n"/>
      <c r="BH124" s="9" t="n"/>
      <c r="BI124" s="9" t="n"/>
      <c r="BJ124" s="9" t="n"/>
      <c r="BK124" s="9" t="n"/>
      <c r="BL124" s="9" t="n"/>
      <c r="BM124" s="9" t="n"/>
      <c r="BN124" s="9" t="n"/>
      <c r="BO124" s="8" t="n"/>
      <c r="BP124" s="9" t="n"/>
      <c r="BQ124" s="9" t="n"/>
      <c r="BR124" s="13">
        <f>IF(COUNTIF(AI124:BM124,"N")+COUNTBLANK(AI124:BM124)=0,"Y","N")</f>
        <v/>
      </c>
      <c r="BS124" s="13">
        <f>IF(AND(BR124="Y",OR(L124="Submitted",L124="Under Review")),"Y",IF(L124="Closed","Y","N"))</f>
        <v/>
      </c>
      <c r="BT124" s="10" t="n"/>
      <c r="BU124" s="13">
        <f>Rule_Flags!Q123</f>
        <v/>
      </c>
      <c r="BV124" s="13">
        <f>Rule_Flags!P123</f>
        <v/>
      </c>
      <c r="BW124" s="13">
        <f>IF(Rule_Flags!E123=1,"SITE_CONTROL",IF(Rule_Flags!F123=1,"APPROVALS",IF(Rule_Flags!G123=1,"REPORTS",IF(Rule_Flags!H123=1,"DEFICIENCY",IF(Rule_Flags!I123=1,"UNDERWRITING",IF(Rule_Flags!J123=1,"COMPLIANCE",""))))))</f>
        <v/>
      </c>
      <c r="BX124" s="13">
        <f>IF(BW124="SITE_CONTROL","Site control missing or invalid",IF(BW124="APPROVALS","Required approvals or resolutions incomplete",IF(BW124="REPORTS","Required third-party reports incomplete",IF(BW124="DEFICIENCY","Unresolved deficiency or material deficiency",IF(BW124="UNDERWRITING","Underwriting / feasibility not passed",IF(BW124="COMPLIANCE","Deconcentration, one-mile, LURA, or Chapter 12 issue","Ready under current engine rules"))))))</f>
        <v/>
      </c>
      <c r="BY124" s="13">
        <f>IF(BV124="Determination Notice","Streamlined + DN-ready assumptions satisfied",IF(BV124="Board","Board-required or board-ready assumptions satisfied",""))</f>
        <v/>
      </c>
      <c r="BZ124" s="13">
        <f>IF(AND(BP124="Y",BQ124&lt;&gt;"Y"),"Carryforward project retains queue priority",IF(BQ124="Y","New project enters behind carryforward projects",""))</f>
        <v/>
      </c>
      <c r="CA124" s="13">
        <f>_xludf.RANK.EQ(Rule_Flags!O123,Rule_Flags!$O$3:$O$402,0)</f>
        <v/>
      </c>
      <c r="CB124" s="13">
        <f>IF(OR(BU124="Determination Notice Issued",BU124="Board",BU124="Closed"),"Y","N")</f>
        <v/>
      </c>
      <c r="CC124" s="9" t="n"/>
      <c r="CD124" s="9" t="n"/>
      <c r="CE124" s="9" t="n"/>
      <c r="CF124" s="9" t="n"/>
      <c r="CG124" s="9" t="n"/>
      <c r="CH124" s="9" t="n"/>
    </row>
    <row r="125">
      <c r="A125" s="8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8" t="n"/>
      <c r="L125" s="9" t="n"/>
      <c r="M125" s="8" t="n"/>
      <c r="N125" s="8" t="n"/>
      <c r="O125" s="8" t="n"/>
      <c r="P125" s="8" t="n"/>
      <c r="Q125" s="8" t="n"/>
      <c r="R125" s="9" t="n"/>
      <c r="S125" s="9" t="n"/>
      <c r="T125" s="10" t="n"/>
      <c r="U125" s="10" t="n"/>
      <c r="V125" s="9" t="n"/>
      <c r="W125" s="9" t="n"/>
      <c r="X125" s="9" t="n"/>
      <c r="Y125" s="9" t="n"/>
      <c r="Z125" s="11" t="n"/>
      <c r="AA125" s="11" t="n"/>
      <c r="AB125" s="11" t="n"/>
      <c r="AC125" s="11" t="n"/>
      <c r="AD125" s="11" t="n"/>
      <c r="AE125" s="11" t="n"/>
      <c r="AF125" s="9" t="n"/>
      <c r="AG125" s="9" t="n"/>
      <c r="AH125" s="9" t="n"/>
      <c r="AI125" s="9" t="n"/>
      <c r="AJ125" s="8" t="n"/>
      <c r="AK125" s="9" t="n"/>
      <c r="AL125" s="9" t="n"/>
      <c r="AM125" s="9" t="n"/>
      <c r="AN125" s="9" t="n"/>
      <c r="AO125" s="9" t="n"/>
      <c r="AP125" s="9" t="n"/>
      <c r="AQ125" s="9" t="n"/>
      <c r="AR125" s="9" t="n"/>
      <c r="AS125" s="9" t="n"/>
      <c r="AT125" s="8" t="n"/>
      <c r="AU125" s="8" t="n"/>
      <c r="AV125" s="9" t="n"/>
      <c r="AW125" s="8" t="n"/>
      <c r="AX125" s="9" t="n"/>
      <c r="AY125" s="9" t="n"/>
      <c r="AZ125" s="9" t="n"/>
      <c r="BA125" s="9" t="n"/>
      <c r="BB125" s="9" t="n"/>
      <c r="BC125" s="9" t="n"/>
      <c r="BD125" s="9" t="n"/>
      <c r="BE125" s="9" t="n"/>
      <c r="BF125" s="9" t="n"/>
      <c r="BG125" s="9" t="n"/>
      <c r="BH125" s="9" t="n"/>
      <c r="BI125" s="9" t="n"/>
      <c r="BJ125" s="9" t="n"/>
      <c r="BK125" s="9" t="n"/>
      <c r="BL125" s="9" t="n"/>
      <c r="BM125" s="9" t="n"/>
      <c r="BN125" s="9" t="n"/>
      <c r="BO125" s="8" t="n"/>
      <c r="BP125" s="9" t="n"/>
      <c r="BQ125" s="9" t="n"/>
      <c r="BR125" s="13">
        <f>IF(COUNTIF(AI125:BM125,"N")+COUNTBLANK(AI125:BM125)=0,"Y","N")</f>
        <v/>
      </c>
      <c r="BS125" s="13">
        <f>IF(AND(BR125="Y",OR(L125="Submitted",L125="Under Review")),"Y",IF(L125="Closed","Y","N"))</f>
        <v/>
      </c>
      <c r="BT125" s="10" t="n"/>
      <c r="BU125" s="13">
        <f>Rule_Flags!Q124</f>
        <v/>
      </c>
      <c r="BV125" s="13">
        <f>Rule_Flags!P124</f>
        <v/>
      </c>
      <c r="BW125" s="13">
        <f>IF(Rule_Flags!E124=1,"SITE_CONTROL",IF(Rule_Flags!F124=1,"APPROVALS",IF(Rule_Flags!G124=1,"REPORTS",IF(Rule_Flags!H124=1,"DEFICIENCY",IF(Rule_Flags!I124=1,"UNDERWRITING",IF(Rule_Flags!J124=1,"COMPLIANCE",""))))))</f>
        <v/>
      </c>
      <c r="BX125" s="13">
        <f>IF(BW125="SITE_CONTROL","Site control missing or invalid",IF(BW125="APPROVALS","Required approvals or resolutions incomplete",IF(BW125="REPORTS","Required third-party reports incomplete",IF(BW125="DEFICIENCY","Unresolved deficiency or material deficiency",IF(BW125="UNDERWRITING","Underwriting / feasibility not passed",IF(BW125="COMPLIANCE","Deconcentration, one-mile, LURA, or Chapter 12 issue","Ready under current engine rules"))))))</f>
        <v/>
      </c>
      <c r="BY125" s="13">
        <f>IF(BV125="Determination Notice","Streamlined + DN-ready assumptions satisfied",IF(BV125="Board","Board-required or board-ready assumptions satisfied",""))</f>
        <v/>
      </c>
      <c r="BZ125" s="13">
        <f>IF(AND(BP125="Y",BQ125&lt;&gt;"Y"),"Carryforward project retains queue priority",IF(BQ125="Y","New project enters behind carryforward projects",""))</f>
        <v/>
      </c>
      <c r="CA125" s="13">
        <f>_xludf.RANK.EQ(Rule_Flags!O124,Rule_Flags!$O$3:$O$402,0)</f>
        <v/>
      </c>
      <c r="CB125" s="13">
        <f>IF(OR(BU125="Determination Notice Issued",BU125="Board",BU125="Closed"),"Y","N")</f>
        <v/>
      </c>
      <c r="CC125" s="9" t="n"/>
      <c r="CD125" s="9" t="n"/>
      <c r="CE125" s="9" t="n"/>
      <c r="CF125" s="9" t="n"/>
      <c r="CG125" s="9" t="n"/>
      <c r="CH125" s="9" t="n"/>
    </row>
    <row r="126">
      <c r="A126" s="8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8" t="n"/>
      <c r="L126" s="9" t="n"/>
      <c r="M126" s="8" t="n"/>
      <c r="N126" s="8" t="n"/>
      <c r="O126" s="8" t="n"/>
      <c r="P126" s="8" t="n"/>
      <c r="Q126" s="8" t="n"/>
      <c r="R126" s="9" t="n"/>
      <c r="S126" s="9" t="n"/>
      <c r="T126" s="10" t="n"/>
      <c r="U126" s="10" t="n"/>
      <c r="V126" s="9" t="n"/>
      <c r="W126" s="9" t="n"/>
      <c r="X126" s="9" t="n"/>
      <c r="Y126" s="9" t="n"/>
      <c r="Z126" s="11" t="n"/>
      <c r="AA126" s="11" t="n"/>
      <c r="AB126" s="11" t="n"/>
      <c r="AC126" s="11" t="n"/>
      <c r="AD126" s="11" t="n"/>
      <c r="AE126" s="11" t="n"/>
      <c r="AF126" s="9" t="n"/>
      <c r="AG126" s="9" t="n"/>
      <c r="AH126" s="9" t="n"/>
      <c r="AI126" s="9" t="n"/>
      <c r="AJ126" s="8" t="n"/>
      <c r="AK126" s="9" t="n"/>
      <c r="AL126" s="9" t="n"/>
      <c r="AM126" s="9" t="n"/>
      <c r="AN126" s="9" t="n"/>
      <c r="AO126" s="9" t="n"/>
      <c r="AP126" s="9" t="n"/>
      <c r="AQ126" s="9" t="n"/>
      <c r="AR126" s="9" t="n"/>
      <c r="AS126" s="9" t="n"/>
      <c r="AT126" s="8" t="n"/>
      <c r="AU126" s="8" t="n"/>
      <c r="AV126" s="9" t="n"/>
      <c r="AW126" s="8" t="n"/>
      <c r="AX126" s="9" t="n"/>
      <c r="AY126" s="9" t="n"/>
      <c r="AZ126" s="9" t="n"/>
      <c r="BA126" s="9" t="n"/>
      <c r="BB126" s="9" t="n"/>
      <c r="BC126" s="9" t="n"/>
      <c r="BD126" s="9" t="n"/>
      <c r="BE126" s="9" t="n"/>
      <c r="BF126" s="9" t="n"/>
      <c r="BG126" s="9" t="n"/>
      <c r="BH126" s="9" t="n"/>
      <c r="BI126" s="9" t="n"/>
      <c r="BJ126" s="9" t="n"/>
      <c r="BK126" s="9" t="n"/>
      <c r="BL126" s="9" t="n"/>
      <c r="BM126" s="9" t="n"/>
      <c r="BN126" s="9" t="n"/>
      <c r="BO126" s="8" t="n"/>
      <c r="BP126" s="9" t="n"/>
      <c r="BQ126" s="9" t="n"/>
      <c r="BR126" s="13">
        <f>IF(COUNTIF(AI126:BM126,"N")+COUNTBLANK(AI126:BM126)=0,"Y","N")</f>
        <v/>
      </c>
      <c r="BS126" s="13">
        <f>IF(AND(BR126="Y",OR(L126="Submitted",L126="Under Review")),"Y",IF(L126="Closed","Y","N"))</f>
        <v/>
      </c>
      <c r="BT126" s="10" t="n"/>
      <c r="BU126" s="13">
        <f>Rule_Flags!Q125</f>
        <v/>
      </c>
      <c r="BV126" s="13">
        <f>Rule_Flags!P125</f>
        <v/>
      </c>
      <c r="BW126" s="13">
        <f>IF(Rule_Flags!E125=1,"SITE_CONTROL",IF(Rule_Flags!F125=1,"APPROVALS",IF(Rule_Flags!G125=1,"REPORTS",IF(Rule_Flags!H125=1,"DEFICIENCY",IF(Rule_Flags!I125=1,"UNDERWRITING",IF(Rule_Flags!J125=1,"COMPLIANCE",""))))))</f>
        <v/>
      </c>
      <c r="BX126" s="13">
        <f>IF(BW126="SITE_CONTROL","Site control missing or invalid",IF(BW126="APPROVALS","Required approvals or resolutions incomplete",IF(BW126="REPORTS","Required third-party reports incomplete",IF(BW126="DEFICIENCY","Unresolved deficiency or material deficiency",IF(BW126="UNDERWRITING","Underwriting / feasibility not passed",IF(BW126="COMPLIANCE","Deconcentration, one-mile, LURA, or Chapter 12 issue","Ready under current engine rules"))))))</f>
        <v/>
      </c>
      <c r="BY126" s="13">
        <f>IF(BV126="Determination Notice","Streamlined + DN-ready assumptions satisfied",IF(BV126="Board","Board-required or board-ready assumptions satisfied",""))</f>
        <v/>
      </c>
      <c r="BZ126" s="13">
        <f>IF(AND(BP126="Y",BQ126&lt;&gt;"Y"),"Carryforward project retains queue priority",IF(BQ126="Y","New project enters behind carryforward projects",""))</f>
        <v/>
      </c>
      <c r="CA126" s="13">
        <f>_xludf.RANK.EQ(Rule_Flags!O125,Rule_Flags!$O$3:$O$402,0)</f>
        <v/>
      </c>
      <c r="CB126" s="13">
        <f>IF(OR(BU126="Determination Notice Issued",BU126="Board",BU126="Closed"),"Y","N")</f>
        <v/>
      </c>
      <c r="CC126" s="9" t="n"/>
      <c r="CD126" s="9" t="n"/>
      <c r="CE126" s="9" t="n"/>
      <c r="CF126" s="9" t="n"/>
      <c r="CG126" s="9" t="n"/>
      <c r="CH126" s="9" t="n"/>
    </row>
    <row r="127">
      <c r="A127" s="8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8" t="n"/>
      <c r="L127" s="9" t="n"/>
      <c r="M127" s="8" t="n"/>
      <c r="N127" s="8" t="n"/>
      <c r="O127" s="8" t="n"/>
      <c r="P127" s="8" t="n"/>
      <c r="Q127" s="8" t="n"/>
      <c r="R127" s="9" t="n"/>
      <c r="S127" s="9" t="n"/>
      <c r="T127" s="10" t="n"/>
      <c r="U127" s="10" t="n"/>
      <c r="V127" s="9" t="n"/>
      <c r="W127" s="9" t="n"/>
      <c r="X127" s="9" t="n"/>
      <c r="Y127" s="9" t="n"/>
      <c r="Z127" s="11" t="n"/>
      <c r="AA127" s="11" t="n"/>
      <c r="AB127" s="11" t="n"/>
      <c r="AC127" s="11" t="n"/>
      <c r="AD127" s="11" t="n"/>
      <c r="AE127" s="11" t="n"/>
      <c r="AF127" s="9" t="n"/>
      <c r="AG127" s="9" t="n"/>
      <c r="AH127" s="9" t="n"/>
      <c r="AI127" s="9" t="n"/>
      <c r="AJ127" s="8" t="n"/>
      <c r="AK127" s="9" t="n"/>
      <c r="AL127" s="9" t="n"/>
      <c r="AM127" s="9" t="n"/>
      <c r="AN127" s="9" t="n"/>
      <c r="AO127" s="9" t="n"/>
      <c r="AP127" s="9" t="n"/>
      <c r="AQ127" s="9" t="n"/>
      <c r="AR127" s="9" t="n"/>
      <c r="AS127" s="9" t="n"/>
      <c r="AT127" s="8" t="n"/>
      <c r="AU127" s="8" t="n"/>
      <c r="AV127" s="9" t="n"/>
      <c r="AW127" s="8" t="n"/>
      <c r="AX127" s="9" t="n"/>
      <c r="AY127" s="9" t="n"/>
      <c r="AZ127" s="9" t="n"/>
      <c r="BA127" s="9" t="n"/>
      <c r="BB127" s="9" t="n"/>
      <c r="BC127" s="9" t="n"/>
      <c r="BD127" s="9" t="n"/>
      <c r="BE127" s="9" t="n"/>
      <c r="BF127" s="9" t="n"/>
      <c r="BG127" s="9" t="n"/>
      <c r="BH127" s="9" t="n"/>
      <c r="BI127" s="9" t="n"/>
      <c r="BJ127" s="9" t="n"/>
      <c r="BK127" s="9" t="n"/>
      <c r="BL127" s="9" t="n"/>
      <c r="BM127" s="9" t="n"/>
      <c r="BN127" s="9" t="n"/>
      <c r="BO127" s="8" t="n"/>
      <c r="BP127" s="9" t="n"/>
      <c r="BQ127" s="9" t="n"/>
      <c r="BR127" s="13">
        <f>IF(COUNTIF(AI127:BM127,"N")+COUNTBLANK(AI127:BM127)=0,"Y","N")</f>
        <v/>
      </c>
      <c r="BS127" s="13">
        <f>IF(AND(BR127="Y",OR(L127="Submitted",L127="Under Review")),"Y",IF(L127="Closed","Y","N"))</f>
        <v/>
      </c>
      <c r="BT127" s="10" t="n"/>
      <c r="BU127" s="13">
        <f>Rule_Flags!Q126</f>
        <v/>
      </c>
      <c r="BV127" s="13">
        <f>Rule_Flags!P126</f>
        <v/>
      </c>
      <c r="BW127" s="13">
        <f>IF(Rule_Flags!E126=1,"SITE_CONTROL",IF(Rule_Flags!F126=1,"APPROVALS",IF(Rule_Flags!G126=1,"REPORTS",IF(Rule_Flags!H126=1,"DEFICIENCY",IF(Rule_Flags!I126=1,"UNDERWRITING",IF(Rule_Flags!J126=1,"COMPLIANCE",""))))))</f>
        <v/>
      </c>
      <c r="BX127" s="13">
        <f>IF(BW127="SITE_CONTROL","Site control missing or invalid",IF(BW127="APPROVALS","Required approvals or resolutions incomplete",IF(BW127="REPORTS","Required third-party reports incomplete",IF(BW127="DEFICIENCY","Unresolved deficiency or material deficiency",IF(BW127="UNDERWRITING","Underwriting / feasibility not passed",IF(BW127="COMPLIANCE","Deconcentration, one-mile, LURA, or Chapter 12 issue","Ready under current engine rules"))))))</f>
        <v/>
      </c>
      <c r="BY127" s="13">
        <f>IF(BV127="Determination Notice","Streamlined + DN-ready assumptions satisfied",IF(BV127="Board","Board-required or board-ready assumptions satisfied",""))</f>
        <v/>
      </c>
      <c r="BZ127" s="13">
        <f>IF(AND(BP127="Y",BQ127&lt;&gt;"Y"),"Carryforward project retains queue priority",IF(BQ127="Y","New project enters behind carryforward projects",""))</f>
        <v/>
      </c>
      <c r="CA127" s="13">
        <f>_xludf.RANK.EQ(Rule_Flags!O126,Rule_Flags!$O$3:$O$402,0)</f>
        <v/>
      </c>
      <c r="CB127" s="13">
        <f>IF(OR(BU127="Determination Notice Issued",BU127="Board",BU127="Closed"),"Y","N")</f>
        <v/>
      </c>
      <c r="CC127" s="9" t="n"/>
      <c r="CD127" s="9" t="n"/>
      <c r="CE127" s="9" t="n"/>
      <c r="CF127" s="9" t="n"/>
      <c r="CG127" s="9" t="n"/>
      <c r="CH127" s="9" t="n"/>
    </row>
    <row r="128">
      <c r="A128" s="8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8" t="n"/>
      <c r="L128" s="9" t="n"/>
      <c r="M128" s="8" t="n"/>
      <c r="N128" s="8" t="n"/>
      <c r="O128" s="8" t="n"/>
      <c r="P128" s="8" t="n"/>
      <c r="Q128" s="8" t="n"/>
      <c r="R128" s="9" t="n"/>
      <c r="S128" s="9" t="n"/>
      <c r="T128" s="10" t="n"/>
      <c r="U128" s="10" t="n"/>
      <c r="V128" s="9" t="n"/>
      <c r="W128" s="9" t="n"/>
      <c r="X128" s="9" t="n"/>
      <c r="Y128" s="9" t="n"/>
      <c r="Z128" s="11" t="n"/>
      <c r="AA128" s="11" t="n"/>
      <c r="AB128" s="11" t="n"/>
      <c r="AC128" s="11" t="n"/>
      <c r="AD128" s="11" t="n"/>
      <c r="AE128" s="11" t="n"/>
      <c r="AF128" s="9" t="n"/>
      <c r="AG128" s="9" t="n"/>
      <c r="AH128" s="9" t="n"/>
      <c r="AI128" s="9" t="n"/>
      <c r="AJ128" s="8" t="n"/>
      <c r="AK128" s="9" t="n"/>
      <c r="AL128" s="9" t="n"/>
      <c r="AM128" s="9" t="n"/>
      <c r="AN128" s="9" t="n"/>
      <c r="AO128" s="9" t="n"/>
      <c r="AP128" s="9" t="n"/>
      <c r="AQ128" s="9" t="n"/>
      <c r="AR128" s="9" t="n"/>
      <c r="AS128" s="9" t="n"/>
      <c r="AT128" s="8" t="n"/>
      <c r="AU128" s="8" t="n"/>
      <c r="AV128" s="9" t="n"/>
      <c r="AW128" s="8" t="n"/>
      <c r="AX128" s="9" t="n"/>
      <c r="AY128" s="9" t="n"/>
      <c r="AZ128" s="9" t="n"/>
      <c r="BA128" s="9" t="n"/>
      <c r="BB128" s="9" t="n"/>
      <c r="BC128" s="9" t="n"/>
      <c r="BD128" s="9" t="n"/>
      <c r="BE128" s="9" t="n"/>
      <c r="BF128" s="9" t="n"/>
      <c r="BG128" s="9" t="n"/>
      <c r="BH128" s="9" t="n"/>
      <c r="BI128" s="9" t="n"/>
      <c r="BJ128" s="9" t="n"/>
      <c r="BK128" s="9" t="n"/>
      <c r="BL128" s="9" t="n"/>
      <c r="BM128" s="9" t="n"/>
      <c r="BN128" s="9" t="n"/>
      <c r="BO128" s="8" t="n"/>
      <c r="BP128" s="9" t="n"/>
      <c r="BQ128" s="9" t="n"/>
      <c r="BR128" s="13">
        <f>IF(COUNTIF(AI128:BM128,"N")+COUNTBLANK(AI128:BM128)=0,"Y","N")</f>
        <v/>
      </c>
      <c r="BS128" s="13">
        <f>IF(AND(BR128="Y",OR(L128="Submitted",L128="Under Review")),"Y",IF(L128="Closed","Y","N"))</f>
        <v/>
      </c>
      <c r="BT128" s="10" t="n"/>
      <c r="BU128" s="13">
        <f>Rule_Flags!Q127</f>
        <v/>
      </c>
      <c r="BV128" s="13">
        <f>Rule_Flags!P127</f>
        <v/>
      </c>
      <c r="BW128" s="13">
        <f>IF(Rule_Flags!E127=1,"SITE_CONTROL",IF(Rule_Flags!F127=1,"APPROVALS",IF(Rule_Flags!G127=1,"REPORTS",IF(Rule_Flags!H127=1,"DEFICIENCY",IF(Rule_Flags!I127=1,"UNDERWRITING",IF(Rule_Flags!J127=1,"COMPLIANCE",""))))))</f>
        <v/>
      </c>
      <c r="BX128" s="13">
        <f>IF(BW128="SITE_CONTROL","Site control missing or invalid",IF(BW128="APPROVALS","Required approvals or resolutions incomplete",IF(BW128="REPORTS","Required third-party reports incomplete",IF(BW128="DEFICIENCY","Unresolved deficiency or material deficiency",IF(BW128="UNDERWRITING","Underwriting / feasibility not passed",IF(BW128="COMPLIANCE","Deconcentration, one-mile, LURA, or Chapter 12 issue","Ready under current engine rules"))))))</f>
        <v/>
      </c>
      <c r="BY128" s="13">
        <f>IF(BV128="Determination Notice","Streamlined + DN-ready assumptions satisfied",IF(BV128="Board","Board-required or board-ready assumptions satisfied",""))</f>
        <v/>
      </c>
      <c r="BZ128" s="13">
        <f>IF(AND(BP128="Y",BQ128&lt;&gt;"Y"),"Carryforward project retains queue priority",IF(BQ128="Y","New project enters behind carryforward projects",""))</f>
        <v/>
      </c>
      <c r="CA128" s="13">
        <f>_xludf.RANK.EQ(Rule_Flags!O127,Rule_Flags!$O$3:$O$402,0)</f>
        <v/>
      </c>
      <c r="CB128" s="13">
        <f>IF(OR(BU128="Determination Notice Issued",BU128="Board",BU128="Closed"),"Y","N")</f>
        <v/>
      </c>
      <c r="CC128" s="9" t="n"/>
      <c r="CD128" s="9" t="n"/>
      <c r="CE128" s="9" t="n"/>
      <c r="CF128" s="9" t="n"/>
      <c r="CG128" s="9" t="n"/>
      <c r="CH128" s="9" t="n"/>
    </row>
    <row r="129">
      <c r="A129" s="8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8" t="n"/>
      <c r="L129" s="9" t="n"/>
      <c r="M129" s="8" t="n"/>
      <c r="N129" s="8" t="n"/>
      <c r="O129" s="8" t="n"/>
      <c r="P129" s="8" t="n"/>
      <c r="Q129" s="8" t="n"/>
      <c r="R129" s="9" t="n"/>
      <c r="S129" s="9" t="n"/>
      <c r="T129" s="10" t="n"/>
      <c r="U129" s="10" t="n"/>
      <c r="V129" s="9" t="n"/>
      <c r="W129" s="9" t="n"/>
      <c r="X129" s="9" t="n"/>
      <c r="Y129" s="9" t="n"/>
      <c r="Z129" s="11" t="n"/>
      <c r="AA129" s="11" t="n"/>
      <c r="AB129" s="11" t="n"/>
      <c r="AC129" s="11" t="n"/>
      <c r="AD129" s="11" t="n"/>
      <c r="AE129" s="11" t="n"/>
      <c r="AF129" s="9" t="n"/>
      <c r="AG129" s="9" t="n"/>
      <c r="AH129" s="9" t="n"/>
      <c r="AI129" s="9" t="n"/>
      <c r="AJ129" s="8" t="n"/>
      <c r="AK129" s="9" t="n"/>
      <c r="AL129" s="9" t="n"/>
      <c r="AM129" s="9" t="n"/>
      <c r="AN129" s="9" t="n"/>
      <c r="AO129" s="9" t="n"/>
      <c r="AP129" s="9" t="n"/>
      <c r="AQ129" s="9" t="n"/>
      <c r="AR129" s="9" t="n"/>
      <c r="AS129" s="9" t="n"/>
      <c r="AT129" s="8" t="n"/>
      <c r="AU129" s="8" t="n"/>
      <c r="AV129" s="9" t="n"/>
      <c r="AW129" s="8" t="n"/>
      <c r="AX129" s="9" t="n"/>
      <c r="AY129" s="9" t="n"/>
      <c r="AZ129" s="9" t="n"/>
      <c r="BA129" s="9" t="n"/>
      <c r="BB129" s="9" t="n"/>
      <c r="BC129" s="9" t="n"/>
      <c r="BD129" s="9" t="n"/>
      <c r="BE129" s="9" t="n"/>
      <c r="BF129" s="9" t="n"/>
      <c r="BG129" s="9" t="n"/>
      <c r="BH129" s="9" t="n"/>
      <c r="BI129" s="9" t="n"/>
      <c r="BJ129" s="9" t="n"/>
      <c r="BK129" s="9" t="n"/>
      <c r="BL129" s="9" t="n"/>
      <c r="BM129" s="9" t="n"/>
      <c r="BN129" s="9" t="n"/>
      <c r="BO129" s="8" t="n"/>
      <c r="BP129" s="9" t="n"/>
      <c r="BQ129" s="9" t="n"/>
      <c r="BR129" s="13">
        <f>IF(COUNTIF(AI129:BM129,"N")+COUNTBLANK(AI129:BM129)=0,"Y","N")</f>
        <v/>
      </c>
      <c r="BS129" s="13">
        <f>IF(AND(BR129="Y",OR(L129="Submitted",L129="Under Review")),"Y",IF(L129="Closed","Y","N"))</f>
        <v/>
      </c>
      <c r="BT129" s="10" t="n"/>
      <c r="BU129" s="13">
        <f>Rule_Flags!Q128</f>
        <v/>
      </c>
      <c r="BV129" s="13">
        <f>Rule_Flags!P128</f>
        <v/>
      </c>
      <c r="BW129" s="13">
        <f>IF(Rule_Flags!E128=1,"SITE_CONTROL",IF(Rule_Flags!F128=1,"APPROVALS",IF(Rule_Flags!G128=1,"REPORTS",IF(Rule_Flags!H128=1,"DEFICIENCY",IF(Rule_Flags!I128=1,"UNDERWRITING",IF(Rule_Flags!J128=1,"COMPLIANCE",""))))))</f>
        <v/>
      </c>
      <c r="BX129" s="13">
        <f>IF(BW129="SITE_CONTROL","Site control missing or invalid",IF(BW129="APPROVALS","Required approvals or resolutions incomplete",IF(BW129="REPORTS","Required third-party reports incomplete",IF(BW129="DEFICIENCY","Unresolved deficiency or material deficiency",IF(BW129="UNDERWRITING","Underwriting / feasibility not passed",IF(BW129="COMPLIANCE","Deconcentration, one-mile, LURA, or Chapter 12 issue","Ready under current engine rules"))))))</f>
        <v/>
      </c>
      <c r="BY129" s="13">
        <f>IF(BV129="Determination Notice","Streamlined + DN-ready assumptions satisfied",IF(BV129="Board","Board-required or board-ready assumptions satisfied",""))</f>
        <v/>
      </c>
      <c r="BZ129" s="13">
        <f>IF(AND(BP129="Y",BQ129&lt;&gt;"Y"),"Carryforward project retains queue priority",IF(BQ129="Y","New project enters behind carryforward projects",""))</f>
        <v/>
      </c>
      <c r="CA129" s="13">
        <f>_xludf.RANK.EQ(Rule_Flags!O128,Rule_Flags!$O$3:$O$402,0)</f>
        <v/>
      </c>
      <c r="CB129" s="13">
        <f>IF(OR(BU129="Determination Notice Issued",BU129="Board",BU129="Closed"),"Y","N")</f>
        <v/>
      </c>
      <c r="CC129" s="9" t="n"/>
      <c r="CD129" s="9" t="n"/>
      <c r="CE129" s="9" t="n"/>
      <c r="CF129" s="9" t="n"/>
      <c r="CG129" s="9" t="n"/>
      <c r="CH129" s="9" t="n"/>
    </row>
    <row r="130">
      <c r="A130" s="8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8" t="n"/>
      <c r="L130" s="9" t="n"/>
      <c r="M130" s="8" t="n"/>
      <c r="N130" s="8" t="n"/>
      <c r="O130" s="8" t="n"/>
      <c r="P130" s="8" t="n"/>
      <c r="Q130" s="8" t="n"/>
      <c r="R130" s="9" t="n"/>
      <c r="S130" s="9" t="n"/>
      <c r="T130" s="10" t="n"/>
      <c r="U130" s="10" t="n"/>
      <c r="V130" s="9" t="n"/>
      <c r="W130" s="9" t="n"/>
      <c r="X130" s="9" t="n"/>
      <c r="Y130" s="9" t="n"/>
      <c r="Z130" s="11" t="n"/>
      <c r="AA130" s="11" t="n"/>
      <c r="AB130" s="11" t="n"/>
      <c r="AC130" s="11" t="n"/>
      <c r="AD130" s="11" t="n"/>
      <c r="AE130" s="11" t="n"/>
      <c r="AF130" s="9" t="n"/>
      <c r="AG130" s="9" t="n"/>
      <c r="AH130" s="9" t="n"/>
      <c r="AI130" s="9" t="n"/>
      <c r="AJ130" s="8" t="n"/>
      <c r="AK130" s="9" t="n"/>
      <c r="AL130" s="9" t="n"/>
      <c r="AM130" s="9" t="n"/>
      <c r="AN130" s="9" t="n"/>
      <c r="AO130" s="9" t="n"/>
      <c r="AP130" s="9" t="n"/>
      <c r="AQ130" s="9" t="n"/>
      <c r="AR130" s="9" t="n"/>
      <c r="AS130" s="9" t="n"/>
      <c r="AT130" s="8" t="n"/>
      <c r="AU130" s="8" t="n"/>
      <c r="AV130" s="9" t="n"/>
      <c r="AW130" s="8" t="n"/>
      <c r="AX130" s="9" t="n"/>
      <c r="AY130" s="9" t="n"/>
      <c r="AZ130" s="9" t="n"/>
      <c r="BA130" s="9" t="n"/>
      <c r="BB130" s="9" t="n"/>
      <c r="BC130" s="9" t="n"/>
      <c r="BD130" s="9" t="n"/>
      <c r="BE130" s="9" t="n"/>
      <c r="BF130" s="9" t="n"/>
      <c r="BG130" s="9" t="n"/>
      <c r="BH130" s="9" t="n"/>
      <c r="BI130" s="9" t="n"/>
      <c r="BJ130" s="9" t="n"/>
      <c r="BK130" s="9" t="n"/>
      <c r="BL130" s="9" t="n"/>
      <c r="BM130" s="9" t="n"/>
      <c r="BN130" s="9" t="n"/>
      <c r="BO130" s="8" t="n"/>
      <c r="BP130" s="9" t="n"/>
      <c r="BQ130" s="9" t="n"/>
      <c r="BR130" s="13">
        <f>IF(COUNTIF(AI130:BM130,"N")+COUNTBLANK(AI130:BM130)=0,"Y","N")</f>
        <v/>
      </c>
      <c r="BS130" s="13">
        <f>IF(AND(BR130="Y",OR(L130="Submitted",L130="Under Review")),"Y",IF(L130="Closed","Y","N"))</f>
        <v/>
      </c>
      <c r="BT130" s="10" t="n"/>
      <c r="BU130" s="13">
        <f>Rule_Flags!Q129</f>
        <v/>
      </c>
      <c r="BV130" s="13">
        <f>Rule_Flags!P129</f>
        <v/>
      </c>
      <c r="BW130" s="13">
        <f>IF(Rule_Flags!E129=1,"SITE_CONTROL",IF(Rule_Flags!F129=1,"APPROVALS",IF(Rule_Flags!G129=1,"REPORTS",IF(Rule_Flags!H129=1,"DEFICIENCY",IF(Rule_Flags!I129=1,"UNDERWRITING",IF(Rule_Flags!J129=1,"COMPLIANCE",""))))))</f>
        <v/>
      </c>
      <c r="BX130" s="13">
        <f>IF(BW130="SITE_CONTROL","Site control missing or invalid",IF(BW130="APPROVALS","Required approvals or resolutions incomplete",IF(BW130="REPORTS","Required third-party reports incomplete",IF(BW130="DEFICIENCY","Unresolved deficiency or material deficiency",IF(BW130="UNDERWRITING","Underwriting / feasibility not passed",IF(BW130="COMPLIANCE","Deconcentration, one-mile, LURA, or Chapter 12 issue","Ready under current engine rules"))))))</f>
        <v/>
      </c>
      <c r="BY130" s="13">
        <f>IF(BV130="Determination Notice","Streamlined + DN-ready assumptions satisfied",IF(BV130="Board","Board-required or board-ready assumptions satisfied",""))</f>
        <v/>
      </c>
      <c r="BZ130" s="13">
        <f>IF(AND(BP130="Y",BQ130&lt;&gt;"Y"),"Carryforward project retains queue priority",IF(BQ130="Y","New project enters behind carryforward projects",""))</f>
        <v/>
      </c>
      <c r="CA130" s="13">
        <f>_xludf.RANK.EQ(Rule_Flags!O129,Rule_Flags!$O$3:$O$402,0)</f>
        <v/>
      </c>
      <c r="CB130" s="13">
        <f>IF(OR(BU130="Determination Notice Issued",BU130="Board",BU130="Closed"),"Y","N")</f>
        <v/>
      </c>
      <c r="CC130" s="9" t="n"/>
      <c r="CD130" s="9" t="n"/>
      <c r="CE130" s="9" t="n"/>
      <c r="CF130" s="9" t="n"/>
      <c r="CG130" s="9" t="n"/>
      <c r="CH130" s="9" t="n"/>
    </row>
    <row r="131">
      <c r="A131" s="8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8" t="n"/>
      <c r="L131" s="9" t="n"/>
      <c r="M131" s="8" t="n"/>
      <c r="N131" s="8" t="n"/>
      <c r="O131" s="8" t="n"/>
      <c r="P131" s="8" t="n"/>
      <c r="Q131" s="8" t="n"/>
      <c r="R131" s="9" t="n"/>
      <c r="S131" s="9" t="n"/>
      <c r="T131" s="10" t="n"/>
      <c r="U131" s="10" t="n"/>
      <c r="V131" s="9" t="n"/>
      <c r="W131" s="9" t="n"/>
      <c r="X131" s="9" t="n"/>
      <c r="Y131" s="9" t="n"/>
      <c r="Z131" s="11" t="n"/>
      <c r="AA131" s="11" t="n"/>
      <c r="AB131" s="11" t="n"/>
      <c r="AC131" s="11" t="n"/>
      <c r="AD131" s="11" t="n"/>
      <c r="AE131" s="11" t="n"/>
      <c r="AF131" s="9" t="n"/>
      <c r="AG131" s="9" t="n"/>
      <c r="AH131" s="9" t="n"/>
      <c r="AI131" s="9" t="n"/>
      <c r="AJ131" s="8" t="n"/>
      <c r="AK131" s="9" t="n"/>
      <c r="AL131" s="9" t="n"/>
      <c r="AM131" s="9" t="n"/>
      <c r="AN131" s="9" t="n"/>
      <c r="AO131" s="9" t="n"/>
      <c r="AP131" s="9" t="n"/>
      <c r="AQ131" s="9" t="n"/>
      <c r="AR131" s="9" t="n"/>
      <c r="AS131" s="9" t="n"/>
      <c r="AT131" s="8" t="n"/>
      <c r="AU131" s="8" t="n"/>
      <c r="AV131" s="9" t="n"/>
      <c r="AW131" s="8" t="n"/>
      <c r="AX131" s="9" t="n"/>
      <c r="AY131" s="9" t="n"/>
      <c r="AZ131" s="9" t="n"/>
      <c r="BA131" s="9" t="n"/>
      <c r="BB131" s="9" t="n"/>
      <c r="BC131" s="9" t="n"/>
      <c r="BD131" s="9" t="n"/>
      <c r="BE131" s="9" t="n"/>
      <c r="BF131" s="9" t="n"/>
      <c r="BG131" s="9" t="n"/>
      <c r="BH131" s="9" t="n"/>
      <c r="BI131" s="9" t="n"/>
      <c r="BJ131" s="9" t="n"/>
      <c r="BK131" s="9" t="n"/>
      <c r="BL131" s="9" t="n"/>
      <c r="BM131" s="9" t="n"/>
      <c r="BN131" s="9" t="n"/>
      <c r="BO131" s="8" t="n"/>
      <c r="BP131" s="9" t="n"/>
      <c r="BQ131" s="9" t="n"/>
      <c r="BR131" s="13">
        <f>IF(COUNTIF(AI131:BM131,"N")+COUNTBLANK(AI131:BM131)=0,"Y","N")</f>
        <v/>
      </c>
      <c r="BS131" s="13">
        <f>IF(AND(BR131="Y",OR(L131="Submitted",L131="Under Review")),"Y",IF(L131="Closed","Y","N"))</f>
        <v/>
      </c>
      <c r="BT131" s="10" t="n"/>
      <c r="BU131" s="13">
        <f>Rule_Flags!Q130</f>
        <v/>
      </c>
      <c r="BV131" s="13">
        <f>Rule_Flags!P130</f>
        <v/>
      </c>
      <c r="BW131" s="13">
        <f>IF(Rule_Flags!E130=1,"SITE_CONTROL",IF(Rule_Flags!F130=1,"APPROVALS",IF(Rule_Flags!G130=1,"REPORTS",IF(Rule_Flags!H130=1,"DEFICIENCY",IF(Rule_Flags!I130=1,"UNDERWRITING",IF(Rule_Flags!J130=1,"COMPLIANCE",""))))))</f>
        <v/>
      </c>
      <c r="BX131" s="13">
        <f>IF(BW131="SITE_CONTROL","Site control missing or invalid",IF(BW131="APPROVALS","Required approvals or resolutions incomplete",IF(BW131="REPORTS","Required third-party reports incomplete",IF(BW131="DEFICIENCY","Unresolved deficiency or material deficiency",IF(BW131="UNDERWRITING","Underwriting / feasibility not passed",IF(BW131="COMPLIANCE","Deconcentration, one-mile, LURA, or Chapter 12 issue","Ready under current engine rules"))))))</f>
        <v/>
      </c>
      <c r="BY131" s="13">
        <f>IF(BV131="Determination Notice","Streamlined + DN-ready assumptions satisfied",IF(BV131="Board","Board-required or board-ready assumptions satisfied",""))</f>
        <v/>
      </c>
      <c r="BZ131" s="13">
        <f>IF(AND(BP131="Y",BQ131&lt;&gt;"Y"),"Carryforward project retains queue priority",IF(BQ131="Y","New project enters behind carryforward projects",""))</f>
        <v/>
      </c>
      <c r="CA131" s="13">
        <f>_xludf.RANK.EQ(Rule_Flags!O130,Rule_Flags!$O$3:$O$402,0)</f>
        <v/>
      </c>
      <c r="CB131" s="13">
        <f>IF(OR(BU131="Determination Notice Issued",BU131="Board",BU131="Closed"),"Y","N")</f>
        <v/>
      </c>
      <c r="CC131" s="9" t="n"/>
      <c r="CD131" s="9" t="n"/>
      <c r="CE131" s="9" t="n"/>
      <c r="CF131" s="9" t="n"/>
      <c r="CG131" s="9" t="n"/>
      <c r="CH131" s="9" t="n"/>
    </row>
    <row r="132">
      <c r="A132" s="8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8" t="n"/>
      <c r="L132" s="9" t="n"/>
      <c r="M132" s="8" t="n"/>
      <c r="N132" s="8" t="n"/>
      <c r="O132" s="8" t="n"/>
      <c r="P132" s="8" t="n"/>
      <c r="Q132" s="8" t="n"/>
      <c r="R132" s="9" t="n"/>
      <c r="S132" s="9" t="n"/>
      <c r="T132" s="10" t="n"/>
      <c r="U132" s="10" t="n"/>
      <c r="V132" s="9" t="n"/>
      <c r="W132" s="9" t="n"/>
      <c r="X132" s="9" t="n"/>
      <c r="Y132" s="9" t="n"/>
      <c r="Z132" s="11" t="n"/>
      <c r="AA132" s="11" t="n"/>
      <c r="AB132" s="11" t="n"/>
      <c r="AC132" s="11" t="n"/>
      <c r="AD132" s="11" t="n"/>
      <c r="AE132" s="11" t="n"/>
      <c r="AF132" s="9" t="n"/>
      <c r="AG132" s="9" t="n"/>
      <c r="AH132" s="9" t="n"/>
      <c r="AI132" s="9" t="n"/>
      <c r="AJ132" s="8" t="n"/>
      <c r="AK132" s="9" t="n"/>
      <c r="AL132" s="9" t="n"/>
      <c r="AM132" s="9" t="n"/>
      <c r="AN132" s="9" t="n"/>
      <c r="AO132" s="9" t="n"/>
      <c r="AP132" s="9" t="n"/>
      <c r="AQ132" s="9" t="n"/>
      <c r="AR132" s="9" t="n"/>
      <c r="AS132" s="9" t="n"/>
      <c r="AT132" s="8" t="n"/>
      <c r="AU132" s="8" t="n"/>
      <c r="AV132" s="9" t="n"/>
      <c r="AW132" s="8" t="n"/>
      <c r="AX132" s="9" t="n"/>
      <c r="AY132" s="9" t="n"/>
      <c r="AZ132" s="9" t="n"/>
      <c r="BA132" s="9" t="n"/>
      <c r="BB132" s="9" t="n"/>
      <c r="BC132" s="9" t="n"/>
      <c r="BD132" s="9" t="n"/>
      <c r="BE132" s="9" t="n"/>
      <c r="BF132" s="9" t="n"/>
      <c r="BG132" s="9" t="n"/>
      <c r="BH132" s="9" t="n"/>
      <c r="BI132" s="9" t="n"/>
      <c r="BJ132" s="9" t="n"/>
      <c r="BK132" s="9" t="n"/>
      <c r="BL132" s="9" t="n"/>
      <c r="BM132" s="9" t="n"/>
      <c r="BN132" s="9" t="n"/>
      <c r="BO132" s="8" t="n"/>
      <c r="BP132" s="9" t="n"/>
      <c r="BQ132" s="9" t="n"/>
      <c r="BR132" s="13">
        <f>IF(COUNTIF(AI132:BM132,"N")+COUNTBLANK(AI132:BM132)=0,"Y","N")</f>
        <v/>
      </c>
      <c r="BS132" s="13">
        <f>IF(AND(BR132="Y",OR(L132="Submitted",L132="Under Review")),"Y",IF(L132="Closed","Y","N"))</f>
        <v/>
      </c>
      <c r="BT132" s="10" t="n"/>
      <c r="BU132" s="13">
        <f>Rule_Flags!Q131</f>
        <v/>
      </c>
      <c r="BV132" s="13">
        <f>Rule_Flags!P131</f>
        <v/>
      </c>
      <c r="BW132" s="13">
        <f>IF(Rule_Flags!E131=1,"SITE_CONTROL",IF(Rule_Flags!F131=1,"APPROVALS",IF(Rule_Flags!G131=1,"REPORTS",IF(Rule_Flags!H131=1,"DEFICIENCY",IF(Rule_Flags!I131=1,"UNDERWRITING",IF(Rule_Flags!J131=1,"COMPLIANCE",""))))))</f>
        <v/>
      </c>
      <c r="BX132" s="13">
        <f>IF(BW132="SITE_CONTROL","Site control missing or invalid",IF(BW132="APPROVALS","Required approvals or resolutions incomplete",IF(BW132="REPORTS","Required third-party reports incomplete",IF(BW132="DEFICIENCY","Unresolved deficiency or material deficiency",IF(BW132="UNDERWRITING","Underwriting / feasibility not passed",IF(BW132="COMPLIANCE","Deconcentration, one-mile, LURA, or Chapter 12 issue","Ready under current engine rules"))))))</f>
        <v/>
      </c>
      <c r="BY132" s="13">
        <f>IF(BV132="Determination Notice","Streamlined + DN-ready assumptions satisfied",IF(BV132="Board","Board-required or board-ready assumptions satisfied",""))</f>
        <v/>
      </c>
      <c r="BZ132" s="13">
        <f>IF(AND(BP132="Y",BQ132&lt;&gt;"Y"),"Carryforward project retains queue priority",IF(BQ132="Y","New project enters behind carryforward projects",""))</f>
        <v/>
      </c>
      <c r="CA132" s="13">
        <f>_xludf.RANK.EQ(Rule_Flags!O131,Rule_Flags!$O$3:$O$402,0)</f>
        <v/>
      </c>
      <c r="CB132" s="13">
        <f>IF(OR(BU132="Determination Notice Issued",BU132="Board",BU132="Closed"),"Y","N")</f>
        <v/>
      </c>
      <c r="CC132" s="9" t="n"/>
      <c r="CD132" s="9" t="n"/>
      <c r="CE132" s="9" t="n"/>
      <c r="CF132" s="9" t="n"/>
      <c r="CG132" s="9" t="n"/>
      <c r="CH132" s="9" t="n"/>
    </row>
    <row r="133">
      <c r="A133" s="8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8" t="n"/>
      <c r="L133" s="9" t="n"/>
      <c r="M133" s="8" t="n"/>
      <c r="N133" s="8" t="n"/>
      <c r="O133" s="8" t="n"/>
      <c r="P133" s="8" t="n"/>
      <c r="Q133" s="8" t="n"/>
      <c r="R133" s="9" t="n"/>
      <c r="S133" s="9" t="n"/>
      <c r="T133" s="10" t="n"/>
      <c r="U133" s="10" t="n"/>
      <c r="V133" s="9" t="n"/>
      <c r="W133" s="9" t="n"/>
      <c r="X133" s="9" t="n"/>
      <c r="Y133" s="9" t="n"/>
      <c r="Z133" s="11" t="n"/>
      <c r="AA133" s="11" t="n"/>
      <c r="AB133" s="11" t="n"/>
      <c r="AC133" s="11" t="n"/>
      <c r="AD133" s="11" t="n"/>
      <c r="AE133" s="11" t="n"/>
      <c r="AF133" s="9" t="n"/>
      <c r="AG133" s="9" t="n"/>
      <c r="AH133" s="9" t="n"/>
      <c r="AI133" s="9" t="n"/>
      <c r="AJ133" s="8" t="n"/>
      <c r="AK133" s="9" t="n"/>
      <c r="AL133" s="9" t="n"/>
      <c r="AM133" s="9" t="n"/>
      <c r="AN133" s="9" t="n"/>
      <c r="AO133" s="9" t="n"/>
      <c r="AP133" s="9" t="n"/>
      <c r="AQ133" s="9" t="n"/>
      <c r="AR133" s="9" t="n"/>
      <c r="AS133" s="9" t="n"/>
      <c r="AT133" s="8" t="n"/>
      <c r="AU133" s="8" t="n"/>
      <c r="AV133" s="9" t="n"/>
      <c r="AW133" s="8" t="n"/>
      <c r="AX133" s="9" t="n"/>
      <c r="AY133" s="9" t="n"/>
      <c r="AZ133" s="9" t="n"/>
      <c r="BA133" s="9" t="n"/>
      <c r="BB133" s="9" t="n"/>
      <c r="BC133" s="9" t="n"/>
      <c r="BD133" s="9" t="n"/>
      <c r="BE133" s="9" t="n"/>
      <c r="BF133" s="9" t="n"/>
      <c r="BG133" s="9" t="n"/>
      <c r="BH133" s="9" t="n"/>
      <c r="BI133" s="9" t="n"/>
      <c r="BJ133" s="9" t="n"/>
      <c r="BK133" s="9" t="n"/>
      <c r="BL133" s="9" t="n"/>
      <c r="BM133" s="9" t="n"/>
      <c r="BN133" s="9" t="n"/>
      <c r="BO133" s="8" t="n"/>
      <c r="BP133" s="9" t="n"/>
      <c r="BQ133" s="9" t="n"/>
      <c r="BR133" s="13">
        <f>IF(COUNTIF(AI133:BM133,"N")+COUNTBLANK(AI133:BM133)=0,"Y","N")</f>
        <v/>
      </c>
      <c r="BS133" s="13">
        <f>IF(AND(BR133="Y",OR(L133="Submitted",L133="Under Review")),"Y",IF(L133="Closed","Y","N"))</f>
        <v/>
      </c>
      <c r="BT133" s="10" t="n"/>
      <c r="BU133" s="13">
        <f>Rule_Flags!Q132</f>
        <v/>
      </c>
      <c r="BV133" s="13">
        <f>Rule_Flags!P132</f>
        <v/>
      </c>
      <c r="BW133" s="13">
        <f>IF(Rule_Flags!E132=1,"SITE_CONTROL",IF(Rule_Flags!F132=1,"APPROVALS",IF(Rule_Flags!G132=1,"REPORTS",IF(Rule_Flags!H132=1,"DEFICIENCY",IF(Rule_Flags!I132=1,"UNDERWRITING",IF(Rule_Flags!J132=1,"COMPLIANCE",""))))))</f>
        <v/>
      </c>
      <c r="BX133" s="13">
        <f>IF(BW133="SITE_CONTROL","Site control missing or invalid",IF(BW133="APPROVALS","Required approvals or resolutions incomplete",IF(BW133="REPORTS","Required third-party reports incomplete",IF(BW133="DEFICIENCY","Unresolved deficiency or material deficiency",IF(BW133="UNDERWRITING","Underwriting / feasibility not passed",IF(BW133="COMPLIANCE","Deconcentration, one-mile, LURA, or Chapter 12 issue","Ready under current engine rules"))))))</f>
        <v/>
      </c>
      <c r="BY133" s="13">
        <f>IF(BV133="Determination Notice","Streamlined + DN-ready assumptions satisfied",IF(BV133="Board","Board-required or board-ready assumptions satisfied",""))</f>
        <v/>
      </c>
      <c r="BZ133" s="13">
        <f>IF(AND(BP133="Y",BQ133&lt;&gt;"Y"),"Carryforward project retains queue priority",IF(BQ133="Y","New project enters behind carryforward projects",""))</f>
        <v/>
      </c>
      <c r="CA133" s="13">
        <f>_xludf.RANK.EQ(Rule_Flags!O132,Rule_Flags!$O$3:$O$402,0)</f>
        <v/>
      </c>
      <c r="CB133" s="13">
        <f>IF(OR(BU133="Determination Notice Issued",BU133="Board",BU133="Closed"),"Y","N")</f>
        <v/>
      </c>
      <c r="CC133" s="9" t="n"/>
      <c r="CD133" s="9" t="n"/>
      <c r="CE133" s="9" t="n"/>
      <c r="CF133" s="9" t="n"/>
      <c r="CG133" s="9" t="n"/>
      <c r="CH133" s="9" t="n"/>
    </row>
    <row r="134">
      <c r="A134" s="8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8" t="n"/>
      <c r="L134" s="9" t="n"/>
      <c r="M134" s="8" t="n"/>
      <c r="N134" s="8" t="n"/>
      <c r="O134" s="8" t="n"/>
      <c r="P134" s="8" t="n"/>
      <c r="Q134" s="8" t="n"/>
      <c r="R134" s="9" t="n"/>
      <c r="S134" s="9" t="n"/>
      <c r="T134" s="10" t="n"/>
      <c r="U134" s="10" t="n"/>
      <c r="V134" s="9" t="n"/>
      <c r="W134" s="9" t="n"/>
      <c r="X134" s="9" t="n"/>
      <c r="Y134" s="9" t="n"/>
      <c r="Z134" s="11" t="n"/>
      <c r="AA134" s="11" t="n"/>
      <c r="AB134" s="11" t="n"/>
      <c r="AC134" s="11" t="n"/>
      <c r="AD134" s="11" t="n"/>
      <c r="AE134" s="11" t="n"/>
      <c r="AF134" s="9" t="n"/>
      <c r="AG134" s="9" t="n"/>
      <c r="AH134" s="9" t="n"/>
      <c r="AI134" s="9" t="n"/>
      <c r="AJ134" s="8" t="n"/>
      <c r="AK134" s="9" t="n"/>
      <c r="AL134" s="9" t="n"/>
      <c r="AM134" s="9" t="n"/>
      <c r="AN134" s="9" t="n"/>
      <c r="AO134" s="9" t="n"/>
      <c r="AP134" s="9" t="n"/>
      <c r="AQ134" s="9" t="n"/>
      <c r="AR134" s="9" t="n"/>
      <c r="AS134" s="9" t="n"/>
      <c r="AT134" s="8" t="n"/>
      <c r="AU134" s="8" t="n"/>
      <c r="AV134" s="9" t="n"/>
      <c r="AW134" s="8" t="n"/>
      <c r="AX134" s="9" t="n"/>
      <c r="AY134" s="9" t="n"/>
      <c r="AZ134" s="9" t="n"/>
      <c r="BA134" s="9" t="n"/>
      <c r="BB134" s="9" t="n"/>
      <c r="BC134" s="9" t="n"/>
      <c r="BD134" s="9" t="n"/>
      <c r="BE134" s="9" t="n"/>
      <c r="BF134" s="9" t="n"/>
      <c r="BG134" s="9" t="n"/>
      <c r="BH134" s="9" t="n"/>
      <c r="BI134" s="9" t="n"/>
      <c r="BJ134" s="9" t="n"/>
      <c r="BK134" s="9" t="n"/>
      <c r="BL134" s="9" t="n"/>
      <c r="BM134" s="9" t="n"/>
      <c r="BN134" s="9" t="n"/>
      <c r="BO134" s="8" t="n"/>
      <c r="BP134" s="9" t="n"/>
      <c r="BQ134" s="9" t="n"/>
      <c r="BR134" s="13">
        <f>IF(COUNTIF(AI134:BM134,"N")+COUNTBLANK(AI134:BM134)=0,"Y","N")</f>
        <v/>
      </c>
      <c r="BS134" s="13">
        <f>IF(AND(BR134="Y",OR(L134="Submitted",L134="Under Review")),"Y",IF(L134="Closed","Y","N"))</f>
        <v/>
      </c>
      <c r="BT134" s="10" t="n"/>
      <c r="BU134" s="13">
        <f>Rule_Flags!Q133</f>
        <v/>
      </c>
      <c r="BV134" s="13">
        <f>Rule_Flags!P133</f>
        <v/>
      </c>
      <c r="BW134" s="13">
        <f>IF(Rule_Flags!E133=1,"SITE_CONTROL",IF(Rule_Flags!F133=1,"APPROVALS",IF(Rule_Flags!G133=1,"REPORTS",IF(Rule_Flags!H133=1,"DEFICIENCY",IF(Rule_Flags!I133=1,"UNDERWRITING",IF(Rule_Flags!J133=1,"COMPLIANCE",""))))))</f>
        <v/>
      </c>
      <c r="BX134" s="13">
        <f>IF(BW134="SITE_CONTROL","Site control missing or invalid",IF(BW134="APPROVALS","Required approvals or resolutions incomplete",IF(BW134="REPORTS","Required third-party reports incomplete",IF(BW134="DEFICIENCY","Unresolved deficiency or material deficiency",IF(BW134="UNDERWRITING","Underwriting / feasibility not passed",IF(BW134="COMPLIANCE","Deconcentration, one-mile, LURA, or Chapter 12 issue","Ready under current engine rules"))))))</f>
        <v/>
      </c>
      <c r="BY134" s="13">
        <f>IF(BV134="Determination Notice","Streamlined + DN-ready assumptions satisfied",IF(BV134="Board","Board-required or board-ready assumptions satisfied",""))</f>
        <v/>
      </c>
      <c r="BZ134" s="13">
        <f>IF(AND(BP134="Y",BQ134&lt;&gt;"Y"),"Carryforward project retains queue priority",IF(BQ134="Y","New project enters behind carryforward projects",""))</f>
        <v/>
      </c>
      <c r="CA134" s="13">
        <f>_xludf.RANK.EQ(Rule_Flags!O133,Rule_Flags!$O$3:$O$402,0)</f>
        <v/>
      </c>
      <c r="CB134" s="13">
        <f>IF(OR(BU134="Determination Notice Issued",BU134="Board",BU134="Closed"),"Y","N")</f>
        <v/>
      </c>
      <c r="CC134" s="9" t="n"/>
      <c r="CD134" s="9" t="n"/>
      <c r="CE134" s="9" t="n"/>
      <c r="CF134" s="9" t="n"/>
      <c r="CG134" s="9" t="n"/>
      <c r="CH134" s="9" t="n"/>
    </row>
    <row r="135">
      <c r="A135" s="8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8" t="n"/>
      <c r="L135" s="9" t="n"/>
      <c r="M135" s="8" t="n"/>
      <c r="N135" s="8" t="n"/>
      <c r="O135" s="8" t="n"/>
      <c r="P135" s="8" t="n"/>
      <c r="Q135" s="8" t="n"/>
      <c r="R135" s="9" t="n"/>
      <c r="S135" s="9" t="n"/>
      <c r="T135" s="10" t="n"/>
      <c r="U135" s="10" t="n"/>
      <c r="V135" s="9" t="n"/>
      <c r="W135" s="9" t="n"/>
      <c r="X135" s="9" t="n"/>
      <c r="Y135" s="9" t="n"/>
      <c r="Z135" s="11" t="n"/>
      <c r="AA135" s="11" t="n"/>
      <c r="AB135" s="11" t="n"/>
      <c r="AC135" s="11" t="n"/>
      <c r="AD135" s="11" t="n"/>
      <c r="AE135" s="11" t="n"/>
      <c r="AF135" s="9" t="n"/>
      <c r="AG135" s="9" t="n"/>
      <c r="AH135" s="9" t="n"/>
      <c r="AI135" s="9" t="n"/>
      <c r="AJ135" s="8" t="n"/>
      <c r="AK135" s="9" t="n"/>
      <c r="AL135" s="9" t="n"/>
      <c r="AM135" s="9" t="n"/>
      <c r="AN135" s="9" t="n"/>
      <c r="AO135" s="9" t="n"/>
      <c r="AP135" s="9" t="n"/>
      <c r="AQ135" s="9" t="n"/>
      <c r="AR135" s="9" t="n"/>
      <c r="AS135" s="9" t="n"/>
      <c r="AT135" s="8" t="n"/>
      <c r="AU135" s="8" t="n"/>
      <c r="AV135" s="9" t="n"/>
      <c r="AW135" s="8" t="n"/>
      <c r="AX135" s="9" t="n"/>
      <c r="AY135" s="9" t="n"/>
      <c r="AZ135" s="9" t="n"/>
      <c r="BA135" s="9" t="n"/>
      <c r="BB135" s="9" t="n"/>
      <c r="BC135" s="9" t="n"/>
      <c r="BD135" s="9" t="n"/>
      <c r="BE135" s="9" t="n"/>
      <c r="BF135" s="9" t="n"/>
      <c r="BG135" s="9" t="n"/>
      <c r="BH135" s="9" t="n"/>
      <c r="BI135" s="9" t="n"/>
      <c r="BJ135" s="9" t="n"/>
      <c r="BK135" s="9" t="n"/>
      <c r="BL135" s="9" t="n"/>
      <c r="BM135" s="9" t="n"/>
      <c r="BN135" s="9" t="n"/>
      <c r="BO135" s="8" t="n"/>
      <c r="BP135" s="9" t="n"/>
      <c r="BQ135" s="9" t="n"/>
      <c r="BR135" s="13">
        <f>IF(COUNTIF(AI135:BM135,"N")+COUNTBLANK(AI135:BM135)=0,"Y","N")</f>
        <v/>
      </c>
      <c r="BS135" s="13">
        <f>IF(AND(BR135="Y",OR(L135="Submitted",L135="Under Review")),"Y",IF(L135="Closed","Y","N"))</f>
        <v/>
      </c>
      <c r="BT135" s="10" t="n"/>
      <c r="BU135" s="13">
        <f>Rule_Flags!Q134</f>
        <v/>
      </c>
      <c r="BV135" s="13">
        <f>Rule_Flags!P134</f>
        <v/>
      </c>
      <c r="BW135" s="13">
        <f>IF(Rule_Flags!E134=1,"SITE_CONTROL",IF(Rule_Flags!F134=1,"APPROVALS",IF(Rule_Flags!G134=1,"REPORTS",IF(Rule_Flags!H134=1,"DEFICIENCY",IF(Rule_Flags!I134=1,"UNDERWRITING",IF(Rule_Flags!J134=1,"COMPLIANCE",""))))))</f>
        <v/>
      </c>
      <c r="BX135" s="13">
        <f>IF(BW135="SITE_CONTROL","Site control missing or invalid",IF(BW135="APPROVALS","Required approvals or resolutions incomplete",IF(BW135="REPORTS","Required third-party reports incomplete",IF(BW135="DEFICIENCY","Unresolved deficiency or material deficiency",IF(BW135="UNDERWRITING","Underwriting / feasibility not passed",IF(BW135="COMPLIANCE","Deconcentration, one-mile, LURA, or Chapter 12 issue","Ready under current engine rules"))))))</f>
        <v/>
      </c>
      <c r="BY135" s="13">
        <f>IF(BV135="Determination Notice","Streamlined + DN-ready assumptions satisfied",IF(BV135="Board","Board-required or board-ready assumptions satisfied",""))</f>
        <v/>
      </c>
      <c r="BZ135" s="13">
        <f>IF(AND(BP135="Y",BQ135&lt;&gt;"Y"),"Carryforward project retains queue priority",IF(BQ135="Y","New project enters behind carryforward projects",""))</f>
        <v/>
      </c>
      <c r="CA135" s="13">
        <f>_xludf.RANK.EQ(Rule_Flags!O134,Rule_Flags!$O$3:$O$402,0)</f>
        <v/>
      </c>
      <c r="CB135" s="13">
        <f>IF(OR(BU135="Determination Notice Issued",BU135="Board",BU135="Closed"),"Y","N")</f>
        <v/>
      </c>
      <c r="CC135" s="9" t="n"/>
      <c r="CD135" s="9" t="n"/>
      <c r="CE135" s="9" t="n"/>
      <c r="CF135" s="9" t="n"/>
      <c r="CG135" s="9" t="n"/>
      <c r="CH135" s="9" t="n"/>
    </row>
    <row r="136">
      <c r="A136" s="8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8" t="n"/>
      <c r="L136" s="9" t="n"/>
      <c r="M136" s="8" t="n"/>
      <c r="N136" s="8" t="n"/>
      <c r="O136" s="8" t="n"/>
      <c r="P136" s="8" t="n"/>
      <c r="Q136" s="8" t="n"/>
      <c r="R136" s="9" t="n"/>
      <c r="S136" s="9" t="n"/>
      <c r="T136" s="10" t="n"/>
      <c r="U136" s="10" t="n"/>
      <c r="V136" s="9" t="n"/>
      <c r="W136" s="9" t="n"/>
      <c r="X136" s="9" t="n"/>
      <c r="Y136" s="9" t="n"/>
      <c r="Z136" s="11" t="n"/>
      <c r="AA136" s="11" t="n"/>
      <c r="AB136" s="11" t="n"/>
      <c r="AC136" s="11" t="n"/>
      <c r="AD136" s="11" t="n"/>
      <c r="AE136" s="11" t="n"/>
      <c r="AF136" s="9" t="n"/>
      <c r="AG136" s="9" t="n"/>
      <c r="AH136" s="9" t="n"/>
      <c r="AI136" s="9" t="n"/>
      <c r="AJ136" s="8" t="n"/>
      <c r="AK136" s="9" t="n"/>
      <c r="AL136" s="9" t="n"/>
      <c r="AM136" s="9" t="n"/>
      <c r="AN136" s="9" t="n"/>
      <c r="AO136" s="9" t="n"/>
      <c r="AP136" s="9" t="n"/>
      <c r="AQ136" s="9" t="n"/>
      <c r="AR136" s="9" t="n"/>
      <c r="AS136" s="9" t="n"/>
      <c r="AT136" s="8" t="n"/>
      <c r="AU136" s="8" t="n"/>
      <c r="AV136" s="9" t="n"/>
      <c r="AW136" s="8" t="n"/>
      <c r="AX136" s="9" t="n"/>
      <c r="AY136" s="9" t="n"/>
      <c r="AZ136" s="9" t="n"/>
      <c r="BA136" s="9" t="n"/>
      <c r="BB136" s="9" t="n"/>
      <c r="BC136" s="9" t="n"/>
      <c r="BD136" s="9" t="n"/>
      <c r="BE136" s="9" t="n"/>
      <c r="BF136" s="9" t="n"/>
      <c r="BG136" s="9" t="n"/>
      <c r="BH136" s="9" t="n"/>
      <c r="BI136" s="9" t="n"/>
      <c r="BJ136" s="9" t="n"/>
      <c r="BK136" s="9" t="n"/>
      <c r="BL136" s="9" t="n"/>
      <c r="BM136" s="9" t="n"/>
      <c r="BN136" s="9" t="n"/>
      <c r="BO136" s="8" t="n"/>
      <c r="BP136" s="9" t="n"/>
      <c r="BQ136" s="9" t="n"/>
      <c r="BR136" s="13">
        <f>IF(COUNTIF(AI136:BM136,"N")+COUNTBLANK(AI136:BM136)=0,"Y","N")</f>
        <v/>
      </c>
      <c r="BS136" s="13">
        <f>IF(AND(BR136="Y",OR(L136="Submitted",L136="Under Review")),"Y",IF(L136="Closed","Y","N"))</f>
        <v/>
      </c>
      <c r="BT136" s="10" t="n"/>
      <c r="BU136" s="13">
        <f>Rule_Flags!Q135</f>
        <v/>
      </c>
      <c r="BV136" s="13">
        <f>Rule_Flags!P135</f>
        <v/>
      </c>
      <c r="BW136" s="13">
        <f>IF(Rule_Flags!E135=1,"SITE_CONTROL",IF(Rule_Flags!F135=1,"APPROVALS",IF(Rule_Flags!G135=1,"REPORTS",IF(Rule_Flags!H135=1,"DEFICIENCY",IF(Rule_Flags!I135=1,"UNDERWRITING",IF(Rule_Flags!J135=1,"COMPLIANCE",""))))))</f>
        <v/>
      </c>
      <c r="BX136" s="13">
        <f>IF(BW136="SITE_CONTROL","Site control missing or invalid",IF(BW136="APPROVALS","Required approvals or resolutions incomplete",IF(BW136="REPORTS","Required third-party reports incomplete",IF(BW136="DEFICIENCY","Unresolved deficiency or material deficiency",IF(BW136="UNDERWRITING","Underwriting / feasibility not passed",IF(BW136="COMPLIANCE","Deconcentration, one-mile, LURA, or Chapter 12 issue","Ready under current engine rules"))))))</f>
        <v/>
      </c>
      <c r="BY136" s="13">
        <f>IF(BV136="Determination Notice","Streamlined + DN-ready assumptions satisfied",IF(BV136="Board","Board-required or board-ready assumptions satisfied",""))</f>
        <v/>
      </c>
      <c r="BZ136" s="13">
        <f>IF(AND(BP136="Y",BQ136&lt;&gt;"Y"),"Carryforward project retains queue priority",IF(BQ136="Y","New project enters behind carryforward projects",""))</f>
        <v/>
      </c>
      <c r="CA136" s="13">
        <f>_xludf.RANK.EQ(Rule_Flags!O135,Rule_Flags!$O$3:$O$402,0)</f>
        <v/>
      </c>
      <c r="CB136" s="13">
        <f>IF(OR(BU136="Determination Notice Issued",BU136="Board",BU136="Closed"),"Y","N")</f>
        <v/>
      </c>
      <c r="CC136" s="9" t="n"/>
      <c r="CD136" s="9" t="n"/>
      <c r="CE136" s="9" t="n"/>
      <c r="CF136" s="9" t="n"/>
      <c r="CG136" s="9" t="n"/>
      <c r="CH136" s="9" t="n"/>
    </row>
    <row r="137">
      <c r="A137" s="8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8" t="n"/>
      <c r="L137" s="9" t="n"/>
      <c r="M137" s="8" t="n"/>
      <c r="N137" s="8" t="n"/>
      <c r="O137" s="8" t="n"/>
      <c r="P137" s="8" t="n"/>
      <c r="Q137" s="8" t="n"/>
      <c r="R137" s="9" t="n"/>
      <c r="S137" s="9" t="n"/>
      <c r="T137" s="10" t="n"/>
      <c r="U137" s="10" t="n"/>
      <c r="V137" s="9" t="n"/>
      <c r="W137" s="9" t="n"/>
      <c r="X137" s="9" t="n"/>
      <c r="Y137" s="9" t="n"/>
      <c r="Z137" s="11" t="n"/>
      <c r="AA137" s="11" t="n"/>
      <c r="AB137" s="11" t="n"/>
      <c r="AC137" s="11" t="n"/>
      <c r="AD137" s="11" t="n"/>
      <c r="AE137" s="11" t="n"/>
      <c r="AF137" s="9" t="n"/>
      <c r="AG137" s="9" t="n"/>
      <c r="AH137" s="9" t="n"/>
      <c r="AI137" s="9" t="n"/>
      <c r="AJ137" s="8" t="n"/>
      <c r="AK137" s="9" t="n"/>
      <c r="AL137" s="9" t="n"/>
      <c r="AM137" s="9" t="n"/>
      <c r="AN137" s="9" t="n"/>
      <c r="AO137" s="9" t="n"/>
      <c r="AP137" s="9" t="n"/>
      <c r="AQ137" s="9" t="n"/>
      <c r="AR137" s="9" t="n"/>
      <c r="AS137" s="9" t="n"/>
      <c r="AT137" s="8" t="n"/>
      <c r="AU137" s="8" t="n"/>
      <c r="AV137" s="9" t="n"/>
      <c r="AW137" s="8" t="n"/>
      <c r="AX137" s="9" t="n"/>
      <c r="AY137" s="9" t="n"/>
      <c r="AZ137" s="9" t="n"/>
      <c r="BA137" s="9" t="n"/>
      <c r="BB137" s="9" t="n"/>
      <c r="BC137" s="9" t="n"/>
      <c r="BD137" s="9" t="n"/>
      <c r="BE137" s="9" t="n"/>
      <c r="BF137" s="9" t="n"/>
      <c r="BG137" s="9" t="n"/>
      <c r="BH137" s="9" t="n"/>
      <c r="BI137" s="9" t="n"/>
      <c r="BJ137" s="9" t="n"/>
      <c r="BK137" s="9" t="n"/>
      <c r="BL137" s="9" t="n"/>
      <c r="BM137" s="9" t="n"/>
      <c r="BN137" s="9" t="n"/>
      <c r="BO137" s="8" t="n"/>
      <c r="BP137" s="9" t="n"/>
      <c r="BQ137" s="9" t="n"/>
      <c r="BR137" s="13">
        <f>IF(COUNTIF(AI137:BM137,"N")+COUNTBLANK(AI137:BM137)=0,"Y","N")</f>
        <v/>
      </c>
      <c r="BS137" s="13">
        <f>IF(AND(BR137="Y",OR(L137="Submitted",L137="Under Review")),"Y",IF(L137="Closed","Y","N"))</f>
        <v/>
      </c>
      <c r="BT137" s="10" t="n"/>
      <c r="BU137" s="13">
        <f>Rule_Flags!Q136</f>
        <v/>
      </c>
      <c r="BV137" s="13">
        <f>Rule_Flags!P136</f>
        <v/>
      </c>
      <c r="BW137" s="13">
        <f>IF(Rule_Flags!E136=1,"SITE_CONTROL",IF(Rule_Flags!F136=1,"APPROVALS",IF(Rule_Flags!G136=1,"REPORTS",IF(Rule_Flags!H136=1,"DEFICIENCY",IF(Rule_Flags!I136=1,"UNDERWRITING",IF(Rule_Flags!J136=1,"COMPLIANCE",""))))))</f>
        <v/>
      </c>
      <c r="BX137" s="13">
        <f>IF(BW137="SITE_CONTROL","Site control missing or invalid",IF(BW137="APPROVALS","Required approvals or resolutions incomplete",IF(BW137="REPORTS","Required third-party reports incomplete",IF(BW137="DEFICIENCY","Unresolved deficiency or material deficiency",IF(BW137="UNDERWRITING","Underwriting / feasibility not passed",IF(BW137="COMPLIANCE","Deconcentration, one-mile, LURA, or Chapter 12 issue","Ready under current engine rules"))))))</f>
        <v/>
      </c>
      <c r="BY137" s="13">
        <f>IF(BV137="Determination Notice","Streamlined + DN-ready assumptions satisfied",IF(BV137="Board","Board-required or board-ready assumptions satisfied",""))</f>
        <v/>
      </c>
      <c r="BZ137" s="13">
        <f>IF(AND(BP137="Y",BQ137&lt;&gt;"Y"),"Carryforward project retains queue priority",IF(BQ137="Y","New project enters behind carryforward projects",""))</f>
        <v/>
      </c>
      <c r="CA137" s="13">
        <f>_xludf.RANK.EQ(Rule_Flags!O136,Rule_Flags!$O$3:$O$402,0)</f>
        <v/>
      </c>
      <c r="CB137" s="13">
        <f>IF(OR(BU137="Determination Notice Issued",BU137="Board",BU137="Closed"),"Y","N")</f>
        <v/>
      </c>
      <c r="CC137" s="9" t="n"/>
      <c r="CD137" s="9" t="n"/>
      <c r="CE137" s="9" t="n"/>
      <c r="CF137" s="9" t="n"/>
      <c r="CG137" s="9" t="n"/>
      <c r="CH137" s="9" t="n"/>
    </row>
    <row r="138">
      <c r="A138" s="8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8" t="n"/>
      <c r="L138" s="9" t="n"/>
      <c r="M138" s="8" t="n"/>
      <c r="N138" s="8" t="n"/>
      <c r="O138" s="8" t="n"/>
      <c r="P138" s="8" t="n"/>
      <c r="Q138" s="8" t="n"/>
      <c r="R138" s="9" t="n"/>
      <c r="S138" s="9" t="n"/>
      <c r="T138" s="10" t="n"/>
      <c r="U138" s="10" t="n"/>
      <c r="V138" s="9" t="n"/>
      <c r="W138" s="9" t="n"/>
      <c r="X138" s="9" t="n"/>
      <c r="Y138" s="9" t="n"/>
      <c r="Z138" s="11" t="n"/>
      <c r="AA138" s="11" t="n"/>
      <c r="AB138" s="11" t="n"/>
      <c r="AC138" s="11" t="n"/>
      <c r="AD138" s="11" t="n"/>
      <c r="AE138" s="11" t="n"/>
      <c r="AF138" s="9" t="n"/>
      <c r="AG138" s="9" t="n"/>
      <c r="AH138" s="9" t="n"/>
      <c r="AI138" s="9" t="n"/>
      <c r="AJ138" s="8" t="n"/>
      <c r="AK138" s="9" t="n"/>
      <c r="AL138" s="9" t="n"/>
      <c r="AM138" s="9" t="n"/>
      <c r="AN138" s="9" t="n"/>
      <c r="AO138" s="9" t="n"/>
      <c r="AP138" s="9" t="n"/>
      <c r="AQ138" s="9" t="n"/>
      <c r="AR138" s="9" t="n"/>
      <c r="AS138" s="9" t="n"/>
      <c r="AT138" s="8" t="n"/>
      <c r="AU138" s="8" t="n"/>
      <c r="AV138" s="9" t="n"/>
      <c r="AW138" s="8" t="n"/>
      <c r="AX138" s="9" t="n"/>
      <c r="AY138" s="9" t="n"/>
      <c r="AZ138" s="9" t="n"/>
      <c r="BA138" s="9" t="n"/>
      <c r="BB138" s="9" t="n"/>
      <c r="BC138" s="9" t="n"/>
      <c r="BD138" s="9" t="n"/>
      <c r="BE138" s="9" t="n"/>
      <c r="BF138" s="9" t="n"/>
      <c r="BG138" s="9" t="n"/>
      <c r="BH138" s="9" t="n"/>
      <c r="BI138" s="9" t="n"/>
      <c r="BJ138" s="9" t="n"/>
      <c r="BK138" s="9" t="n"/>
      <c r="BL138" s="9" t="n"/>
      <c r="BM138" s="9" t="n"/>
      <c r="BN138" s="9" t="n"/>
      <c r="BO138" s="8" t="n"/>
      <c r="BP138" s="9" t="n"/>
      <c r="BQ138" s="9" t="n"/>
      <c r="BR138" s="13">
        <f>IF(COUNTIF(AI138:BM138,"N")+COUNTBLANK(AI138:BM138)=0,"Y","N")</f>
        <v/>
      </c>
      <c r="BS138" s="13">
        <f>IF(AND(BR138="Y",OR(L138="Submitted",L138="Under Review")),"Y",IF(L138="Closed","Y","N"))</f>
        <v/>
      </c>
      <c r="BT138" s="10" t="n"/>
      <c r="BU138" s="13">
        <f>Rule_Flags!Q137</f>
        <v/>
      </c>
      <c r="BV138" s="13">
        <f>Rule_Flags!P137</f>
        <v/>
      </c>
      <c r="BW138" s="13">
        <f>IF(Rule_Flags!E137=1,"SITE_CONTROL",IF(Rule_Flags!F137=1,"APPROVALS",IF(Rule_Flags!G137=1,"REPORTS",IF(Rule_Flags!H137=1,"DEFICIENCY",IF(Rule_Flags!I137=1,"UNDERWRITING",IF(Rule_Flags!J137=1,"COMPLIANCE",""))))))</f>
        <v/>
      </c>
      <c r="BX138" s="13">
        <f>IF(BW138="SITE_CONTROL","Site control missing or invalid",IF(BW138="APPROVALS","Required approvals or resolutions incomplete",IF(BW138="REPORTS","Required third-party reports incomplete",IF(BW138="DEFICIENCY","Unresolved deficiency or material deficiency",IF(BW138="UNDERWRITING","Underwriting / feasibility not passed",IF(BW138="COMPLIANCE","Deconcentration, one-mile, LURA, or Chapter 12 issue","Ready under current engine rules"))))))</f>
        <v/>
      </c>
      <c r="BY138" s="13">
        <f>IF(BV138="Determination Notice","Streamlined + DN-ready assumptions satisfied",IF(BV138="Board","Board-required or board-ready assumptions satisfied",""))</f>
        <v/>
      </c>
      <c r="BZ138" s="13">
        <f>IF(AND(BP138="Y",BQ138&lt;&gt;"Y"),"Carryforward project retains queue priority",IF(BQ138="Y","New project enters behind carryforward projects",""))</f>
        <v/>
      </c>
      <c r="CA138" s="13">
        <f>_xludf.RANK.EQ(Rule_Flags!O137,Rule_Flags!$O$3:$O$402,0)</f>
        <v/>
      </c>
      <c r="CB138" s="13">
        <f>IF(OR(BU138="Determination Notice Issued",BU138="Board",BU138="Closed"),"Y","N")</f>
        <v/>
      </c>
      <c r="CC138" s="9" t="n"/>
      <c r="CD138" s="9" t="n"/>
      <c r="CE138" s="9" t="n"/>
      <c r="CF138" s="9" t="n"/>
      <c r="CG138" s="9" t="n"/>
      <c r="CH138" s="9" t="n"/>
    </row>
    <row r="139">
      <c r="A139" s="8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8" t="n"/>
      <c r="L139" s="9" t="n"/>
      <c r="M139" s="8" t="n"/>
      <c r="N139" s="8" t="n"/>
      <c r="O139" s="8" t="n"/>
      <c r="P139" s="8" t="n"/>
      <c r="Q139" s="8" t="n"/>
      <c r="R139" s="9" t="n"/>
      <c r="S139" s="9" t="n"/>
      <c r="T139" s="10" t="n"/>
      <c r="U139" s="10" t="n"/>
      <c r="V139" s="9" t="n"/>
      <c r="W139" s="9" t="n"/>
      <c r="X139" s="9" t="n"/>
      <c r="Y139" s="9" t="n"/>
      <c r="Z139" s="11" t="n"/>
      <c r="AA139" s="11" t="n"/>
      <c r="AB139" s="11" t="n"/>
      <c r="AC139" s="11" t="n"/>
      <c r="AD139" s="11" t="n"/>
      <c r="AE139" s="11" t="n"/>
      <c r="AF139" s="9" t="n"/>
      <c r="AG139" s="9" t="n"/>
      <c r="AH139" s="9" t="n"/>
      <c r="AI139" s="9" t="n"/>
      <c r="AJ139" s="8" t="n"/>
      <c r="AK139" s="9" t="n"/>
      <c r="AL139" s="9" t="n"/>
      <c r="AM139" s="9" t="n"/>
      <c r="AN139" s="9" t="n"/>
      <c r="AO139" s="9" t="n"/>
      <c r="AP139" s="9" t="n"/>
      <c r="AQ139" s="9" t="n"/>
      <c r="AR139" s="9" t="n"/>
      <c r="AS139" s="9" t="n"/>
      <c r="AT139" s="8" t="n"/>
      <c r="AU139" s="8" t="n"/>
      <c r="AV139" s="9" t="n"/>
      <c r="AW139" s="8" t="n"/>
      <c r="AX139" s="9" t="n"/>
      <c r="AY139" s="9" t="n"/>
      <c r="AZ139" s="9" t="n"/>
      <c r="BA139" s="9" t="n"/>
      <c r="BB139" s="9" t="n"/>
      <c r="BC139" s="9" t="n"/>
      <c r="BD139" s="9" t="n"/>
      <c r="BE139" s="9" t="n"/>
      <c r="BF139" s="9" t="n"/>
      <c r="BG139" s="9" t="n"/>
      <c r="BH139" s="9" t="n"/>
      <c r="BI139" s="9" t="n"/>
      <c r="BJ139" s="9" t="n"/>
      <c r="BK139" s="9" t="n"/>
      <c r="BL139" s="9" t="n"/>
      <c r="BM139" s="9" t="n"/>
      <c r="BN139" s="9" t="n"/>
      <c r="BO139" s="8" t="n"/>
      <c r="BP139" s="9" t="n"/>
      <c r="BQ139" s="9" t="n"/>
      <c r="BR139" s="13">
        <f>IF(COUNTIF(AI139:BM139,"N")+COUNTBLANK(AI139:BM139)=0,"Y","N")</f>
        <v/>
      </c>
      <c r="BS139" s="13">
        <f>IF(AND(BR139="Y",OR(L139="Submitted",L139="Under Review")),"Y",IF(L139="Closed","Y","N"))</f>
        <v/>
      </c>
      <c r="BT139" s="10" t="n"/>
      <c r="BU139" s="13">
        <f>Rule_Flags!Q138</f>
        <v/>
      </c>
      <c r="BV139" s="13">
        <f>Rule_Flags!P138</f>
        <v/>
      </c>
      <c r="BW139" s="13">
        <f>IF(Rule_Flags!E138=1,"SITE_CONTROL",IF(Rule_Flags!F138=1,"APPROVALS",IF(Rule_Flags!G138=1,"REPORTS",IF(Rule_Flags!H138=1,"DEFICIENCY",IF(Rule_Flags!I138=1,"UNDERWRITING",IF(Rule_Flags!J138=1,"COMPLIANCE",""))))))</f>
        <v/>
      </c>
      <c r="BX139" s="13">
        <f>IF(BW139="SITE_CONTROL","Site control missing or invalid",IF(BW139="APPROVALS","Required approvals or resolutions incomplete",IF(BW139="REPORTS","Required third-party reports incomplete",IF(BW139="DEFICIENCY","Unresolved deficiency or material deficiency",IF(BW139="UNDERWRITING","Underwriting / feasibility not passed",IF(BW139="COMPLIANCE","Deconcentration, one-mile, LURA, or Chapter 12 issue","Ready under current engine rules"))))))</f>
        <v/>
      </c>
      <c r="BY139" s="13">
        <f>IF(BV139="Determination Notice","Streamlined + DN-ready assumptions satisfied",IF(BV139="Board","Board-required or board-ready assumptions satisfied",""))</f>
        <v/>
      </c>
      <c r="BZ139" s="13">
        <f>IF(AND(BP139="Y",BQ139&lt;&gt;"Y"),"Carryforward project retains queue priority",IF(BQ139="Y","New project enters behind carryforward projects",""))</f>
        <v/>
      </c>
      <c r="CA139" s="13">
        <f>_xludf.RANK.EQ(Rule_Flags!O138,Rule_Flags!$O$3:$O$402,0)</f>
        <v/>
      </c>
      <c r="CB139" s="13">
        <f>IF(OR(BU139="Determination Notice Issued",BU139="Board",BU139="Closed"),"Y","N")</f>
        <v/>
      </c>
      <c r="CC139" s="9" t="n"/>
      <c r="CD139" s="9" t="n"/>
      <c r="CE139" s="9" t="n"/>
      <c r="CF139" s="9" t="n"/>
      <c r="CG139" s="9" t="n"/>
      <c r="CH139" s="9" t="n"/>
    </row>
    <row r="140">
      <c r="A140" s="8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8" t="n"/>
      <c r="L140" s="9" t="n"/>
      <c r="M140" s="8" t="n"/>
      <c r="N140" s="8" t="n"/>
      <c r="O140" s="8" t="n"/>
      <c r="P140" s="8" t="n"/>
      <c r="Q140" s="8" t="n"/>
      <c r="R140" s="9" t="n"/>
      <c r="S140" s="9" t="n"/>
      <c r="T140" s="10" t="n"/>
      <c r="U140" s="10" t="n"/>
      <c r="V140" s="9" t="n"/>
      <c r="W140" s="9" t="n"/>
      <c r="X140" s="9" t="n"/>
      <c r="Y140" s="9" t="n"/>
      <c r="Z140" s="11" t="n"/>
      <c r="AA140" s="11" t="n"/>
      <c r="AB140" s="11" t="n"/>
      <c r="AC140" s="11" t="n"/>
      <c r="AD140" s="11" t="n"/>
      <c r="AE140" s="11" t="n"/>
      <c r="AF140" s="9" t="n"/>
      <c r="AG140" s="9" t="n"/>
      <c r="AH140" s="9" t="n"/>
      <c r="AI140" s="9" t="n"/>
      <c r="AJ140" s="8" t="n"/>
      <c r="AK140" s="9" t="n"/>
      <c r="AL140" s="9" t="n"/>
      <c r="AM140" s="9" t="n"/>
      <c r="AN140" s="9" t="n"/>
      <c r="AO140" s="9" t="n"/>
      <c r="AP140" s="9" t="n"/>
      <c r="AQ140" s="9" t="n"/>
      <c r="AR140" s="9" t="n"/>
      <c r="AS140" s="9" t="n"/>
      <c r="AT140" s="8" t="n"/>
      <c r="AU140" s="8" t="n"/>
      <c r="AV140" s="9" t="n"/>
      <c r="AW140" s="8" t="n"/>
      <c r="AX140" s="9" t="n"/>
      <c r="AY140" s="9" t="n"/>
      <c r="AZ140" s="9" t="n"/>
      <c r="BA140" s="9" t="n"/>
      <c r="BB140" s="9" t="n"/>
      <c r="BC140" s="9" t="n"/>
      <c r="BD140" s="9" t="n"/>
      <c r="BE140" s="9" t="n"/>
      <c r="BF140" s="9" t="n"/>
      <c r="BG140" s="9" t="n"/>
      <c r="BH140" s="9" t="n"/>
      <c r="BI140" s="9" t="n"/>
      <c r="BJ140" s="9" t="n"/>
      <c r="BK140" s="9" t="n"/>
      <c r="BL140" s="9" t="n"/>
      <c r="BM140" s="9" t="n"/>
      <c r="BN140" s="9" t="n"/>
      <c r="BO140" s="8" t="n"/>
      <c r="BP140" s="9" t="n"/>
      <c r="BQ140" s="9" t="n"/>
      <c r="BR140" s="13">
        <f>IF(COUNTIF(AI140:BM140,"N")+COUNTBLANK(AI140:BM140)=0,"Y","N")</f>
        <v/>
      </c>
      <c r="BS140" s="13">
        <f>IF(AND(BR140="Y",OR(L140="Submitted",L140="Under Review")),"Y",IF(L140="Closed","Y","N"))</f>
        <v/>
      </c>
      <c r="BT140" s="10" t="n"/>
      <c r="BU140" s="13">
        <f>Rule_Flags!Q139</f>
        <v/>
      </c>
      <c r="BV140" s="13">
        <f>Rule_Flags!P139</f>
        <v/>
      </c>
      <c r="BW140" s="13">
        <f>IF(Rule_Flags!E139=1,"SITE_CONTROL",IF(Rule_Flags!F139=1,"APPROVALS",IF(Rule_Flags!G139=1,"REPORTS",IF(Rule_Flags!H139=1,"DEFICIENCY",IF(Rule_Flags!I139=1,"UNDERWRITING",IF(Rule_Flags!J139=1,"COMPLIANCE",""))))))</f>
        <v/>
      </c>
      <c r="BX140" s="13">
        <f>IF(BW140="SITE_CONTROL","Site control missing or invalid",IF(BW140="APPROVALS","Required approvals or resolutions incomplete",IF(BW140="REPORTS","Required third-party reports incomplete",IF(BW140="DEFICIENCY","Unresolved deficiency or material deficiency",IF(BW140="UNDERWRITING","Underwriting / feasibility not passed",IF(BW140="COMPLIANCE","Deconcentration, one-mile, LURA, or Chapter 12 issue","Ready under current engine rules"))))))</f>
        <v/>
      </c>
      <c r="BY140" s="13">
        <f>IF(BV140="Determination Notice","Streamlined + DN-ready assumptions satisfied",IF(BV140="Board","Board-required or board-ready assumptions satisfied",""))</f>
        <v/>
      </c>
      <c r="BZ140" s="13">
        <f>IF(AND(BP140="Y",BQ140&lt;&gt;"Y"),"Carryforward project retains queue priority",IF(BQ140="Y","New project enters behind carryforward projects",""))</f>
        <v/>
      </c>
      <c r="CA140" s="13">
        <f>_xludf.RANK.EQ(Rule_Flags!O139,Rule_Flags!$O$3:$O$402,0)</f>
        <v/>
      </c>
      <c r="CB140" s="13">
        <f>IF(OR(BU140="Determination Notice Issued",BU140="Board",BU140="Closed"),"Y","N")</f>
        <v/>
      </c>
      <c r="CC140" s="9" t="n"/>
      <c r="CD140" s="9" t="n"/>
      <c r="CE140" s="9" t="n"/>
      <c r="CF140" s="9" t="n"/>
      <c r="CG140" s="9" t="n"/>
      <c r="CH140" s="9" t="n"/>
    </row>
    <row r="141">
      <c r="A141" s="8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8" t="n"/>
      <c r="L141" s="9" t="n"/>
      <c r="M141" s="8" t="n"/>
      <c r="N141" s="8" t="n"/>
      <c r="O141" s="8" t="n"/>
      <c r="P141" s="8" t="n"/>
      <c r="Q141" s="8" t="n"/>
      <c r="R141" s="9" t="n"/>
      <c r="S141" s="9" t="n"/>
      <c r="T141" s="10" t="n"/>
      <c r="U141" s="10" t="n"/>
      <c r="V141" s="9" t="n"/>
      <c r="W141" s="9" t="n"/>
      <c r="X141" s="9" t="n"/>
      <c r="Y141" s="9" t="n"/>
      <c r="Z141" s="11" t="n"/>
      <c r="AA141" s="11" t="n"/>
      <c r="AB141" s="11" t="n"/>
      <c r="AC141" s="11" t="n"/>
      <c r="AD141" s="11" t="n"/>
      <c r="AE141" s="11" t="n"/>
      <c r="AF141" s="9" t="n"/>
      <c r="AG141" s="9" t="n"/>
      <c r="AH141" s="9" t="n"/>
      <c r="AI141" s="9" t="n"/>
      <c r="AJ141" s="8" t="n"/>
      <c r="AK141" s="9" t="n"/>
      <c r="AL141" s="9" t="n"/>
      <c r="AM141" s="9" t="n"/>
      <c r="AN141" s="9" t="n"/>
      <c r="AO141" s="9" t="n"/>
      <c r="AP141" s="9" t="n"/>
      <c r="AQ141" s="9" t="n"/>
      <c r="AR141" s="9" t="n"/>
      <c r="AS141" s="9" t="n"/>
      <c r="AT141" s="8" t="n"/>
      <c r="AU141" s="8" t="n"/>
      <c r="AV141" s="9" t="n"/>
      <c r="AW141" s="8" t="n"/>
      <c r="AX141" s="9" t="n"/>
      <c r="AY141" s="9" t="n"/>
      <c r="AZ141" s="9" t="n"/>
      <c r="BA141" s="9" t="n"/>
      <c r="BB141" s="9" t="n"/>
      <c r="BC141" s="9" t="n"/>
      <c r="BD141" s="9" t="n"/>
      <c r="BE141" s="9" t="n"/>
      <c r="BF141" s="9" t="n"/>
      <c r="BG141" s="9" t="n"/>
      <c r="BH141" s="9" t="n"/>
      <c r="BI141" s="9" t="n"/>
      <c r="BJ141" s="9" t="n"/>
      <c r="BK141" s="9" t="n"/>
      <c r="BL141" s="9" t="n"/>
      <c r="BM141" s="9" t="n"/>
      <c r="BN141" s="9" t="n"/>
      <c r="BO141" s="8" t="n"/>
      <c r="BP141" s="9" t="n"/>
      <c r="BQ141" s="9" t="n"/>
      <c r="BR141" s="13">
        <f>IF(COUNTIF(AI141:BM141,"N")+COUNTBLANK(AI141:BM141)=0,"Y","N")</f>
        <v/>
      </c>
      <c r="BS141" s="13">
        <f>IF(AND(BR141="Y",OR(L141="Submitted",L141="Under Review")),"Y",IF(L141="Closed","Y","N"))</f>
        <v/>
      </c>
      <c r="BT141" s="10" t="n"/>
      <c r="BU141" s="13">
        <f>Rule_Flags!Q140</f>
        <v/>
      </c>
      <c r="BV141" s="13">
        <f>Rule_Flags!P140</f>
        <v/>
      </c>
      <c r="BW141" s="13">
        <f>IF(Rule_Flags!E140=1,"SITE_CONTROL",IF(Rule_Flags!F140=1,"APPROVALS",IF(Rule_Flags!G140=1,"REPORTS",IF(Rule_Flags!H140=1,"DEFICIENCY",IF(Rule_Flags!I140=1,"UNDERWRITING",IF(Rule_Flags!J140=1,"COMPLIANCE",""))))))</f>
        <v/>
      </c>
      <c r="BX141" s="13">
        <f>IF(BW141="SITE_CONTROL","Site control missing or invalid",IF(BW141="APPROVALS","Required approvals or resolutions incomplete",IF(BW141="REPORTS","Required third-party reports incomplete",IF(BW141="DEFICIENCY","Unresolved deficiency or material deficiency",IF(BW141="UNDERWRITING","Underwriting / feasibility not passed",IF(BW141="COMPLIANCE","Deconcentration, one-mile, LURA, or Chapter 12 issue","Ready under current engine rules"))))))</f>
        <v/>
      </c>
      <c r="BY141" s="13">
        <f>IF(BV141="Determination Notice","Streamlined + DN-ready assumptions satisfied",IF(BV141="Board","Board-required or board-ready assumptions satisfied",""))</f>
        <v/>
      </c>
      <c r="BZ141" s="13">
        <f>IF(AND(BP141="Y",BQ141&lt;&gt;"Y"),"Carryforward project retains queue priority",IF(BQ141="Y","New project enters behind carryforward projects",""))</f>
        <v/>
      </c>
      <c r="CA141" s="13">
        <f>_xludf.RANK.EQ(Rule_Flags!O140,Rule_Flags!$O$3:$O$402,0)</f>
        <v/>
      </c>
      <c r="CB141" s="13">
        <f>IF(OR(BU141="Determination Notice Issued",BU141="Board",BU141="Closed"),"Y","N")</f>
        <v/>
      </c>
      <c r="CC141" s="9" t="n"/>
      <c r="CD141" s="9" t="n"/>
      <c r="CE141" s="9" t="n"/>
      <c r="CF141" s="9" t="n"/>
      <c r="CG141" s="9" t="n"/>
      <c r="CH141" s="9" t="n"/>
    </row>
    <row r="142">
      <c r="A142" s="8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8" t="n"/>
      <c r="L142" s="9" t="n"/>
      <c r="M142" s="8" t="n"/>
      <c r="N142" s="8" t="n"/>
      <c r="O142" s="8" t="n"/>
      <c r="P142" s="8" t="n"/>
      <c r="Q142" s="8" t="n"/>
      <c r="R142" s="9" t="n"/>
      <c r="S142" s="9" t="n"/>
      <c r="T142" s="10" t="n"/>
      <c r="U142" s="10" t="n"/>
      <c r="V142" s="9" t="n"/>
      <c r="W142" s="9" t="n"/>
      <c r="X142" s="9" t="n"/>
      <c r="Y142" s="9" t="n"/>
      <c r="Z142" s="11" t="n"/>
      <c r="AA142" s="11" t="n"/>
      <c r="AB142" s="11" t="n"/>
      <c r="AC142" s="11" t="n"/>
      <c r="AD142" s="11" t="n"/>
      <c r="AE142" s="11" t="n"/>
      <c r="AF142" s="9" t="n"/>
      <c r="AG142" s="9" t="n"/>
      <c r="AH142" s="9" t="n"/>
      <c r="AI142" s="9" t="n"/>
      <c r="AJ142" s="8" t="n"/>
      <c r="AK142" s="9" t="n"/>
      <c r="AL142" s="9" t="n"/>
      <c r="AM142" s="9" t="n"/>
      <c r="AN142" s="9" t="n"/>
      <c r="AO142" s="9" t="n"/>
      <c r="AP142" s="9" t="n"/>
      <c r="AQ142" s="9" t="n"/>
      <c r="AR142" s="9" t="n"/>
      <c r="AS142" s="9" t="n"/>
      <c r="AT142" s="8" t="n"/>
      <c r="AU142" s="8" t="n"/>
      <c r="AV142" s="9" t="n"/>
      <c r="AW142" s="8" t="n"/>
      <c r="AX142" s="9" t="n"/>
      <c r="AY142" s="9" t="n"/>
      <c r="AZ142" s="9" t="n"/>
      <c r="BA142" s="9" t="n"/>
      <c r="BB142" s="9" t="n"/>
      <c r="BC142" s="9" t="n"/>
      <c r="BD142" s="9" t="n"/>
      <c r="BE142" s="9" t="n"/>
      <c r="BF142" s="9" t="n"/>
      <c r="BG142" s="9" t="n"/>
      <c r="BH142" s="9" t="n"/>
      <c r="BI142" s="9" t="n"/>
      <c r="BJ142" s="9" t="n"/>
      <c r="BK142" s="9" t="n"/>
      <c r="BL142" s="9" t="n"/>
      <c r="BM142" s="9" t="n"/>
      <c r="BN142" s="9" t="n"/>
      <c r="BO142" s="8" t="n"/>
      <c r="BP142" s="9" t="n"/>
      <c r="BQ142" s="9" t="n"/>
      <c r="BR142" s="13">
        <f>IF(COUNTIF(AI142:BM142,"N")+COUNTBLANK(AI142:BM142)=0,"Y","N")</f>
        <v/>
      </c>
      <c r="BS142" s="13">
        <f>IF(AND(BR142="Y",OR(L142="Submitted",L142="Under Review")),"Y",IF(L142="Closed","Y","N"))</f>
        <v/>
      </c>
      <c r="BT142" s="10" t="n"/>
      <c r="BU142" s="13">
        <f>Rule_Flags!Q141</f>
        <v/>
      </c>
      <c r="BV142" s="13">
        <f>Rule_Flags!P141</f>
        <v/>
      </c>
      <c r="BW142" s="13">
        <f>IF(Rule_Flags!E141=1,"SITE_CONTROL",IF(Rule_Flags!F141=1,"APPROVALS",IF(Rule_Flags!G141=1,"REPORTS",IF(Rule_Flags!H141=1,"DEFICIENCY",IF(Rule_Flags!I141=1,"UNDERWRITING",IF(Rule_Flags!J141=1,"COMPLIANCE",""))))))</f>
        <v/>
      </c>
      <c r="BX142" s="13">
        <f>IF(BW142="SITE_CONTROL","Site control missing or invalid",IF(BW142="APPROVALS","Required approvals or resolutions incomplete",IF(BW142="REPORTS","Required third-party reports incomplete",IF(BW142="DEFICIENCY","Unresolved deficiency or material deficiency",IF(BW142="UNDERWRITING","Underwriting / feasibility not passed",IF(BW142="COMPLIANCE","Deconcentration, one-mile, LURA, or Chapter 12 issue","Ready under current engine rules"))))))</f>
        <v/>
      </c>
      <c r="BY142" s="13">
        <f>IF(BV142="Determination Notice","Streamlined + DN-ready assumptions satisfied",IF(BV142="Board","Board-required or board-ready assumptions satisfied",""))</f>
        <v/>
      </c>
      <c r="BZ142" s="13">
        <f>IF(AND(BP142="Y",BQ142&lt;&gt;"Y"),"Carryforward project retains queue priority",IF(BQ142="Y","New project enters behind carryforward projects",""))</f>
        <v/>
      </c>
      <c r="CA142" s="13">
        <f>_xludf.RANK.EQ(Rule_Flags!O141,Rule_Flags!$O$3:$O$402,0)</f>
        <v/>
      </c>
      <c r="CB142" s="13">
        <f>IF(OR(BU142="Determination Notice Issued",BU142="Board",BU142="Closed"),"Y","N")</f>
        <v/>
      </c>
      <c r="CC142" s="9" t="n"/>
      <c r="CD142" s="9" t="n"/>
      <c r="CE142" s="9" t="n"/>
      <c r="CF142" s="9" t="n"/>
      <c r="CG142" s="9" t="n"/>
      <c r="CH142" s="9" t="n"/>
    </row>
    <row r="143">
      <c r="A143" s="8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8" t="n"/>
      <c r="L143" s="9" t="n"/>
      <c r="M143" s="8" t="n"/>
      <c r="N143" s="8" t="n"/>
      <c r="O143" s="8" t="n"/>
      <c r="P143" s="8" t="n"/>
      <c r="Q143" s="8" t="n"/>
      <c r="R143" s="9" t="n"/>
      <c r="S143" s="9" t="n"/>
      <c r="T143" s="10" t="n"/>
      <c r="U143" s="10" t="n"/>
      <c r="V143" s="9" t="n"/>
      <c r="W143" s="9" t="n"/>
      <c r="X143" s="9" t="n"/>
      <c r="Y143" s="9" t="n"/>
      <c r="Z143" s="11" t="n"/>
      <c r="AA143" s="11" t="n"/>
      <c r="AB143" s="11" t="n"/>
      <c r="AC143" s="11" t="n"/>
      <c r="AD143" s="11" t="n"/>
      <c r="AE143" s="11" t="n"/>
      <c r="AF143" s="9" t="n"/>
      <c r="AG143" s="9" t="n"/>
      <c r="AH143" s="9" t="n"/>
      <c r="AI143" s="9" t="n"/>
      <c r="AJ143" s="8" t="n"/>
      <c r="AK143" s="9" t="n"/>
      <c r="AL143" s="9" t="n"/>
      <c r="AM143" s="9" t="n"/>
      <c r="AN143" s="9" t="n"/>
      <c r="AO143" s="9" t="n"/>
      <c r="AP143" s="9" t="n"/>
      <c r="AQ143" s="9" t="n"/>
      <c r="AR143" s="9" t="n"/>
      <c r="AS143" s="9" t="n"/>
      <c r="AT143" s="8" t="n"/>
      <c r="AU143" s="8" t="n"/>
      <c r="AV143" s="9" t="n"/>
      <c r="AW143" s="8" t="n"/>
      <c r="AX143" s="9" t="n"/>
      <c r="AY143" s="9" t="n"/>
      <c r="AZ143" s="9" t="n"/>
      <c r="BA143" s="9" t="n"/>
      <c r="BB143" s="9" t="n"/>
      <c r="BC143" s="9" t="n"/>
      <c r="BD143" s="9" t="n"/>
      <c r="BE143" s="9" t="n"/>
      <c r="BF143" s="9" t="n"/>
      <c r="BG143" s="9" t="n"/>
      <c r="BH143" s="9" t="n"/>
      <c r="BI143" s="9" t="n"/>
      <c r="BJ143" s="9" t="n"/>
      <c r="BK143" s="9" t="n"/>
      <c r="BL143" s="9" t="n"/>
      <c r="BM143" s="9" t="n"/>
      <c r="BN143" s="9" t="n"/>
      <c r="BO143" s="8" t="n"/>
      <c r="BP143" s="9" t="n"/>
      <c r="BQ143" s="9" t="n"/>
      <c r="BR143" s="13">
        <f>IF(COUNTIF(AI143:BM143,"N")+COUNTBLANK(AI143:BM143)=0,"Y","N")</f>
        <v/>
      </c>
      <c r="BS143" s="13">
        <f>IF(AND(BR143="Y",OR(L143="Submitted",L143="Under Review")),"Y",IF(L143="Closed","Y","N"))</f>
        <v/>
      </c>
      <c r="BT143" s="10" t="n"/>
      <c r="BU143" s="13">
        <f>Rule_Flags!Q142</f>
        <v/>
      </c>
      <c r="BV143" s="13">
        <f>Rule_Flags!P142</f>
        <v/>
      </c>
      <c r="BW143" s="13">
        <f>IF(Rule_Flags!E142=1,"SITE_CONTROL",IF(Rule_Flags!F142=1,"APPROVALS",IF(Rule_Flags!G142=1,"REPORTS",IF(Rule_Flags!H142=1,"DEFICIENCY",IF(Rule_Flags!I142=1,"UNDERWRITING",IF(Rule_Flags!J142=1,"COMPLIANCE",""))))))</f>
        <v/>
      </c>
      <c r="BX143" s="13">
        <f>IF(BW143="SITE_CONTROL","Site control missing or invalid",IF(BW143="APPROVALS","Required approvals or resolutions incomplete",IF(BW143="REPORTS","Required third-party reports incomplete",IF(BW143="DEFICIENCY","Unresolved deficiency or material deficiency",IF(BW143="UNDERWRITING","Underwriting / feasibility not passed",IF(BW143="COMPLIANCE","Deconcentration, one-mile, LURA, or Chapter 12 issue","Ready under current engine rules"))))))</f>
        <v/>
      </c>
      <c r="BY143" s="13">
        <f>IF(BV143="Determination Notice","Streamlined + DN-ready assumptions satisfied",IF(BV143="Board","Board-required or board-ready assumptions satisfied",""))</f>
        <v/>
      </c>
      <c r="BZ143" s="13">
        <f>IF(AND(BP143="Y",BQ143&lt;&gt;"Y"),"Carryforward project retains queue priority",IF(BQ143="Y","New project enters behind carryforward projects",""))</f>
        <v/>
      </c>
      <c r="CA143" s="13">
        <f>_xludf.RANK.EQ(Rule_Flags!O142,Rule_Flags!$O$3:$O$402,0)</f>
        <v/>
      </c>
      <c r="CB143" s="13">
        <f>IF(OR(BU143="Determination Notice Issued",BU143="Board",BU143="Closed"),"Y","N")</f>
        <v/>
      </c>
      <c r="CC143" s="9" t="n"/>
      <c r="CD143" s="9" t="n"/>
      <c r="CE143" s="9" t="n"/>
      <c r="CF143" s="9" t="n"/>
      <c r="CG143" s="9" t="n"/>
      <c r="CH143" s="9" t="n"/>
    </row>
    <row r="144">
      <c r="A144" s="8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8" t="n"/>
      <c r="L144" s="9" t="n"/>
      <c r="M144" s="8" t="n"/>
      <c r="N144" s="8" t="n"/>
      <c r="O144" s="8" t="n"/>
      <c r="P144" s="8" t="n"/>
      <c r="Q144" s="8" t="n"/>
      <c r="R144" s="9" t="n"/>
      <c r="S144" s="9" t="n"/>
      <c r="T144" s="10" t="n"/>
      <c r="U144" s="10" t="n"/>
      <c r="V144" s="9" t="n"/>
      <c r="W144" s="9" t="n"/>
      <c r="X144" s="9" t="n"/>
      <c r="Y144" s="9" t="n"/>
      <c r="Z144" s="11" t="n"/>
      <c r="AA144" s="11" t="n"/>
      <c r="AB144" s="11" t="n"/>
      <c r="AC144" s="11" t="n"/>
      <c r="AD144" s="11" t="n"/>
      <c r="AE144" s="11" t="n"/>
      <c r="AF144" s="9" t="n"/>
      <c r="AG144" s="9" t="n"/>
      <c r="AH144" s="9" t="n"/>
      <c r="AI144" s="9" t="n"/>
      <c r="AJ144" s="8" t="n"/>
      <c r="AK144" s="9" t="n"/>
      <c r="AL144" s="9" t="n"/>
      <c r="AM144" s="9" t="n"/>
      <c r="AN144" s="9" t="n"/>
      <c r="AO144" s="9" t="n"/>
      <c r="AP144" s="9" t="n"/>
      <c r="AQ144" s="9" t="n"/>
      <c r="AR144" s="9" t="n"/>
      <c r="AS144" s="9" t="n"/>
      <c r="AT144" s="8" t="n"/>
      <c r="AU144" s="8" t="n"/>
      <c r="AV144" s="9" t="n"/>
      <c r="AW144" s="8" t="n"/>
      <c r="AX144" s="9" t="n"/>
      <c r="AY144" s="9" t="n"/>
      <c r="AZ144" s="9" t="n"/>
      <c r="BA144" s="9" t="n"/>
      <c r="BB144" s="9" t="n"/>
      <c r="BC144" s="9" t="n"/>
      <c r="BD144" s="9" t="n"/>
      <c r="BE144" s="9" t="n"/>
      <c r="BF144" s="9" t="n"/>
      <c r="BG144" s="9" t="n"/>
      <c r="BH144" s="9" t="n"/>
      <c r="BI144" s="9" t="n"/>
      <c r="BJ144" s="9" t="n"/>
      <c r="BK144" s="9" t="n"/>
      <c r="BL144" s="9" t="n"/>
      <c r="BM144" s="9" t="n"/>
      <c r="BN144" s="9" t="n"/>
      <c r="BO144" s="8" t="n"/>
      <c r="BP144" s="9" t="n"/>
      <c r="BQ144" s="9" t="n"/>
      <c r="BR144" s="13">
        <f>IF(COUNTIF(AI144:BM144,"N")+COUNTBLANK(AI144:BM144)=0,"Y","N")</f>
        <v/>
      </c>
      <c r="BS144" s="13">
        <f>IF(AND(BR144="Y",OR(L144="Submitted",L144="Under Review")),"Y",IF(L144="Closed","Y","N"))</f>
        <v/>
      </c>
      <c r="BT144" s="10" t="n"/>
      <c r="BU144" s="13">
        <f>Rule_Flags!Q143</f>
        <v/>
      </c>
      <c r="BV144" s="13">
        <f>Rule_Flags!P143</f>
        <v/>
      </c>
      <c r="BW144" s="13">
        <f>IF(Rule_Flags!E143=1,"SITE_CONTROL",IF(Rule_Flags!F143=1,"APPROVALS",IF(Rule_Flags!G143=1,"REPORTS",IF(Rule_Flags!H143=1,"DEFICIENCY",IF(Rule_Flags!I143=1,"UNDERWRITING",IF(Rule_Flags!J143=1,"COMPLIANCE",""))))))</f>
        <v/>
      </c>
      <c r="BX144" s="13">
        <f>IF(BW144="SITE_CONTROL","Site control missing or invalid",IF(BW144="APPROVALS","Required approvals or resolutions incomplete",IF(BW144="REPORTS","Required third-party reports incomplete",IF(BW144="DEFICIENCY","Unresolved deficiency or material deficiency",IF(BW144="UNDERWRITING","Underwriting / feasibility not passed",IF(BW144="COMPLIANCE","Deconcentration, one-mile, LURA, or Chapter 12 issue","Ready under current engine rules"))))))</f>
        <v/>
      </c>
      <c r="BY144" s="13">
        <f>IF(BV144="Determination Notice","Streamlined + DN-ready assumptions satisfied",IF(BV144="Board","Board-required or board-ready assumptions satisfied",""))</f>
        <v/>
      </c>
      <c r="BZ144" s="13">
        <f>IF(AND(BP144="Y",BQ144&lt;&gt;"Y"),"Carryforward project retains queue priority",IF(BQ144="Y","New project enters behind carryforward projects",""))</f>
        <v/>
      </c>
      <c r="CA144" s="13">
        <f>_xludf.RANK.EQ(Rule_Flags!O143,Rule_Flags!$O$3:$O$402,0)</f>
        <v/>
      </c>
      <c r="CB144" s="13">
        <f>IF(OR(BU144="Determination Notice Issued",BU144="Board",BU144="Closed"),"Y","N")</f>
        <v/>
      </c>
      <c r="CC144" s="9" t="n"/>
      <c r="CD144" s="9" t="n"/>
      <c r="CE144" s="9" t="n"/>
      <c r="CF144" s="9" t="n"/>
      <c r="CG144" s="9" t="n"/>
      <c r="CH144" s="9" t="n"/>
    </row>
    <row r="145">
      <c r="A145" s="8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8" t="n"/>
      <c r="L145" s="9" t="n"/>
      <c r="M145" s="8" t="n"/>
      <c r="N145" s="8" t="n"/>
      <c r="O145" s="8" t="n"/>
      <c r="P145" s="8" t="n"/>
      <c r="Q145" s="8" t="n"/>
      <c r="R145" s="9" t="n"/>
      <c r="S145" s="9" t="n"/>
      <c r="T145" s="10" t="n"/>
      <c r="U145" s="10" t="n"/>
      <c r="V145" s="9" t="n"/>
      <c r="W145" s="9" t="n"/>
      <c r="X145" s="9" t="n"/>
      <c r="Y145" s="9" t="n"/>
      <c r="Z145" s="11" t="n"/>
      <c r="AA145" s="11" t="n"/>
      <c r="AB145" s="11" t="n"/>
      <c r="AC145" s="11" t="n"/>
      <c r="AD145" s="11" t="n"/>
      <c r="AE145" s="11" t="n"/>
      <c r="AF145" s="9" t="n"/>
      <c r="AG145" s="9" t="n"/>
      <c r="AH145" s="9" t="n"/>
      <c r="AI145" s="9" t="n"/>
      <c r="AJ145" s="8" t="n"/>
      <c r="AK145" s="9" t="n"/>
      <c r="AL145" s="9" t="n"/>
      <c r="AM145" s="9" t="n"/>
      <c r="AN145" s="9" t="n"/>
      <c r="AO145" s="9" t="n"/>
      <c r="AP145" s="9" t="n"/>
      <c r="AQ145" s="9" t="n"/>
      <c r="AR145" s="9" t="n"/>
      <c r="AS145" s="9" t="n"/>
      <c r="AT145" s="8" t="n"/>
      <c r="AU145" s="8" t="n"/>
      <c r="AV145" s="9" t="n"/>
      <c r="AW145" s="8" t="n"/>
      <c r="AX145" s="9" t="n"/>
      <c r="AY145" s="9" t="n"/>
      <c r="AZ145" s="9" t="n"/>
      <c r="BA145" s="9" t="n"/>
      <c r="BB145" s="9" t="n"/>
      <c r="BC145" s="9" t="n"/>
      <c r="BD145" s="9" t="n"/>
      <c r="BE145" s="9" t="n"/>
      <c r="BF145" s="9" t="n"/>
      <c r="BG145" s="9" t="n"/>
      <c r="BH145" s="9" t="n"/>
      <c r="BI145" s="9" t="n"/>
      <c r="BJ145" s="9" t="n"/>
      <c r="BK145" s="9" t="n"/>
      <c r="BL145" s="9" t="n"/>
      <c r="BM145" s="9" t="n"/>
      <c r="BN145" s="9" t="n"/>
      <c r="BO145" s="8" t="n"/>
      <c r="BP145" s="9" t="n"/>
      <c r="BQ145" s="9" t="n"/>
      <c r="BR145" s="13">
        <f>IF(COUNTIF(AI145:BM145,"N")+COUNTBLANK(AI145:BM145)=0,"Y","N")</f>
        <v/>
      </c>
      <c r="BS145" s="13">
        <f>IF(AND(BR145="Y",OR(L145="Submitted",L145="Under Review")),"Y",IF(L145="Closed","Y","N"))</f>
        <v/>
      </c>
      <c r="BT145" s="10" t="n"/>
      <c r="BU145" s="13">
        <f>Rule_Flags!Q144</f>
        <v/>
      </c>
      <c r="BV145" s="13">
        <f>Rule_Flags!P144</f>
        <v/>
      </c>
      <c r="BW145" s="13">
        <f>IF(Rule_Flags!E144=1,"SITE_CONTROL",IF(Rule_Flags!F144=1,"APPROVALS",IF(Rule_Flags!G144=1,"REPORTS",IF(Rule_Flags!H144=1,"DEFICIENCY",IF(Rule_Flags!I144=1,"UNDERWRITING",IF(Rule_Flags!J144=1,"COMPLIANCE",""))))))</f>
        <v/>
      </c>
      <c r="BX145" s="13">
        <f>IF(BW145="SITE_CONTROL","Site control missing or invalid",IF(BW145="APPROVALS","Required approvals or resolutions incomplete",IF(BW145="REPORTS","Required third-party reports incomplete",IF(BW145="DEFICIENCY","Unresolved deficiency or material deficiency",IF(BW145="UNDERWRITING","Underwriting / feasibility not passed",IF(BW145="COMPLIANCE","Deconcentration, one-mile, LURA, or Chapter 12 issue","Ready under current engine rules"))))))</f>
        <v/>
      </c>
      <c r="BY145" s="13">
        <f>IF(BV145="Determination Notice","Streamlined + DN-ready assumptions satisfied",IF(BV145="Board","Board-required or board-ready assumptions satisfied",""))</f>
        <v/>
      </c>
      <c r="BZ145" s="13">
        <f>IF(AND(BP145="Y",BQ145&lt;&gt;"Y"),"Carryforward project retains queue priority",IF(BQ145="Y","New project enters behind carryforward projects",""))</f>
        <v/>
      </c>
      <c r="CA145" s="13">
        <f>_xludf.RANK.EQ(Rule_Flags!O144,Rule_Flags!$O$3:$O$402,0)</f>
        <v/>
      </c>
      <c r="CB145" s="13">
        <f>IF(OR(BU145="Determination Notice Issued",BU145="Board",BU145="Closed"),"Y","N")</f>
        <v/>
      </c>
      <c r="CC145" s="9" t="n"/>
      <c r="CD145" s="9" t="n"/>
      <c r="CE145" s="9" t="n"/>
      <c r="CF145" s="9" t="n"/>
      <c r="CG145" s="9" t="n"/>
      <c r="CH145" s="9" t="n"/>
    </row>
    <row r="146">
      <c r="A146" s="8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8" t="n"/>
      <c r="L146" s="9" t="n"/>
      <c r="M146" s="8" t="n"/>
      <c r="N146" s="8" t="n"/>
      <c r="O146" s="8" t="n"/>
      <c r="P146" s="8" t="n"/>
      <c r="Q146" s="8" t="n"/>
      <c r="R146" s="9" t="n"/>
      <c r="S146" s="9" t="n"/>
      <c r="T146" s="10" t="n"/>
      <c r="U146" s="10" t="n"/>
      <c r="V146" s="9" t="n"/>
      <c r="W146" s="9" t="n"/>
      <c r="X146" s="9" t="n"/>
      <c r="Y146" s="9" t="n"/>
      <c r="Z146" s="11" t="n"/>
      <c r="AA146" s="11" t="n"/>
      <c r="AB146" s="11" t="n"/>
      <c r="AC146" s="11" t="n"/>
      <c r="AD146" s="11" t="n"/>
      <c r="AE146" s="11" t="n"/>
      <c r="AF146" s="9" t="n"/>
      <c r="AG146" s="9" t="n"/>
      <c r="AH146" s="9" t="n"/>
      <c r="AI146" s="9" t="n"/>
      <c r="AJ146" s="8" t="n"/>
      <c r="AK146" s="9" t="n"/>
      <c r="AL146" s="9" t="n"/>
      <c r="AM146" s="9" t="n"/>
      <c r="AN146" s="9" t="n"/>
      <c r="AO146" s="9" t="n"/>
      <c r="AP146" s="9" t="n"/>
      <c r="AQ146" s="9" t="n"/>
      <c r="AR146" s="9" t="n"/>
      <c r="AS146" s="9" t="n"/>
      <c r="AT146" s="8" t="n"/>
      <c r="AU146" s="8" t="n"/>
      <c r="AV146" s="9" t="n"/>
      <c r="AW146" s="8" t="n"/>
      <c r="AX146" s="9" t="n"/>
      <c r="AY146" s="9" t="n"/>
      <c r="AZ146" s="9" t="n"/>
      <c r="BA146" s="9" t="n"/>
      <c r="BB146" s="9" t="n"/>
      <c r="BC146" s="9" t="n"/>
      <c r="BD146" s="9" t="n"/>
      <c r="BE146" s="9" t="n"/>
      <c r="BF146" s="9" t="n"/>
      <c r="BG146" s="9" t="n"/>
      <c r="BH146" s="9" t="n"/>
      <c r="BI146" s="9" t="n"/>
      <c r="BJ146" s="9" t="n"/>
      <c r="BK146" s="9" t="n"/>
      <c r="BL146" s="9" t="n"/>
      <c r="BM146" s="9" t="n"/>
      <c r="BN146" s="9" t="n"/>
      <c r="BO146" s="8" t="n"/>
      <c r="BP146" s="9" t="n"/>
      <c r="BQ146" s="9" t="n"/>
      <c r="BR146" s="13">
        <f>IF(COUNTIF(AI146:BM146,"N")+COUNTBLANK(AI146:BM146)=0,"Y","N")</f>
        <v/>
      </c>
      <c r="BS146" s="13">
        <f>IF(AND(BR146="Y",OR(L146="Submitted",L146="Under Review")),"Y",IF(L146="Closed","Y","N"))</f>
        <v/>
      </c>
      <c r="BT146" s="10" t="n"/>
      <c r="BU146" s="13">
        <f>Rule_Flags!Q145</f>
        <v/>
      </c>
      <c r="BV146" s="13">
        <f>Rule_Flags!P145</f>
        <v/>
      </c>
      <c r="BW146" s="13">
        <f>IF(Rule_Flags!E145=1,"SITE_CONTROL",IF(Rule_Flags!F145=1,"APPROVALS",IF(Rule_Flags!G145=1,"REPORTS",IF(Rule_Flags!H145=1,"DEFICIENCY",IF(Rule_Flags!I145=1,"UNDERWRITING",IF(Rule_Flags!J145=1,"COMPLIANCE",""))))))</f>
        <v/>
      </c>
      <c r="BX146" s="13">
        <f>IF(BW146="SITE_CONTROL","Site control missing or invalid",IF(BW146="APPROVALS","Required approvals or resolutions incomplete",IF(BW146="REPORTS","Required third-party reports incomplete",IF(BW146="DEFICIENCY","Unresolved deficiency or material deficiency",IF(BW146="UNDERWRITING","Underwriting / feasibility not passed",IF(BW146="COMPLIANCE","Deconcentration, one-mile, LURA, or Chapter 12 issue","Ready under current engine rules"))))))</f>
        <v/>
      </c>
      <c r="BY146" s="13">
        <f>IF(BV146="Determination Notice","Streamlined + DN-ready assumptions satisfied",IF(BV146="Board","Board-required or board-ready assumptions satisfied",""))</f>
        <v/>
      </c>
      <c r="BZ146" s="13">
        <f>IF(AND(BP146="Y",BQ146&lt;&gt;"Y"),"Carryforward project retains queue priority",IF(BQ146="Y","New project enters behind carryforward projects",""))</f>
        <v/>
      </c>
      <c r="CA146" s="13">
        <f>_xludf.RANK.EQ(Rule_Flags!O145,Rule_Flags!$O$3:$O$402,0)</f>
        <v/>
      </c>
      <c r="CB146" s="13">
        <f>IF(OR(BU146="Determination Notice Issued",BU146="Board",BU146="Closed"),"Y","N")</f>
        <v/>
      </c>
      <c r="CC146" s="9" t="n"/>
      <c r="CD146" s="9" t="n"/>
      <c r="CE146" s="9" t="n"/>
      <c r="CF146" s="9" t="n"/>
      <c r="CG146" s="9" t="n"/>
      <c r="CH146" s="9" t="n"/>
    </row>
    <row r="147">
      <c r="A147" s="8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8" t="n"/>
      <c r="L147" s="9" t="n"/>
      <c r="M147" s="8" t="n"/>
      <c r="N147" s="8" t="n"/>
      <c r="O147" s="8" t="n"/>
      <c r="P147" s="8" t="n"/>
      <c r="Q147" s="8" t="n"/>
      <c r="R147" s="9" t="n"/>
      <c r="S147" s="9" t="n"/>
      <c r="T147" s="10" t="n"/>
      <c r="U147" s="10" t="n"/>
      <c r="V147" s="9" t="n"/>
      <c r="W147" s="9" t="n"/>
      <c r="X147" s="9" t="n"/>
      <c r="Y147" s="9" t="n"/>
      <c r="Z147" s="11" t="n"/>
      <c r="AA147" s="11" t="n"/>
      <c r="AB147" s="11" t="n"/>
      <c r="AC147" s="11" t="n"/>
      <c r="AD147" s="11" t="n"/>
      <c r="AE147" s="11" t="n"/>
      <c r="AF147" s="9" t="n"/>
      <c r="AG147" s="9" t="n"/>
      <c r="AH147" s="9" t="n"/>
      <c r="AI147" s="9" t="n"/>
      <c r="AJ147" s="8" t="n"/>
      <c r="AK147" s="9" t="n"/>
      <c r="AL147" s="9" t="n"/>
      <c r="AM147" s="9" t="n"/>
      <c r="AN147" s="9" t="n"/>
      <c r="AO147" s="9" t="n"/>
      <c r="AP147" s="9" t="n"/>
      <c r="AQ147" s="9" t="n"/>
      <c r="AR147" s="9" t="n"/>
      <c r="AS147" s="9" t="n"/>
      <c r="AT147" s="8" t="n"/>
      <c r="AU147" s="8" t="n"/>
      <c r="AV147" s="9" t="n"/>
      <c r="AW147" s="8" t="n"/>
      <c r="AX147" s="9" t="n"/>
      <c r="AY147" s="9" t="n"/>
      <c r="AZ147" s="9" t="n"/>
      <c r="BA147" s="9" t="n"/>
      <c r="BB147" s="9" t="n"/>
      <c r="BC147" s="9" t="n"/>
      <c r="BD147" s="9" t="n"/>
      <c r="BE147" s="9" t="n"/>
      <c r="BF147" s="9" t="n"/>
      <c r="BG147" s="9" t="n"/>
      <c r="BH147" s="9" t="n"/>
      <c r="BI147" s="9" t="n"/>
      <c r="BJ147" s="9" t="n"/>
      <c r="BK147" s="9" t="n"/>
      <c r="BL147" s="9" t="n"/>
      <c r="BM147" s="9" t="n"/>
      <c r="BN147" s="9" t="n"/>
      <c r="BO147" s="8" t="n"/>
      <c r="BP147" s="9" t="n"/>
      <c r="BQ147" s="9" t="n"/>
      <c r="BR147" s="13">
        <f>IF(COUNTIF(AI147:BM147,"N")+COUNTBLANK(AI147:BM147)=0,"Y","N")</f>
        <v/>
      </c>
      <c r="BS147" s="13">
        <f>IF(AND(BR147="Y",OR(L147="Submitted",L147="Under Review")),"Y",IF(L147="Closed","Y","N"))</f>
        <v/>
      </c>
      <c r="BT147" s="10" t="n"/>
      <c r="BU147" s="13">
        <f>Rule_Flags!Q146</f>
        <v/>
      </c>
      <c r="BV147" s="13">
        <f>Rule_Flags!P146</f>
        <v/>
      </c>
      <c r="BW147" s="13">
        <f>IF(Rule_Flags!E146=1,"SITE_CONTROL",IF(Rule_Flags!F146=1,"APPROVALS",IF(Rule_Flags!G146=1,"REPORTS",IF(Rule_Flags!H146=1,"DEFICIENCY",IF(Rule_Flags!I146=1,"UNDERWRITING",IF(Rule_Flags!J146=1,"COMPLIANCE",""))))))</f>
        <v/>
      </c>
      <c r="BX147" s="13">
        <f>IF(BW147="SITE_CONTROL","Site control missing or invalid",IF(BW147="APPROVALS","Required approvals or resolutions incomplete",IF(BW147="REPORTS","Required third-party reports incomplete",IF(BW147="DEFICIENCY","Unresolved deficiency or material deficiency",IF(BW147="UNDERWRITING","Underwriting / feasibility not passed",IF(BW147="COMPLIANCE","Deconcentration, one-mile, LURA, or Chapter 12 issue","Ready under current engine rules"))))))</f>
        <v/>
      </c>
      <c r="BY147" s="13">
        <f>IF(BV147="Determination Notice","Streamlined + DN-ready assumptions satisfied",IF(BV147="Board","Board-required or board-ready assumptions satisfied",""))</f>
        <v/>
      </c>
      <c r="BZ147" s="13">
        <f>IF(AND(BP147="Y",BQ147&lt;&gt;"Y"),"Carryforward project retains queue priority",IF(BQ147="Y","New project enters behind carryforward projects",""))</f>
        <v/>
      </c>
      <c r="CA147" s="13">
        <f>_xludf.RANK.EQ(Rule_Flags!O146,Rule_Flags!$O$3:$O$402,0)</f>
        <v/>
      </c>
      <c r="CB147" s="13">
        <f>IF(OR(BU147="Determination Notice Issued",BU147="Board",BU147="Closed"),"Y","N")</f>
        <v/>
      </c>
      <c r="CC147" s="9" t="n"/>
      <c r="CD147" s="9" t="n"/>
      <c r="CE147" s="9" t="n"/>
      <c r="CF147" s="9" t="n"/>
      <c r="CG147" s="9" t="n"/>
      <c r="CH147" s="9" t="n"/>
    </row>
    <row r="148">
      <c r="A148" s="8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8" t="n"/>
      <c r="L148" s="9" t="n"/>
      <c r="M148" s="8" t="n"/>
      <c r="N148" s="8" t="n"/>
      <c r="O148" s="8" t="n"/>
      <c r="P148" s="8" t="n"/>
      <c r="Q148" s="8" t="n"/>
      <c r="R148" s="9" t="n"/>
      <c r="S148" s="9" t="n"/>
      <c r="T148" s="10" t="n"/>
      <c r="U148" s="10" t="n"/>
      <c r="V148" s="9" t="n"/>
      <c r="W148" s="9" t="n"/>
      <c r="X148" s="9" t="n"/>
      <c r="Y148" s="9" t="n"/>
      <c r="Z148" s="11" t="n"/>
      <c r="AA148" s="11" t="n"/>
      <c r="AB148" s="11" t="n"/>
      <c r="AC148" s="11" t="n"/>
      <c r="AD148" s="11" t="n"/>
      <c r="AE148" s="11" t="n"/>
      <c r="AF148" s="9" t="n"/>
      <c r="AG148" s="9" t="n"/>
      <c r="AH148" s="9" t="n"/>
      <c r="AI148" s="9" t="n"/>
      <c r="AJ148" s="8" t="n"/>
      <c r="AK148" s="9" t="n"/>
      <c r="AL148" s="9" t="n"/>
      <c r="AM148" s="9" t="n"/>
      <c r="AN148" s="9" t="n"/>
      <c r="AO148" s="9" t="n"/>
      <c r="AP148" s="9" t="n"/>
      <c r="AQ148" s="9" t="n"/>
      <c r="AR148" s="9" t="n"/>
      <c r="AS148" s="9" t="n"/>
      <c r="AT148" s="8" t="n"/>
      <c r="AU148" s="8" t="n"/>
      <c r="AV148" s="9" t="n"/>
      <c r="AW148" s="8" t="n"/>
      <c r="AX148" s="9" t="n"/>
      <c r="AY148" s="9" t="n"/>
      <c r="AZ148" s="9" t="n"/>
      <c r="BA148" s="9" t="n"/>
      <c r="BB148" s="9" t="n"/>
      <c r="BC148" s="9" t="n"/>
      <c r="BD148" s="9" t="n"/>
      <c r="BE148" s="9" t="n"/>
      <c r="BF148" s="9" t="n"/>
      <c r="BG148" s="9" t="n"/>
      <c r="BH148" s="9" t="n"/>
      <c r="BI148" s="9" t="n"/>
      <c r="BJ148" s="9" t="n"/>
      <c r="BK148" s="9" t="n"/>
      <c r="BL148" s="9" t="n"/>
      <c r="BM148" s="9" t="n"/>
      <c r="BN148" s="9" t="n"/>
      <c r="BO148" s="8" t="n"/>
      <c r="BP148" s="9" t="n"/>
      <c r="BQ148" s="9" t="n"/>
      <c r="BR148" s="13">
        <f>IF(COUNTIF(AI148:BM148,"N")+COUNTBLANK(AI148:BM148)=0,"Y","N")</f>
        <v/>
      </c>
      <c r="BS148" s="13">
        <f>IF(AND(BR148="Y",OR(L148="Submitted",L148="Under Review")),"Y",IF(L148="Closed","Y","N"))</f>
        <v/>
      </c>
      <c r="BT148" s="10" t="n"/>
      <c r="BU148" s="13">
        <f>Rule_Flags!Q147</f>
        <v/>
      </c>
      <c r="BV148" s="13">
        <f>Rule_Flags!P147</f>
        <v/>
      </c>
      <c r="BW148" s="13">
        <f>IF(Rule_Flags!E147=1,"SITE_CONTROL",IF(Rule_Flags!F147=1,"APPROVALS",IF(Rule_Flags!G147=1,"REPORTS",IF(Rule_Flags!H147=1,"DEFICIENCY",IF(Rule_Flags!I147=1,"UNDERWRITING",IF(Rule_Flags!J147=1,"COMPLIANCE",""))))))</f>
        <v/>
      </c>
      <c r="BX148" s="13">
        <f>IF(BW148="SITE_CONTROL","Site control missing or invalid",IF(BW148="APPROVALS","Required approvals or resolutions incomplete",IF(BW148="REPORTS","Required third-party reports incomplete",IF(BW148="DEFICIENCY","Unresolved deficiency or material deficiency",IF(BW148="UNDERWRITING","Underwriting / feasibility not passed",IF(BW148="COMPLIANCE","Deconcentration, one-mile, LURA, or Chapter 12 issue","Ready under current engine rules"))))))</f>
        <v/>
      </c>
      <c r="BY148" s="13">
        <f>IF(BV148="Determination Notice","Streamlined + DN-ready assumptions satisfied",IF(BV148="Board","Board-required or board-ready assumptions satisfied",""))</f>
        <v/>
      </c>
      <c r="BZ148" s="13">
        <f>IF(AND(BP148="Y",BQ148&lt;&gt;"Y"),"Carryforward project retains queue priority",IF(BQ148="Y","New project enters behind carryforward projects",""))</f>
        <v/>
      </c>
      <c r="CA148" s="13">
        <f>_xludf.RANK.EQ(Rule_Flags!O147,Rule_Flags!$O$3:$O$402,0)</f>
        <v/>
      </c>
      <c r="CB148" s="13">
        <f>IF(OR(BU148="Determination Notice Issued",BU148="Board",BU148="Closed"),"Y","N")</f>
        <v/>
      </c>
      <c r="CC148" s="9" t="n"/>
      <c r="CD148" s="9" t="n"/>
      <c r="CE148" s="9" t="n"/>
      <c r="CF148" s="9" t="n"/>
      <c r="CG148" s="9" t="n"/>
      <c r="CH148" s="9" t="n"/>
    </row>
    <row r="149">
      <c r="A149" s="8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8" t="n"/>
      <c r="L149" s="9" t="n"/>
      <c r="M149" s="8" t="n"/>
      <c r="N149" s="8" t="n"/>
      <c r="O149" s="8" t="n"/>
      <c r="P149" s="8" t="n"/>
      <c r="Q149" s="8" t="n"/>
      <c r="R149" s="9" t="n"/>
      <c r="S149" s="9" t="n"/>
      <c r="T149" s="10" t="n"/>
      <c r="U149" s="10" t="n"/>
      <c r="V149" s="9" t="n"/>
      <c r="W149" s="9" t="n"/>
      <c r="X149" s="9" t="n"/>
      <c r="Y149" s="9" t="n"/>
      <c r="Z149" s="11" t="n"/>
      <c r="AA149" s="11" t="n"/>
      <c r="AB149" s="11" t="n"/>
      <c r="AC149" s="11" t="n"/>
      <c r="AD149" s="11" t="n"/>
      <c r="AE149" s="11" t="n"/>
      <c r="AF149" s="9" t="n"/>
      <c r="AG149" s="9" t="n"/>
      <c r="AH149" s="9" t="n"/>
      <c r="AI149" s="9" t="n"/>
      <c r="AJ149" s="8" t="n"/>
      <c r="AK149" s="9" t="n"/>
      <c r="AL149" s="9" t="n"/>
      <c r="AM149" s="9" t="n"/>
      <c r="AN149" s="9" t="n"/>
      <c r="AO149" s="9" t="n"/>
      <c r="AP149" s="9" t="n"/>
      <c r="AQ149" s="9" t="n"/>
      <c r="AR149" s="9" t="n"/>
      <c r="AS149" s="9" t="n"/>
      <c r="AT149" s="8" t="n"/>
      <c r="AU149" s="8" t="n"/>
      <c r="AV149" s="9" t="n"/>
      <c r="AW149" s="8" t="n"/>
      <c r="AX149" s="9" t="n"/>
      <c r="AY149" s="9" t="n"/>
      <c r="AZ149" s="9" t="n"/>
      <c r="BA149" s="9" t="n"/>
      <c r="BB149" s="9" t="n"/>
      <c r="BC149" s="9" t="n"/>
      <c r="BD149" s="9" t="n"/>
      <c r="BE149" s="9" t="n"/>
      <c r="BF149" s="9" t="n"/>
      <c r="BG149" s="9" t="n"/>
      <c r="BH149" s="9" t="n"/>
      <c r="BI149" s="9" t="n"/>
      <c r="BJ149" s="9" t="n"/>
      <c r="BK149" s="9" t="n"/>
      <c r="BL149" s="9" t="n"/>
      <c r="BM149" s="9" t="n"/>
      <c r="BN149" s="9" t="n"/>
      <c r="BO149" s="8" t="n"/>
      <c r="BP149" s="9" t="n"/>
      <c r="BQ149" s="9" t="n"/>
      <c r="BR149" s="13">
        <f>IF(COUNTIF(AI149:BM149,"N")+COUNTBLANK(AI149:BM149)=0,"Y","N")</f>
        <v/>
      </c>
      <c r="BS149" s="13">
        <f>IF(AND(BR149="Y",OR(L149="Submitted",L149="Under Review")),"Y",IF(L149="Closed","Y","N"))</f>
        <v/>
      </c>
      <c r="BT149" s="10" t="n"/>
      <c r="BU149" s="13">
        <f>Rule_Flags!Q148</f>
        <v/>
      </c>
      <c r="BV149" s="13">
        <f>Rule_Flags!P148</f>
        <v/>
      </c>
      <c r="BW149" s="13">
        <f>IF(Rule_Flags!E148=1,"SITE_CONTROL",IF(Rule_Flags!F148=1,"APPROVALS",IF(Rule_Flags!G148=1,"REPORTS",IF(Rule_Flags!H148=1,"DEFICIENCY",IF(Rule_Flags!I148=1,"UNDERWRITING",IF(Rule_Flags!J148=1,"COMPLIANCE",""))))))</f>
        <v/>
      </c>
      <c r="BX149" s="13">
        <f>IF(BW149="SITE_CONTROL","Site control missing or invalid",IF(BW149="APPROVALS","Required approvals or resolutions incomplete",IF(BW149="REPORTS","Required third-party reports incomplete",IF(BW149="DEFICIENCY","Unresolved deficiency or material deficiency",IF(BW149="UNDERWRITING","Underwriting / feasibility not passed",IF(BW149="COMPLIANCE","Deconcentration, one-mile, LURA, or Chapter 12 issue","Ready under current engine rules"))))))</f>
        <v/>
      </c>
      <c r="BY149" s="13">
        <f>IF(BV149="Determination Notice","Streamlined + DN-ready assumptions satisfied",IF(BV149="Board","Board-required or board-ready assumptions satisfied",""))</f>
        <v/>
      </c>
      <c r="BZ149" s="13">
        <f>IF(AND(BP149="Y",BQ149&lt;&gt;"Y"),"Carryforward project retains queue priority",IF(BQ149="Y","New project enters behind carryforward projects",""))</f>
        <v/>
      </c>
      <c r="CA149" s="13">
        <f>_xludf.RANK.EQ(Rule_Flags!O148,Rule_Flags!$O$3:$O$402,0)</f>
        <v/>
      </c>
      <c r="CB149" s="13">
        <f>IF(OR(BU149="Determination Notice Issued",BU149="Board",BU149="Closed"),"Y","N")</f>
        <v/>
      </c>
      <c r="CC149" s="9" t="n"/>
      <c r="CD149" s="9" t="n"/>
      <c r="CE149" s="9" t="n"/>
      <c r="CF149" s="9" t="n"/>
      <c r="CG149" s="9" t="n"/>
      <c r="CH149" s="9" t="n"/>
    </row>
    <row r="150">
      <c r="A150" s="8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8" t="n"/>
      <c r="L150" s="9" t="n"/>
      <c r="M150" s="8" t="n"/>
      <c r="N150" s="8" t="n"/>
      <c r="O150" s="8" t="n"/>
      <c r="P150" s="8" t="n"/>
      <c r="Q150" s="8" t="n"/>
      <c r="R150" s="9" t="n"/>
      <c r="S150" s="9" t="n"/>
      <c r="T150" s="10" t="n"/>
      <c r="U150" s="10" t="n"/>
      <c r="V150" s="9" t="n"/>
      <c r="W150" s="9" t="n"/>
      <c r="X150" s="9" t="n"/>
      <c r="Y150" s="9" t="n"/>
      <c r="Z150" s="11" t="n"/>
      <c r="AA150" s="11" t="n"/>
      <c r="AB150" s="11" t="n"/>
      <c r="AC150" s="11" t="n"/>
      <c r="AD150" s="11" t="n"/>
      <c r="AE150" s="11" t="n"/>
      <c r="AF150" s="9" t="n"/>
      <c r="AG150" s="9" t="n"/>
      <c r="AH150" s="9" t="n"/>
      <c r="AI150" s="9" t="n"/>
      <c r="AJ150" s="8" t="n"/>
      <c r="AK150" s="9" t="n"/>
      <c r="AL150" s="9" t="n"/>
      <c r="AM150" s="9" t="n"/>
      <c r="AN150" s="9" t="n"/>
      <c r="AO150" s="9" t="n"/>
      <c r="AP150" s="9" t="n"/>
      <c r="AQ150" s="9" t="n"/>
      <c r="AR150" s="9" t="n"/>
      <c r="AS150" s="9" t="n"/>
      <c r="AT150" s="8" t="n"/>
      <c r="AU150" s="8" t="n"/>
      <c r="AV150" s="9" t="n"/>
      <c r="AW150" s="8" t="n"/>
      <c r="AX150" s="9" t="n"/>
      <c r="AY150" s="9" t="n"/>
      <c r="AZ150" s="9" t="n"/>
      <c r="BA150" s="9" t="n"/>
      <c r="BB150" s="9" t="n"/>
      <c r="BC150" s="9" t="n"/>
      <c r="BD150" s="9" t="n"/>
      <c r="BE150" s="9" t="n"/>
      <c r="BF150" s="9" t="n"/>
      <c r="BG150" s="9" t="n"/>
      <c r="BH150" s="9" t="n"/>
      <c r="BI150" s="9" t="n"/>
      <c r="BJ150" s="9" t="n"/>
      <c r="BK150" s="9" t="n"/>
      <c r="BL150" s="9" t="n"/>
      <c r="BM150" s="9" t="n"/>
      <c r="BN150" s="9" t="n"/>
      <c r="BO150" s="8" t="n"/>
      <c r="BP150" s="9" t="n"/>
      <c r="BQ150" s="9" t="n"/>
      <c r="BR150" s="13">
        <f>IF(COUNTIF(AI150:BM150,"N")+COUNTBLANK(AI150:BM150)=0,"Y","N")</f>
        <v/>
      </c>
      <c r="BS150" s="13">
        <f>IF(AND(BR150="Y",OR(L150="Submitted",L150="Under Review")),"Y",IF(L150="Closed","Y","N"))</f>
        <v/>
      </c>
      <c r="BT150" s="10" t="n"/>
      <c r="BU150" s="13">
        <f>Rule_Flags!Q149</f>
        <v/>
      </c>
      <c r="BV150" s="13">
        <f>Rule_Flags!P149</f>
        <v/>
      </c>
      <c r="BW150" s="13">
        <f>IF(Rule_Flags!E149=1,"SITE_CONTROL",IF(Rule_Flags!F149=1,"APPROVALS",IF(Rule_Flags!G149=1,"REPORTS",IF(Rule_Flags!H149=1,"DEFICIENCY",IF(Rule_Flags!I149=1,"UNDERWRITING",IF(Rule_Flags!J149=1,"COMPLIANCE",""))))))</f>
        <v/>
      </c>
      <c r="BX150" s="13">
        <f>IF(BW150="SITE_CONTROL","Site control missing or invalid",IF(BW150="APPROVALS","Required approvals or resolutions incomplete",IF(BW150="REPORTS","Required third-party reports incomplete",IF(BW150="DEFICIENCY","Unresolved deficiency or material deficiency",IF(BW150="UNDERWRITING","Underwriting / feasibility not passed",IF(BW150="COMPLIANCE","Deconcentration, one-mile, LURA, or Chapter 12 issue","Ready under current engine rules"))))))</f>
        <v/>
      </c>
      <c r="BY150" s="13">
        <f>IF(BV150="Determination Notice","Streamlined + DN-ready assumptions satisfied",IF(BV150="Board","Board-required or board-ready assumptions satisfied",""))</f>
        <v/>
      </c>
      <c r="BZ150" s="13">
        <f>IF(AND(BP150="Y",BQ150&lt;&gt;"Y"),"Carryforward project retains queue priority",IF(BQ150="Y","New project enters behind carryforward projects",""))</f>
        <v/>
      </c>
      <c r="CA150" s="13">
        <f>_xludf.RANK.EQ(Rule_Flags!O149,Rule_Flags!$O$3:$O$402,0)</f>
        <v/>
      </c>
      <c r="CB150" s="13">
        <f>IF(OR(BU150="Determination Notice Issued",BU150="Board",BU150="Closed"),"Y","N")</f>
        <v/>
      </c>
      <c r="CC150" s="9" t="n"/>
      <c r="CD150" s="9" t="n"/>
      <c r="CE150" s="9" t="n"/>
      <c r="CF150" s="9" t="n"/>
      <c r="CG150" s="9" t="n"/>
      <c r="CH150" s="9" t="n"/>
    </row>
    <row r="151">
      <c r="A151" s="8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8" t="n"/>
      <c r="L151" s="9" t="n"/>
      <c r="M151" s="8" t="n"/>
      <c r="N151" s="8" t="n"/>
      <c r="O151" s="8" t="n"/>
      <c r="P151" s="8" t="n"/>
      <c r="Q151" s="8" t="n"/>
      <c r="R151" s="9" t="n"/>
      <c r="S151" s="9" t="n"/>
      <c r="T151" s="10" t="n"/>
      <c r="U151" s="10" t="n"/>
      <c r="V151" s="9" t="n"/>
      <c r="W151" s="9" t="n"/>
      <c r="X151" s="9" t="n"/>
      <c r="Y151" s="9" t="n"/>
      <c r="Z151" s="11" t="n"/>
      <c r="AA151" s="11" t="n"/>
      <c r="AB151" s="11" t="n"/>
      <c r="AC151" s="11" t="n"/>
      <c r="AD151" s="11" t="n"/>
      <c r="AE151" s="11" t="n"/>
      <c r="AF151" s="9" t="n"/>
      <c r="AG151" s="9" t="n"/>
      <c r="AH151" s="9" t="n"/>
      <c r="AI151" s="9" t="n"/>
      <c r="AJ151" s="8" t="n"/>
      <c r="AK151" s="9" t="n"/>
      <c r="AL151" s="9" t="n"/>
      <c r="AM151" s="9" t="n"/>
      <c r="AN151" s="9" t="n"/>
      <c r="AO151" s="9" t="n"/>
      <c r="AP151" s="9" t="n"/>
      <c r="AQ151" s="9" t="n"/>
      <c r="AR151" s="9" t="n"/>
      <c r="AS151" s="9" t="n"/>
      <c r="AT151" s="8" t="n"/>
      <c r="AU151" s="8" t="n"/>
      <c r="AV151" s="9" t="n"/>
      <c r="AW151" s="8" t="n"/>
      <c r="AX151" s="9" t="n"/>
      <c r="AY151" s="9" t="n"/>
      <c r="AZ151" s="9" t="n"/>
      <c r="BA151" s="9" t="n"/>
      <c r="BB151" s="9" t="n"/>
      <c r="BC151" s="9" t="n"/>
      <c r="BD151" s="9" t="n"/>
      <c r="BE151" s="9" t="n"/>
      <c r="BF151" s="9" t="n"/>
      <c r="BG151" s="9" t="n"/>
      <c r="BH151" s="9" t="n"/>
      <c r="BI151" s="9" t="n"/>
      <c r="BJ151" s="9" t="n"/>
      <c r="BK151" s="9" t="n"/>
      <c r="BL151" s="9" t="n"/>
      <c r="BM151" s="9" t="n"/>
      <c r="BN151" s="9" t="n"/>
      <c r="BO151" s="8" t="n"/>
      <c r="BP151" s="9" t="n"/>
      <c r="BQ151" s="9" t="n"/>
      <c r="BR151" s="13">
        <f>IF(COUNTIF(AI151:BM151,"N")+COUNTBLANK(AI151:BM151)=0,"Y","N")</f>
        <v/>
      </c>
      <c r="BS151" s="13">
        <f>IF(AND(BR151="Y",OR(L151="Submitted",L151="Under Review")),"Y",IF(L151="Closed","Y","N"))</f>
        <v/>
      </c>
      <c r="BT151" s="10" t="n"/>
      <c r="BU151" s="13">
        <f>Rule_Flags!Q150</f>
        <v/>
      </c>
      <c r="BV151" s="13">
        <f>Rule_Flags!P150</f>
        <v/>
      </c>
      <c r="BW151" s="13">
        <f>IF(Rule_Flags!E150=1,"SITE_CONTROL",IF(Rule_Flags!F150=1,"APPROVALS",IF(Rule_Flags!G150=1,"REPORTS",IF(Rule_Flags!H150=1,"DEFICIENCY",IF(Rule_Flags!I150=1,"UNDERWRITING",IF(Rule_Flags!J150=1,"COMPLIANCE",""))))))</f>
        <v/>
      </c>
      <c r="BX151" s="13">
        <f>IF(BW151="SITE_CONTROL","Site control missing or invalid",IF(BW151="APPROVALS","Required approvals or resolutions incomplete",IF(BW151="REPORTS","Required third-party reports incomplete",IF(BW151="DEFICIENCY","Unresolved deficiency or material deficiency",IF(BW151="UNDERWRITING","Underwriting / feasibility not passed",IF(BW151="COMPLIANCE","Deconcentration, one-mile, LURA, or Chapter 12 issue","Ready under current engine rules"))))))</f>
        <v/>
      </c>
      <c r="BY151" s="13">
        <f>IF(BV151="Determination Notice","Streamlined + DN-ready assumptions satisfied",IF(BV151="Board","Board-required or board-ready assumptions satisfied",""))</f>
        <v/>
      </c>
      <c r="BZ151" s="13">
        <f>IF(AND(BP151="Y",BQ151&lt;&gt;"Y"),"Carryforward project retains queue priority",IF(BQ151="Y","New project enters behind carryforward projects",""))</f>
        <v/>
      </c>
      <c r="CA151" s="13">
        <f>_xludf.RANK.EQ(Rule_Flags!O150,Rule_Flags!$O$3:$O$402,0)</f>
        <v/>
      </c>
      <c r="CB151" s="13">
        <f>IF(OR(BU151="Determination Notice Issued",BU151="Board",BU151="Closed"),"Y","N")</f>
        <v/>
      </c>
      <c r="CC151" s="9" t="n"/>
      <c r="CD151" s="9" t="n"/>
      <c r="CE151" s="9" t="n"/>
      <c r="CF151" s="9" t="n"/>
      <c r="CG151" s="9" t="n"/>
      <c r="CH151" s="9" t="n"/>
    </row>
    <row r="152">
      <c r="A152" s="8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8" t="n"/>
      <c r="L152" s="9" t="n"/>
      <c r="M152" s="8" t="n"/>
      <c r="N152" s="8" t="n"/>
      <c r="O152" s="8" t="n"/>
      <c r="P152" s="8" t="n"/>
      <c r="Q152" s="8" t="n"/>
      <c r="R152" s="9" t="n"/>
      <c r="S152" s="9" t="n"/>
      <c r="T152" s="10" t="n"/>
      <c r="U152" s="10" t="n"/>
      <c r="V152" s="9" t="n"/>
      <c r="W152" s="9" t="n"/>
      <c r="X152" s="9" t="n"/>
      <c r="Y152" s="9" t="n"/>
      <c r="Z152" s="11" t="n"/>
      <c r="AA152" s="11" t="n"/>
      <c r="AB152" s="11" t="n"/>
      <c r="AC152" s="11" t="n"/>
      <c r="AD152" s="11" t="n"/>
      <c r="AE152" s="11" t="n"/>
      <c r="AF152" s="9" t="n"/>
      <c r="AG152" s="9" t="n"/>
      <c r="AH152" s="9" t="n"/>
      <c r="AI152" s="9" t="n"/>
      <c r="AJ152" s="8" t="n"/>
      <c r="AK152" s="9" t="n"/>
      <c r="AL152" s="9" t="n"/>
      <c r="AM152" s="9" t="n"/>
      <c r="AN152" s="9" t="n"/>
      <c r="AO152" s="9" t="n"/>
      <c r="AP152" s="9" t="n"/>
      <c r="AQ152" s="9" t="n"/>
      <c r="AR152" s="9" t="n"/>
      <c r="AS152" s="9" t="n"/>
      <c r="AT152" s="8" t="n"/>
      <c r="AU152" s="8" t="n"/>
      <c r="AV152" s="9" t="n"/>
      <c r="AW152" s="8" t="n"/>
      <c r="AX152" s="9" t="n"/>
      <c r="AY152" s="9" t="n"/>
      <c r="AZ152" s="9" t="n"/>
      <c r="BA152" s="9" t="n"/>
      <c r="BB152" s="9" t="n"/>
      <c r="BC152" s="9" t="n"/>
      <c r="BD152" s="9" t="n"/>
      <c r="BE152" s="9" t="n"/>
      <c r="BF152" s="9" t="n"/>
      <c r="BG152" s="9" t="n"/>
      <c r="BH152" s="9" t="n"/>
      <c r="BI152" s="9" t="n"/>
      <c r="BJ152" s="9" t="n"/>
      <c r="BK152" s="9" t="n"/>
      <c r="BL152" s="9" t="n"/>
      <c r="BM152" s="9" t="n"/>
      <c r="BN152" s="9" t="n"/>
      <c r="BO152" s="8" t="n"/>
      <c r="BP152" s="9" t="n"/>
      <c r="BQ152" s="9" t="n"/>
      <c r="BR152" s="13">
        <f>IF(COUNTIF(AI152:BM152,"N")+COUNTBLANK(AI152:BM152)=0,"Y","N")</f>
        <v/>
      </c>
      <c r="BS152" s="13">
        <f>IF(AND(BR152="Y",OR(L152="Submitted",L152="Under Review")),"Y",IF(L152="Closed","Y","N"))</f>
        <v/>
      </c>
      <c r="BT152" s="10" t="n"/>
      <c r="BU152" s="13">
        <f>Rule_Flags!Q151</f>
        <v/>
      </c>
      <c r="BV152" s="13">
        <f>Rule_Flags!P151</f>
        <v/>
      </c>
      <c r="BW152" s="13">
        <f>IF(Rule_Flags!E151=1,"SITE_CONTROL",IF(Rule_Flags!F151=1,"APPROVALS",IF(Rule_Flags!G151=1,"REPORTS",IF(Rule_Flags!H151=1,"DEFICIENCY",IF(Rule_Flags!I151=1,"UNDERWRITING",IF(Rule_Flags!J151=1,"COMPLIANCE",""))))))</f>
        <v/>
      </c>
      <c r="BX152" s="13">
        <f>IF(BW152="SITE_CONTROL","Site control missing or invalid",IF(BW152="APPROVALS","Required approvals or resolutions incomplete",IF(BW152="REPORTS","Required third-party reports incomplete",IF(BW152="DEFICIENCY","Unresolved deficiency or material deficiency",IF(BW152="UNDERWRITING","Underwriting / feasibility not passed",IF(BW152="COMPLIANCE","Deconcentration, one-mile, LURA, or Chapter 12 issue","Ready under current engine rules"))))))</f>
        <v/>
      </c>
      <c r="BY152" s="13">
        <f>IF(BV152="Determination Notice","Streamlined + DN-ready assumptions satisfied",IF(BV152="Board","Board-required or board-ready assumptions satisfied",""))</f>
        <v/>
      </c>
      <c r="BZ152" s="13">
        <f>IF(AND(BP152="Y",BQ152&lt;&gt;"Y"),"Carryforward project retains queue priority",IF(BQ152="Y","New project enters behind carryforward projects",""))</f>
        <v/>
      </c>
      <c r="CA152" s="13">
        <f>_xludf.RANK.EQ(Rule_Flags!O151,Rule_Flags!$O$3:$O$402,0)</f>
        <v/>
      </c>
      <c r="CB152" s="13">
        <f>IF(OR(BU152="Determination Notice Issued",BU152="Board",BU152="Closed"),"Y","N")</f>
        <v/>
      </c>
      <c r="CC152" s="9" t="n"/>
      <c r="CD152" s="9" t="n"/>
      <c r="CE152" s="9" t="n"/>
      <c r="CF152" s="9" t="n"/>
      <c r="CG152" s="9" t="n"/>
      <c r="CH152" s="9" t="n"/>
    </row>
    <row r="153">
      <c r="A153" s="8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8" t="n"/>
      <c r="L153" s="9" t="n"/>
      <c r="M153" s="8" t="n"/>
      <c r="N153" s="8" t="n"/>
      <c r="O153" s="8" t="n"/>
      <c r="P153" s="8" t="n"/>
      <c r="Q153" s="8" t="n"/>
      <c r="R153" s="9" t="n"/>
      <c r="S153" s="9" t="n"/>
      <c r="T153" s="10" t="n"/>
      <c r="U153" s="10" t="n"/>
      <c r="V153" s="9" t="n"/>
      <c r="W153" s="9" t="n"/>
      <c r="X153" s="9" t="n"/>
      <c r="Y153" s="9" t="n"/>
      <c r="Z153" s="11" t="n"/>
      <c r="AA153" s="11" t="n"/>
      <c r="AB153" s="11" t="n"/>
      <c r="AC153" s="11" t="n"/>
      <c r="AD153" s="11" t="n"/>
      <c r="AE153" s="11" t="n"/>
      <c r="AF153" s="9" t="n"/>
      <c r="AG153" s="9" t="n"/>
      <c r="AH153" s="9" t="n"/>
      <c r="AI153" s="9" t="n"/>
      <c r="AJ153" s="8" t="n"/>
      <c r="AK153" s="9" t="n"/>
      <c r="AL153" s="9" t="n"/>
      <c r="AM153" s="9" t="n"/>
      <c r="AN153" s="9" t="n"/>
      <c r="AO153" s="9" t="n"/>
      <c r="AP153" s="9" t="n"/>
      <c r="AQ153" s="9" t="n"/>
      <c r="AR153" s="9" t="n"/>
      <c r="AS153" s="9" t="n"/>
      <c r="AT153" s="8" t="n"/>
      <c r="AU153" s="8" t="n"/>
      <c r="AV153" s="9" t="n"/>
      <c r="AW153" s="8" t="n"/>
      <c r="AX153" s="9" t="n"/>
      <c r="AY153" s="9" t="n"/>
      <c r="AZ153" s="9" t="n"/>
      <c r="BA153" s="9" t="n"/>
      <c r="BB153" s="9" t="n"/>
      <c r="BC153" s="9" t="n"/>
      <c r="BD153" s="9" t="n"/>
      <c r="BE153" s="9" t="n"/>
      <c r="BF153" s="9" t="n"/>
      <c r="BG153" s="9" t="n"/>
      <c r="BH153" s="9" t="n"/>
      <c r="BI153" s="9" t="n"/>
      <c r="BJ153" s="9" t="n"/>
      <c r="BK153" s="9" t="n"/>
      <c r="BL153" s="9" t="n"/>
      <c r="BM153" s="9" t="n"/>
      <c r="BN153" s="9" t="n"/>
      <c r="BO153" s="8" t="n"/>
      <c r="BP153" s="9" t="n"/>
      <c r="BQ153" s="9" t="n"/>
      <c r="BR153" s="13">
        <f>IF(COUNTIF(AI153:BM153,"N")+COUNTBLANK(AI153:BM153)=0,"Y","N")</f>
        <v/>
      </c>
      <c r="BS153" s="13">
        <f>IF(AND(BR153="Y",OR(L153="Submitted",L153="Under Review")),"Y",IF(L153="Closed","Y","N"))</f>
        <v/>
      </c>
      <c r="BT153" s="10" t="n"/>
      <c r="BU153" s="13">
        <f>Rule_Flags!Q152</f>
        <v/>
      </c>
      <c r="BV153" s="13">
        <f>Rule_Flags!P152</f>
        <v/>
      </c>
      <c r="BW153" s="13">
        <f>IF(Rule_Flags!E152=1,"SITE_CONTROL",IF(Rule_Flags!F152=1,"APPROVALS",IF(Rule_Flags!G152=1,"REPORTS",IF(Rule_Flags!H152=1,"DEFICIENCY",IF(Rule_Flags!I152=1,"UNDERWRITING",IF(Rule_Flags!J152=1,"COMPLIANCE",""))))))</f>
        <v/>
      </c>
      <c r="BX153" s="13">
        <f>IF(BW153="SITE_CONTROL","Site control missing or invalid",IF(BW153="APPROVALS","Required approvals or resolutions incomplete",IF(BW153="REPORTS","Required third-party reports incomplete",IF(BW153="DEFICIENCY","Unresolved deficiency or material deficiency",IF(BW153="UNDERWRITING","Underwriting / feasibility not passed",IF(BW153="COMPLIANCE","Deconcentration, one-mile, LURA, or Chapter 12 issue","Ready under current engine rules"))))))</f>
        <v/>
      </c>
      <c r="BY153" s="13">
        <f>IF(BV153="Determination Notice","Streamlined + DN-ready assumptions satisfied",IF(BV153="Board","Board-required or board-ready assumptions satisfied",""))</f>
        <v/>
      </c>
      <c r="BZ153" s="13">
        <f>IF(AND(BP153="Y",BQ153&lt;&gt;"Y"),"Carryforward project retains queue priority",IF(BQ153="Y","New project enters behind carryforward projects",""))</f>
        <v/>
      </c>
      <c r="CA153" s="13">
        <f>_xludf.RANK.EQ(Rule_Flags!O152,Rule_Flags!$O$3:$O$402,0)</f>
        <v/>
      </c>
      <c r="CB153" s="13">
        <f>IF(OR(BU153="Determination Notice Issued",BU153="Board",BU153="Closed"),"Y","N")</f>
        <v/>
      </c>
      <c r="CC153" s="9" t="n"/>
      <c r="CD153" s="9" t="n"/>
      <c r="CE153" s="9" t="n"/>
      <c r="CF153" s="9" t="n"/>
      <c r="CG153" s="9" t="n"/>
      <c r="CH153" s="9" t="n"/>
    </row>
    <row r="154">
      <c r="A154" s="8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8" t="n"/>
      <c r="L154" s="9" t="n"/>
      <c r="M154" s="8" t="n"/>
      <c r="N154" s="8" t="n"/>
      <c r="O154" s="8" t="n"/>
      <c r="P154" s="8" t="n"/>
      <c r="Q154" s="8" t="n"/>
      <c r="R154" s="9" t="n"/>
      <c r="S154" s="9" t="n"/>
      <c r="T154" s="10" t="n"/>
      <c r="U154" s="10" t="n"/>
      <c r="V154" s="9" t="n"/>
      <c r="W154" s="9" t="n"/>
      <c r="X154" s="9" t="n"/>
      <c r="Y154" s="9" t="n"/>
      <c r="Z154" s="11" t="n"/>
      <c r="AA154" s="11" t="n"/>
      <c r="AB154" s="11" t="n"/>
      <c r="AC154" s="11" t="n"/>
      <c r="AD154" s="11" t="n"/>
      <c r="AE154" s="11" t="n"/>
      <c r="AF154" s="9" t="n"/>
      <c r="AG154" s="9" t="n"/>
      <c r="AH154" s="9" t="n"/>
      <c r="AI154" s="9" t="n"/>
      <c r="AJ154" s="8" t="n"/>
      <c r="AK154" s="9" t="n"/>
      <c r="AL154" s="9" t="n"/>
      <c r="AM154" s="9" t="n"/>
      <c r="AN154" s="9" t="n"/>
      <c r="AO154" s="9" t="n"/>
      <c r="AP154" s="9" t="n"/>
      <c r="AQ154" s="9" t="n"/>
      <c r="AR154" s="9" t="n"/>
      <c r="AS154" s="9" t="n"/>
      <c r="AT154" s="8" t="n"/>
      <c r="AU154" s="8" t="n"/>
      <c r="AV154" s="9" t="n"/>
      <c r="AW154" s="8" t="n"/>
      <c r="AX154" s="9" t="n"/>
      <c r="AY154" s="9" t="n"/>
      <c r="AZ154" s="9" t="n"/>
      <c r="BA154" s="9" t="n"/>
      <c r="BB154" s="9" t="n"/>
      <c r="BC154" s="9" t="n"/>
      <c r="BD154" s="9" t="n"/>
      <c r="BE154" s="9" t="n"/>
      <c r="BF154" s="9" t="n"/>
      <c r="BG154" s="9" t="n"/>
      <c r="BH154" s="9" t="n"/>
      <c r="BI154" s="9" t="n"/>
      <c r="BJ154" s="9" t="n"/>
      <c r="BK154" s="9" t="n"/>
      <c r="BL154" s="9" t="n"/>
      <c r="BM154" s="9" t="n"/>
      <c r="BN154" s="9" t="n"/>
      <c r="BO154" s="8" t="n"/>
      <c r="BP154" s="9" t="n"/>
      <c r="BQ154" s="9" t="n"/>
      <c r="BR154" s="13">
        <f>IF(COUNTIF(AI154:BM154,"N")+COUNTBLANK(AI154:BM154)=0,"Y","N")</f>
        <v/>
      </c>
      <c r="BS154" s="13">
        <f>IF(AND(BR154="Y",OR(L154="Submitted",L154="Under Review")),"Y",IF(L154="Closed","Y","N"))</f>
        <v/>
      </c>
      <c r="BT154" s="10" t="n"/>
      <c r="BU154" s="13">
        <f>Rule_Flags!Q153</f>
        <v/>
      </c>
      <c r="BV154" s="13">
        <f>Rule_Flags!P153</f>
        <v/>
      </c>
      <c r="BW154" s="13">
        <f>IF(Rule_Flags!E153=1,"SITE_CONTROL",IF(Rule_Flags!F153=1,"APPROVALS",IF(Rule_Flags!G153=1,"REPORTS",IF(Rule_Flags!H153=1,"DEFICIENCY",IF(Rule_Flags!I153=1,"UNDERWRITING",IF(Rule_Flags!J153=1,"COMPLIANCE",""))))))</f>
        <v/>
      </c>
      <c r="BX154" s="13">
        <f>IF(BW154="SITE_CONTROL","Site control missing or invalid",IF(BW154="APPROVALS","Required approvals or resolutions incomplete",IF(BW154="REPORTS","Required third-party reports incomplete",IF(BW154="DEFICIENCY","Unresolved deficiency or material deficiency",IF(BW154="UNDERWRITING","Underwriting / feasibility not passed",IF(BW154="COMPLIANCE","Deconcentration, one-mile, LURA, or Chapter 12 issue","Ready under current engine rules"))))))</f>
        <v/>
      </c>
      <c r="BY154" s="13">
        <f>IF(BV154="Determination Notice","Streamlined + DN-ready assumptions satisfied",IF(BV154="Board","Board-required or board-ready assumptions satisfied",""))</f>
        <v/>
      </c>
      <c r="BZ154" s="13">
        <f>IF(AND(BP154="Y",BQ154&lt;&gt;"Y"),"Carryforward project retains queue priority",IF(BQ154="Y","New project enters behind carryforward projects",""))</f>
        <v/>
      </c>
      <c r="CA154" s="13">
        <f>_xludf.RANK.EQ(Rule_Flags!O153,Rule_Flags!$O$3:$O$402,0)</f>
        <v/>
      </c>
      <c r="CB154" s="13">
        <f>IF(OR(BU154="Determination Notice Issued",BU154="Board",BU154="Closed"),"Y","N")</f>
        <v/>
      </c>
      <c r="CC154" s="9" t="n"/>
      <c r="CD154" s="9" t="n"/>
      <c r="CE154" s="9" t="n"/>
      <c r="CF154" s="9" t="n"/>
      <c r="CG154" s="9" t="n"/>
      <c r="CH154" s="9" t="n"/>
    </row>
    <row r="155">
      <c r="A155" s="8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8" t="n"/>
      <c r="L155" s="9" t="n"/>
      <c r="M155" s="8" t="n"/>
      <c r="N155" s="8" t="n"/>
      <c r="O155" s="8" t="n"/>
      <c r="P155" s="8" t="n"/>
      <c r="Q155" s="8" t="n"/>
      <c r="R155" s="9" t="n"/>
      <c r="S155" s="9" t="n"/>
      <c r="T155" s="10" t="n"/>
      <c r="U155" s="10" t="n"/>
      <c r="V155" s="9" t="n"/>
      <c r="W155" s="9" t="n"/>
      <c r="X155" s="9" t="n"/>
      <c r="Y155" s="9" t="n"/>
      <c r="Z155" s="11" t="n"/>
      <c r="AA155" s="11" t="n"/>
      <c r="AB155" s="11" t="n"/>
      <c r="AC155" s="11" t="n"/>
      <c r="AD155" s="11" t="n"/>
      <c r="AE155" s="11" t="n"/>
      <c r="AF155" s="9" t="n"/>
      <c r="AG155" s="9" t="n"/>
      <c r="AH155" s="9" t="n"/>
      <c r="AI155" s="9" t="n"/>
      <c r="AJ155" s="8" t="n"/>
      <c r="AK155" s="9" t="n"/>
      <c r="AL155" s="9" t="n"/>
      <c r="AM155" s="9" t="n"/>
      <c r="AN155" s="9" t="n"/>
      <c r="AO155" s="9" t="n"/>
      <c r="AP155" s="9" t="n"/>
      <c r="AQ155" s="9" t="n"/>
      <c r="AR155" s="9" t="n"/>
      <c r="AS155" s="9" t="n"/>
      <c r="AT155" s="8" t="n"/>
      <c r="AU155" s="8" t="n"/>
      <c r="AV155" s="9" t="n"/>
      <c r="AW155" s="8" t="n"/>
      <c r="AX155" s="9" t="n"/>
      <c r="AY155" s="9" t="n"/>
      <c r="AZ155" s="9" t="n"/>
      <c r="BA155" s="9" t="n"/>
      <c r="BB155" s="9" t="n"/>
      <c r="BC155" s="9" t="n"/>
      <c r="BD155" s="9" t="n"/>
      <c r="BE155" s="9" t="n"/>
      <c r="BF155" s="9" t="n"/>
      <c r="BG155" s="9" t="n"/>
      <c r="BH155" s="9" t="n"/>
      <c r="BI155" s="9" t="n"/>
      <c r="BJ155" s="9" t="n"/>
      <c r="BK155" s="9" t="n"/>
      <c r="BL155" s="9" t="n"/>
      <c r="BM155" s="9" t="n"/>
      <c r="BN155" s="9" t="n"/>
      <c r="BO155" s="8" t="n"/>
      <c r="BP155" s="9" t="n"/>
      <c r="BQ155" s="9" t="n"/>
      <c r="BR155" s="13">
        <f>IF(COUNTIF(AI155:BM155,"N")+COUNTBLANK(AI155:BM155)=0,"Y","N")</f>
        <v/>
      </c>
      <c r="BS155" s="13">
        <f>IF(AND(BR155="Y",OR(L155="Submitted",L155="Under Review")),"Y",IF(L155="Closed","Y","N"))</f>
        <v/>
      </c>
      <c r="BT155" s="10" t="n"/>
      <c r="BU155" s="13">
        <f>Rule_Flags!Q154</f>
        <v/>
      </c>
      <c r="BV155" s="13">
        <f>Rule_Flags!P154</f>
        <v/>
      </c>
      <c r="BW155" s="13">
        <f>IF(Rule_Flags!E154=1,"SITE_CONTROL",IF(Rule_Flags!F154=1,"APPROVALS",IF(Rule_Flags!G154=1,"REPORTS",IF(Rule_Flags!H154=1,"DEFICIENCY",IF(Rule_Flags!I154=1,"UNDERWRITING",IF(Rule_Flags!J154=1,"COMPLIANCE",""))))))</f>
        <v/>
      </c>
      <c r="BX155" s="13">
        <f>IF(BW155="SITE_CONTROL","Site control missing or invalid",IF(BW155="APPROVALS","Required approvals or resolutions incomplete",IF(BW155="REPORTS","Required third-party reports incomplete",IF(BW155="DEFICIENCY","Unresolved deficiency or material deficiency",IF(BW155="UNDERWRITING","Underwriting / feasibility not passed",IF(BW155="COMPLIANCE","Deconcentration, one-mile, LURA, or Chapter 12 issue","Ready under current engine rules"))))))</f>
        <v/>
      </c>
      <c r="BY155" s="13">
        <f>IF(BV155="Determination Notice","Streamlined + DN-ready assumptions satisfied",IF(BV155="Board","Board-required or board-ready assumptions satisfied",""))</f>
        <v/>
      </c>
      <c r="BZ155" s="13">
        <f>IF(AND(BP155="Y",BQ155&lt;&gt;"Y"),"Carryforward project retains queue priority",IF(BQ155="Y","New project enters behind carryforward projects",""))</f>
        <v/>
      </c>
      <c r="CA155" s="13">
        <f>_xludf.RANK.EQ(Rule_Flags!O154,Rule_Flags!$O$3:$O$402,0)</f>
        <v/>
      </c>
      <c r="CB155" s="13">
        <f>IF(OR(BU155="Determination Notice Issued",BU155="Board",BU155="Closed"),"Y","N")</f>
        <v/>
      </c>
      <c r="CC155" s="9" t="n"/>
      <c r="CD155" s="9" t="n"/>
      <c r="CE155" s="9" t="n"/>
      <c r="CF155" s="9" t="n"/>
      <c r="CG155" s="9" t="n"/>
      <c r="CH155" s="9" t="n"/>
    </row>
    <row r="156">
      <c r="A156" s="8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8" t="n"/>
      <c r="L156" s="9" t="n"/>
      <c r="M156" s="8" t="n"/>
      <c r="N156" s="8" t="n"/>
      <c r="O156" s="8" t="n"/>
      <c r="P156" s="8" t="n"/>
      <c r="Q156" s="8" t="n"/>
      <c r="R156" s="9" t="n"/>
      <c r="S156" s="9" t="n"/>
      <c r="T156" s="10" t="n"/>
      <c r="U156" s="10" t="n"/>
      <c r="V156" s="9" t="n"/>
      <c r="W156" s="9" t="n"/>
      <c r="X156" s="9" t="n"/>
      <c r="Y156" s="9" t="n"/>
      <c r="Z156" s="11" t="n"/>
      <c r="AA156" s="11" t="n"/>
      <c r="AB156" s="11" t="n"/>
      <c r="AC156" s="11" t="n"/>
      <c r="AD156" s="11" t="n"/>
      <c r="AE156" s="11" t="n"/>
      <c r="AF156" s="9" t="n"/>
      <c r="AG156" s="9" t="n"/>
      <c r="AH156" s="9" t="n"/>
      <c r="AI156" s="9" t="n"/>
      <c r="AJ156" s="8" t="n"/>
      <c r="AK156" s="9" t="n"/>
      <c r="AL156" s="9" t="n"/>
      <c r="AM156" s="9" t="n"/>
      <c r="AN156" s="9" t="n"/>
      <c r="AO156" s="9" t="n"/>
      <c r="AP156" s="9" t="n"/>
      <c r="AQ156" s="9" t="n"/>
      <c r="AR156" s="9" t="n"/>
      <c r="AS156" s="9" t="n"/>
      <c r="AT156" s="8" t="n"/>
      <c r="AU156" s="8" t="n"/>
      <c r="AV156" s="9" t="n"/>
      <c r="AW156" s="8" t="n"/>
      <c r="AX156" s="9" t="n"/>
      <c r="AY156" s="9" t="n"/>
      <c r="AZ156" s="9" t="n"/>
      <c r="BA156" s="9" t="n"/>
      <c r="BB156" s="9" t="n"/>
      <c r="BC156" s="9" t="n"/>
      <c r="BD156" s="9" t="n"/>
      <c r="BE156" s="9" t="n"/>
      <c r="BF156" s="9" t="n"/>
      <c r="BG156" s="9" t="n"/>
      <c r="BH156" s="9" t="n"/>
      <c r="BI156" s="9" t="n"/>
      <c r="BJ156" s="9" t="n"/>
      <c r="BK156" s="9" t="n"/>
      <c r="BL156" s="9" t="n"/>
      <c r="BM156" s="9" t="n"/>
      <c r="BN156" s="9" t="n"/>
      <c r="BO156" s="8" t="n"/>
      <c r="BP156" s="9" t="n"/>
      <c r="BQ156" s="9" t="n"/>
      <c r="BR156" s="13">
        <f>IF(COUNTIF(AI156:BM156,"N")+COUNTBLANK(AI156:BM156)=0,"Y","N")</f>
        <v/>
      </c>
      <c r="BS156" s="13">
        <f>IF(AND(BR156="Y",OR(L156="Submitted",L156="Under Review")),"Y",IF(L156="Closed","Y","N"))</f>
        <v/>
      </c>
      <c r="BT156" s="10" t="n"/>
      <c r="BU156" s="13">
        <f>Rule_Flags!Q155</f>
        <v/>
      </c>
      <c r="BV156" s="13">
        <f>Rule_Flags!P155</f>
        <v/>
      </c>
      <c r="BW156" s="13">
        <f>IF(Rule_Flags!E155=1,"SITE_CONTROL",IF(Rule_Flags!F155=1,"APPROVALS",IF(Rule_Flags!G155=1,"REPORTS",IF(Rule_Flags!H155=1,"DEFICIENCY",IF(Rule_Flags!I155=1,"UNDERWRITING",IF(Rule_Flags!J155=1,"COMPLIANCE",""))))))</f>
        <v/>
      </c>
      <c r="BX156" s="13">
        <f>IF(BW156="SITE_CONTROL","Site control missing or invalid",IF(BW156="APPROVALS","Required approvals or resolutions incomplete",IF(BW156="REPORTS","Required third-party reports incomplete",IF(BW156="DEFICIENCY","Unresolved deficiency or material deficiency",IF(BW156="UNDERWRITING","Underwriting / feasibility not passed",IF(BW156="COMPLIANCE","Deconcentration, one-mile, LURA, or Chapter 12 issue","Ready under current engine rules"))))))</f>
        <v/>
      </c>
      <c r="BY156" s="13">
        <f>IF(BV156="Determination Notice","Streamlined + DN-ready assumptions satisfied",IF(BV156="Board","Board-required or board-ready assumptions satisfied",""))</f>
        <v/>
      </c>
      <c r="BZ156" s="13">
        <f>IF(AND(BP156="Y",BQ156&lt;&gt;"Y"),"Carryforward project retains queue priority",IF(BQ156="Y","New project enters behind carryforward projects",""))</f>
        <v/>
      </c>
      <c r="CA156" s="13">
        <f>_xludf.RANK.EQ(Rule_Flags!O155,Rule_Flags!$O$3:$O$402,0)</f>
        <v/>
      </c>
      <c r="CB156" s="13">
        <f>IF(OR(BU156="Determination Notice Issued",BU156="Board",BU156="Closed"),"Y","N")</f>
        <v/>
      </c>
      <c r="CC156" s="9" t="n"/>
      <c r="CD156" s="9" t="n"/>
      <c r="CE156" s="9" t="n"/>
      <c r="CF156" s="9" t="n"/>
      <c r="CG156" s="9" t="n"/>
      <c r="CH156" s="9" t="n"/>
    </row>
    <row r="157">
      <c r="A157" s="8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8" t="n"/>
      <c r="L157" s="9" t="n"/>
      <c r="M157" s="8" t="n"/>
      <c r="N157" s="8" t="n"/>
      <c r="O157" s="8" t="n"/>
      <c r="P157" s="8" t="n"/>
      <c r="Q157" s="8" t="n"/>
      <c r="R157" s="9" t="n"/>
      <c r="S157" s="9" t="n"/>
      <c r="T157" s="10" t="n"/>
      <c r="U157" s="10" t="n"/>
      <c r="V157" s="9" t="n"/>
      <c r="W157" s="9" t="n"/>
      <c r="X157" s="9" t="n"/>
      <c r="Y157" s="9" t="n"/>
      <c r="Z157" s="11" t="n"/>
      <c r="AA157" s="11" t="n"/>
      <c r="AB157" s="11" t="n"/>
      <c r="AC157" s="11" t="n"/>
      <c r="AD157" s="11" t="n"/>
      <c r="AE157" s="11" t="n"/>
      <c r="AF157" s="9" t="n"/>
      <c r="AG157" s="9" t="n"/>
      <c r="AH157" s="9" t="n"/>
      <c r="AI157" s="9" t="n"/>
      <c r="AJ157" s="8" t="n"/>
      <c r="AK157" s="9" t="n"/>
      <c r="AL157" s="9" t="n"/>
      <c r="AM157" s="9" t="n"/>
      <c r="AN157" s="9" t="n"/>
      <c r="AO157" s="9" t="n"/>
      <c r="AP157" s="9" t="n"/>
      <c r="AQ157" s="9" t="n"/>
      <c r="AR157" s="9" t="n"/>
      <c r="AS157" s="9" t="n"/>
      <c r="AT157" s="8" t="n"/>
      <c r="AU157" s="8" t="n"/>
      <c r="AV157" s="9" t="n"/>
      <c r="AW157" s="8" t="n"/>
      <c r="AX157" s="9" t="n"/>
      <c r="AY157" s="9" t="n"/>
      <c r="AZ157" s="9" t="n"/>
      <c r="BA157" s="9" t="n"/>
      <c r="BB157" s="9" t="n"/>
      <c r="BC157" s="9" t="n"/>
      <c r="BD157" s="9" t="n"/>
      <c r="BE157" s="9" t="n"/>
      <c r="BF157" s="9" t="n"/>
      <c r="BG157" s="9" t="n"/>
      <c r="BH157" s="9" t="n"/>
      <c r="BI157" s="9" t="n"/>
      <c r="BJ157" s="9" t="n"/>
      <c r="BK157" s="9" t="n"/>
      <c r="BL157" s="9" t="n"/>
      <c r="BM157" s="9" t="n"/>
      <c r="BN157" s="9" t="n"/>
      <c r="BO157" s="8" t="n"/>
      <c r="BP157" s="9" t="n"/>
      <c r="BQ157" s="9" t="n"/>
      <c r="BR157" s="13">
        <f>IF(COUNTIF(AI157:BM157,"N")+COUNTBLANK(AI157:BM157)=0,"Y","N")</f>
        <v/>
      </c>
      <c r="BS157" s="13">
        <f>IF(AND(BR157="Y",OR(L157="Submitted",L157="Under Review")),"Y",IF(L157="Closed","Y","N"))</f>
        <v/>
      </c>
      <c r="BT157" s="10" t="n"/>
      <c r="BU157" s="13">
        <f>Rule_Flags!Q156</f>
        <v/>
      </c>
      <c r="BV157" s="13">
        <f>Rule_Flags!P156</f>
        <v/>
      </c>
      <c r="BW157" s="13">
        <f>IF(Rule_Flags!E156=1,"SITE_CONTROL",IF(Rule_Flags!F156=1,"APPROVALS",IF(Rule_Flags!G156=1,"REPORTS",IF(Rule_Flags!H156=1,"DEFICIENCY",IF(Rule_Flags!I156=1,"UNDERWRITING",IF(Rule_Flags!J156=1,"COMPLIANCE",""))))))</f>
        <v/>
      </c>
      <c r="BX157" s="13">
        <f>IF(BW157="SITE_CONTROL","Site control missing or invalid",IF(BW157="APPROVALS","Required approvals or resolutions incomplete",IF(BW157="REPORTS","Required third-party reports incomplete",IF(BW157="DEFICIENCY","Unresolved deficiency or material deficiency",IF(BW157="UNDERWRITING","Underwriting / feasibility not passed",IF(BW157="COMPLIANCE","Deconcentration, one-mile, LURA, or Chapter 12 issue","Ready under current engine rules"))))))</f>
        <v/>
      </c>
      <c r="BY157" s="13">
        <f>IF(BV157="Determination Notice","Streamlined + DN-ready assumptions satisfied",IF(BV157="Board","Board-required or board-ready assumptions satisfied",""))</f>
        <v/>
      </c>
      <c r="BZ157" s="13">
        <f>IF(AND(BP157="Y",BQ157&lt;&gt;"Y"),"Carryforward project retains queue priority",IF(BQ157="Y","New project enters behind carryforward projects",""))</f>
        <v/>
      </c>
      <c r="CA157" s="13">
        <f>_xludf.RANK.EQ(Rule_Flags!O156,Rule_Flags!$O$3:$O$402,0)</f>
        <v/>
      </c>
      <c r="CB157" s="13">
        <f>IF(OR(BU157="Determination Notice Issued",BU157="Board",BU157="Closed"),"Y","N")</f>
        <v/>
      </c>
      <c r="CC157" s="9" t="n"/>
      <c r="CD157" s="9" t="n"/>
      <c r="CE157" s="9" t="n"/>
      <c r="CF157" s="9" t="n"/>
      <c r="CG157" s="9" t="n"/>
      <c r="CH157" s="9" t="n"/>
    </row>
    <row r="158">
      <c r="A158" s="8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8" t="n"/>
      <c r="L158" s="9" t="n"/>
      <c r="M158" s="8" t="n"/>
      <c r="N158" s="8" t="n"/>
      <c r="O158" s="8" t="n"/>
      <c r="P158" s="8" t="n"/>
      <c r="Q158" s="8" t="n"/>
      <c r="R158" s="9" t="n"/>
      <c r="S158" s="9" t="n"/>
      <c r="T158" s="10" t="n"/>
      <c r="U158" s="10" t="n"/>
      <c r="V158" s="9" t="n"/>
      <c r="W158" s="9" t="n"/>
      <c r="X158" s="9" t="n"/>
      <c r="Y158" s="9" t="n"/>
      <c r="Z158" s="11" t="n"/>
      <c r="AA158" s="11" t="n"/>
      <c r="AB158" s="11" t="n"/>
      <c r="AC158" s="11" t="n"/>
      <c r="AD158" s="11" t="n"/>
      <c r="AE158" s="11" t="n"/>
      <c r="AF158" s="9" t="n"/>
      <c r="AG158" s="9" t="n"/>
      <c r="AH158" s="9" t="n"/>
      <c r="AI158" s="9" t="n"/>
      <c r="AJ158" s="8" t="n"/>
      <c r="AK158" s="9" t="n"/>
      <c r="AL158" s="9" t="n"/>
      <c r="AM158" s="9" t="n"/>
      <c r="AN158" s="9" t="n"/>
      <c r="AO158" s="9" t="n"/>
      <c r="AP158" s="9" t="n"/>
      <c r="AQ158" s="9" t="n"/>
      <c r="AR158" s="9" t="n"/>
      <c r="AS158" s="9" t="n"/>
      <c r="AT158" s="8" t="n"/>
      <c r="AU158" s="8" t="n"/>
      <c r="AV158" s="9" t="n"/>
      <c r="AW158" s="8" t="n"/>
      <c r="AX158" s="9" t="n"/>
      <c r="AY158" s="9" t="n"/>
      <c r="AZ158" s="9" t="n"/>
      <c r="BA158" s="9" t="n"/>
      <c r="BB158" s="9" t="n"/>
      <c r="BC158" s="9" t="n"/>
      <c r="BD158" s="9" t="n"/>
      <c r="BE158" s="9" t="n"/>
      <c r="BF158" s="9" t="n"/>
      <c r="BG158" s="9" t="n"/>
      <c r="BH158" s="9" t="n"/>
      <c r="BI158" s="9" t="n"/>
      <c r="BJ158" s="9" t="n"/>
      <c r="BK158" s="9" t="n"/>
      <c r="BL158" s="9" t="n"/>
      <c r="BM158" s="9" t="n"/>
      <c r="BN158" s="9" t="n"/>
      <c r="BO158" s="8" t="n"/>
      <c r="BP158" s="9" t="n"/>
      <c r="BQ158" s="9" t="n"/>
      <c r="BR158" s="13">
        <f>IF(COUNTIF(AI158:BM158,"N")+COUNTBLANK(AI158:BM158)=0,"Y","N")</f>
        <v/>
      </c>
      <c r="BS158" s="13">
        <f>IF(AND(BR158="Y",OR(L158="Submitted",L158="Under Review")),"Y",IF(L158="Closed","Y","N"))</f>
        <v/>
      </c>
      <c r="BT158" s="10" t="n"/>
      <c r="BU158" s="13">
        <f>Rule_Flags!Q157</f>
        <v/>
      </c>
      <c r="BV158" s="13">
        <f>Rule_Flags!P157</f>
        <v/>
      </c>
      <c r="BW158" s="13">
        <f>IF(Rule_Flags!E157=1,"SITE_CONTROL",IF(Rule_Flags!F157=1,"APPROVALS",IF(Rule_Flags!G157=1,"REPORTS",IF(Rule_Flags!H157=1,"DEFICIENCY",IF(Rule_Flags!I157=1,"UNDERWRITING",IF(Rule_Flags!J157=1,"COMPLIANCE",""))))))</f>
        <v/>
      </c>
      <c r="BX158" s="13">
        <f>IF(BW158="SITE_CONTROL","Site control missing or invalid",IF(BW158="APPROVALS","Required approvals or resolutions incomplete",IF(BW158="REPORTS","Required third-party reports incomplete",IF(BW158="DEFICIENCY","Unresolved deficiency or material deficiency",IF(BW158="UNDERWRITING","Underwriting / feasibility not passed",IF(BW158="COMPLIANCE","Deconcentration, one-mile, LURA, or Chapter 12 issue","Ready under current engine rules"))))))</f>
        <v/>
      </c>
      <c r="BY158" s="13">
        <f>IF(BV158="Determination Notice","Streamlined + DN-ready assumptions satisfied",IF(BV158="Board","Board-required or board-ready assumptions satisfied",""))</f>
        <v/>
      </c>
      <c r="BZ158" s="13">
        <f>IF(AND(BP158="Y",BQ158&lt;&gt;"Y"),"Carryforward project retains queue priority",IF(BQ158="Y","New project enters behind carryforward projects",""))</f>
        <v/>
      </c>
      <c r="CA158" s="13">
        <f>_xludf.RANK.EQ(Rule_Flags!O157,Rule_Flags!$O$3:$O$402,0)</f>
        <v/>
      </c>
      <c r="CB158" s="13">
        <f>IF(OR(BU158="Determination Notice Issued",BU158="Board",BU158="Closed"),"Y","N")</f>
        <v/>
      </c>
      <c r="CC158" s="9" t="n"/>
      <c r="CD158" s="9" t="n"/>
      <c r="CE158" s="9" t="n"/>
      <c r="CF158" s="9" t="n"/>
      <c r="CG158" s="9" t="n"/>
      <c r="CH158" s="9" t="n"/>
    </row>
    <row r="159">
      <c r="A159" s="8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8" t="n"/>
      <c r="L159" s="9" t="n"/>
      <c r="M159" s="8" t="n"/>
      <c r="N159" s="8" t="n"/>
      <c r="O159" s="8" t="n"/>
      <c r="P159" s="8" t="n"/>
      <c r="Q159" s="8" t="n"/>
      <c r="R159" s="9" t="n"/>
      <c r="S159" s="9" t="n"/>
      <c r="T159" s="10" t="n"/>
      <c r="U159" s="10" t="n"/>
      <c r="V159" s="9" t="n"/>
      <c r="W159" s="9" t="n"/>
      <c r="X159" s="9" t="n"/>
      <c r="Y159" s="9" t="n"/>
      <c r="Z159" s="11" t="n"/>
      <c r="AA159" s="11" t="n"/>
      <c r="AB159" s="11" t="n"/>
      <c r="AC159" s="11" t="n"/>
      <c r="AD159" s="11" t="n"/>
      <c r="AE159" s="11" t="n"/>
      <c r="AF159" s="9" t="n"/>
      <c r="AG159" s="9" t="n"/>
      <c r="AH159" s="9" t="n"/>
      <c r="AI159" s="9" t="n"/>
      <c r="AJ159" s="8" t="n"/>
      <c r="AK159" s="9" t="n"/>
      <c r="AL159" s="9" t="n"/>
      <c r="AM159" s="9" t="n"/>
      <c r="AN159" s="9" t="n"/>
      <c r="AO159" s="9" t="n"/>
      <c r="AP159" s="9" t="n"/>
      <c r="AQ159" s="9" t="n"/>
      <c r="AR159" s="9" t="n"/>
      <c r="AS159" s="9" t="n"/>
      <c r="AT159" s="8" t="n"/>
      <c r="AU159" s="8" t="n"/>
      <c r="AV159" s="9" t="n"/>
      <c r="AW159" s="8" t="n"/>
      <c r="AX159" s="9" t="n"/>
      <c r="AY159" s="9" t="n"/>
      <c r="AZ159" s="9" t="n"/>
      <c r="BA159" s="9" t="n"/>
      <c r="BB159" s="9" t="n"/>
      <c r="BC159" s="9" t="n"/>
      <c r="BD159" s="9" t="n"/>
      <c r="BE159" s="9" t="n"/>
      <c r="BF159" s="9" t="n"/>
      <c r="BG159" s="9" t="n"/>
      <c r="BH159" s="9" t="n"/>
      <c r="BI159" s="9" t="n"/>
      <c r="BJ159" s="9" t="n"/>
      <c r="BK159" s="9" t="n"/>
      <c r="BL159" s="9" t="n"/>
      <c r="BM159" s="9" t="n"/>
      <c r="BN159" s="9" t="n"/>
      <c r="BO159" s="8" t="n"/>
      <c r="BP159" s="9" t="n"/>
      <c r="BQ159" s="9" t="n"/>
      <c r="BR159" s="13">
        <f>IF(COUNTIF(AI159:BM159,"N")+COUNTBLANK(AI159:BM159)=0,"Y","N")</f>
        <v/>
      </c>
      <c r="BS159" s="13">
        <f>IF(AND(BR159="Y",OR(L159="Submitted",L159="Under Review")),"Y",IF(L159="Closed","Y","N"))</f>
        <v/>
      </c>
      <c r="BT159" s="10" t="n"/>
      <c r="BU159" s="13">
        <f>Rule_Flags!Q158</f>
        <v/>
      </c>
      <c r="BV159" s="13">
        <f>Rule_Flags!P158</f>
        <v/>
      </c>
      <c r="BW159" s="13">
        <f>IF(Rule_Flags!E158=1,"SITE_CONTROL",IF(Rule_Flags!F158=1,"APPROVALS",IF(Rule_Flags!G158=1,"REPORTS",IF(Rule_Flags!H158=1,"DEFICIENCY",IF(Rule_Flags!I158=1,"UNDERWRITING",IF(Rule_Flags!J158=1,"COMPLIANCE",""))))))</f>
        <v/>
      </c>
      <c r="BX159" s="13">
        <f>IF(BW159="SITE_CONTROL","Site control missing or invalid",IF(BW159="APPROVALS","Required approvals or resolutions incomplete",IF(BW159="REPORTS","Required third-party reports incomplete",IF(BW159="DEFICIENCY","Unresolved deficiency or material deficiency",IF(BW159="UNDERWRITING","Underwriting / feasibility not passed",IF(BW159="COMPLIANCE","Deconcentration, one-mile, LURA, or Chapter 12 issue","Ready under current engine rules"))))))</f>
        <v/>
      </c>
      <c r="BY159" s="13">
        <f>IF(BV159="Determination Notice","Streamlined + DN-ready assumptions satisfied",IF(BV159="Board","Board-required or board-ready assumptions satisfied",""))</f>
        <v/>
      </c>
      <c r="BZ159" s="13">
        <f>IF(AND(BP159="Y",BQ159&lt;&gt;"Y"),"Carryforward project retains queue priority",IF(BQ159="Y","New project enters behind carryforward projects",""))</f>
        <v/>
      </c>
      <c r="CA159" s="13">
        <f>_xludf.RANK.EQ(Rule_Flags!O158,Rule_Flags!$O$3:$O$402,0)</f>
        <v/>
      </c>
      <c r="CB159" s="13">
        <f>IF(OR(BU159="Determination Notice Issued",BU159="Board",BU159="Closed"),"Y","N")</f>
        <v/>
      </c>
      <c r="CC159" s="9" t="n"/>
      <c r="CD159" s="9" t="n"/>
      <c r="CE159" s="9" t="n"/>
      <c r="CF159" s="9" t="n"/>
      <c r="CG159" s="9" t="n"/>
      <c r="CH159" s="9" t="n"/>
    </row>
    <row r="160">
      <c r="A160" s="8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8" t="n"/>
      <c r="L160" s="9" t="n"/>
      <c r="M160" s="8" t="n"/>
      <c r="N160" s="8" t="n"/>
      <c r="O160" s="8" t="n"/>
      <c r="P160" s="8" t="n"/>
      <c r="Q160" s="8" t="n"/>
      <c r="R160" s="9" t="n"/>
      <c r="S160" s="9" t="n"/>
      <c r="T160" s="10" t="n"/>
      <c r="U160" s="10" t="n"/>
      <c r="V160" s="9" t="n"/>
      <c r="W160" s="9" t="n"/>
      <c r="X160" s="9" t="n"/>
      <c r="Y160" s="9" t="n"/>
      <c r="Z160" s="11" t="n"/>
      <c r="AA160" s="11" t="n"/>
      <c r="AB160" s="11" t="n"/>
      <c r="AC160" s="11" t="n"/>
      <c r="AD160" s="11" t="n"/>
      <c r="AE160" s="11" t="n"/>
      <c r="AF160" s="9" t="n"/>
      <c r="AG160" s="9" t="n"/>
      <c r="AH160" s="9" t="n"/>
      <c r="AI160" s="9" t="n"/>
      <c r="AJ160" s="8" t="n"/>
      <c r="AK160" s="9" t="n"/>
      <c r="AL160" s="9" t="n"/>
      <c r="AM160" s="9" t="n"/>
      <c r="AN160" s="9" t="n"/>
      <c r="AO160" s="9" t="n"/>
      <c r="AP160" s="9" t="n"/>
      <c r="AQ160" s="9" t="n"/>
      <c r="AR160" s="9" t="n"/>
      <c r="AS160" s="9" t="n"/>
      <c r="AT160" s="8" t="n"/>
      <c r="AU160" s="8" t="n"/>
      <c r="AV160" s="9" t="n"/>
      <c r="AW160" s="8" t="n"/>
      <c r="AX160" s="9" t="n"/>
      <c r="AY160" s="9" t="n"/>
      <c r="AZ160" s="9" t="n"/>
      <c r="BA160" s="9" t="n"/>
      <c r="BB160" s="9" t="n"/>
      <c r="BC160" s="9" t="n"/>
      <c r="BD160" s="9" t="n"/>
      <c r="BE160" s="9" t="n"/>
      <c r="BF160" s="9" t="n"/>
      <c r="BG160" s="9" t="n"/>
      <c r="BH160" s="9" t="n"/>
      <c r="BI160" s="9" t="n"/>
      <c r="BJ160" s="9" t="n"/>
      <c r="BK160" s="9" t="n"/>
      <c r="BL160" s="9" t="n"/>
      <c r="BM160" s="9" t="n"/>
      <c r="BN160" s="9" t="n"/>
      <c r="BO160" s="8" t="n"/>
      <c r="BP160" s="9" t="n"/>
      <c r="BQ160" s="9" t="n"/>
      <c r="BR160" s="13">
        <f>IF(COUNTIF(AI160:BM160,"N")+COUNTBLANK(AI160:BM160)=0,"Y","N")</f>
        <v/>
      </c>
      <c r="BS160" s="13">
        <f>IF(AND(BR160="Y",OR(L160="Submitted",L160="Under Review")),"Y",IF(L160="Closed","Y","N"))</f>
        <v/>
      </c>
      <c r="BT160" s="10" t="n"/>
      <c r="BU160" s="13">
        <f>Rule_Flags!Q159</f>
        <v/>
      </c>
      <c r="BV160" s="13">
        <f>Rule_Flags!P159</f>
        <v/>
      </c>
      <c r="BW160" s="13">
        <f>IF(Rule_Flags!E159=1,"SITE_CONTROL",IF(Rule_Flags!F159=1,"APPROVALS",IF(Rule_Flags!G159=1,"REPORTS",IF(Rule_Flags!H159=1,"DEFICIENCY",IF(Rule_Flags!I159=1,"UNDERWRITING",IF(Rule_Flags!J159=1,"COMPLIANCE",""))))))</f>
        <v/>
      </c>
      <c r="BX160" s="13">
        <f>IF(BW160="SITE_CONTROL","Site control missing or invalid",IF(BW160="APPROVALS","Required approvals or resolutions incomplete",IF(BW160="REPORTS","Required third-party reports incomplete",IF(BW160="DEFICIENCY","Unresolved deficiency or material deficiency",IF(BW160="UNDERWRITING","Underwriting / feasibility not passed",IF(BW160="COMPLIANCE","Deconcentration, one-mile, LURA, or Chapter 12 issue","Ready under current engine rules"))))))</f>
        <v/>
      </c>
      <c r="BY160" s="13">
        <f>IF(BV160="Determination Notice","Streamlined + DN-ready assumptions satisfied",IF(BV160="Board","Board-required or board-ready assumptions satisfied",""))</f>
        <v/>
      </c>
      <c r="BZ160" s="13">
        <f>IF(AND(BP160="Y",BQ160&lt;&gt;"Y"),"Carryforward project retains queue priority",IF(BQ160="Y","New project enters behind carryforward projects",""))</f>
        <v/>
      </c>
      <c r="CA160" s="13">
        <f>_xludf.RANK.EQ(Rule_Flags!O159,Rule_Flags!$O$3:$O$402,0)</f>
        <v/>
      </c>
      <c r="CB160" s="13">
        <f>IF(OR(BU160="Determination Notice Issued",BU160="Board",BU160="Closed"),"Y","N")</f>
        <v/>
      </c>
      <c r="CC160" s="9" t="n"/>
      <c r="CD160" s="9" t="n"/>
      <c r="CE160" s="9" t="n"/>
      <c r="CF160" s="9" t="n"/>
      <c r="CG160" s="9" t="n"/>
      <c r="CH160" s="9" t="n"/>
    </row>
    <row r="161">
      <c r="A161" s="8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8" t="n"/>
      <c r="L161" s="9" t="n"/>
      <c r="M161" s="8" t="n"/>
      <c r="N161" s="8" t="n"/>
      <c r="O161" s="8" t="n"/>
      <c r="P161" s="8" t="n"/>
      <c r="Q161" s="8" t="n"/>
      <c r="R161" s="9" t="n"/>
      <c r="S161" s="9" t="n"/>
      <c r="T161" s="10" t="n"/>
      <c r="U161" s="10" t="n"/>
      <c r="V161" s="9" t="n"/>
      <c r="W161" s="9" t="n"/>
      <c r="X161" s="9" t="n"/>
      <c r="Y161" s="9" t="n"/>
      <c r="Z161" s="11" t="n"/>
      <c r="AA161" s="11" t="n"/>
      <c r="AB161" s="11" t="n"/>
      <c r="AC161" s="11" t="n"/>
      <c r="AD161" s="11" t="n"/>
      <c r="AE161" s="11" t="n"/>
      <c r="AF161" s="9" t="n"/>
      <c r="AG161" s="9" t="n"/>
      <c r="AH161" s="9" t="n"/>
      <c r="AI161" s="9" t="n"/>
      <c r="AJ161" s="8" t="n"/>
      <c r="AK161" s="9" t="n"/>
      <c r="AL161" s="9" t="n"/>
      <c r="AM161" s="9" t="n"/>
      <c r="AN161" s="9" t="n"/>
      <c r="AO161" s="9" t="n"/>
      <c r="AP161" s="9" t="n"/>
      <c r="AQ161" s="9" t="n"/>
      <c r="AR161" s="9" t="n"/>
      <c r="AS161" s="9" t="n"/>
      <c r="AT161" s="8" t="n"/>
      <c r="AU161" s="8" t="n"/>
      <c r="AV161" s="9" t="n"/>
      <c r="AW161" s="8" t="n"/>
      <c r="AX161" s="9" t="n"/>
      <c r="AY161" s="9" t="n"/>
      <c r="AZ161" s="9" t="n"/>
      <c r="BA161" s="9" t="n"/>
      <c r="BB161" s="9" t="n"/>
      <c r="BC161" s="9" t="n"/>
      <c r="BD161" s="9" t="n"/>
      <c r="BE161" s="9" t="n"/>
      <c r="BF161" s="9" t="n"/>
      <c r="BG161" s="9" t="n"/>
      <c r="BH161" s="9" t="n"/>
      <c r="BI161" s="9" t="n"/>
      <c r="BJ161" s="9" t="n"/>
      <c r="BK161" s="9" t="n"/>
      <c r="BL161" s="9" t="n"/>
      <c r="BM161" s="9" t="n"/>
      <c r="BN161" s="9" t="n"/>
      <c r="BO161" s="8" t="n"/>
      <c r="BP161" s="9" t="n"/>
      <c r="BQ161" s="9" t="n"/>
      <c r="BR161" s="13">
        <f>IF(COUNTIF(AI161:BM161,"N")+COUNTBLANK(AI161:BM161)=0,"Y","N")</f>
        <v/>
      </c>
      <c r="BS161" s="13">
        <f>IF(AND(BR161="Y",OR(L161="Submitted",L161="Under Review")),"Y",IF(L161="Closed","Y","N"))</f>
        <v/>
      </c>
      <c r="BT161" s="10" t="n"/>
      <c r="BU161" s="13">
        <f>Rule_Flags!Q160</f>
        <v/>
      </c>
      <c r="BV161" s="13">
        <f>Rule_Flags!P160</f>
        <v/>
      </c>
      <c r="BW161" s="13">
        <f>IF(Rule_Flags!E160=1,"SITE_CONTROL",IF(Rule_Flags!F160=1,"APPROVALS",IF(Rule_Flags!G160=1,"REPORTS",IF(Rule_Flags!H160=1,"DEFICIENCY",IF(Rule_Flags!I160=1,"UNDERWRITING",IF(Rule_Flags!J160=1,"COMPLIANCE",""))))))</f>
        <v/>
      </c>
      <c r="BX161" s="13">
        <f>IF(BW161="SITE_CONTROL","Site control missing or invalid",IF(BW161="APPROVALS","Required approvals or resolutions incomplete",IF(BW161="REPORTS","Required third-party reports incomplete",IF(BW161="DEFICIENCY","Unresolved deficiency or material deficiency",IF(BW161="UNDERWRITING","Underwriting / feasibility not passed",IF(BW161="COMPLIANCE","Deconcentration, one-mile, LURA, or Chapter 12 issue","Ready under current engine rules"))))))</f>
        <v/>
      </c>
      <c r="BY161" s="13">
        <f>IF(BV161="Determination Notice","Streamlined + DN-ready assumptions satisfied",IF(BV161="Board","Board-required or board-ready assumptions satisfied",""))</f>
        <v/>
      </c>
      <c r="BZ161" s="13">
        <f>IF(AND(BP161="Y",BQ161&lt;&gt;"Y"),"Carryforward project retains queue priority",IF(BQ161="Y","New project enters behind carryforward projects",""))</f>
        <v/>
      </c>
      <c r="CA161" s="13">
        <f>_xludf.RANK.EQ(Rule_Flags!O160,Rule_Flags!$O$3:$O$402,0)</f>
        <v/>
      </c>
      <c r="CB161" s="13">
        <f>IF(OR(BU161="Determination Notice Issued",BU161="Board",BU161="Closed"),"Y","N")</f>
        <v/>
      </c>
      <c r="CC161" s="9" t="n"/>
      <c r="CD161" s="9" t="n"/>
      <c r="CE161" s="9" t="n"/>
      <c r="CF161" s="9" t="n"/>
      <c r="CG161" s="9" t="n"/>
      <c r="CH161" s="9" t="n"/>
    </row>
    <row r="162">
      <c r="A162" s="8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8" t="n"/>
      <c r="L162" s="9" t="n"/>
      <c r="M162" s="8" t="n"/>
      <c r="N162" s="8" t="n"/>
      <c r="O162" s="8" t="n"/>
      <c r="P162" s="8" t="n"/>
      <c r="Q162" s="8" t="n"/>
      <c r="R162" s="9" t="n"/>
      <c r="S162" s="9" t="n"/>
      <c r="T162" s="10" t="n"/>
      <c r="U162" s="10" t="n"/>
      <c r="V162" s="9" t="n"/>
      <c r="W162" s="9" t="n"/>
      <c r="X162" s="9" t="n"/>
      <c r="Y162" s="9" t="n"/>
      <c r="Z162" s="11" t="n"/>
      <c r="AA162" s="11" t="n"/>
      <c r="AB162" s="11" t="n"/>
      <c r="AC162" s="11" t="n"/>
      <c r="AD162" s="11" t="n"/>
      <c r="AE162" s="11" t="n"/>
      <c r="AF162" s="9" t="n"/>
      <c r="AG162" s="9" t="n"/>
      <c r="AH162" s="9" t="n"/>
      <c r="AI162" s="9" t="n"/>
      <c r="AJ162" s="8" t="n"/>
      <c r="AK162" s="9" t="n"/>
      <c r="AL162" s="9" t="n"/>
      <c r="AM162" s="9" t="n"/>
      <c r="AN162" s="9" t="n"/>
      <c r="AO162" s="9" t="n"/>
      <c r="AP162" s="9" t="n"/>
      <c r="AQ162" s="9" t="n"/>
      <c r="AR162" s="9" t="n"/>
      <c r="AS162" s="9" t="n"/>
      <c r="AT162" s="8" t="n"/>
      <c r="AU162" s="8" t="n"/>
      <c r="AV162" s="9" t="n"/>
      <c r="AW162" s="8" t="n"/>
      <c r="AX162" s="9" t="n"/>
      <c r="AY162" s="9" t="n"/>
      <c r="AZ162" s="9" t="n"/>
      <c r="BA162" s="9" t="n"/>
      <c r="BB162" s="9" t="n"/>
      <c r="BC162" s="9" t="n"/>
      <c r="BD162" s="9" t="n"/>
      <c r="BE162" s="9" t="n"/>
      <c r="BF162" s="9" t="n"/>
      <c r="BG162" s="9" t="n"/>
      <c r="BH162" s="9" t="n"/>
      <c r="BI162" s="9" t="n"/>
      <c r="BJ162" s="9" t="n"/>
      <c r="BK162" s="9" t="n"/>
      <c r="BL162" s="9" t="n"/>
      <c r="BM162" s="9" t="n"/>
      <c r="BN162" s="9" t="n"/>
      <c r="BO162" s="8" t="n"/>
      <c r="BP162" s="9" t="n"/>
      <c r="BQ162" s="9" t="n"/>
      <c r="BR162" s="13">
        <f>IF(COUNTIF(AI162:BM162,"N")+COUNTBLANK(AI162:BM162)=0,"Y","N")</f>
        <v/>
      </c>
      <c r="BS162" s="13">
        <f>IF(AND(BR162="Y",OR(L162="Submitted",L162="Under Review")),"Y",IF(L162="Closed","Y","N"))</f>
        <v/>
      </c>
      <c r="BT162" s="10" t="n"/>
      <c r="BU162" s="13">
        <f>Rule_Flags!Q161</f>
        <v/>
      </c>
      <c r="BV162" s="13">
        <f>Rule_Flags!P161</f>
        <v/>
      </c>
      <c r="BW162" s="13">
        <f>IF(Rule_Flags!E161=1,"SITE_CONTROL",IF(Rule_Flags!F161=1,"APPROVALS",IF(Rule_Flags!G161=1,"REPORTS",IF(Rule_Flags!H161=1,"DEFICIENCY",IF(Rule_Flags!I161=1,"UNDERWRITING",IF(Rule_Flags!J161=1,"COMPLIANCE",""))))))</f>
        <v/>
      </c>
      <c r="BX162" s="13">
        <f>IF(BW162="SITE_CONTROL","Site control missing or invalid",IF(BW162="APPROVALS","Required approvals or resolutions incomplete",IF(BW162="REPORTS","Required third-party reports incomplete",IF(BW162="DEFICIENCY","Unresolved deficiency or material deficiency",IF(BW162="UNDERWRITING","Underwriting / feasibility not passed",IF(BW162="COMPLIANCE","Deconcentration, one-mile, LURA, or Chapter 12 issue","Ready under current engine rules"))))))</f>
        <v/>
      </c>
      <c r="BY162" s="13">
        <f>IF(BV162="Determination Notice","Streamlined + DN-ready assumptions satisfied",IF(BV162="Board","Board-required or board-ready assumptions satisfied",""))</f>
        <v/>
      </c>
      <c r="BZ162" s="13">
        <f>IF(AND(BP162="Y",BQ162&lt;&gt;"Y"),"Carryforward project retains queue priority",IF(BQ162="Y","New project enters behind carryforward projects",""))</f>
        <v/>
      </c>
      <c r="CA162" s="13">
        <f>_xludf.RANK.EQ(Rule_Flags!O161,Rule_Flags!$O$3:$O$402,0)</f>
        <v/>
      </c>
      <c r="CB162" s="13">
        <f>IF(OR(BU162="Determination Notice Issued",BU162="Board",BU162="Closed"),"Y","N")</f>
        <v/>
      </c>
      <c r="CC162" s="9" t="n"/>
      <c r="CD162" s="9" t="n"/>
      <c r="CE162" s="9" t="n"/>
      <c r="CF162" s="9" t="n"/>
      <c r="CG162" s="9" t="n"/>
      <c r="CH162" s="9" t="n"/>
    </row>
    <row r="163">
      <c r="A163" s="8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8" t="n"/>
      <c r="L163" s="9" t="n"/>
      <c r="M163" s="8" t="n"/>
      <c r="N163" s="8" t="n"/>
      <c r="O163" s="8" t="n"/>
      <c r="P163" s="8" t="n"/>
      <c r="Q163" s="8" t="n"/>
      <c r="R163" s="9" t="n"/>
      <c r="S163" s="9" t="n"/>
      <c r="T163" s="10" t="n"/>
      <c r="U163" s="10" t="n"/>
      <c r="V163" s="9" t="n"/>
      <c r="W163" s="9" t="n"/>
      <c r="X163" s="9" t="n"/>
      <c r="Y163" s="9" t="n"/>
      <c r="Z163" s="11" t="n"/>
      <c r="AA163" s="11" t="n"/>
      <c r="AB163" s="11" t="n"/>
      <c r="AC163" s="11" t="n"/>
      <c r="AD163" s="11" t="n"/>
      <c r="AE163" s="11" t="n"/>
      <c r="AF163" s="9" t="n"/>
      <c r="AG163" s="9" t="n"/>
      <c r="AH163" s="9" t="n"/>
      <c r="AI163" s="9" t="n"/>
      <c r="AJ163" s="8" t="n"/>
      <c r="AK163" s="9" t="n"/>
      <c r="AL163" s="9" t="n"/>
      <c r="AM163" s="9" t="n"/>
      <c r="AN163" s="9" t="n"/>
      <c r="AO163" s="9" t="n"/>
      <c r="AP163" s="9" t="n"/>
      <c r="AQ163" s="9" t="n"/>
      <c r="AR163" s="9" t="n"/>
      <c r="AS163" s="9" t="n"/>
      <c r="AT163" s="8" t="n"/>
      <c r="AU163" s="8" t="n"/>
      <c r="AV163" s="9" t="n"/>
      <c r="AW163" s="8" t="n"/>
      <c r="AX163" s="9" t="n"/>
      <c r="AY163" s="9" t="n"/>
      <c r="AZ163" s="9" t="n"/>
      <c r="BA163" s="9" t="n"/>
      <c r="BB163" s="9" t="n"/>
      <c r="BC163" s="9" t="n"/>
      <c r="BD163" s="9" t="n"/>
      <c r="BE163" s="9" t="n"/>
      <c r="BF163" s="9" t="n"/>
      <c r="BG163" s="9" t="n"/>
      <c r="BH163" s="9" t="n"/>
      <c r="BI163" s="9" t="n"/>
      <c r="BJ163" s="9" t="n"/>
      <c r="BK163" s="9" t="n"/>
      <c r="BL163" s="9" t="n"/>
      <c r="BM163" s="9" t="n"/>
      <c r="BN163" s="9" t="n"/>
      <c r="BO163" s="8" t="n"/>
      <c r="BP163" s="9" t="n"/>
      <c r="BQ163" s="9" t="n"/>
      <c r="BR163" s="13">
        <f>IF(COUNTIF(AI163:BM163,"N")+COUNTBLANK(AI163:BM163)=0,"Y","N")</f>
        <v/>
      </c>
      <c r="BS163" s="13">
        <f>IF(AND(BR163="Y",OR(L163="Submitted",L163="Under Review")),"Y",IF(L163="Closed","Y","N"))</f>
        <v/>
      </c>
      <c r="BT163" s="10" t="n"/>
      <c r="BU163" s="13">
        <f>Rule_Flags!Q162</f>
        <v/>
      </c>
      <c r="BV163" s="13">
        <f>Rule_Flags!P162</f>
        <v/>
      </c>
      <c r="BW163" s="13">
        <f>IF(Rule_Flags!E162=1,"SITE_CONTROL",IF(Rule_Flags!F162=1,"APPROVALS",IF(Rule_Flags!G162=1,"REPORTS",IF(Rule_Flags!H162=1,"DEFICIENCY",IF(Rule_Flags!I162=1,"UNDERWRITING",IF(Rule_Flags!J162=1,"COMPLIANCE",""))))))</f>
        <v/>
      </c>
      <c r="BX163" s="13">
        <f>IF(BW163="SITE_CONTROL","Site control missing or invalid",IF(BW163="APPROVALS","Required approvals or resolutions incomplete",IF(BW163="REPORTS","Required third-party reports incomplete",IF(BW163="DEFICIENCY","Unresolved deficiency or material deficiency",IF(BW163="UNDERWRITING","Underwriting / feasibility not passed",IF(BW163="COMPLIANCE","Deconcentration, one-mile, LURA, or Chapter 12 issue","Ready under current engine rules"))))))</f>
        <v/>
      </c>
      <c r="BY163" s="13">
        <f>IF(BV163="Determination Notice","Streamlined + DN-ready assumptions satisfied",IF(BV163="Board","Board-required or board-ready assumptions satisfied",""))</f>
        <v/>
      </c>
      <c r="BZ163" s="13">
        <f>IF(AND(BP163="Y",BQ163&lt;&gt;"Y"),"Carryforward project retains queue priority",IF(BQ163="Y","New project enters behind carryforward projects",""))</f>
        <v/>
      </c>
      <c r="CA163" s="13">
        <f>_xludf.RANK.EQ(Rule_Flags!O162,Rule_Flags!$O$3:$O$402,0)</f>
        <v/>
      </c>
      <c r="CB163" s="13">
        <f>IF(OR(BU163="Determination Notice Issued",BU163="Board",BU163="Closed"),"Y","N")</f>
        <v/>
      </c>
      <c r="CC163" s="9" t="n"/>
      <c r="CD163" s="9" t="n"/>
      <c r="CE163" s="9" t="n"/>
      <c r="CF163" s="9" t="n"/>
      <c r="CG163" s="9" t="n"/>
      <c r="CH163" s="9" t="n"/>
    </row>
    <row r="164">
      <c r="A164" s="8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8" t="n"/>
      <c r="L164" s="9" t="n"/>
      <c r="M164" s="8" t="n"/>
      <c r="N164" s="8" t="n"/>
      <c r="O164" s="8" t="n"/>
      <c r="P164" s="8" t="n"/>
      <c r="Q164" s="8" t="n"/>
      <c r="R164" s="9" t="n"/>
      <c r="S164" s="9" t="n"/>
      <c r="T164" s="10" t="n"/>
      <c r="U164" s="10" t="n"/>
      <c r="V164" s="9" t="n"/>
      <c r="W164" s="9" t="n"/>
      <c r="X164" s="9" t="n"/>
      <c r="Y164" s="9" t="n"/>
      <c r="Z164" s="11" t="n"/>
      <c r="AA164" s="11" t="n"/>
      <c r="AB164" s="11" t="n"/>
      <c r="AC164" s="11" t="n"/>
      <c r="AD164" s="11" t="n"/>
      <c r="AE164" s="11" t="n"/>
      <c r="AF164" s="9" t="n"/>
      <c r="AG164" s="9" t="n"/>
      <c r="AH164" s="9" t="n"/>
      <c r="AI164" s="9" t="n"/>
      <c r="AJ164" s="8" t="n"/>
      <c r="AK164" s="9" t="n"/>
      <c r="AL164" s="9" t="n"/>
      <c r="AM164" s="9" t="n"/>
      <c r="AN164" s="9" t="n"/>
      <c r="AO164" s="9" t="n"/>
      <c r="AP164" s="9" t="n"/>
      <c r="AQ164" s="9" t="n"/>
      <c r="AR164" s="9" t="n"/>
      <c r="AS164" s="9" t="n"/>
      <c r="AT164" s="8" t="n"/>
      <c r="AU164" s="8" t="n"/>
      <c r="AV164" s="9" t="n"/>
      <c r="AW164" s="8" t="n"/>
      <c r="AX164" s="9" t="n"/>
      <c r="AY164" s="9" t="n"/>
      <c r="AZ164" s="9" t="n"/>
      <c r="BA164" s="9" t="n"/>
      <c r="BB164" s="9" t="n"/>
      <c r="BC164" s="9" t="n"/>
      <c r="BD164" s="9" t="n"/>
      <c r="BE164" s="9" t="n"/>
      <c r="BF164" s="9" t="n"/>
      <c r="BG164" s="9" t="n"/>
      <c r="BH164" s="9" t="n"/>
      <c r="BI164" s="9" t="n"/>
      <c r="BJ164" s="9" t="n"/>
      <c r="BK164" s="9" t="n"/>
      <c r="BL164" s="9" t="n"/>
      <c r="BM164" s="9" t="n"/>
      <c r="BN164" s="9" t="n"/>
      <c r="BO164" s="8" t="n"/>
      <c r="BP164" s="9" t="n"/>
      <c r="BQ164" s="9" t="n"/>
      <c r="BR164" s="13">
        <f>IF(COUNTIF(AI164:BM164,"N")+COUNTBLANK(AI164:BM164)=0,"Y","N")</f>
        <v/>
      </c>
      <c r="BS164" s="13">
        <f>IF(AND(BR164="Y",OR(L164="Submitted",L164="Under Review")),"Y",IF(L164="Closed","Y","N"))</f>
        <v/>
      </c>
      <c r="BT164" s="10" t="n"/>
      <c r="BU164" s="13">
        <f>Rule_Flags!Q163</f>
        <v/>
      </c>
      <c r="BV164" s="13">
        <f>Rule_Flags!P163</f>
        <v/>
      </c>
      <c r="BW164" s="13">
        <f>IF(Rule_Flags!E163=1,"SITE_CONTROL",IF(Rule_Flags!F163=1,"APPROVALS",IF(Rule_Flags!G163=1,"REPORTS",IF(Rule_Flags!H163=1,"DEFICIENCY",IF(Rule_Flags!I163=1,"UNDERWRITING",IF(Rule_Flags!J163=1,"COMPLIANCE",""))))))</f>
        <v/>
      </c>
      <c r="BX164" s="13">
        <f>IF(BW164="SITE_CONTROL","Site control missing or invalid",IF(BW164="APPROVALS","Required approvals or resolutions incomplete",IF(BW164="REPORTS","Required third-party reports incomplete",IF(BW164="DEFICIENCY","Unresolved deficiency or material deficiency",IF(BW164="UNDERWRITING","Underwriting / feasibility not passed",IF(BW164="COMPLIANCE","Deconcentration, one-mile, LURA, or Chapter 12 issue","Ready under current engine rules"))))))</f>
        <v/>
      </c>
      <c r="BY164" s="13">
        <f>IF(BV164="Determination Notice","Streamlined + DN-ready assumptions satisfied",IF(BV164="Board","Board-required or board-ready assumptions satisfied",""))</f>
        <v/>
      </c>
      <c r="BZ164" s="13">
        <f>IF(AND(BP164="Y",BQ164&lt;&gt;"Y"),"Carryforward project retains queue priority",IF(BQ164="Y","New project enters behind carryforward projects",""))</f>
        <v/>
      </c>
      <c r="CA164" s="13">
        <f>_xludf.RANK.EQ(Rule_Flags!O163,Rule_Flags!$O$3:$O$402,0)</f>
        <v/>
      </c>
      <c r="CB164" s="13">
        <f>IF(OR(BU164="Determination Notice Issued",BU164="Board",BU164="Closed"),"Y","N")</f>
        <v/>
      </c>
      <c r="CC164" s="9" t="n"/>
      <c r="CD164" s="9" t="n"/>
      <c r="CE164" s="9" t="n"/>
      <c r="CF164" s="9" t="n"/>
      <c r="CG164" s="9" t="n"/>
      <c r="CH164" s="9" t="n"/>
    </row>
    <row r="165">
      <c r="A165" s="8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8" t="n"/>
      <c r="L165" s="9" t="n"/>
      <c r="M165" s="8" t="n"/>
      <c r="N165" s="8" t="n"/>
      <c r="O165" s="8" t="n"/>
      <c r="P165" s="8" t="n"/>
      <c r="Q165" s="8" t="n"/>
      <c r="R165" s="9" t="n"/>
      <c r="S165" s="9" t="n"/>
      <c r="T165" s="10" t="n"/>
      <c r="U165" s="10" t="n"/>
      <c r="V165" s="9" t="n"/>
      <c r="W165" s="9" t="n"/>
      <c r="X165" s="9" t="n"/>
      <c r="Y165" s="9" t="n"/>
      <c r="Z165" s="11" t="n"/>
      <c r="AA165" s="11" t="n"/>
      <c r="AB165" s="11" t="n"/>
      <c r="AC165" s="11" t="n"/>
      <c r="AD165" s="11" t="n"/>
      <c r="AE165" s="11" t="n"/>
      <c r="AF165" s="9" t="n"/>
      <c r="AG165" s="9" t="n"/>
      <c r="AH165" s="9" t="n"/>
      <c r="AI165" s="9" t="n"/>
      <c r="AJ165" s="8" t="n"/>
      <c r="AK165" s="9" t="n"/>
      <c r="AL165" s="9" t="n"/>
      <c r="AM165" s="9" t="n"/>
      <c r="AN165" s="9" t="n"/>
      <c r="AO165" s="9" t="n"/>
      <c r="AP165" s="9" t="n"/>
      <c r="AQ165" s="9" t="n"/>
      <c r="AR165" s="9" t="n"/>
      <c r="AS165" s="9" t="n"/>
      <c r="AT165" s="8" t="n"/>
      <c r="AU165" s="8" t="n"/>
      <c r="AV165" s="9" t="n"/>
      <c r="AW165" s="8" t="n"/>
      <c r="AX165" s="9" t="n"/>
      <c r="AY165" s="9" t="n"/>
      <c r="AZ165" s="9" t="n"/>
      <c r="BA165" s="9" t="n"/>
      <c r="BB165" s="9" t="n"/>
      <c r="BC165" s="9" t="n"/>
      <c r="BD165" s="9" t="n"/>
      <c r="BE165" s="9" t="n"/>
      <c r="BF165" s="9" t="n"/>
      <c r="BG165" s="9" t="n"/>
      <c r="BH165" s="9" t="n"/>
      <c r="BI165" s="9" t="n"/>
      <c r="BJ165" s="9" t="n"/>
      <c r="BK165" s="9" t="n"/>
      <c r="BL165" s="9" t="n"/>
      <c r="BM165" s="9" t="n"/>
      <c r="BN165" s="9" t="n"/>
      <c r="BO165" s="8" t="n"/>
      <c r="BP165" s="9" t="n"/>
      <c r="BQ165" s="9" t="n"/>
      <c r="BR165" s="13">
        <f>IF(COUNTIF(AI165:BM165,"N")+COUNTBLANK(AI165:BM165)=0,"Y","N")</f>
        <v/>
      </c>
      <c r="BS165" s="13">
        <f>IF(AND(BR165="Y",OR(L165="Submitted",L165="Under Review")),"Y",IF(L165="Closed","Y","N"))</f>
        <v/>
      </c>
      <c r="BT165" s="10" t="n"/>
      <c r="BU165" s="13">
        <f>Rule_Flags!Q164</f>
        <v/>
      </c>
      <c r="BV165" s="13">
        <f>Rule_Flags!P164</f>
        <v/>
      </c>
      <c r="BW165" s="13">
        <f>IF(Rule_Flags!E164=1,"SITE_CONTROL",IF(Rule_Flags!F164=1,"APPROVALS",IF(Rule_Flags!G164=1,"REPORTS",IF(Rule_Flags!H164=1,"DEFICIENCY",IF(Rule_Flags!I164=1,"UNDERWRITING",IF(Rule_Flags!J164=1,"COMPLIANCE",""))))))</f>
        <v/>
      </c>
      <c r="BX165" s="13">
        <f>IF(BW165="SITE_CONTROL","Site control missing or invalid",IF(BW165="APPROVALS","Required approvals or resolutions incomplete",IF(BW165="REPORTS","Required third-party reports incomplete",IF(BW165="DEFICIENCY","Unresolved deficiency or material deficiency",IF(BW165="UNDERWRITING","Underwriting / feasibility not passed",IF(BW165="COMPLIANCE","Deconcentration, one-mile, LURA, or Chapter 12 issue","Ready under current engine rules"))))))</f>
        <v/>
      </c>
      <c r="BY165" s="13">
        <f>IF(BV165="Determination Notice","Streamlined + DN-ready assumptions satisfied",IF(BV165="Board","Board-required or board-ready assumptions satisfied",""))</f>
        <v/>
      </c>
      <c r="BZ165" s="13">
        <f>IF(AND(BP165="Y",BQ165&lt;&gt;"Y"),"Carryforward project retains queue priority",IF(BQ165="Y","New project enters behind carryforward projects",""))</f>
        <v/>
      </c>
      <c r="CA165" s="13">
        <f>_xludf.RANK.EQ(Rule_Flags!O164,Rule_Flags!$O$3:$O$402,0)</f>
        <v/>
      </c>
      <c r="CB165" s="13">
        <f>IF(OR(BU165="Determination Notice Issued",BU165="Board",BU165="Closed"),"Y","N")</f>
        <v/>
      </c>
      <c r="CC165" s="9" t="n"/>
      <c r="CD165" s="9" t="n"/>
      <c r="CE165" s="9" t="n"/>
      <c r="CF165" s="9" t="n"/>
      <c r="CG165" s="9" t="n"/>
      <c r="CH165" s="9" t="n"/>
    </row>
    <row r="166">
      <c r="A166" s="8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8" t="n"/>
      <c r="L166" s="9" t="n"/>
      <c r="M166" s="8" t="n"/>
      <c r="N166" s="8" t="n"/>
      <c r="O166" s="8" t="n"/>
      <c r="P166" s="8" t="n"/>
      <c r="Q166" s="8" t="n"/>
      <c r="R166" s="9" t="n"/>
      <c r="S166" s="9" t="n"/>
      <c r="T166" s="10" t="n"/>
      <c r="U166" s="10" t="n"/>
      <c r="V166" s="9" t="n"/>
      <c r="W166" s="9" t="n"/>
      <c r="X166" s="9" t="n"/>
      <c r="Y166" s="9" t="n"/>
      <c r="Z166" s="11" t="n"/>
      <c r="AA166" s="11" t="n"/>
      <c r="AB166" s="11" t="n"/>
      <c r="AC166" s="11" t="n"/>
      <c r="AD166" s="11" t="n"/>
      <c r="AE166" s="11" t="n"/>
      <c r="AF166" s="9" t="n"/>
      <c r="AG166" s="9" t="n"/>
      <c r="AH166" s="9" t="n"/>
      <c r="AI166" s="9" t="n"/>
      <c r="AJ166" s="8" t="n"/>
      <c r="AK166" s="9" t="n"/>
      <c r="AL166" s="9" t="n"/>
      <c r="AM166" s="9" t="n"/>
      <c r="AN166" s="9" t="n"/>
      <c r="AO166" s="9" t="n"/>
      <c r="AP166" s="9" t="n"/>
      <c r="AQ166" s="9" t="n"/>
      <c r="AR166" s="9" t="n"/>
      <c r="AS166" s="9" t="n"/>
      <c r="AT166" s="8" t="n"/>
      <c r="AU166" s="8" t="n"/>
      <c r="AV166" s="9" t="n"/>
      <c r="AW166" s="8" t="n"/>
      <c r="AX166" s="9" t="n"/>
      <c r="AY166" s="9" t="n"/>
      <c r="AZ166" s="9" t="n"/>
      <c r="BA166" s="9" t="n"/>
      <c r="BB166" s="9" t="n"/>
      <c r="BC166" s="9" t="n"/>
      <c r="BD166" s="9" t="n"/>
      <c r="BE166" s="9" t="n"/>
      <c r="BF166" s="9" t="n"/>
      <c r="BG166" s="9" t="n"/>
      <c r="BH166" s="9" t="n"/>
      <c r="BI166" s="9" t="n"/>
      <c r="BJ166" s="9" t="n"/>
      <c r="BK166" s="9" t="n"/>
      <c r="BL166" s="9" t="n"/>
      <c r="BM166" s="9" t="n"/>
      <c r="BN166" s="9" t="n"/>
      <c r="BO166" s="8" t="n"/>
      <c r="BP166" s="9" t="n"/>
      <c r="BQ166" s="9" t="n"/>
      <c r="BR166" s="13">
        <f>IF(COUNTIF(AI166:BM166,"N")+COUNTBLANK(AI166:BM166)=0,"Y","N")</f>
        <v/>
      </c>
      <c r="BS166" s="13">
        <f>IF(AND(BR166="Y",OR(L166="Submitted",L166="Under Review")),"Y",IF(L166="Closed","Y","N"))</f>
        <v/>
      </c>
      <c r="BT166" s="10" t="n"/>
      <c r="BU166" s="13">
        <f>Rule_Flags!Q165</f>
        <v/>
      </c>
      <c r="BV166" s="13">
        <f>Rule_Flags!P165</f>
        <v/>
      </c>
      <c r="BW166" s="13">
        <f>IF(Rule_Flags!E165=1,"SITE_CONTROL",IF(Rule_Flags!F165=1,"APPROVALS",IF(Rule_Flags!G165=1,"REPORTS",IF(Rule_Flags!H165=1,"DEFICIENCY",IF(Rule_Flags!I165=1,"UNDERWRITING",IF(Rule_Flags!J165=1,"COMPLIANCE",""))))))</f>
        <v/>
      </c>
      <c r="BX166" s="13">
        <f>IF(BW166="SITE_CONTROL","Site control missing or invalid",IF(BW166="APPROVALS","Required approvals or resolutions incomplete",IF(BW166="REPORTS","Required third-party reports incomplete",IF(BW166="DEFICIENCY","Unresolved deficiency or material deficiency",IF(BW166="UNDERWRITING","Underwriting / feasibility not passed",IF(BW166="COMPLIANCE","Deconcentration, one-mile, LURA, or Chapter 12 issue","Ready under current engine rules"))))))</f>
        <v/>
      </c>
      <c r="BY166" s="13">
        <f>IF(BV166="Determination Notice","Streamlined + DN-ready assumptions satisfied",IF(BV166="Board","Board-required or board-ready assumptions satisfied",""))</f>
        <v/>
      </c>
      <c r="BZ166" s="13">
        <f>IF(AND(BP166="Y",BQ166&lt;&gt;"Y"),"Carryforward project retains queue priority",IF(BQ166="Y","New project enters behind carryforward projects",""))</f>
        <v/>
      </c>
      <c r="CA166" s="13">
        <f>_xludf.RANK.EQ(Rule_Flags!O165,Rule_Flags!$O$3:$O$402,0)</f>
        <v/>
      </c>
      <c r="CB166" s="13">
        <f>IF(OR(BU166="Determination Notice Issued",BU166="Board",BU166="Closed"),"Y","N")</f>
        <v/>
      </c>
      <c r="CC166" s="9" t="n"/>
      <c r="CD166" s="9" t="n"/>
      <c r="CE166" s="9" t="n"/>
      <c r="CF166" s="9" t="n"/>
      <c r="CG166" s="9" t="n"/>
      <c r="CH166" s="9" t="n"/>
    </row>
    <row r="167">
      <c r="A167" s="8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8" t="n"/>
      <c r="L167" s="9" t="n"/>
      <c r="M167" s="8" t="n"/>
      <c r="N167" s="8" t="n"/>
      <c r="O167" s="8" t="n"/>
      <c r="P167" s="8" t="n"/>
      <c r="Q167" s="8" t="n"/>
      <c r="R167" s="9" t="n"/>
      <c r="S167" s="9" t="n"/>
      <c r="T167" s="10" t="n"/>
      <c r="U167" s="10" t="n"/>
      <c r="V167" s="9" t="n"/>
      <c r="W167" s="9" t="n"/>
      <c r="X167" s="9" t="n"/>
      <c r="Y167" s="9" t="n"/>
      <c r="Z167" s="11" t="n"/>
      <c r="AA167" s="11" t="n"/>
      <c r="AB167" s="11" t="n"/>
      <c r="AC167" s="11" t="n"/>
      <c r="AD167" s="11" t="n"/>
      <c r="AE167" s="11" t="n"/>
      <c r="AF167" s="9" t="n"/>
      <c r="AG167" s="9" t="n"/>
      <c r="AH167" s="9" t="n"/>
      <c r="AI167" s="9" t="n"/>
      <c r="AJ167" s="8" t="n"/>
      <c r="AK167" s="9" t="n"/>
      <c r="AL167" s="9" t="n"/>
      <c r="AM167" s="9" t="n"/>
      <c r="AN167" s="9" t="n"/>
      <c r="AO167" s="9" t="n"/>
      <c r="AP167" s="9" t="n"/>
      <c r="AQ167" s="9" t="n"/>
      <c r="AR167" s="9" t="n"/>
      <c r="AS167" s="9" t="n"/>
      <c r="AT167" s="8" t="n"/>
      <c r="AU167" s="8" t="n"/>
      <c r="AV167" s="9" t="n"/>
      <c r="AW167" s="8" t="n"/>
      <c r="AX167" s="9" t="n"/>
      <c r="AY167" s="9" t="n"/>
      <c r="AZ167" s="9" t="n"/>
      <c r="BA167" s="9" t="n"/>
      <c r="BB167" s="9" t="n"/>
      <c r="BC167" s="9" t="n"/>
      <c r="BD167" s="9" t="n"/>
      <c r="BE167" s="9" t="n"/>
      <c r="BF167" s="9" t="n"/>
      <c r="BG167" s="9" t="n"/>
      <c r="BH167" s="9" t="n"/>
      <c r="BI167" s="9" t="n"/>
      <c r="BJ167" s="9" t="n"/>
      <c r="BK167" s="9" t="n"/>
      <c r="BL167" s="9" t="n"/>
      <c r="BM167" s="9" t="n"/>
      <c r="BN167" s="9" t="n"/>
      <c r="BO167" s="8" t="n"/>
      <c r="BP167" s="9" t="n"/>
      <c r="BQ167" s="9" t="n"/>
      <c r="BR167" s="13">
        <f>IF(COUNTIF(AI167:BM167,"N")+COUNTBLANK(AI167:BM167)=0,"Y","N")</f>
        <v/>
      </c>
      <c r="BS167" s="13">
        <f>IF(AND(BR167="Y",OR(L167="Submitted",L167="Under Review")),"Y",IF(L167="Closed","Y","N"))</f>
        <v/>
      </c>
      <c r="BT167" s="10" t="n"/>
      <c r="BU167" s="13">
        <f>Rule_Flags!Q166</f>
        <v/>
      </c>
      <c r="BV167" s="13">
        <f>Rule_Flags!P166</f>
        <v/>
      </c>
      <c r="BW167" s="13">
        <f>IF(Rule_Flags!E166=1,"SITE_CONTROL",IF(Rule_Flags!F166=1,"APPROVALS",IF(Rule_Flags!G166=1,"REPORTS",IF(Rule_Flags!H166=1,"DEFICIENCY",IF(Rule_Flags!I166=1,"UNDERWRITING",IF(Rule_Flags!J166=1,"COMPLIANCE",""))))))</f>
        <v/>
      </c>
      <c r="BX167" s="13">
        <f>IF(BW167="SITE_CONTROL","Site control missing or invalid",IF(BW167="APPROVALS","Required approvals or resolutions incomplete",IF(BW167="REPORTS","Required third-party reports incomplete",IF(BW167="DEFICIENCY","Unresolved deficiency or material deficiency",IF(BW167="UNDERWRITING","Underwriting / feasibility not passed",IF(BW167="COMPLIANCE","Deconcentration, one-mile, LURA, or Chapter 12 issue","Ready under current engine rules"))))))</f>
        <v/>
      </c>
      <c r="BY167" s="13">
        <f>IF(BV167="Determination Notice","Streamlined + DN-ready assumptions satisfied",IF(BV167="Board","Board-required or board-ready assumptions satisfied",""))</f>
        <v/>
      </c>
      <c r="BZ167" s="13">
        <f>IF(AND(BP167="Y",BQ167&lt;&gt;"Y"),"Carryforward project retains queue priority",IF(BQ167="Y","New project enters behind carryforward projects",""))</f>
        <v/>
      </c>
      <c r="CA167" s="13">
        <f>_xludf.RANK.EQ(Rule_Flags!O166,Rule_Flags!$O$3:$O$402,0)</f>
        <v/>
      </c>
      <c r="CB167" s="13">
        <f>IF(OR(BU167="Determination Notice Issued",BU167="Board",BU167="Closed"),"Y","N")</f>
        <v/>
      </c>
      <c r="CC167" s="9" t="n"/>
      <c r="CD167" s="9" t="n"/>
      <c r="CE167" s="9" t="n"/>
      <c r="CF167" s="9" t="n"/>
      <c r="CG167" s="9" t="n"/>
      <c r="CH167" s="9" t="n"/>
    </row>
    <row r="168">
      <c r="A168" s="8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8" t="n"/>
      <c r="L168" s="9" t="n"/>
      <c r="M168" s="8" t="n"/>
      <c r="N168" s="8" t="n"/>
      <c r="O168" s="8" t="n"/>
      <c r="P168" s="8" t="n"/>
      <c r="Q168" s="8" t="n"/>
      <c r="R168" s="9" t="n"/>
      <c r="S168" s="9" t="n"/>
      <c r="T168" s="10" t="n"/>
      <c r="U168" s="10" t="n"/>
      <c r="V168" s="9" t="n"/>
      <c r="W168" s="9" t="n"/>
      <c r="X168" s="9" t="n"/>
      <c r="Y168" s="9" t="n"/>
      <c r="Z168" s="11" t="n"/>
      <c r="AA168" s="11" t="n"/>
      <c r="AB168" s="11" t="n"/>
      <c r="AC168" s="11" t="n"/>
      <c r="AD168" s="11" t="n"/>
      <c r="AE168" s="11" t="n"/>
      <c r="AF168" s="9" t="n"/>
      <c r="AG168" s="9" t="n"/>
      <c r="AH168" s="9" t="n"/>
      <c r="AI168" s="9" t="n"/>
      <c r="AJ168" s="8" t="n"/>
      <c r="AK168" s="9" t="n"/>
      <c r="AL168" s="9" t="n"/>
      <c r="AM168" s="9" t="n"/>
      <c r="AN168" s="9" t="n"/>
      <c r="AO168" s="9" t="n"/>
      <c r="AP168" s="9" t="n"/>
      <c r="AQ168" s="9" t="n"/>
      <c r="AR168" s="9" t="n"/>
      <c r="AS168" s="9" t="n"/>
      <c r="AT168" s="8" t="n"/>
      <c r="AU168" s="8" t="n"/>
      <c r="AV168" s="9" t="n"/>
      <c r="AW168" s="8" t="n"/>
      <c r="AX168" s="9" t="n"/>
      <c r="AY168" s="9" t="n"/>
      <c r="AZ168" s="9" t="n"/>
      <c r="BA168" s="9" t="n"/>
      <c r="BB168" s="9" t="n"/>
      <c r="BC168" s="9" t="n"/>
      <c r="BD168" s="9" t="n"/>
      <c r="BE168" s="9" t="n"/>
      <c r="BF168" s="9" t="n"/>
      <c r="BG168" s="9" t="n"/>
      <c r="BH168" s="9" t="n"/>
      <c r="BI168" s="9" t="n"/>
      <c r="BJ168" s="9" t="n"/>
      <c r="BK168" s="9" t="n"/>
      <c r="BL168" s="9" t="n"/>
      <c r="BM168" s="9" t="n"/>
      <c r="BN168" s="9" t="n"/>
      <c r="BO168" s="8" t="n"/>
      <c r="BP168" s="9" t="n"/>
      <c r="BQ168" s="9" t="n"/>
      <c r="BR168" s="13">
        <f>IF(COUNTIF(AI168:BM168,"N")+COUNTBLANK(AI168:BM168)=0,"Y","N")</f>
        <v/>
      </c>
      <c r="BS168" s="13">
        <f>IF(AND(BR168="Y",OR(L168="Submitted",L168="Under Review")),"Y",IF(L168="Closed","Y","N"))</f>
        <v/>
      </c>
      <c r="BT168" s="10" t="n"/>
      <c r="BU168" s="13">
        <f>Rule_Flags!Q167</f>
        <v/>
      </c>
      <c r="BV168" s="13">
        <f>Rule_Flags!P167</f>
        <v/>
      </c>
      <c r="BW168" s="13">
        <f>IF(Rule_Flags!E167=1,"SITE_CONTROL",IF(Rule_Flags!F167=1,"APPROVALS",IF(Rule_Flags!G167=1,"REPORTS",IF(Rule_Flags!H167=1,"DEFICIENCY",IF(Rule_Flags!I167=1,"UNDERWRITING",IF(Rule_Flags!J167=1,"COMPLIANCE",""))))))</f>
        <v/>
      </c>
      <c r="BX168" s="13">
        <f>IF(BW168="SITE_CONTROL","Site control missing or invalid",IF(BW168="APPROVALS","Required approvals or resolutions incomplete",IF(BW168="REPORTS","Required third-party reports incomplete",IF(BW168="DEFICIENCY","Unresolved deficiency or material deficiency",IF(BW168="UNDERWRITING","Underwriting / feasibility not passed",IF(BW168="COMPLIANCE","Deconcentration, one-mile, LURA, or Chapter 12 issue","Ready under current engine rules"))))))</f>
        <v/>
      </c>
      <c r="BY168" s="13">
        <f>IF(BV168="Determination Notice","Streamlined + DN-ready assumptions satisfied",IF(BV168="Board","Board-required or board-ready assumptions satisfied",""))</f>
        <v/>
      </c>
      <c r="BZ168" s="13">
        <f>IF(AND(BP168="Y",BQ168&lt;&gt;"Y"),"Carryforward project retains queue priority",IF(BQ168="Y","New project enters behind carryforward projects",""))</f>
        <v/>
      </c>
      <c r="CA168" s="13">
        <f>_xludf.RANK.EQ(Rule_Flags!O167,Rule_Flags!$O$3:$O$402,0)</f>
        <v/>
      </c>
      <c r="CB168" s="13">
        <f>IF(OR(BU168="Determination Notice Issued",BU168="Board",BU168="Closed"),"Y","N")</f>
        <v/>
      </c>
      <c r="CC168" s="9" t="n"/>
      <c r="CD168" s="9" t="n"/>
      <c r="CE168" s="9" t="n"/>
      <c r="CF168" s="9" t="n"/>
      <c r="CG168" s="9" t="n"/>
      <c r="CH168" s="9" t="n"/>
    </row>
    <row r="169">
      <c r="A169" s="8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8" t="n"/>
      <c r="L169" s="9" t="n"/>
      <c r="M169" s="8" t="n"/>
      <c r="N169" s="8" t="n"/>
      <c r="O169" s="8" t="n"/>
      <c r="P169" s="8" t="n"/>
      <c r="Q169" s="8" t="n"/>
      <c r="R169" s="9" t="n"/>
      <c r="S169" s="9" t="n"/>
      <c r="T169" s="10" t="n"/>
      <c r="U169" s="10" t="n"/>
      <c r="V169" s="9" t="n"/>
      <c r="W169" s="9" t="n"/>
      <c r="X169" s="9" t="n"/>
      <c r="Y169" s="9" t="n"/>
      <c r="Z169" s="11" t="n"/>
      <c r="AA169" s="11" t="n"/>
      <c r="AB169" s="11" t="n"/>
      <c r="AC169" s="11" t="n"/>
      <c r="AD169" s="11" t="n"/>
      <c r="AE169" s="11" t="n"/>
      <c r="AF169" s="9" t="n"/>
      <c r="AG169" s="9" t="n"/>
      <c r="AH169" s="9" t="n"/>
      <c r="AI169" s="9" t="n"/>
      <c r="AJ169" s="8" t="n"/>
      <c r="AK169" s="9" t="n"/>
      <c r="AL169" s="9" t="n"/>
      <c r="AM169" s="9" t="n"/>
      <c r="AN169" s="9" t="n"/>
      <c r="AO169" s="9" t="n"/>
      <c r="AP169" s="9" t="n"/>
      <c r="AQ169" s="9" t="n"/>
      <c r="AR169" s="9" t="n"/>
      <c r="AS169" s="9" t="n"/>
      <c r="AT169" s="8" t="n"/>
      <c r="AU169" s="8" t="n"/>
      <c r="AV169" s="9" t="n"/>
      <c r="AW169" s="8" t="n"/>
      <c r="AX169" s="9" t="n"/>
      <c r="AY169" s="9" t="n"/>
      <c r="AZ169" s="9" t="n"/>
      <c r="BA169" s="9" t="n"/>
      <c r="BB169" s="9" t="n"/>
      <c r="BC169" s="9" t="n"/>
      <c r="BD169" s="9" t="n"/>
      <c r="BE169" s="9" t="n"/>
      <c r="BF169" s="9" t="n"/>
      <c r="BG169" s="9" t="n"/>
      <c r="BH169" s="9" t="n"/>
      <c r="BI169" s="9" t="n"/>
      <c r="BJ169" s="9" t="n"/>
      <c r="BK169" s="9" t="n"/>
      <c r="BL169" s="9" t="n"/>
      <c r="BM169" s="9" t="n"/>
      <c r="BN169" s="9" t="n"/>
      <c r="BO169" s="8" t="n"/>
      <c r="BP169" s="9" t="n"/>
      <c r="BQ169" s="9" t="n"/>
      <c r="BR169" s="13">
        <f>IF(COUNTIF(AI169:BM169,"N")+COUNTBLANK(AI169:BM169)=0,"Y","N")</f>
        <v/>
      </c>
      <c r="BS169" s="13">
        <f>IF(AND(BR169="Y",OR(L169="Submitted",L169="Under Review")),"Y",IF(L169="Closed","Y","N"))</f>
        <v/>
      </c>
      <c r="BT169" s="10" t="n"/>
      <c r="BU169" s="13">
        <f>Rule_Flags!Q168</f>
        <v/>
      </c>
      <c r="BV169" s="13">
        <f>Rule_Flags!P168</f>
        <v/>
      </c>
      <c r="BW169" s="13">
        <f>IF(Rule_Flags!E168=1,"SITE_CONTROL",IF(Rule_Flags!F168=1,"APPROVALS",IF(Rule_Flags!G168=1,"REPORTS",IF(Rule_Flags!H168=1,"DEFICIENCY",IF(Rule_Flags!I168=1,"UNDERWRITING",IF(Rule_Flags!J168=1,"COMPLIANCE",""))))))</f>
        <v/>
      </c>
      <c r="BX169" s="13">
        <f>IF(BW169="SITE_CONTROL","Site control missing or invalid",IF(BW169="APPROVALS","Required approvals or resolutions incomplete",IF(BW169="REPORTS","Required third-party reports incomplete",IF(BW169="DEFICIENCY","Unresolved deficiency or material deficiency",IF(BW169="UNDERWRITING","Underwriting / feasibility not passed",IF(BW169="COMPLIANCE","Deconcentration, one-mile, LURA, or Chapter 12 issue","Ready under current engine rules"))))))</f>
        <v/>
      </c>
      <c r="BY169" s="13">
        <f>IF(BV169="Determination Notice","Streamlined + DN-ready assumptions satisfied",IF(BV169="Board","Board-required or board-ready assumptions satisfied",""))</f>
        <v/>
      </c>
      <c r="BZ169" s="13">
        <f>IF(AND(BP169="Y",BQ169&lt;&gt;"Y"),"Carryforward project retains queue priority",IF(BQ169="Y","New project enters behind carryforward projects",""))</f>
        <v/>
      </c>
      <c r="CA169" s="13">
        <f>_xludf.RANK.EQ(Rule_Flags!O168,Rule_Flags!$O$3:$O$402,0)</f>
        <v/>
      </c>
      <c r="CB169" s="13">
        <f>IF(OR(BU169="Determination Notice Issued",BU169="Board",BU169="Closed"),"Y","N")</f>
        <v/>
      </c>
      <c r="CC169" s="9" t="n"/>
      <c r="CD169" s="9" t="n"/>
      <c r="CE169" s="9" t="n"/>
      <c r="CF169" s="9" t="n"/>
      <c r="CG169" s="9" t="n"/>
      <c r="CH169" s="9" t="n"/>
    </row>
    <row r="170">
      <c r="A170" s="8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8" t="n"/>
      <c r="L170" s="9" t="n"/>
      <c r="M170" s="8" t="n"/>
      <c r="N170" s="8" t="n"/>
      <c r="O170" s="8" t="n"/>
      <c r="P170" s="8" t="n"/>
      <c r="Q170" s="8" t="n"/>
      <c r="R170" s="9" t="n"/>
      <c r="S170" s="9" t="n"/>
      <c r="T170" s="10" t="n"/>
      <c r="U170" s="10" t="n"/>
      <c r="V170" s="9" t="n"/>
      <c r="W170" s="9" t="n"/>
      <c r="X170" s="9" t="n"/>
      <c r="Y170" s="9" t="n"/>
      <c r="Z170" s="11" t="n"/>
      <c r="AA170" s="11" t="n"/>
      <c r="AB170" s="11" t="n"/>
      <c r="AC170" s="11" t="n"/>
      <c r="AD170" s="11" t="n"/>
      <c r="AE170" s="11" t="n"/>
      <c r="AF170" s="9" t="n"/>
      <c r="AG170" s="9" t="n"/>
      <c r="AH170" s="9" t="n"/>
      <c r="AI170" s="9" t="n"/>
      <c r="AJ170" s="8" t="n"/>
      <c r="AK170" s="9" t="n"/>
      <c r="AL170" s="9" t="n"/>
      <c r="AM170" s="9" t="n"/>
      <c r="AN170" s="9" t="n"/>
      <c r="AO170" s="9" t="n"/>
      <c r="AP170" s="9" t="n"/>
      <c r="AQ170" s="9" t="n"/>
      <c r="AR170" s="9" t="n"/>
      <c r="AS170" s="9" t="n"/>
      <c r="AT170" s="8" t="n"/>
      <c r="AU170" s="8" t="n"/>
      <c r="AV170" s="9" t="n"/>
      <c r="AW170" s="8" t="n"/>
      <c r="AX170" s="9" t="n"/>
      <c r="AY170" s="9" t="n"/>
      <c r="AZ170" s="9" t="n"/>
      <c r="BA170" s="9" t="n"/>
      <c r="BB170" s="9" t="n"/>
      <c r="BC170" s="9" t="n"/>
      <c r="BD170" s="9" t="n"/>
      <c r="BE170" s="9" t="n"/>
      <c r="BF170" s="9" t="n"/>
      <c r="BG170" s="9" t="n"/>
      <c r="BH170" s="9" t="n"/>
      <c r="BI170" s="9" t="n"/>
      <c r="BJ170" s="9" t="n"/>
      <c r="BK170" s="9" t="n"/>
      <c r="BL170" s="9" t="n"/>
      <c r="BM170" s="9" t="n"/>
      <c r="BN170" s="9" t="n"/>
      <c r="BO170" s="8" t="n"/>
      <c r="BP170" s="9" t="n"/>
      <c r="BQ170" s="9" t="n"/>
      <c r="BR170" s="13">
        <f>IF(COUNTIF(AI170:BM170,"N")+COUNTBLANK(AI170:BM170)=0,"Y","N")</f>
        <v/>
      </c>
      <c r="BS170" s="13">
        <f>IF(AND(BR170="Y",OR(L170="Submitted",L170="Under Review")),"Y",IF(L170="Closed","Y","N"))</f>
        <v/>
      </c>
      <c r="BT170" s="10" t="n"/>
      <c r="BU170" s="13">
        <f>Rule_Flags!Q169</f>
        <v/>
      </c>
      <c r="BV170" s="13">
        <f>Rule_Flags!P169</f>
        <v/>
      </c>
      <c r="BW170" s="13">
        <f>IF(Rule_Flags!E169=1,"SITE_CONTROL",IF(Rule_Flags!F169=1,"APPROVALS",IF(Rule_Flags!G169=1,"REPORTS",IF(Rule_Flags!H169=1,"DEFICIENCY",IF(Rule_Flags!I169=1,"UNDERWRITING",IF(Rule_Flags!J169=1,"COMPLIANCE",""))))))</f>
        <v/>
      </c>
      <c r="BX170" s="13">
        <f>IF(BW170="SITE_CONTROL","Site control missing or invalid",IF(BW170="APPROVALS","Required approvals or resolutions incomplete",IF(BW170="REPORTS","Required third-party reports incomplete",IF(BW170="DEFICIENCY","Unresolved deficiency or material deficiency",IF(BW170="UNDERWRITING","Underwriting / feasibility not passed",IF(BW170="COMPLIANCE","Deconcentration, one-mile, LURA, or Chapter 12 issue","Ready under current engine rules"))))))</f>
        <v/>
      </c>
      <c r="BY170" s="13">
        <f>IF(BV170="Determination Notice","Streamlined + DN-ready assumptions satisfied",IF(BV170="Board","Board-required or board-ready assumptions satisfied",""))</f>
        <v/>
      </c>
      <c r="BZ170" s="13">
        <f>IF(AND(BP170="Y",BQ170&lt;&gt;"Y"),"Carryforward project retains queue priority",IF(BQ170="Y","New project enters behind carryforward projects",""))</f>
        <v/>
      </c>
      <c r="CA170" s="13">
        <f>_xludf.RANK.EQ(Rule_Flags!O169,Rule_Flags!$O$3:$O$402,0)</f>
        <v/>
      </c>
      <c r="CB170" s="13">
        <f>IF(OR(BU170="Determination Notice Issued",BU170="Board",BU170="Closed"),"Y","N")</f>
        <v/>
      </c>
      <c r="CC170" s="9" t="n"/>
      <c r="CD170" s="9" t="n"/>
      <c r="CE170" s="9" t="n"/>
      <c r="CF170" s="9" t="n"/>
      <c r="CG170" s="9" t="n"/>
      <c r="CH170" s="9" t="n"/>
    </row>
    <row r="171">
      <c r="A171" s="8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8" t="n"/>
      <c r="L171" s="9" t="n"/>
      <c r="M171" s="8" t="n"/>
      <c r="N171" s="8" t="n"/>
      <c r="O171" s="8" t="n"/>
      <c r="P171" s="8" t="n"/>
      <c r="Q171" s="8" t="n"/>
      <c r="R171" s="9" t="n"/>
      <c r="S171" s="9" t="n"/>
      <c r="T171" s="10" t="n"/>
      <c r="U171" s="10" t="n"/>
      <c r="V171" s="9" t="n"/>
      <c r="W171" s="9" t="n"/>
      <c r="X171" s="9" t="n"/>
      <c r="Y171" s="9" t="n"/>
      <c r="Z171" s="11" t="n"/>
      <c r="AA171" s="11" t="n"/>
      <c r="AB171" s="11" t="n"/>
      <c r="AC171" s="11" t="n"/>
      <c r="AD171" s="11" t="n"/>
      <c r="AE171" s="11" t="n"/>
      <c r="AF171" s="9" t="n"/>
      <c r="AG171" s="9" t="n"/>
      <c r="AH171" s="9" t="n"/>
      <c r="AI171" s="9" t="n"/>
      <c r="AJ171" s="8" t="n"/>
      <c r="AK171" s="9" t="n"/>
      <c r="AL171" s="9" t="n"/>
      <c r="AM171" s="9" t="n"/>
      <c r="AN171" s="9" t="n"/>
      <c r="AO171" s="9" t="n"/>
      <c r="AP171" s="9" t="n"/>
      <c r="AQ171" s="9" t="n"/>
      <c r="AR171" s="9" t="n"/>
      <c r="AS171" s="9" t="n"/>
      <c r="AT171" s="8" t="n"/>
      <c r="AU171" s="8" t="n"/>
      <c r="AV171" s="9" t="n"/>
      <c r="AW171" s="8" t="n"/>
      <c r="AX171" s="9" t="n"/>
      <c r="AY171" s="9" t="n"/>
      <c r="AZ171" s="9" t="n"/>
      <c r="BA171" s="9" t="n"/>
      <c r="BB171" s="9" t="n"/>
      <c r="BC171" s="9" t="n"/>
      <c r="BD171" s="9" t="n"/>
      <c r="BE171" s="9" t="n"/>
      <c r="BF171" s="9" t="n"/>
      <c r="BG171" s="9" t="n"/>
      <c r="BH171" s="9" t="n"/>
      <c r="BI171" s="9" t="n"/>
      <c r="BJ171" s="9" t="n"/>
      <c r="BK171" s="9" t="n"/>
      <c r="BL171" s="9" t="n"/>
      <c r="BM171" s="9" t="n"/>
      <c r="BN171" s="9" t="n"/>
      <c r="BO171" s="8" t="n"/>
      <c r="BP171" s="9" t="n"/>
      <c r="BQ171" s="9" t="n"/>
      <c r="BR171" s="13">
        <f>IF(COUNTIF(AI171:BM171,"N")+COUNTBLANK(AI171:BM171)=0,"Y","N")</f>
        <v/>
      </c>
      <c r="BS171" s="13">
        <f>IF(AND(BR171="Y",OR(L171="Submitted",L171="Under Review")),"Y",IF(L171="Closed","Y","N"))</f>
        <v/>
      </c>
      <c r="BT171" s="10" t="n"/>
      <c r="BU171" s="13">
        <f>Rule_Flags!Q170</f>
        <v/>
      </c>
      <c r="BV171" s="13">
        <f>Rule_Flags!P170</f>
        <v/>
      </c>
      <c r="BW171" s="13">
        <f>IF(Rule_Flags!E170=1,"SITE_CONTROL",IF(Rule_Flags!F170=1,"APPROVALS",IF(Rule_Flags!G170=1,"REPORTS",IF(Rule_Flags!H170=1,"DEFICIENCY",IF(Rule_Flags!I170=1,"UNDERWRITING",IF(Rule_Flags!J170=1,"COMPLIANCE",""))))))</f>
        <v/>
      </c>
      <c r="BX171" s="13">
        <f>IF(BW171="SITE_CONTROL","Site control missing or invalid",IF(BW171="APPROVALS","Required approvals or resolutions incomplete",IF(BW171="REPORTS","Required third-party reports incomplete",IF(BW171="DEFICIENCY","Unresolved deficiency or material deficiency",IF(BW171="UNDERWRITING","Underwriting / feasibility not passed",IF(BW171="COMPLIANCE","Deconcentration, one-mile, LURA, or Chapter 12 issue","Ready under current engine rules"))))))</f>
        <v/>
      </c>
      <c r="BY171" s="13">
        <f>IF(BV171="Determination Notice","Streamlined + DN-ready assumptions satisfied",IF(BV171="Board","Board-required or board-ready assumptions satisfied",""))</f>
        <v/>
      </c>
      <c r="BZ171" s="13">
        <f>IF(AND(BP171="Y",BQ171&lt;&gt;"Y"),"Carryforward project retains queue priority",IF(BQ171="Y","New project enters behind carryforward projects",""))</f>
        <v/>
      </c>
      <c r="CA171" s="13">
        <f>_xludf.RANK.EQ(Rule_Flags!O170,Rule_Flags!$O$3:$O$402,0)</f>
        <v/>
      </c>
      <c r="CB171" s="13">
        <f>IF(OR(BU171="Determination Notice Issued",BU171="Board",BU171="Closed"),"Y","N")</f>
        <v/>
      </c>
      <c r="CC171" s="9" t="n"/>
      <c r="CD171" s="9" t="n"/>
      <c r="CE171" s="9" t="n"/>
      <c r="CF171" s="9" t="n"/>
      <c r="CG171" s="9" t="n"/>
      <c r="CH171" s="9" t="n"/>
    </row>
    <row r="172">
      <c r="A172" s="8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8" t="n"/>
      <c r="L172" s="9" t="n"/>
      <c r="M172" s="8" t="n"/>
      <c r="N172" s="8" t="n"/>
      <c r="O172" s="8" t="n"/>
      <c r="P172" s="8" t="n"/>
      <c r="Q172" s="8" t="n"/>
      <c r="R172" s="9" t="n"/>
      <c r="S172" s="9" t="n"/>
      <c r="T172" s="10" t="n"/>
      <c r="U172" s="10" t="n"/>
      <c r="V172" s="9" t="n"/>
      <c r="W172" s="9" t="n"/>
      <c r="X172" s="9" t="n"/>
      <c r="Y172" s="9" t="n"/>
      <c r="Z172" s="11" t="n"/>
      <c r="AA172" s="11" t="n"/>
      <c r="AB172" s="11" t="n"/>
      <c r="AC172" s="11" t="n"/>
      <c r="AD172" s="11" t="n"/>
      <c r="AE172" s="11" t="n"/>
      <c r="AF172" s="9" t="n"/>
      <c r="AG172" s="9" t="n"/>
      <c r="AH172" s="9" t="n"/>
      <c r="AI172" s="9" t="n"/>
      <c r="AJ172" s="8" t="n"/>
      <c r="AK172" s="9" t="n"/>
      <c r="AL172" s="9" t="n"/>
      <c r="AM172" s="9" t="n"/>
      <c r="AN172" s="9" t="n"/>
      <c r="AO172" s="9" t="n"/>
      <c r="AP172" s="9" t="n"/>
      <c r="AQ172" s="9" t="n"/>
      <c r="AR172" s="9" t="n"/>
      <c r="AS172" s="9" t="n"/>
      <c r="AT172" s="8" t="n"/>
      <c r="AU172" s="8" t="n"/>
      <c r="AV172" s="9" t="n"/>
      <c r="AW172" s="8" t="n"/>
      <c r="AX172" s="9" t="n"/>
      <c r="AY172" s="9" t="n"/>
      <c r="AZ172" s="9" t="n"/>
      <c r="BA172" s="9" t="n"/>
      <c r="BB172" s="9" t="n"/>
      <c r="BC172" s="9" t="n"/>
      <c r="BD172" s="9" t="n"/>
      <c r="BE172" s="9" t="n"/>
      <c r="BF172" s="9" t="n"/>
      <c r="BG172" s="9" t="n"/>
      <c r="BH172" s="9" t="n"/>
      <c r="BI172" s="9" t="n"/>
      <c r="BJ172" s="9" t="n"/>
      <c r="BK172" s="9" t="n"/>
      <c r="BL172" s="9" t="n"/>
      <c r="BM172" s="9" t="n"/>
      <c r="BN172" s="9" t="n"/>
      <c r="BO172" s="8" t="n"/>
      <c r="BP172" s="9" t="n"/>
      <c r="BQ172" s="9" t="n"/>
      <c r="BR172" s="13">
        <f>IF(COUNTIF(AI172:BM172,"N")+COUNTBLANK(AI172:BM172)=0,"Y","N")</f>
        <v/>
      </c>
      <c r="BS172" s="13">
        <f>IF(AND(BR172="Y",OR(L172="Submitted",L172="Under Review")),"Y",IF(L172="Closed","Y","N"))</f>
        <v/>
      </c>
      <c r="BT172" s="10" t="n"/>
      <c r="BU172" s="13">
        <f>Rule_Flags!Q171</f>
        <v/>
      </c>
      <c r="BV172" s="13">
        <f>Rule_Flags!P171</f>
        <v/>
      </c>
      <c r="BW172" s="13">
        <f>IF(Rule_Flags!E171=1,"SITE_CONTROL",IF(Rule_Flags!F171=1,"APPROVALS",IF(Rule_Flags!G171=1,"REPORTS",IF(Rule_Flags!H171=1,"DEFICIENCY",IF(Rule_Flags!I171=1,"UNDERWRITING",IF(Rule_Flags!J171=1,"COMPLIANCE",""))))))</f>
        <v/>
      </c>
      <c r="BX172" s="13">
        <f>IF(BW172="SITE_CONTROL","Site control missing or invalid",IF(BW172="APPROVALS","Required approvals or resolutions incomplete",IF(BW172="REPORTS","Required third-party reports incomplete",IF(BW172="DEFICIENCY","Unresolved deficiency or material deficiency",IF(BW172="UNDERWRITING","Underwriting / feasibility not passed",IF(BW172="COMPLIANCE","Deconcentration, one-mile, LURA, or Chapter 12 issue","Ready under current engine rules"))))))</f>
        <v/>
      </c>
      <c r="BY172" s="13">
        <f>IF(BV172="Determination Notice","Streamlined + DN-ready assumptions satisfied",IF(BV172="Board","Board-required or board-ready assumptions satisfied",""))</f>
        <v/>
      </c>
      <c r="BZ172" s="13">
        <f>IF(AND(BP172="Y",BQ172&lt;&gt;"Y"),"Carryforward project retains queue priority",IF(BQ172="Y","New project enters behind carryforward projects",""))</f>
        <v/>
      </c>
      <c r="CA172" s="13">
        <f>_xludf.RANK.EQ(Rule_Flags!O171,Rule_Flags!$O$3:$O$402,0)</f>
        <v/>
      </c>
      <c r="CB172" s="13">
        <f>IF(OR(BU172="Determination Notice Issued",BU172="Board",BU172="Closed"),"Y","N")</f>
        <v/>
      </c>
      <c r="CC172" s="9" t="n"/>
      <c r="CD172" s="9" t="n"/>
      <c r="CE172" s="9" t="n"/>
      <c r="CF172" s="9" t="n"/>
      <c r="CG172" s="9" t="n"/>
      <c r="CH172" s="9" t="n"/>
    </row>
    <row r="173">
      <c r="A173" s="8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8" t="n"/>
      <c r="L173" s="9" t="n"/>
      <c r="M173" s="8" t="n"/>
      <c r="N173" s="8" t="n"/>
      <c r="O173" s="8" t="n"/>
      <c r="P173" s="8" t="n"/>
      <c r="Q173" s="8" t="n"/>
      <c r="R173" s="9" t="n"/>
      <c r="S173" s="9" t="n"/>
      <c r="T173" s="10" t="n"/>
      <c r="U173" s="10" t="n"/>
      <c r="V173" s="9" t="n"/>
      <c r="W173" s="9" t="n"/>
      <c r="X173" s="9" t="n"/>
      <c r="Y173" s="9" t="n"/>
      <c r="Z173" s="11" t="n"/>
      <c r="AA173" s="11" t="n"/>
      <c r="AB173" s="11" t="n"/>
      <c r="AC173" s="11" t="n"/>
      <c r="AD173" s="11" t="n"/>
      <c r="AE173" s="11" t="n"/>
      <c r="AF173" s="9" t="n"/>
      <c r="AG173" s="9" t="n"/>
      <c r="AH173" s="9" t="n"/>
      <c r="AI173" s="9" t="n"/>
      <c r="AJ173" s="8" t="n"/>
      <c r="AK173" s="9" t="n"/>
      <c r="AL173" s="9" t="n"/>
      <c r="AM173" s="9" t="n"/>
      <c r="AN173" s="9" t="n"/>
      <c r="AO173" s="9" t="n"/>
      <c r="AP173" s="9" t="n"/>
      <c r="AQ173" s="9" t="n"/>
      <c r="AR173" s="9" t="n"/>
      <c r="AS173" s="9" t="n"/>
      <c r="AT173" s="8" t="n"/>
      <c r="AU173" s="8" t="n"/>
      <c r="AV173" s="9" t="n"/>
      <c r="AW173" s="8" t="n"/>
      <c r="AX173" s="9" t="n"/>
      <c r="AY173" s="9" t="n"/>
      <c r="AZ173" s="9" t="n"/>
      <c r="BA173" s="9" t="n"/>
      <c r="BB173" s="9" t="n"/>
      <c r="BC173" s="9" t="n"/>
      <c r="BD173" s="9" t="n"/>
      <c r="BE173" s="9" t="n"/>
      <c r="BF173" s="9" t="n"/>
      <c r="BG173" s="9" t="n"/>
      <c r="BH173" s="9" t="n"/>
      <c r="BI173" s="9" t="n"/>
      <c r="BJ173" s="9" t="n"/>
      <c r="BK173" s="9" t="n"/>
      <c r="BL173" s="9" t="n"/>
      <c r="BM173" s="9" t="n"/>
      <c r="BN173" s="9" t="n"/>
      <c r="BO173" s="8" t="n"/>
      <c r="BP173" s="9" t="n"/>
      <c r="BQ173" s="9" t="n"/>
      <c r="BR173" s="13">
        <f>IF(COUNTIF(AI173:BM173,"N")+COUNTBLANK(AI173:BM173)=0,"Y","N")</f>
        <v/>
      </c>
      <c r="BS173" s="13">
        <f>IF(AND(BR173="Y",OR(L173="Submitted",L173="Under Review")),"Y",IF(L173="Closed","Y","N"))</f>
        <v/>
      </c>
      <c r="BT173" s="10" t="n"/>
      <c r="BU173" s="13">
        <f>Rule_Flags!Q172</f>
        <v/>
      </c>
      <c r="BV173" s="13">
        <f>Rule_Flags!P172</f>
        <v/>
      </c>
      <c r="BW173" s="13">
        <f>IF(Rule_Flags!E172=1,"SITE_CONTROL",IF(Rule_Flags!F172=1,"APPROVALS",IF(Rule_Flags!G172=1,"REPORTS",IF(Rule_Flags!H172=1,"DEFICIENCY",IF(Rule_Flags!I172=1,"UNDERWRITING",IF(Rule_Flags!J172=1,"COMPLIANCE",""))))))</f>
        <v/>
      </c>
      <c r="BX173" s="13">
        <f>IF(BW173="SITE_CONTROL","Site control missing or invalid",IF(BW173="APPROVALS","Required approvals or resolutions incomplete",IF(BW173="REPORTS","Required third-party reports incomplete",IF(BW173="DEFICIENCY","Unresolved deficiency or material deficiency",IF(BW173="UNDERWRITING","Underwriting / feasibility not passed",IF(BW173="COMPLIANCE","Deconcentration, one-mile, LURA, or Chapter 12 issue","Ready under current engine rules"))))))</f>
        <v/>
      </c>
      <c r="BY173" s="13">
        <f>IF(BV173="Determination Notice","Streamlined + DN-ready assumptions satisfied",IF(BV173="Board","Board-required or board-ready assumptions satisfied",""))</f>
        <v/>
      </c>
      <c r="BZ173" s="13">
        <f>IF(AND(BP173="Y",BQ173&lt;&gt;"Y"),"Carryforward project retains queue priority",IF(BQ173="Y","New project enters behind carryforward projects",""))</f>
        <v/>
      </c>
      <c r="CA173" s="13">
        <f>_xludf.RANK.EQ(Rule_Flags!O172,Rule_Flags!$O$3:$O$402,0)</f>
        <v/>
      </c>
      <c r="CB173" s="13">
        <f>IF(OR(BU173="Determination Notice Issued",BU173="Board",BU173="Closed"),"Y","N")</f>
        <v/>
      </c>
      <c r="CC173" s="9" t="n"/>
      <c r="CD173" s="9" t="n"/>
      <c r="CE173" s="9" t="n"/>
      <c r="CF173" s="9" t="n"/>
      <c r="CG173" s="9" t="n"/>
      <c r="CH173" s="9" t="n"/>
    </row>
    <row r="174">
      <c r="A174" s="8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8" t="n"/>
      <c r="L174" s="9" t="n"/>
      <c r="M174" s="8" t="n"/>
      <c r="N174" s="8" t="n"/>
      <c r="O174" s="8" t="n"/>
      <c r="P174" s="8" t="n"/>
      <c r="Q174" s="8" t="n"/>
      <c r="R174" s="9" t="n"/>
      <c r="S174" s="9" t="n"/>
      <c r="T174" s="10" t="n"/>
      <c r="U174" s="10" t="n"/>
      <c r="V174" s="9" t="n"/>
      <c r="W174" s="9" t="n"/>
      <c r="X174" s="9" t="n"/>
      <c r="Y174" s="9" t="n"/>
      <c r="Z174" s="11" t="n"/>
      <c r="AA174" s="11" t="n"/>
      <c r="AB174" s="11" t="n"/>
      <c r="AC174" s="11" t="n"/>
      <c r="AD174" s="11" t="n"/>
      <c r="AE174" s="11" t="n"/>
      <c r="AF174" s="9" t="n"/>
      <c r="AG174" s="9" t="n"/>
      <c r="AH174" s="9" t="n"/>
      <c r="AI174" s="9" t="n"/>
      <c r="AJ174" s="8" t="n"/>
      <c r="AK174" s="9" t="n"/>
      <c r="AL174" s="9" t="n"/>
      <c r="AM174" s="9" t="n"/>
      <c r="AN174" s="9" t="n"/>
      <c r="AO174" s="9" t="n"/>
      <c r="AP174" s="9" t="n"/>
      <c r="AQ174" s="9" t="n"/>
      <c r="AR174" s="9" t="n"/>
      <c r="AS174" s="9" t="n"/>
      <c r="AT174" s="8" t="n"/>
      <c r="AU174" s="8" t="n"/>
      <c r="AV174" s="9" t="n"/>
      <c r="AW174" s="8" t="n"/>
      <c r="AX174" s="9" t="n"/>
      <c r="AY174" s="9" t="n"/>
      <c r="AZ174" s="9" t="n"/>
      <c r="BA174" s="9" t="n"/>
      <c r="BB174" s="9" t="n"/>
      <c r="BC174" s="9" t="n"/>
      <c r="BD174" s="9" t="n"/>
      <c r="BE174" s="9" t="n"/>
      <c r="BF174" s="9" t="n"/>
      <c r="BG174" s="9" t="n"/>
      <c r="BH174" s="9" t="n"/>
      <c r="BI174" s="9" t="n"/>
      <c r="BJ174" s="9" t="n"/>
      <c r="BK174" s="9" t="n"/>
      <c r="BL174" s="9" t="n"/>
      <c r="BM174" s="9" t="n"/>
      <c r="BN174" s="9" t="n"/>
      <c r="BO174" s="8" t="n"/>
      <c r="BP174" s="9" t="n"/>
      <c r="BQ174" s="9" t="n"/>
      <c r="BR174" s="13">
        <f>IF(COUNTIF(AI174:BM174,"N")+COUNTBLANK(AI174:BM174)=0,"Y","N")</f>
        <v/>
      </c>
      <c r="BS174" s="13">
        <f>IF(AND(BR174="Y",OR(L174="Submitted",L174="Under Review")),"Y",IF(L174="Closed","Y","N"))</f>
        <v/>
      </c>
      <c r="BT174" s="10" t="n"/>
      <c r="BU174" s="13">
        <f>Rule_Flags!Q173</f>
        <v/>
      </c>
      <c r="BV174" s="13">
        <f>Rule_Flags!P173</f>
        <v/>
      </c>
      <c r="BW174" s="13">
        <f>IF(Rule_Flags!E173=1,"SITE_CONTROL",IF(Rule_Flags!F173=1,"APPROVALS",IF(Rule_Flags!G173=1,"REPORTS",IF(Rule_Flags!H173=1,"DEFICIENCY",IF(Rule_Flags!I173=1,"UNDERWRITING",IF(Rule_Flags!J173=1,"COMPLIANCE",""))))))</f>
        <v/>
      </c>
      <c r="BX174" s="13">
        <f>IF(BW174="SITE_CONTROL","Site control missing or invalid",IF(BW174="APPROVALS","Required approvals or resolutions incomplete",IF(BW174="REPORTS","Required third-party reports incomplete",IF(BW174="DEFICIENCY","Unresolved deficiency or material deficiency",IF(BW174="UNDERWRITING","Underwriting / feasibility not passed",IF(BW174="COMPLIANCE","Deconcentration, one-mile, LURA, or Chapter 12 issue","Ready under current engine rules"))))))</f>
        <v/>
      </c>
      <c r="BY174" s="13">
        <f>IF(BV174="Determination Notice","Streamlined + DN-ready assumptions satisfied",IF(BV174="Board","Board-required or board-ready assumptions satisfied",""))</f>
        <v/>
      </c>
      <c r="BZ174" s="13">
        <f>IF(AND(BP174="Y",BQ174&lt;&gt;"Y"),"Carryforward project retains queue priority",IF(BQ174="Y","New project enters behind carryforward projects",""))</f>
        <v/>
      </c>
      <c r="CA174" s="13">
        <f>_xludf.RANK.EQ(Rule_Flags!O173,Rule_Flags!$O$3:$O$402,0)</f>
        <v/>
      </c>
      <c r="CB174" s="13">
        <f>IF(OR(BU174="Determination Notice Issued",BU174="Board",BU174="Closed"),"Y","N")</f>
        <v/>
      </c>
      <c r="CC174" s="9" t="n"/>
      <c r="CD174" s="9" t="n"/>
      <c r="CE174" s="9" t="n"/>
      <c r="CF174" s="9" t="n"/>
      <c r="CG174" s="9" t="n"/>
      <c r="CH174" s="9" t="n"/>
    </row>
    <row r="175">
      <c r="A175" s="8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8" t="n"/>
      <c r="L175" s="9" t="n"/>
      <c r="M175" s="8" t="n"/>
      <c r="N175" s="8" t="n"/>
      <c r="O175" s="8" t="n"/>
      <c r="P175" s="8" t="n"/>
      <c r="Q175" s="8" t="n"/>
      <c r="R175" s="9" t="n"/>
      <c r="S175" s="9" t="n"/>
      <c r="T175" s="10" t="n"/>
      <c r="U175" s="10" t="n"/>
      <c r="V175" s="9" t="n"/>
      <c r="W175" s="9" t="n"/>
      <c r="X175" s="9" t="n"/>
      <c r="Y175" s="9" t="n"/>
      <c r="Z175" s="11" t="n"/>
      <c r="AA175" s="11" t="n"/>
      <c r="AB175" s="11" t="n"/>
      <c r="AC175" s="11" t="n"/>
      <c r="AD175" s="11" t="n"/>
      <c r="AE175" s="11" t="n"/>
      <c r="AF175" s="9" t="n"/>
      <c r="AG175" s="9" t="n"/>
      <c r="AH175" s="9" t="n"/>
      <c r="AI175" s="9" t="n"/>
      <c r="AJ175" s="8" t="n"/>
      <c r="AK175" s="9" t="n"/>
      <c r="AL175" s="9" t="n"/>
      <c r="AM175" s="9" t="n"/>
      <c r="AN175" s="9" t="n"/>
      <c r="AO175" s="9" t="n"/>
      <c r="AP175" s="9" t="n"/>
      <c r="AQ175" s="9" t="n"/>
      <c r="AR175" s="9" t="n"/>
      <c r="AS175" s="9" t="n"/>
      <c r="AT175" s="8" t="n"/>
      <c r="AU175" s="8" t="n"/>
      <c r="AV175" s="9" t="n"/>
      <c r="AW175" s="8" t="n"/>
      <c r="AX175" s="9" t="n"/>
      <c r="AY175" s="9" t="n"/>
      <c r="AZ175" s="9" t="n"/>
      <c r="BA175" s="9" t="n"/>
      <c r="BB175" s="9" t="n"/>
      <c r="BC175" s="9" t="n"/>
      <c r="BD175" s="9" t="n"/>
      <c r="BE175" s="9" t="n"/>
      <c r="BF175" s="9" t="n"/>
      <c r="BG175" s="9" t="n"/>
      <c r="BH175" s="9" t="n"/>
      <c r="BI175" s="9" t="n"/>
      <c r="BJ175" s="9" t="n"/>
      <c r="BK175" s="9" t="n"/>
      <c r="BL175" s="9" t="n"/>
      <c r="BM175" s="9" t="n"/>
      <c r="BN175" s="9" t="n"/>
      <c r="BO175" s="8" t="n"/>
      <c r="BP175" s="9" t="n"/>
      <c r="BQ175" s="9" t="n"/>
      <c r="BR175" s="13">
        <f>IF(COUNTIF(AI175:BM175,"N")+COUNTBLANK(AI175:BM175)=0,"Y","N")</f>
        <v/>
      </c>
      <c r="BS175" s="13">
        <f>IF(AND(BR175="Y",OR(L175="Submitted",L175="Under Review")),"Y",IF(L175="Closed","Y","N"))</f>
        <v/>
      </c>
      <c r="BT175" s="10" t="n"/>
      <c r="BU175" s="13">
        <f>Rule_Flags!Q174</f>
        <v/>
      </c>
      <c r="BV175" s="13">
        <f>Rule_Flags!P174</f>
        <v/>
      </c>
      <c r="BW175" s="13">
        <f>IF(Rule_Flags!E174=1,"SITE_CONTROL",IF(Rule_Flags!F174=1,"APPROVALS",IF(Rule_Flags!G174=1,"REPORTS",IF(Rule_Flags!H174=1,"DEFICIENCY",IF(Rule_Flags!I174=1,"UNDERWRITING",IF(Rule_Flags!J174=1,"COMPLIANCE",""))))))</f>
        <v/>
      </c>
      <c r="BX175" s="13">
        <f>IF(BW175="SITE_CONTROL","Site control missing or invalid",IF(BW175="APPROVALS","Required approvals or resolutions incomplete",IF(BW175="REPORTS","Required third-party reports incomplete",IF(BW175="DEFICIENCY","Unresolved deficiency or material deficiency",IF(BW175="UNDERWRITING","Underwriting / feasibility not passed",IF(BW175="COMPLIANCE","Deconcentration, one-mile, LURA, or Chapter 12 issue","Ready under current engine rules"))))))</f>
        <v/>
      </c>
      <c r="BY175" s="13">
        <f>IF(BV175="Determination Notice","Streamlined + DN-ready assumptions satisfied",IF(BV175="Board","Board-required or board-ready assumptions satisfied",""))</f>
        <v/>
      </c>
      <c r="BZ175" s="13">
        <f>IF(AND(BP175="Y",BQ175&lt;&gt;"Y"),"Carryforward project retains queue priority",IF(BQ175="Y","New project enters behind carryforward projects",""))</f>
        <v/>
      </c>
      <c r="CA175" s="13">
        <f>_xludf.RANK.EQ(Rule_Flags!O174,Rule_Flags!$O$3:$O$402,0)</f>
        <v/>
      </c>
      <c r="CB175" s="13">
        <f>IF(OR(BU175="Determination Notice Issued",BU175="Board",BU175="Closed"),"Y","N")</f>
        <v/>
      </c>
      <c r="CC175" s="9" t="n"/>
      <c r="CD175" s="9" t="n"/>
      <c r="CE175" s="9" t="n"/>
      <c r="CF175" s="9" t="n"/>
      <c r="CG175" s="9" t="n"/>
      <c r="CH175" s="9" t="n"/>
    </row>
    <row r="176">
      <c r="A176" s="8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8" t="n"/>
      <c r="L176" s="9" t="n"/>
      <c r="M176" s="8" t="n"/>
      <c r="N176" s="8" t="n"/>
      <c r="O176" s="8" t="n"/>
      <c r="P176" s="8" t="n"/>
      <c r="Q176" s="8" t="n"/>
      <c r="R176" s="9" t="n"/>
      <c r="S176" s="9" t="n"/>
      <c r="T176" s="10" t="n"/>
      <c r="U176" s="10" t="n"/>
      <c r="V176" s="9" t="n"/>
      <c r="W176" s="9" t="n"/>
      <c r="X176" s="9" t="n"/>
      <c r="Y176" s="9" t="n"/>
      <c r="Z176" s="11" t="n"/>
      <c r="AA176" s="11" t="n"/>
      <c r="AB176" s="11" t="n"/>
      <c r="AC176" s="11" t="n"/>
      <c r="AD176" s="11" t="n"/>
      <c r="AE176" s="11" t="n"/>
      <c r="AF176" s="9" t="n"/>
      <c r="AG176" s="9" t="n"/>
      <c r="AH176" s="9" t="n"/>
      <c r="AI176" s="9" t="n"/>
      <c r="AJ176" s="8" t="n"/>
      <c r="AK176" s="9" t="n"/>
      <c r="AL176" s="9" t="n"/>
      <c r="AM176" s="9" t="n"/>
      <c r="AN176" s="9" t="n"/>
      <c r="AO176" s="9" t="n"/>
      <c r="AP176" s="9" t="n"/>
      <c r="AQ176" s="9" t="n"/>
      <c r="AR176" s="9" t="n"/>
      <c r="AS176" s="9" t="n"/>
      <c r="AT176" s="8" t="n"/>
      <c r="AU176" s="8" t="n"/>
      <c r="AV176" s="9" t="n"/>
      <c r="AW176" s="8" t="n"/>
      <c r="AX176" s="9" t="n"/>
      <c r="AY176" s="9" t="n"/>
      <c r="AZ176" s="9" t="n"/>
      <c r="BA176" s="9" t="n"/>
      <c r="BB176" s="9" t="n"/>
      <c r="BC176" s="9" t="n"/>
      <c r="BD176" s="9" t="n"/>
      <c r="BE176" s="9" t="n"/>
      <c r="BF176" s="9" t="n"/>
      <c r="BG176" s="9" t="n"/>
      <c r="BH176" s="9" t="n"/>
      <c r="BI176" s="9" t="n"/>
      <c r="BJ176" s="9" t="n"/>
      <c r="BK176" s="9" t="n"/>
      <c r="BL176" s="9" t="n"/>
      <c r="BM176" s="9" t="n"/>
      <c r="BN176" s="9" t="n"/>
      <c r="BO176" s="8" t="n"/>
      <c r="BP176" s="9" t="n"/>
      <c r="BQ176" s="9" t="n"/>
      <c r="BR176" s="13">
        <f>IF(COUNTIF(AI176:BM176,"N")+COUNTBLANK(AI176:BM176)=0,"Y","N")</f>
        <v/>
      </c>
      <c r="BS176" s="13">
        <f>IF(AND(BR176="Y",OR(L176="Submitted",L176="Under Review")),"Y",IF(L176="Closed","Y","N"))</f>
        <v/>
      </c>
      <c r="BT176" s="10" t="n"/>
      <c r="BU176" s="13">
        <f>Rule_Flags!Q175</f>
        <v/>
      </c>
      <c r="BV176" s="13">
        <f>Rule_Flags!P175</f>
        <v/>
      </c>
      <c r="BW176" s="13">
        <f>IF(Rule_Flags!E175=1,"SITE_CONTROL",IF(Rule_Flags!F175=1,"APPROVALS",IF(Rule_Flags!G175=1,"REPORTS",IF(Rule_Flags!H175=1,"DEFICIENCY",IF(Rule_Flags!I175=1,"UNDERWRITING",IF(Rule_Flags!J175=1,"COMPLIANCE",""))))))</f>
        <v/>
      </c>
      <c r="BX176" s="13">
        <f>IF(BW176="SITE_CONTROL","Site control missing or invalid",IF(BW176="APPROVALS","Required approvals or resolutions incomplete",IF(BW176="REPORTS","Required third-party reports incomplete",IF(BW176="DEFICIENCY","Unresolved deficiency or material deficiency",IF(BW176="UNDERWRITING","Underwriting / feasibility not passed",IF(BW176="COMPLIANCE","Deconcentration, one-mile, LURA, or Chapter 12 issue","Ready under current engine rules"))))))</f>
        <v/>
      </c>
      <c r="BY176" s="13">
        <f>IF(BV176="Determination Notice","Streamlined + DN-ready assumptions satisfied",IF(BV176="Board","Board-required or board-ready assumptions satisfied",""))</f>
        <v/>
      </c>
      <c r="BZ176" s="13">
        <f>IF(AND(BP176="Y",BQ176&lt;&gt;"Y"),"Carryforward project retains queue priority",IF(BQ176="Y","New project enters behind carryforward projects",""))</f>
        <v/>
      </c>
      <c r="CA176" s="13">
        <f>_xludf.RANK.EQ(Rule_Flags!O175,Rule_Flags!$O$3:$O$402,0)</f>
        <v/>
      </c>
      <c r="CB176" s="13">
        <f>IF(OR(BU176="Determination Notice Issued",BU176="Board",BU176="Closed"),"Y","N")</f>
        <v/>
      </c>
      <c r="CC176" s="9" t="n"/>
      <c r="CD176" s="9" t="n"/>
      <c r="CE176" s="9" t="n"/>
      <c r="CF176" s="9" t="n"/>
      <c r="CG176" s="9" t="n"/>
      <c r="CH176" s="9" t="n"/>
    </row>
    <row r="177">
      <c r="A177" s="8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8" t="n"/>
      <c r="L177" s="9" t="n"/>
      <c r="M177" s="8" t="n"/>
      <c r="N177" s="8" t="n"/>
      <c r="O177" s="8" t="n"/>
      <c r="P177" s="8" t="n"/>
      <c r="Q177" s="8" t="n"/>
      <c r="R177" s="9" t="n"/>
      <c r="S177" s="9" t="n"/>
      <c r="T177" s="10" t="n"/>
      <c r="U177" s="10" t="n"/>
      <c r="V177" s="9" t="n"/>
      <c r="W177" s="9" t="n"/>
      <c r="X177" s="9" t="n"/>
      <c r="Y177" s="9" t="n"/>
      <c r="Z177" s="11" t="n"/>
      <c r="AA177" s="11" t="n"/>
      <c r="AB177" s="11" t="n"/>
      <c r="AC177" s="11" t="n"/>
      <c r="AD177" s="11" t="n"/>
      <c r="AE177" s="11" t="n"/>
      <c r="AF177" s="9" t="n"/>
      <c r="AG177" s="9" t="n"/>
      <c r="AH177" s="9" t="n"/>
      <c r="AI177" s="9" t="n"/>
      <c r="AJ177" s="8" t="n"/>
      <c r="AK177" s="9" t="n"/>
      <c r="AL177" s="9" t="n"/>
      <c r="AM177" s="9" t="n"/>
      <c r="AN177" s="9" t="n"/>
      <c r="AO177" s="9" t="n"/>
      <c r="AP177" s="9" t="n"/>
      <c r="AQ177" s="9" t="n"/>
      <c r="AR177" s="9" t="n"/>
      <c r="AS177" s="9" t="n"/>
      <c r="AT177" s="8" t="n"/>
      <c r="AU177" s="8" t="n"/>
      <c r="AV177" s="9" t="n"/>
      <c r="AW177" s="8" t="n"/>
      <c r="AX177" s="9" t="n"/>
      <c r="AY177" s="9" t="n"/>
      <c r="AZ177" s="9" t="n"/>
      <c r="BA177" s="9" t="n"/>
      <c r="BB177" s="9" t="n"/>
      <c r="BC177" s="9" t="n"/>
      <c r="BD177" s="9" t="n"/>
      <c r="BE177" s="9" t="n"/>
      <c r="BF177" s="9" t="n"/>
      <c r="BG177" s="9" t="n"/>
      <c r="BH177" s="9" t="n"/>
      <c r="BI177" s="9" t="n"/>
      <c r="BJ177" s="9" t="n"/>
      <c r="BK177" s="9" t="n"/>
      <c r="BL177" s="9" t="n"/>
      <c r="BM177" s="9" t="n"/>
      <c r="BN177" s="9" t="n"/>
      <c r="BO177" s="8" t="n"/>
      <c r="BP177" s="9" t="n"/>
      <c r="BQ177" s="9" t="n"/>
      <c r="BR177" s="13">
        <f>IF(COUNTIF(AI177:BM177,"N")+COUNTBLANK(AI177:BM177)=0,"Y","N")</f>
        <v/>
      </c>
      <c r="BS177" s="13">
        <f>IF(AND(BR177="Y",OR(L177="Submitted",L177="Under Review")),"Y",IF(L177="Closed","Y","N"))</f>
        <v/>
      </c>
      <c r="BT177" s="10" t="n"/>
      <c r="BU177" s="13">
        <f>Rule_Flags!Q176</f>
        <v/>
      </c>
      <c r="BV177" s="13">
        <f>Rule_Flags!P176</f>
        <v/>
      </c>
      <c r="BW177" s="13">
        <f>IF(Rule_Flags!E176=1,"SITE_CONTROL",IF(Rule_Flags!F176=1,"APPROVALS",IF(Rule_Flags!G176=1,"REPORTS",IF(Rule_Flags!H176=1,"DEFICIENCY",IF(Rule_Flags!I176=1,"UNDERWRITING",IF(Rule_Flags!J176=1,"COMPLIANCE",""))))))</f>
        <v/>
      </c>
      <c r="BX177" s="13">
        <f>IF(BW177="SITE_CONTROL","Site control missing or invalid",IF(BW177="APPROVALS","Required approvals or resolutions incomplete",IF(BW177="REPORTS","Required third-party reports incomplete",IF(BW177="DEFICIENCY","Unresolved deficiency or material deficiency",IF(BW177="UNDERWRITING","Underwriting / feasibility not passed",IF(BW177="COMPLIANCE","Deconcentration, one-mile, LURA, or Chapter 12 issue","Ready under current engine rules"))))))</f>
        <v/>
      </c>
      <c r="BY177" s="13">
        <f>IF(BV177="Determination Notice","Streamlined + DN-ready assumptions satisfied",IF(BV177="Board","Board-required or board-ready assumptions satisfied",""))</f>
        <v/>
      </c>
      <c r="BZ177" s="13">
        <f>IF(AND(BP177="Y",BQ177&lt;&gt;"Y"),"Carryforward project retains queue priority",IF(BQ177="Y","New project enters behind carryforward projects",""))</f>
        <v/>
      </c>
      <c r="CA177" s="13">
        <f>_xludf.RANK.EQ(Rule_Flags!O176,Rule_Flags!$O$3:$O$402,0)</f>
        <v/>
      </c>
      <c r="CB177" s="13">
        <f>IF(OR(BU177="Determination Notice Issued",BU177="Board",BU177="Closed"),"Y","N")</f>
        <v/>
      </c>
      <c r="CC177" s="9" t="n"/>
      <c r="CD177" s="9" t="n"/>
      <c r="CE177" s="9" t="n"/>
      <c r="CF177" s="9" t="n"/>
      <c r="CG177" s="9" t="n"/>
      <c r="CH177" s="9" t="n"/>
    </row>
    <row r="178">
      <c r="A178" s="8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8" t="n"/>
      <c r="L178" s="9" t="n"/>
      <c r="M178" s="8" t="n"/>
      <c r="N178" s="8" t="n"/>
      <c r="O178" s="8" t="n"/>
      <c r="P178" s="8" t="n"/>
      <c r="Q178" s="8" t="n"/>
      <c r="R178" s="9" t="n"/>
      <c r="S178" s="9" t="n"/>
      <c r="T178" s="10" t="n"/>
      <c r="U178" s="10" t="n"/>
      <c r="V178" s="9" t="n"/>
      <c r="W178" s="9" t="n"/>
      <c r="X178" s="9" t="n"/>
      <c r="Y178" s="9" t="n"/>
      <c r="Z178" s="11" t="n"/>
      <c r="AA178" s="11" t="n"/>
      <c r="AB178" s="11" t="n"/>
      <c r="AC178" s="11" t="n"/>
      <c r="AD178" s="11" t="n"/>
      <c r="AE178" s="11" t="n"/>
      <c r="AF178" s="9" t="n"/>
      <c r="AG178" s="9" t="n"/>
      <c r="AH178" s="9" t="n"/>
      <c r="AI178" s="9" t="n"/>
      <c r="AJ178" s="8" t="n"/>
      <c r="AK178" s="9" t="n"/>
      <c r="AL178" s="9" t="n"/>
      <c r="AM178" s="9" t="n"/>
      <c r="AN178" s="9" t="n"/>
      <c r="AO178" s="9" t="n"/>
      <c r="AP178" s="9" t="n"/>
      <c r="AQ178" s="9" t="n"/>
      <c r="AR178" s="9" t="n"/>
      <c r="AS178" s="9" t="n"/>
      <c r="AT178" s="8" t="n"/>
      <c r="AU178" s="8" t="n"/>
      <c r="AV178" s="9" t="n"/>
      <c r="AW178" s="8" t="n"/>
      <c r="AX178" s="9" t="n"/>
      <c r="AY178" s="9" t="n"/>
      <c r="AZ178" s="9" t="n"/>
      <c r="BA178" s="9" t="n"/>
      <c r="BB178" s="9" t="n"/>
      <c r="BC178" s="9" t="n"/>
      <c r="BD178" s="9" t="n"/>
      <c r="BE178" s="9" t="n"/>
      <c r="BF178" s="9" t="n"/>
      <c r="BG178" s="9" t="n"/>
      <c r="BH178" s="9" t="n"/>
      <c r="BI178" s="9" t="n"/>
      <c r="BJ178" s="9" t="n"/>
      <c r="BK178" s="9" t="n"/>
      <c r="BL178" s="9" t="n"/>
      <c r="BM178" s="9" t="n"/>
      <c r="BN178" s="9" t="n"/>
      <c r="BO178" s="8" t="n"/>
      <c r="BP178" s="9" t="n"/>
      <c r="BQ178" s="9" t="n"/>
      <c r="BR178" s="13">
        <f>IF(COUNTIF(AI178:BM178,"N")+COUNTBLANK(AI178:BM178)=0,"Y","N")</f>
        <v/>
      </c>
      <c r="BS178" s="13">
        <f>IF(AND(BR178="Y",OR(L178="Submitted",L178="Under Review")),"Y",IF(L178="Closed","Y","N"))</f>
        <v/>
      </c>
      <c r="BT178" s="10" t="n"/>
      <c r="BU178" s="13">
        <f>Rule_Flags!Q177</f>
        <v/>
      </c>
      <c r="BV178" s="13">
        <f>Rule_Flags!P177</f>
        <v/>
      </c>
      <c r="BW178" s="13">
        <f>IF(Rule_Flags!E177=1,"SITE_CONTROL",IF(Rule_Flags!F177=1,"APPROVALS",IF(Rule_Flags!G177=1,"REPORTS",IF(Rule_Flags!H177=1,"DEFICIENCY",IF(Rule_Flags!I177=1,"UNDERWRITING",IF(Rule_Flags!J177=1,"COMPLIANCE",""))))))</f>
        <v/>
      </c>
      <c r="BX178" s="13">
        <f>IF(BW178="SITE_CONTROL","Site control missing or invalid",IF(BW178="APPROVALS","Required approvals or resolutions incomplete",IF(BW178="REPORTS","Required third-party reports incomplete",IF(BW178="DEFICIENCY","Unresolved deficiency or material deficiency",IF(BW178="UNDERWRITING","Underwriting / feasibility not passed",IF(BW178="COMPLIANCE","Deconcentration, one-mile, LURA, or Chapter 12 issue","Ready under current engine rules"))))))</f>
        <v/>
      </c>
      <c r="BY178" s="13">
        <f>IF(BV178="Determination Notice","Streamlined + DN-ready assumptions satisfied",IF(BV178="Board","Board-required or board-ready assumptions satisfied",""))</f>
        <v/>
      </c>
      <c r="BZ178" s="13">
        <f>IF(AND(BP178="Y",BQ178&lt;&gt;"Y"),"Carryforward project retains queue priority",IF(BQ178="Y","New project enters behind carryforward projects",""))</f>
        <v/>
      </c>
      <c r="CA178" s="13">
        <f>_xludf.RANK.EQ(Rule_Flags!O177,Rule_Flags!$O$3:$O$402,0)</f>
        <v/>
      </c>
      <c r="CB178" s="13">
        <f>IF(OR(BU178="Determination Notice Issued",BU178="Board",BU178="Closed"),"Y","N")</f>
        <v/>
      </c>
      <c r="CC178" s="9" t="n"/>
      <c r="CD178" s="9" t="n"/>
      <c r="CE178" s="9" t="n"/>
      <c r="CF178" s="9" t="n"/>
      <c r="CG178" s="9" t="n"/>
      <c r="CH178" s="9" t="n"/>
    </row>
    <row r="179">
      <c r="A179" s="8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8" t="n"/>
      <c r="L179" s="9" t="n"/>
      <c r="M179" s="8" t="n"/>
      <c r="N179" s="8" t="n"/>
      <c r="O179" s="8" t="n"/>
      <c r="P179" s="8" t="n"/>
      <c r="Q179" s="8" t="n"/>
      <c r="R179" s="9" t="n"/>
      <c r="S179" s="9" t="n"/>
      <c r="T179" s="10" t="n"/>
      <c r="U179" s="10" t="n"/>
      <c r="V179" s="9" t="n"/>
      <c r="W179" s="9" t="n"/>
      <c r="X179" s="9" t="n"/>
      <c r="Y179" s="9" t="n"/>
      <c r="Z179" s="11" t="n"/>
      <c r="AA179" s="11" t="n"/>
      <c r="AB179" s="11" t="n"/>
      <c r="AC179" s="11" t="n"/>
      <c r="AD179" s="11" t="n"/>
      <c r="AE179" s="11" t="n"/>
      <c r="AF179" s="9" t="n"/>
      <c r="AG179" s="9" t="n"/>
      <c r="AH179" s="9" t="n"/>
      <c r="AI179" s="9" t="n"/>
      <c r="AJ179" s="8" t="n"/>
      <c r="AK179" s="9" t="n"/>
      <c r="AL179" s="9" t="n"/>
      <c r="AM179" s="9" t="n"/>
      <c r="AN179" s="9" t="n"/>
      <c r="AO179" s="9" t="n"/>
      <c r="AP179" s="9" t="n"/>
      <c r="AQ179" s="9" t="n"/>
      <c r="AR179" s="9" t="n"/>
      <c r="AS179" s="9" t="n"/>
      <c r="AT179" s="8" t="n"/>
      <c r="AU179" s="8" t="n"/>
      <c r="AV179" s="9" t="n"/>
      <c r="AW179" s="8" t="n"/>
      <c r="AX179" s="9" t="n"/>
      <c r="AY179" s="9" t="n"/>
      <c r="AZ179" s="9" t="n"/>
      <c r="BA179" s="9" t="n"/>
      <c r="BB179" s="9" t="n"/>
      <c r="BC179" s="9" t="n"/>
      <c r="BD179" s="9" t="n"/>
      <c r="BE179" s="9" t="n"/>
      <c r="BF179" s="9" t="n"/>
      <c r="BG179" s="9" t="n"/>
      <c r="BH179" s="9" t="n"/>
      <c r="BI179" s="9" t="n"/>
      <c r="BJ179" s="9" t="n"/>
      <c r="BK179" s="9" t="n"/>
      <c r="BL179" s="9" t="n"/>
      <c r="BM179" s="9" t="n"/>
      <c r="BN179" s="9" t="n"/>
      <c r="BO179" s="8" t="n"/>
      <c r="BP179" s="9" t="n"/>
      <c r="BQ179" s="9" t="n"/>
      <c r="BR179" s="13">
        <f>IF(COUNTIF(AI179:BM179,"N")+COUNTBLANK(AI179:BM179)=0,"Y","N")</f>
        <v/>
      </c>
      <c r="BS179" s="13">
        <f>IF(AND(BR179="Y",OR(L179="Submitted",L179="Under Review")),"Y",IF(L179="Closed","Y","N"))</f>
        <v/>
      </c>
      <c r="BT179" s="10" t="n"/>
      <c r="BU179" s="13">
        <f>Rule_Flags!Q178</f>
        <v/>
      </c>
      <c r="BV179" s="13">
        <f>Rule_Flags!P178</f>
        <v/>
      </c>
      <c r="BW179" s="13">
        <f>IF(Rule_Flags!E178=1,"SITE_CONTROL",IF(Rule_Flags!F178=1,"APPROVALS",IF(Rule_Flags!G178=1,"REPORTS",IF(Rule_Flags!H178=1,"DEFICIENCY",IF(Rule_Flags!I178=1,"UNDERWRITING",IF(Rule_Flags!J178=1,"COMPLIANCE",""))))))</f>
        <v/>
      </c>
      <c r="BX179" s="13">
        <f>IF(BW179="SITE_CONTROL","Site control missing or invalid",IF(BW179="APPROVALS","Required approvals or resolutions incomplete",IF(BW179="REPORTS","Required third-party reports incomplete",IF(BW179="DEFICIENCY","Unresolved deficiency or material deficiency",IF(BW179="UNDERWRITING","Underwriting / feasibility not passed",IF(BW179="COMPLIANCE","Deconcentration, one-mile, LURA, or Chapter 12 issue","Ready under current engine rules"))))))</f>
        <v/>
      </c>
      <c r="BY179" s="13">
        <f>IF(BV179="Determination Notice","Streamlined + DN-ready assumptions satisfied",IF(BV179="Board","Board-required or board-ready assumptions satisfied",""))</f>
        <v/>
      </c>
      <c r="BZ179" s="13">
        <f>IF(AND(BP179="Y",BQ179&lt;&gt;"Y"),"Carryforward project retains queue priority",IF(BQ179="Y","New project enters behind carryforward projects",""))</f>
        <v/>
      </c>
      <c r="CA179" s="13">
        <f>_xludf.RANK.EQ(Rule_Flags!O178,Rule_Flags!$O$3:$O$402,0)</f>
        <v/>
      </c>
      <c r="CB179" s="13">
        <f>IF(OR(BU179="Determination Notice Issued",BU179="Board",BU179="Closed"),"Y","N")</f>
        <v/>
      </c>
      <c r="CC179" s="9" t="n"/>
      <c r="CD179" s="9" t="n"/>
      <c r="CE179" s="9" t="n"/>
      <c r="CF179" s="9" t="n"/>
      <c r="CG179" s="9" t="n"/>
      <c r="CH179" s="9" t="n"/>
    </row>
    <row r="180">
      <c r="A180" s="8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8" t="n"/>
      <c r="L180" s="9" t="n"/>
      <c r="M180" s="8" t="n"/>
      <c r="N180" s="8" t="n"/>
      <c r="O180" s="8" t="n"/>
      <c r="P180" s="8" t="n"/>
      <c r="Q180" s="8" t="n"/>
      <c r="R180" s="9" t="n"/>
      <c r="S180" s="9" t="n"/>
      <c r="T180" s="10" t="n"/>
      <c r="U180" s="10" t="n"/>
      <c r="V180" s="9" t="n"/>
      <c r="W180" s="9" t="n"/>
      <c r="X180" s="9" t="n"/>
      <c r="Y180" s="9" t="n"/>
      <c r="Z180" s="11" t="n"/>
      <c r="AA180" s="11" t="n"/>
      <c r="AB180" s="11" t="n"/>
      <c r="AC180" s="11" t="n"/>
      <c r="AD180" s="11" t="n"/>
      <c r="AE180" s="11" t="n"/>
      <c r="AF180" s="9" t="n"/>
      <c r="AG180" s="9" t="n"/>
      <c r="AH180" s="9" t="n"/>
      <c r="AI180" s="9" t="n"/>
      <c r="AJ180" s="8" t="n"/>
      <c r="AK180" s="9" t="n"/>
      <c r="AL180" s="9" t="n"/>
      <c r="AM180" s="9" t="n"/>
      <c r="AN180" s="9" t="n"/>
      <c r="AO180" s="9" t="n"/>
      <c r="AP180" s="9" t="n"/>
      <c r="AQ180" s="9" t="n"/>
      <c r="AR180" s="9" t="n"/>
      <c r="AS180" s="9" t="n"/>
      <c r="AT180" s="8" t="n"/>
      <c r="AU180" s="8" t="n"/>
      <c r="AV180" s="9" t="n"/>
      <c r="AW180" s="8" t="n"/>
      <c r="AX180" s="9" t="n"/>
      <c r="AY180" s="9" t="n"/>
      <c r="AZ180" s="9" t="n"/>
      <c r="BA180" s="9" t="n"/>
      <c r="BB180" s="9" t="n"/>
      <c r="BC180" s="9" t="n"/>
      <c r="BD180" s="9" t="n"/>
      <c r="BE180" s="9" t="n"/>
      <c r="BF180" s="9" t="n"/>
      <c r="BG180" s="9" t="n"/>
      <c r="BH180" s="9" t="n"/>
      <c r="BI180" s="9" t="n"/>
      <c r="BJ180" s="9" t="n"/>
      <c r="BK180" s="9" t="n"/>
      <c r="BL180" s="9" t="n"/>
      <c r="BM180" s="9" t="n"/>
      <c r="BN180" s="9" t="n"/>
      <c r="BO180" s="8" t="n"/>
      <c r="BP180" s="9" t="n"/>
      <c r="BQ180" s="9" t="n"/>
      <c r="BR180" s="13">
        <f>IF(COUNTIF(AI180:BM180,"N")+COUNTBLANK(AI180:BM180)=0,"Y","N")</f>
        <v/>
      </c>
      <c r="BS180" s="13">
        <f>IF(AND(BR180="Y",OR(L180="Submitted",L180="Under Review")),"Y",IF(L180="Closed","Y","N"))</f>
        <v/>
      </c>
      <c r="BT180" s="10" t="n"/>
      <c r="BU180" s="13">
        <f>Rule_Flags!Q179</f>
        <v/>
      </c>
      <c r="BV180" s="13">
        <f>Rule_Flags!P179</f>
        <v/>
      </c>
      <c r="BW180" s="13">
        <f>IF(Rule_Flags!E179=1,"SITE_CONTROL",IF(Rule_Flags!F179=1,"APPROVALS",IF(Rule_Flags!G179=1,"REPORTS",IF(Rule_Flags!H179=1,"DEFICIENCY",IF(Rule_Flags!I179=1,"UNDERWRITING",IF(Rule_Flags!J179=1,"COMPLIANCE",""))))))</f>
        <v/>
      </c>
      <c r="BX180" s="13">
        <f>IF(BW180="SITE_CONTROL","Site control missing or invalid",IF(BW180="APPROVALS","Required approvals or resolutions incomplete",IF(BW180="REPORTS","Required third-party reports incomplete",IF(BW180="DEFICIENCY","Unresolved deficiency or material deficiency",IF(BW180="UNDERWRITING","Underwriting / feasibility not passed",IF(BW180="COMPLIANCE","Deconcentration, one-mile, LURA, or Chapter 12 issue","Ready under current engine rules"))))))</f>
        <v/>
      </c>
      <c r="BY180" s="13">
        <f>IF(BV180="Determination Notice","Streamlined + DN-ready assumptions satisfied",IF(BV180="Board","Board-required or board-ready assumptions satisfied",""))</f>
        <v/>
      </c>
      <c r="BZ180" s="13">
        <f>IF(AND(BP180="Y",BQ180&lt;&gt;"Y"),"Carryforward project retains queue priority",IF(BQ180="Y","New project enters behind carryforward projects",""))</f>
        <v/>
      </c>
      <c r="CA180" s="13">
        <f>_xludf.RANK.EQ(Rule_Flags!O179,Rule_Flags!$O$3:$O$402,0)</f>
        <v/>
      </c>
      <c r="CB180" s="13">
        <f>IF(OR(BU180="Determination Notice Issued",BU180="Board",BU180="Closed"),"Y","N")</f>
        <v/>
      </c>
      <c r="CC180" s="9" t="n"/>
      <c r="CD180" s="9" t="n"/>
      <c r="CE180" s="9" t="n"/>
      <c r="CF180" s="9" t="n"/>
      <c r="CG180" s="9" t="n"/>
      <c r="CH180" s="9" t="n"/>
    </row>
    <row r="181">
      <c r="A181" s="8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8" t="n"/>
      <c r="L181" s="9" t="n"/>
      <c r="M181" s="8" t="n"/>
      <c r="N181" s="8" t="n"/>
      <c r="O181" s="8" t="n"/>
      <c r="P181" s="8" t="n"/>
      <c r="Q181" s="8" t="n"/>
      <c r="R181" s="9" t="n"/>
      <c r="S181" s="9" t="n"/>
      <c r="T181" s="10" t="n"/>
      <c r="U181" s="10" t="n"/>
      <c r="V181" s="9" t="n"/>
      <c r="W181" s="9" t="n"/>
      <c r="X181" s="9" t="n"/>
      <c r="Y181" s="9" t="n"/>
      <c r="Z181" s="11" t="n"/>
      <c r="AA181" s="11" t="n"/>
      <c r="AB181" s="11" t="n"/>
      <c r="AC181" s="11" t="n"/>
      <c r="AD181" s="11" t="n"/>
      <c r="AE181" s="11" t="n"/>
      <c r="AF181" s="9" t="n"/>
      <c r="AG181" s="9" t="n"/>
      <c r="AH181" s="9" t="n"/>
      <c r="AI181" s="9" t="n"/>
      <c r="AJ181" s="8" t="n"/>
      <c r="AK181" s="9" t="n"/>
      <c r="AL181" s="9" t="n"/>
      <c r="AM181" s="9" t="n"/>
      <c r="AN181" s="9" t="n"/>
      <c r="AO181" s="9" t="n"/>
      <c r="AP181" s="9" t="n"/>
      <c r="AQ181" s="9" t="n"/>
      <c r="AR181" s="9" t="n"/>
      <c r="AS181" s="9" t="n"/>
      <c r="AT181" s="8" t="n"/>
      <c r="AU181" s="8" t="n"/>
      <c r="AV181" s="9" t="n"/>
      <c r="AW181" s="8" t="n"/>
      <c r="AX181" s="9" t="n"/>
      <c r="AY181" s="9" t="n"/>
      <c r="AZ181" s="9" t="n"/>
      <c r="BA181" s="9" t="n"/>
      <c r="BB181" s="9" t="n"/>
      <c r="BC181" s="9" t="n"/>
      <c r="BD181" s="9" t="n"/>
      <c r="BE181" s="9" t="n"/>
      <c r="BF181" s="9" t="n"/>
      <c r="BG181" s="9" t="n"/>
      <c r="BH181" s="9" t="n"/>
      <c r="BI181" s="9" t="n"/>
      <c r="BJ181" s="9" t="n"/>
      <c r="BK181" s="9" t="n"/>
      <c r="BL181" s="9" t="n"/>
      <c r="BM181" s="9" t="n"/>
      <c r="BN181" s="9" t="n"/>
      <c r="BO181" s="8" t="n"/>
      <c r="BP181" s="9" t="n"/>
      <c r="BQ181" s="9" t="n"/>
      <c r="BR181" s="13">
        <f>IF(COUNTIF(AI181:BM181,"N")+COUNTBLANK(AI181:BM181)=0,"Y","N")</f>
        <v/>
      </c>
      <c r="BS181" s="13">
        <f>IF(AND(BR181="Y",OR(L181="Submitted",L181="Under Review")),"Y",IF(L181="Closed","Y","N"))</f>
        <v/>
      </c>
      <c r="BT181" s="10" t="n"/>
      <c r="BU181" s="13">
        <f>Rule_Flags!Q180</f>
        <v/>
      </c>
      <c r="BV181" s="13">
        <f>Rule_Flags!P180</f>
        <v/>
      </c>
      <c r="BW181" s="13">
        <f>IF(Rule_Flags!E180=1,"SITE_CONTROL",IF(Rule_Flags!F180=1,"APPROVALS",IF(Rule_Flags!G180=1,"REPORTS",IF(Rule_Flags!H180=1,"DEFICIENCY",IF(Rule_Flags!I180=1,"UNDERWRITING",IF(Rule_Flags!J180=1,"COMPLIANCE",""))))))</f>
        <v/>
      </c>
      <c r="BX181" s="13">
        <f>IF(BW181="SITE_CONTROL","Site control missing or invalid",IF(BW181="APPROVALS","Required approvals or resolutions incomplete",IF(BW181="REPORTS","Required third-party reports incomplete",IF(BW181="DEFICIENCY","Unresolved deficiency or material deficiency",IF(BW181="UNDERWRITING","Underwriting / feasibility not passed",IF(BW181="COMPLIANCE","Deconcentration, one-mile, LURA, or Chapter 12 issue","Ready under current engine rules"))))))</f>
        <v/>
      </c>
      <c r="BY181" s="13">
        <f>IF(BV181="Determination Notice","Streamlined + DN-ready assumptions satisfied",IF(BV181="Board","Board-required or board-ready assumptions satisfied",""))</f>
        <v/>
      </c>
      <c r="BZ181" s="13">
        <f>IF(AND(BP181="Y",BQ181&lt;&gt;"Y"),"Carryforward project retains queue priority",IF(BQ181="Y","New project enters behind carryforward projects",""))</f>
        <v/>
      </c>
      <c r="CA181" s="13">
        <f>_xludf.RANK.EQ(Rule_Flags!O180,Rule_Flags!$O$3:$O$402,0)</f>
        <v/>
      </c>
      <c r="CB181" s="13">
        <f>IF(OR(BU181="Determination Notice Issued",BU181="Board",BU181="Closed"),"Y","N")</f>
        <v/>
      </c>
      <c r="CC181" s="9" t="n"/>
      <c r="CD181" s="9" t="n"/>
      <c r="CE181" s="9" t="n"/>
      <c r="CF181" s="9" t="n"/>
      <c r="CG181" s="9" t="n"/>
      <c r="CH181" s="9" t="n"/>
    </row>
    <row r="182">
      <c r="A182" s="8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8" t="n"/>
      <c r="L182" s="9" t="n"/>
      <c r="M182" s="8" t="n"/>
      <c r="N182" s="8" t="n"/>
      <c r="O182" s="8" t="n"/>
      <c r="P182" s="8" t="n"/>
      <c r="Q182" s="8" t="n"/>
      <c r="R182" s="9" t="n"/>
      <c r="S182" s="9" t="n"/>
      <c r="T182" s="10" t="n"/>
      <c r="U182" s="10" t="n"/>
      <c r="V182" s="9" t="n"/>
      <c r="W182" s="9" t="n"/>
      <c r="X182" s="9" t="n"/>
      <c r="Y182" s="9" t="n"/>
      <c r="Z182" s="11" t="n"/>
      <c r="AA182" s="11" t="n"/>
      <c r="AB182" s="11" t="n"/>
      <c r="AC182" s="11" t="n"/>
      <c r="AD182" s="11" t="n"/>
      <c r="AE182" s="11" t="n"/>
      <c r="AF182" s="9" t="n"/>
      <c r="AG182" s="9" t="n"/>
      <c r="AH182" s="9" t="n"/>
      <c r="AI182" s="9" t="n"/>
      <c r="AJ182" s="8" t="n"/>
      <c r="AK182" s="9" t="n"/>
      <c r="AL182" s="9" t="n"/>
      <c r="AM182" s="9" t="n"/>
      <c r="AN182" s="9" t="n"/>
      <c r="AO182" s="9" t="n"/>
      <c r="AP182" s="9" t="n"/>
      <c r="AQ182" s="9" t="n"/>
      <c r="AR182" s="9" t="n"/>
      <c r="AS182" s="9" t="n"/>
      <c r="AT182" s="8" t="n"/>
      <c r="AU182" s="8" t="n"/>
      <c r="AV182" s="9" t="n"/>
      <c r="AW182" s="8" t="n"/>
      <c r="AX182" s="9" t="n"/>
      <c r="AY182" s="9" t="n"/>
      <c r="AZ182" s="9" t="n"/>
      <c r="BA182" s="9" t="n"/>
      <c r="BB182" s="9" t="n"/>
      <c r="BC182" s="9" t="n"/>
      <c r="BD182" s="9" t="n"/>
      <c r="BE182" s="9" t="n"/>
      <c r="BF182" s="9" t="n"/>
      <c r="BG182" s="9" t="n"/>
      <c r="BH182" s="9" t="n"/>
      <c r="BI182" s="9" t="n"/>
      <c r="BJ182" s="9" t="n"/>
      <c r="BK182" s="9" t="n"/>
      <c r="BL182" s="9" t="n"/>
      <c r="BM182" s="9" t="n"/>
      <c r="BN182" s="9" t="n"/>
      <c r="BO182" s="8" t="n"/>
      <c r="BP182" s="9" t="n"/>
      <c r="BQ182" s="9" t="n"/>
      <c r="BR182" s="13">
        <f>IF(COUNTIF(AI182:BM182,"N")+COUNTBLANK(AI182:BM182)=0,"Y","N")</f>
        <v/>
      </c>
      <c r="BS182" s="13">
        <f>IF(AND(BR182="Y",OR(L182="Submitted",L182="Under Review")),"Y",IF(L182="Closed","Y","N"))</f>
        <v/>
      </c>
      <c r="BT182" s="10" t="n"/>
      <c r="BU182" s="13">
        <f>Rule_Flags!Q181</f>
        <v/>
      </c>
      <c r="BV182" s="13">
        <f>Rule_Flags!P181</f>
        <v/>
      </c>
      <c r="BW182" s="13">
        <f>IF(Rule_Flags!E181=1,"SITE_CONTROL",IF(Rule_Flags!F181=1,"APPROVALS",IF(Rule_Flags!G181=1,"REPORTS",IF(Rule_Flags!H181=1,"DEFICIENCY",IF(Rule_Flags!I181=1,"UNDERWRITING",IF(Rule_Flags!J181=1,"COMPLIANCE",""))))))</f>
        <v/>
      </c>
      <c r="BX182" s="13">
        <f>IF(BW182="SITE_CONTROL","Site control missing or invalid",IF(BW182="APPROVALS","Required approvals or resolutions incomplete",IF(BW182="REPORTS","Required third-party reports incomplete",IF(BW182="DEFICIENCY","Unresolved deficiency or material deficiency",IF(BW182="UNDERWRITING","Underwriting / feasibility not passed",IF(BW182="COMPLIANCE","Deconcentration, one-mile, LURA, or Chapter 12 issue","Ready under current engine rules"))))))</f>
        <v/>
      </c>
      <c r="BY182" s="13">
        <f>IF(BV182="Determination Notice","Streamlined + DN-ready assumptions satisfied",IF(BV182="Board","Board-required or board-ready assumptions satisfied",""))</f>
        <v/>
      </c>
      <c r="BZ182" s="13">
        <f>IF(AND(BP182="Y",BQ182&lt;&gt;"Y"),"Carryforward project retains queue priority",IF(BQ182="Y","New project enters behind carryforward projects",""))</f>
        <v/>
      </c>
      <c r="CA182" s="13">
        <f>_xludf.RANK.EQ(Rule_Flags!O181,Rule_Flags!$O$3:$O$402,0)</f>
        <v/>
      </c>
      <c r="CB182" s="13">
        <f>IF(OR(BU182="Determination Notice Issued",BU182="Board",BU182="Closed"),"Y","N")</f>
        <v/>
      </c>
      <c r="CC182" s="9" t="n"/>
      <c r="CD182" s="9" t="n"/>
      <c r="CE182" s="9" t="n"/>
      <c r="CF182" s="9" t="n"/>
      <c r="CG182" s="9" t="n"/>
      <c r="CH182" s="9" t="n"/>
    </row>
    <row r="183">
      <c r="A183" s="8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8" t="n"/>
      <c r="L183" s="9" t="n"/>
      <c r="M183" s="8" t="n"/>
      <c r="N183" s="8" t="n"/>
      <c r="O183" s="8" t="n"/>
      <c r="P183" s="8" t="n"/>
      <c r="Q183" s="8" t="n"/>
      <c r="R183" s="9" t="n"/>
      <c r="S183" s="9" t="n"/>
      <c r="T183" s="10" t="n"/>
      <c r="U183" s="10" t="n"/>
      <c r="V183" s="9" t="n"/>
      <c r="W183" s="9" t="n"/>
      <c r="X183" s="9" t="n"/>
      <c r="Y183" s="9" t="n"/>
      <c r="Z183" s="11" t="n"/>
      <c r="AA183" s="11" t="n"/>
      <c r="AB183" s="11" t="n"/>
      <c r="AC183" s="11" t="n"/>
      <c r="AD183" s="11" t="n"/>
      <c r="AE183" s="11" t="n"/>
      <c r="AF183" s="9" t="n"/>
      <c r="AG183" s="9" t="n"/>
      <c r="AH183" s="9" t="n"/>
      <c r="AI183" s="9" t="n"/>
      <c r="AJ183" s="8" t="n"/>
      <c r="AK183" s="9" t="n"/>
      <c r="AL183" s="9" t="n"/>
      <c r="AM183" s="9" t="n"/>
      <c r="AN183" s="9" t="n"/>
      <c r="AO183" s="9" t="n"/>
      <c r="AP183" s="9" t="n"/>
      <c r="AQ183" s="9" t="n"/>
      <c r="AR183" s="9" t="n"/>
      <c r="AS183" s="9" t="n"/>
      <c r="AT183" s="8" t="n"/>
      <c r="AU183" s="8" t="n"/>
      <c r="AV183" s="9" t="n"/>
      <c r="AW183" s="8" t="n"/>
      <c r="AX183" s="9" t="n"/>
      <c r="AY183" s="9" t="n"/>
      <c r="AZ183" s="9" t="n"/>
      <c r="BA183" s="9" t="n"/>
      <c r="BB183" s="9" t="n"/>
      <c r="BC183" s="9" t="n"/>
      <c r="BD183" s="9" t="n"/>
      <c r="BE183" s="9" t="n"/>
      <c r="BF183" s="9" t="n"/>
      <c r="BG183" s="9" t="n"/>
      <c r="BH183" s="9" t="n"/>
      <c r="BI183" s="9" t="n"/>
      <c r="BJ183" s="9" t="n"/>
      <c r="BK183" s="9" t="n"/>
      <c r="BL183" s="9" t="n"/>
      <c r="BM183" s="9" t="n"/>
      <c r="BN183" s="9" t="n"/>
      <c r="BO183" s="8" t="n"/>
      <c r="BP183" s="9" t="n"/>
      <c r="BQ183" s="9" t="n"/>
      <c r="BR183" s="13">
        <f>IF(COUNTIF(AI183:BM183,"N")+COUNTBLANK(AI183:BM183)=0,"Y","N")</f>
        <v/>
      </c>
      <c r="BS183" s="13">
        <f>IF(AND(BR183="Y",OR(L183="Submitted",L183="Under Review")),"Y",IF(L183="Closed","Y","N"))</f>
        <v/>
      </c>
      <c r="BT183" s="10" t="n"/>
      <c r="BU183" s="13">
        <f>Rule_Flags!Q182</f>
        <v/>
      </c>
      <c r="BV183" s="13">
        <f>Rule_Flags!P182</f>
        <v/>
      </c>
      <c r="BW183" s="13">
        <f>IF(Rule_Flags!E182=1,"SITE_CONTROL",IF(Rule_Flags!F182=1,"APPROVALS",IF(Rule_Flags!G182=1,"REPORTS",IF(Rule_Flags!H182=1,"DEFICIENCY",IF(Rule_Flags!I182=1,"UNDERWRITING",IF(Rule_Flags!J182=1,"COMPLIANCE",""))))))</f>
        <v/>
      </c>
      <c r="BX183" s="13">
        <f>IF(BW183="SITE_CONTROL","Site control missing or invalid",IF(BW183="APPROVALS","Required approvals or resolutions incomplete",IF(BW183="REPORTS","Required third-party reports incomplete",IF(BW183="DEFICIENCY","Unresolved deficiency or material deficiency",IF(BW183="UNDERWRITING","Underwriting / feasibility not passed",IF(BW183="COMPLIANCE","Deconcentration, one-mile, LURA, or Chapter 12 issue","Ready under current engine rules"))))))</f>
        <v/>
      </c>
      <c r="BY183" s="13">
        <f>IF(BV183="Determination Notice","Streamlined + DN-ready assumptions satisfied",IF(BV183="Board","Board-required or board-ready assumptions satisfied",""))</f>
        <v/>
      </c>
      <c r="BZ183" s="13">
        <f>IF(AND(BP183="Y",BQ183&lt;&gt;"Y"),"Carryforward project retains queue priority",IF(BQ183="Y","New project enters behind carryforward projects",""))</f>
        <v/>
      </c>
      <c r="CA183" s="13">
        <f>_xludf.RANK.EQ(Rule_Flags!O182,Rule_Flags!$O$3:$O$402,0)</f>
        <v/>
      </c>
      <c r="CB183" s="13">
        <f>IF(OR(BU183="Determination Notice Issued",BU183="Board",BU183="Closed"),"Y","N")</f>
        <v/>
      </c>
      <c r="CC183" s="9" t="n"/>
      <c r="CD183" s="9" t="n"/>
      <c r="CE183" s="9" t="n"/>
      <c r="CF183" s="9" t="n"/>
      <c r="CG183" s="9" t="n"/>
      <c r="CH183" s="9" t="n"/>
    </row>
    <row r="184">
      <c r="A184" s="8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8" t="n"/>
      <c r="L184" s="9" t="n"/>
      <c r="M184" s="8" t="n"/>
      <c r="N184" s="8" t="n"/>
      <c r="O184" s="8" t="n"/>
      <c r="P184" s="8" t="n"/>
      <c r="Q184" s="8" t="n"/>
      <c r="R184" s="9" t="n"/>
      <c r="S184" s="9" t="n"/>
      <c r="T184" s="10" t="n"/>
      <c r="U184" s="10" t="n"/>
      <c r="V184" s="9" t="n"/>
      <c r="W184" s="9" t="n"/>
      <c r="X184" s="9" t="n"/>
      <c r="Y184" s="9" t="n"/>
      <c r="Z184" s="11" t="n"/>
      <c r="AA184" s="11" t="n"/>
      <c r="AB184" s="11" t="n"/>
      <c r="AC184" s="11" t="n"/>
      <c r="AD184" s="11" t="n"/>
      <c r="AE184" s="11" t="n"/>
      <c r="AF184" s="9" t="n"/>
      <c r="AG184" s="9" t="n"/>
      <c r="AH184" s="9" t="n"/>
      <c r="AI184" s="9" t="n"/>
      <c r="AJ184" s="8" t="n"/>
      <c r="AK184" s="9" t="n"/>
      <c r="AL184" s="9" t="n"/>
      <c r="AM184" s="9" t="n"/>
      <c r="AN184" s="9" t="n"/>
      <c r="AO184" s="9" t="n"/>
      <c r="AP184" s="9" t="n"/>
      <c r="AQ184" s="9" t="n"/>
      <c r="AR184" s="9" t="n"/>
      <c r="AS184" s="9" t="n"/>
      <c r="AT184" s="8" t="n"/>
      <c r="AU184" s="8" t="n"/>
      <c r="AV184" s="9" t="n"/>
      <c r="AW184" s="8" t="n"/>
      <c r="AX184" s="9" t="n"/>
      <c r="AY184" s="9" t="n"/>
      <c r="AZ184" s="9" t="n"/>
      <c r="BA184" s="9" t="n"/>
      <c r="BB184" s="9" t="n"/>
      <c r="BC184" s="9" t="n"/>
      <c r="BD184" s="9" t="n"/>
      <c r="BE184" s="9" t="n"/>
      <c r="BF184" s="9" t="n"/>
      <c r="BG184" s="9" t="n"/>
      <c r="BH184" s="9" t="n"/>
      <c r="BI184" s="9" t="n"/>
      <c r="BJ184" s="9" t="n"/>
      <c r="BK184" s="9" t="n"/>
      <c r="BL184" s="9" t="n"/>
      <c r="BM184" s="9" t="n"/>
      <c r="BN184" s="9" t="n"/>
      <c r="BO184" s="8" t="n"/>
      <c r="BP184" s="9" t="n"/>
      <c r="BQ184" s="9" t="n"/>
      <c r="BR184" s="13">
        <f>IF(COUNTIF(AI184:BM184,"N")+COUNTBLANK(AI184:BM184)=0,"Y","N")</f>
        <v/>
      </c>
      <c r="BS184" s="13">
        <f>IF(AND(BR184="Y",OR(L184="Submitted",L184="Under Review")),"Y",IF(L184="Closed","Y","N"))</f>
        <v/>
      </c>
      <c r="BT184" s="10" t="n"/>
      <c r="BU184" s="13">
        <f>Rule_Flags!Q183</f>
        <v/>
      </c>
      <c r="BV184" s="13">
        <f>Rule_Flags!P183</f>
        <v/>
      </c>
      <c r="BW184" s="13">
        <f>IF(Rule_Flags!E183=1,"SITE_CONTROL",IF(Rule_Flags!F183=1,"APPROVALS",IF(Rule_Flags!G183=1,"REPORTS",IF(Rule_Flags!H183=1,"DEFICIENCY",IF(Rule_Flags!I183=1,"UNDERWRITING",IF(Rule_Flags!J183=1,"COMPLIANCE",""))))))</f>
        <v/>
      </c>
      <c r="BX184" s="13">
        <f>IF(BW184="SITE_CONTROL","Site control missing or invalid",IF(BW184="APPROVALS","Required approvals or resolutions incomplete",IF(BW184="REPORTS","Required third-party reports incomplete",IF(BW184="DEFICIENCY","Unresolved deficiency or material deficiency",IF(BW184="UNDERWRITING","Underwriting / feasibility not passed",IF(BW184="COMPLIANCE","Deconcentration, one-mile, LURA, or Chapter 12 issue","Ready under current engine rules"))))))</f>
        <v/>
      </c>
      <c r="BY184" s="13">
        <f>IF(BV184="Determination Notice","Streamlined + DN-ready assumptions satisfied",IF(BV184="Board","Board-required or board-ready assumptions satisfied",""))</f>
        <v/>
      </c>
      <c r="BZ184" s="13">
        <f>IF(AND(BP184="Y",BQ184&lt;&gt;"Y"),"Carryforward project retains queue priority",IF(BQ184="Y","New project enters behind carryforward projects",""))</f>
        <v/>
      </c>
      <c r="CA184" s="13">
        <f>_xludf.RANK.EQ(Rule_Flags!O183,Rule_Flags!$O$3:$O$402,0)</f>
        <v/>
      </c>
      <c r="CB184" s="13">
        <f>IF(OR(BU184="Determination Notice Issued",BU184="Board",BU184="Closed"),"Y","N")</f>
        <v/>
      </c>
      <c r="CC184" s="9" t="n"/>
      <c r="CD184" s="9" t="n"/>
      <c r="CE184" s="9" t="n"/>
      <c r="CF184" s="9" t="n"/>
      <c r="CG184" s="9" t="n"/>
      <c r="CH184" s="9" t="n"/>
    </row>
    <row r="185">
      <c r="A185" s="8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8" t="n"/>
      <c r="L185" s="9" t="n"/>
      <c r="M185" s="8" t="n"/>
      <c r="N185" s="8" t="n"/>
      <c r="O185" s="8" t="n"/>
      <c r="P185" s="8" t="n"/>
      <c r="Q185" s="8" t="n"/>
      <c r="R185" s="9" t="n"/>
      <c r="S185" s="9" t="n"/>
      <c r="T185" s="10" t="n"/>
      <c r="U185" s="10" t="n"/>
      <c r="V185" s="9" t="n"/>
      <c r="W185" s="9" t="n"/>
      <c r="X185" s="9" t="n"/>
      <c r="Y185" s="9" t="n"/>
      <c r="Z185" s="11" t="n"/>
      <c r="AA185" s="11" t="n"/>
      <c r="AB185" s="11" t="n"/>
      <c r="AC185" s="11" t="n"/>
      <c r="AD185" s="11" t="n"/>
      <c r="AE185" s="11" t="n"/>
      <c r="AF185" s="9" t="n"/>
      <c r="AG185" s="9" t="n"/>
      <c r="AH185" s="9" t="n"/>
      <c r="AI185" s="9" t="n"/>
      <c r="AJ185" s="8" t="n"/>
      <c r="AK185" s="9" t="n"/>
      <c r="AL185" s="9" t="n"/>
      <c r="AM185" s="9" t="n"/>
      <c r="AN185" s="9" t="n"/>
      <c r="AO185" s="9" t="n"/>
      <c r="AP185" s="9" t="n"/>
      <c r="AQ185" s="9" t="n"/>
      <c r="AR185" s="9" t="n"/>
      <c r="AS185" s="9" t="n"/>
      <c r="AT185" s="8" t="n"/>
      <c r="AU185" s="8" t="n"/>
      <c r="AV185" s="9" t="n"/>
      <c r="AW185" s="8" t="n"/>
      <c r="AX185" s="9" t="n"/>
      <c r="AY185" s="9" t="n"/>
      <c r="AZ185" s="9" t="n"/>
      <c r="BA185" s="9" t="n"/>
      <c r="BB185" s="9" t="n"/>
      <c r="BC185" s="9" t="n"/>
      <c r="BD185" s="9" t="n"/>
      <c r="BE185" s="9" t="n"/>
      <c r="BF185" s="9" t="n"/>
      <c r="BG185" s="9" t="n"/>
      <c r="BH185" s="9" t="n"/>
      <c r="BI185" s="9" t="n"/>
      <c r="BJ185" s="9" t="n"/>
      <c r="BK185" s="9" t="n"/>
      <c r="BL185" s="9" t="n"/>
      <c r="BM185" s="9" t="n"/>
      <c r="BN185" s="9" t="n"/>
      <c r="BO185" s="8" t="n"/>
      <c r="BP185" s="9" t="n"/>
      <c r="BQ185" s="9" t="n"/>
      <c r="BR185" s="13">
        <f>IF(COUNTIF(AI185:BM185,"N")+COUNTBLANK(AI185:BM185)=0,"Y","N")</f>
        <v/>
      </c>
      <c r="BS185" s="13">
        <f>IF(AND(BR185="Y",OR(L185="Submitted",L185="Under Review")),"Y",IF(L185="Closed","Y","N"))</f>
        <v/>
      </c>
      <c r="BT185" s="10" t="n"/>
      <c r="BU185" s="13">
        <f>Rule_Flags!Q184</f>
        <v/>
      </c>
      <c r="BV185" s="13">
        <f>Rule_Flags!P184</f>
        <v/>
      </c>
      <c r="BW185" s="13">
        <f>IF(Rule_Flags!E184=1,"SITE_CONTROL",IF(Rule_Flags!F184=1,"APPROVALS",IF(Rule_Flags!G184=1,"REPORTS",IF(Rule_Flags!H184=1,"DEFICIENCY",IF(Rule_Flags!I184=1,"UNDERWRITING",IF(Rule_Flags!J184=1,"COMPLIANCE",""))))))</f>
        <v/>
      </c>
      <c r="BX185" s="13">
        <f>IF(BW185="SITE_CONTROL","Site control missing or invalid",IF(BW185="APPROVALS","Required approvals or resolutions incomplete",IF(BW185="REPORTS","Required third-party reports incomplete",IF(BW185="DEFICIENCY","Unresolved deficiency or material deficiency",IF(BW185="UNDERWRITING","Underwriting / feasibility not passed",IF(BW185="COMPLIANCE","Deconcentration, one-mile, LURA, or Chapter 12 issue","Ready under current engine rules"))))))</f>
        <v/>
      </c>
      <c r="BY185" s="13">
        <f>IF(BV185="Determination Notice","Streamlined + DN-ready assumptions satisfied",IF(BV185="Board","Board-required or board-ready assumptions satisfied",""))</f>
        <v/>
      </c>
      <c r="BZ185" s="13">
        <f>IF(AND(BP185="Y",BQ185&lt;&gt;"Y"),"Carryforward project retains queue priority",IF(BQ185="Y","New project enters behind carryforward projects",""))</f>
        <v/>
      </c>
      <c r="CA185" s="13">
        <f>_xludf.RANK.EQ(Rule_Flags!O184,Rule_Flags!$O$3:$O$402,0)</f>
        <v/>
      </c>
      <c r="CB185" s="13">
        <f>IF(OR(BU185="Determination Notice Issued",BU185="Board",BU185="Closed"),"Y","N")</f>
        <v/>
      </c>
      <c r="CC185" s="9" t="n"/>
      <c r="CD185" s="9" t="n"/>
      <c r="CE185" s="9" t="n"/>
      <c r="CF185" s="9" t="n"/>
      <c r="CG185" s="9" t="n"/>
      <c r="CH185" s="9" t="n"/>
    </row>
    <row r="186">
      <c r="A186" s="8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8" t="n"/>
      <c r="L186" s="9" t="n"/>
      <c r="M186" s="8" t="n"/>
      <c r="N186" s="8" t="n"/>
      <c r="O186" s="8" t="n"/>
      <c r="P186" s="8" t="n"/>
      <c r="Q186" s="8" t="n"/>
      <c r="R186" s="9" t="n"/>
      <c r="S186" s="9" t="n"/>
      <c r="T186" s="10" t="n"/>
      <c r="U186" s="10" t="n"/>
      <c r="V186" s="9" t="n"/>
      <c r="W186" s="9" t="n"/>
      <c r="X186" s="9" t="n"/>
      <c r="Y186" s="9" t="n"/>
      <c r="Z186" s="11" t="n"/>
      <c r="AA186" s="11" t="n"/>
      <c r="AB186" s="11" t="n"/>
      <c r="AC186" s="11" t="n"/>
      <c r="AD186" s="11" t="n"/>
      <c r="AE186" s="11" t="n"/>
      <c r="AF186" s="9" t="n"/>
      <c r="AG186" s="9" t="n"/>
      <c r="AH186" s="9" t="n"/>
      <c r="AI186" s="9" t="n"/>
      <c r="AJ186" s="8" t="n"/>
      <c r="AK186" s="9" t="n"/>
      <c r="AL186" s="9" t="n"/>
      <c r="AM186" s="9" t="n"/>
      <c r="AN186" s="9" t="n"/>
      <c r="AO186" s="9" t="n"/>
      <c r="AP186" s="9" t="n"/>
      <c r="AQ186" s="9" t="n"/>
      <c r="AR186" s="9" t="n"/>
      <c r="AS186" s="9" t="n"/>
      <c r="AT186" s="8" t="n"/>
      <c r="AU186" s="8" t="n"/>
      <c r="AV186" s="9" t="n"/>
      <c r="AW186" s="8" t="n"/>
      <c r="AX186" s="9" t="n"/>
      <c r="AY186" s="9" t="n"/>
      <c r="AZ186" s="9" t="n"/>
      <c r="BA186" s="9" t="n"/>
      <c r="BB186" s="9" t="n"/>
      <c r="BC186" s="9" t="n"/>
      <c r="BD186" s="9" t="n"/>
      <c r="BE186" s="9" t="n"/>
      <c r="BF186" s="9" t="n"/>
      <c r="BG186" s="9" t="n"/>
      <c r="BH186" s="9" t="n"/>
      <c r="BI186" s="9" t="n"/>
      <c r="BJ186" s="9" t="n"/>
      <c r="BK186" s="9" t="n"/>
      <c r="BL186" s="9" t="n"/>
      <c r="BM186" s="9" t="n"/>
      <c r="BN186" s="9" t="n"/>
      <c r="BO186" s="8" t="n"/>
      <c r="BP186" s="9" t="n"/>
      <c r="BQ186" s="9" t="n"/>
      <c r="BR186" s="13">
        <f>IF(COUNTIF(AI186:BM186,"N")+COUNTBLANK(AI186:BM186)=0,"Y","N")</f>
        <v/>
      </c>
      <c r="BS186" s="13">
        <f>IF(AND(BR186="Y",OR(L186="Submitted",L186="Under Review")),"Y",IF(L186="Closed","Y","N"))</f>
        <v/>
      </c>
      <c r="BT186" s="10" t="n"/>
      <c r="BU186" s="13">
        <f>Rule_Flags!Q185</f>
        <v/>
      </c>
      <c r="BV186" s="13">
        <f>Rule_Flags!P185</f>
        <v/>
      </c>
      <c r="BW186" s="13">
        <f>IF(Rule_Flags!E185=1,"SITE_CONTROL",IF(Rule_Flags!F185=1,"APPROVALS",IF(Rule_Flags!G185=1,"REPORTS",IF(Rule_Flags!H185=1,"DEFICIENCY",IF(Rule_Flags!I185=1,"UNDERWRITING",IF(Rule_Flags!J185=1,"COMPLIANCE",""))))))</f>
        <v/>
      </c>
      <c r="BX186" s="13">
        <f>IF(BW186="SITE_CONTROL","Site control missing or invalid",IF(BW186="APPROVALS","Required approvals or resolutions incomplete",IF(BW186="REPORTS","Required third-party reports incomplete",IF(BW186="DEFICIENCY","Unresolved deficiency or material deficiency",IF(BW186="UNDERWRITING","Underwriting / feasibility not passed",IF(BW186="COMPLIANCE","Deconcentration, one-mile, LURA, or Chapter 12 issue","Ready under current engine rules"))))))</f>
        <v/>
      </c>
      <c r="BY186" s="13">
        <f>IF(BV186="Determination Notice","Streamlined + DN-ready assumptions satisfied",IF(BV186="Board","Board-required or board-ready assumptions satisfied",""))</f>
        <v/>
      </c>
      <c r="BZ186" s="13">
        <f>IF(AND(BP186="Y",BQ186&lt;&gt;"Y"),"Carryforward project retains queue priority",IF(BQ186="Y","New project enters behind carryforward projects",""))</f>
        <v/>
      </c>
      <c r="CA186" s="13">
        <f>_xludf.RANK.EQ(Rule_Flags!O185,Rule_Flags!$O$3:$O$402,0)</f>
        <v/>
      </c>
      <c r="CB186" s="13">
        <f>IF(OR(BU186="Determination Notice Issued",BU186="Board",BU186="Closed"),"Y","N")</f>
        <v/>
      </c>
      <c r="CC186" s="9" t="n"/>
      <c r="CD186" s="9" t="n"/>
      <c r="CE186" s="9" t="n"/>
      <c r="CF186" s="9" t="n"/>
      <c r="CG186" s="9" t="n"/>
      <c r="CH186" s="9" t="n"/>
    </row>
    <row r="187">
      <c r="A187" s="8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8" t="n"/>
      <c r="L187" s="9" t="n"/>
      <c r="M187" s="8" t="n"/>
      <c r="N187" s="8" t="n"/>
      <c r="O187" s="8" t="n"/>
      <c r="P187" s="8" t="n"/>
      <c r="Q187" s="8" t="n"/>
      <c r="R187" s="9" t="n"/>
      <c r="S187" s="9" t="n"/>
      <c r="T187" s="10" t="n"/>
      <c r="U187" s="10" t="n"/>
      <c r="V187" s="9" t="n"/>
      <c r="W187" s="9" t="n"/>
      <c r="X187" s="9" t="n"/>
      <c r="Y187" s="9" t="n"/>
      <c r="Z187" s="11" t="n"/>
      <c r="AA187" s="11" t="n"/>
      <c r="AB187" s="11" t="n"/>
      <c r="AC187" s="11" t="n"/>
      <c r="AD187" s="11" t="n"/>
      <c r="AE187" s="11" t="n"/>
      <c r="AF187" s="9" t="n"/>
      <c r="AG187" s="9" t="n"/>
      <c r="AH187" s="9" t="n"/>
      <c r="AI187" s="9" t="n"/>
      <c r="AJ187" s="8" t="n"/>
      <c r="AK187" s="9" t="n"/>
      <c r="AL187" s="9" t="n"/>
      <c r="AM187" s="9" t="n"/>
      <c r="AN187" s="9" t="n"/>
      <c r="AO187" s="9" t="n"/>
      <c r="AP187" s="9" t="n"/>
      <c r="AQ187" s="9" t="n"/>
      <c r="AR187" s="9" t="n"/>
      <c r="AS187" s="9" t="n"/>
      <c r="AT187" s="8" t="n"/>
      <c r="AU187" s="8" t="n"/>
      <c r="AV187" s="9" t="n"/>
      <c r="AW187" s="8" t="n"/>
      <c r="AX187" s="9" t="n"/>
      <c r="AY187" s="9" t="n"/>
      <c r="AZ187" s="9" t="n"/>
      <c r="BA187" s="9" t="n"/>
      <c r="BB187" s="9" t="n"/>
      <c r="BC187" s="9" t="n"/>
      <c r="BD187" s="9" t="n"/>
      <c r="BE187" s="9" t="n"/>
      <c r="BF187" s="9" t="n"/>
      <c r="BG187" s="9" t="n"/>
      <c r="BH187" s="9" t="n"/>
      <c r="BI187" s="9" t="n"/>
      <c r="BJ187" s="9" t="n"/>
      <c r="BK187" s="9" t="n"/>
      <c r="BL187" s="9" t="n"/>
      <c r="BM187" s="9" t="n"/>
      <c r="BN187" s="9" t="n"/>
      <c r="BO187" s="8" t="n"/>
      <c r="BP187" s="9" t="n"/>
      <c r="BQ187" s="9" t="n"/>
      <c r="BR187" s="13">
        <f>IF(COUNTIF(AI187:BM187,"N")+COUNTBLANK(AI187:BM187)=0,"Y","N")</f>
        <v/>
      </c>
      <c r="BS187" s="13">
        <f>IF(AND(BR187="Y",OR(L187="Submitted",L187="Under Review")),"Y",IF(L187="Closed","Y","N"))</f>
        <v/>
      </c>
      <c r="BT187" s="10" t="n"/>
      <c r="BU187" s="13">
        <f>Rule_Flags!Q186</f>
        <v/>
      </c>
      <c r="BV187" s="13">
        <f>Rule_Flags!P186</f>
        <v/>
      </c>
      <c r="BW187" s="13">
        <f>IF(Rule_Flags!E186=1,"SITE_CONTROL",IF(Rule_Flags!F186=1,"APPROVALS",IF(Rule_Flags!G186=1,"REPORTS",IF(Rule_Flags!H186=1,"DEFICIENCY",IF(Rule_Flags!I186=1,"UNDERWRITING",IF(Rule_Flags!J186=1,"COMPLIANCE",""))))))</f>
        <v/>
      </c>
      <c r="BX187" s="13">
        <f>IF(BW187="SITE_CONTROL","Site control missing or invalid",IF(BW187="APPROVALS","Required approvals or resolutions incomplete",IF(BW187="REPORTS","Required third-party reports incomplete",IF(BW187="DEFICIENCY","Unresolved deficiency or material deficiency",IF(BW187="UNDERWRITING","Underwriting / feasibility not passed",IF(BW187="COMPLIANCE","Deconcentration, one-mile, LURA, or Chapter 12 issue","Ready under current engine rules"))))))</f>
        <v/>
      </c>
      <c r="BY187" s="13">
        <f>IF(BV187="Determination Notice","Streamlined + DN-ready assumptions satisfied",IF(BV187="Board","Board-required or board-ready assumptions satisfied",""))</f>
        <v/>
      </c>
      <c r="BZ187" s="13">
        <f>IF(AND(BP187="Y",BQ187&lt;&gt;"Y"),"Carryforward project retains queue priority",IF(BQ187="Y","New project enters behind carryforward projects",""))</f>
        <v/>
      </c>
      <c r="CA187" s="13">
        <f>_xludf.RANK.EQ(Rule_Flags!O186,Rule_Flags!$O$3:$O$402,0)</f>
        <v/>
      </c>
      <c r="CB187" s="13">
        <f>IF(OR(BU187="Determination Notice Issued",BU187="Board",BU187="Closed"),"Y","N")</f>
        <v/>
      </c>
      <c r="CC187" s="9" t="n"/>
      <c r="CD187" s="9" t="n"/>
      <c r="CE187" s="9" t="n"/>
      <c r="CF187" s="9" t="n"/>
      <c r="CG187" s="9" t="n"/>
      <c r="CH187" s="9" t="n"/>
    </row>
    <row r="188">
      <c r="A188" s="8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8" t="n"/>
      <c r="L188" s="9" t="n"/>
      <c r="M188" s="8" t="n"/>
      <c r="N188" s="8" t="n"/>
      <c r="O188" s="8" t="n"/>
      <c r="P188" s="8" t="n"/>
      <c r="Q188" s="8" t="n"/>
      <c r="R188" s="9" t="n"/>
      <c r="S188" s="9" t="n"/>
      <c r="T188" s="10" t="n"/>
      <c r="U188" s="10" t="n"/>
      <c r="V188" s="9" t="n"/>
      <c r="W188" s="9" t="n"/>
      <c r="X188" s="9" t="n"/>
      <c r="Y188" s="9" t="n"/>
      <c r="Z188" s="11" t="n"/>
      <c r="AA188" s="11" t="n"/>
      <c r="AB188" s="11" t="n"/>
      <c r="AC188" s="11" t="n"/>
      <c r="AD188" s="11" t="n"/>
      <c r="AE188" s="11" t="n"/>
      <c r="AF188" s="9" t="n"/>
      <c r="AG188" s="9" t="n"/>
      <c r="AH188" s="9" t="n"/>
      <c r="AI188" s="9" t="n"/>
      <c r="AJ188" s="8" t="n"/>
      <c r="AK188" s="9" t="n"/>
      <c r="AL188" s="9" t="n"/>
      <c r="AM188" s="9" t="n"/>
      <c r="AN188" s="9" t="n"/>
      <c r="AO188" s="9" t="n"/>
      <c r="AP188" s="9" t="n"/>
      <c r="AQ188" s="9" t="n"/>
      <c r="AR188" s="9" t="n"/>
      <c r="AS188" s="9" t="n"/>
      <c r="AT188" s="8" t="n"/>
      <c r="AU188" s="8" t="n"/>
      <c r="AV188" s="9" t="n"/>
      <c r="AW188" s="8" t="n"/>
      <c r="AX188" s="9" t="n"/>
      <c r="AY188" s="9" t="n"/>
      <c r="AZ188" s="9" t="n"/>
      <c r="BA188" s="9" t="n"/>
      <c r="BB188" s="9" t="n"/>
      <c r="BC188" s="9" t="n"/>
      <c r="BD188" s="9" t="n"/>
      <c r="BE188" s="9" t="n"/>
      <c r="BF188" s="9" t="n"/>
      <c r="BG188" s="9" t="n"/>
      <c r="BH188" s="9" t="n"/>
      <c r="BI188" s="9" t="n"/>
      <c r="BJ188" s="9" t="n"/>
      <c r="BK188" s="9" t="n"/>
      <c r="BL188" s="9" t="n"/>
      <c r="BM188" s="9" t="n"/>
      <c r="BN188" s="9" t="n"/>
      <c r="BO188" s="8" t="n"/>
      <c r="BP188" s="9" t="n"/>
      <c r="BQ188" s="9" t="n"/>
      <c r="BR188" s="13">
        <f>IF(COUNTIF(AI188:BM188,"N")+COUNTBLANK(AI188:BM188)=0,"Y","N")</f>
        <v/>
      </c>
      <c r="BS188" s="13">
        <f>IF(AND(BR188="Y",OR(L188="Submitted",L188="Under Review")),"Y",IF(L188="Closed","Y","N"))</f>
        <v/>
      </c>
      <c r="BT188" s="10" t="n"/>
      <c r="BU188" s="13">
        <f>Rule_Flags!Q187</f>
        <v/>
      </c>
      <c r="BV188" s="13">
        <f>Rule_Flags!P187</f>
        <v/>
      </c>
      <c r="BW188" s="13">
        <f>IF(Rule_Flags!E187=1,"SITE_CONTROL",IF(Rule_Flags!F187=1,"APPROVALS",IF(Rule_Flags!G187=1,"REPORTS",IF(Rule_Flags!H187=1,"DEFICIENCY",IF(Rule_Flags!I187=1,"UNDERWRITING",IF(Rule_Flags!J187=1,"COMPLIANCE",""))))))</f>
        <v/>
      </c>
      <c r="BX188" s="13">
        <f>IF(BW188="SITE_CONTROL","Site control missing or invalid",IF(BW188="APPROVALS","Required approvals or resolutions incomplete",IF(BW188="REPORTS","Required third-party reports incomplete",IF(BW188="DEFICIENCY","Unresolved deficiency or material deficiency",IF(BW188="UNDERWRITING","Underwriting / feasibility not passed",IF(BW188="COMPLIANCE","Deconcentration, one-mile, LURA, or Chapter 12 issue","Ready under current engine rules"))))))</f>
        <v/>
      </c>
      <c r="BY188" s="13">
        <f>IF(BV188="Determination Notice","Streamlined + DN-ready assumptions satisfied",IF(BV188="Board","Board-required or board-ready assumptions satisfied",""))</f>
        <v/>
      </c>
      <c r="BZ188" s="13">
        <f>IF(AND(BP188="Y",BQ188&lt;&gt;"Y"),"Carryforward project retains queue priority",IF(BQ188="Y","New project enters behind carryforward projects",""))</f>
        <v/>
      </c>
      <c r="CA188" s="13">
        <f>_xludf.RANK.EQ(Rule_Flags!O187,Rule_Flags!$O$3:$O$402,0)</f>
        <v/>
      </c>
      <c r="CB188" s="13">
        <f>IF(OR(BU188="Determination Notice Issued",BU188="Board",BU188="Closed"),"Y","N")</f>
        <v/>
      </c>
      <c r="CC188" s="9" t="n"/>
      <c r="CD188" s="9" t="n"/>
      <c r="CE188" s="9" t="n"/>
      <c r="CF188" s="9" t="n"/>
      <c r="CG188" s="9" t="n"/>
      <c r="CH188" s="9" t="n"/>
    </row>
    <row r="189">
      <c r="A189" s="8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8" t="n"/>
      <c r="L189" s="9" t="n"/>
      <c r="M189" s="8" t="n"/>
      <c r="N189" s="8" t="n"/>
      <c r="O189" s="8" t="n"/>
      <c r="P189" s="8" t="n"/>
      <c r="Q189" s="8" t="n"/>
      <c r="R189" s="9" t="n"/>
      <c r="S189" s="9" t="n"/>
      <c r="T189" s="10" t="n"/>
      <c r="U189" s="10" t="n"/>
      <c r="V189" s="9" t="n"/>
      <c r="W189" s="9" t="n"/>
      <c r="X189" s="9" t="n"/>
      <c r="Y189" s="9" t="n"/>
      <c r="Z189" s="11" t="n"/>
      <c r="AA189" s="11" t="n"/>
      <c r="AB189" s="11" t="n"/>
      <c r="AC189" s="11" t="n"/>
      <c r="AD189" s="11" t="n"/>
      <c r="AE189" s="11" t="n"/>
      <c r="AF189" s="9" t="n"/>
      <c r="AG189" s="9" t="n"/>
      <c r="AH189" s="9" t="n"/>
      <c r="AI189" s="9" t="n"/>
      <c r="AJ189" s="8" t="n"/>
      <c r="AK189" s="9" t="n"/>
      <c r="AL189" s="9" t="n"/>
      <c r="AM189" s="9" t="n"/>
      <c r="AN189" s="9" t="n"/>
      <c r="AO189" s="9" t="n"/>
      <c r="AP189" s="9" t="n"/>
      <c r="AQ189" s="9" t="n"/>
      <c r="AR189" s="9" t="n"/>
      <c r="AS189" s="9" t="n"/>
      <c r="AT189" s="8" t="n"/>
      <c r="AU189" s="8" t="n"/>
      <c r="AV189" s="9" t="n"/>
      <c r="AW189" s="8" t="n"/>
      <c r="AX189" s="9" t="n"/>
      <c r="AY189" s="9" t="n"/>
      <c r="AZ189" s="9" t="n"/>
      <c r="BA189" s="9" t="n"/>
      <c r="BB189" s="9" t="n"/>
      <c r="BC189" s="9" t="n"/>
      <c r="BD189" s="9" t="n"/>
      <c r="BE189" s="9" t="n"/>
      <c r="BF189" s="9" t="n"/>
      <c r="BG189" s="9" t="n"/>
      <c r="BH189" s="9" t="n"/>
      <c r="BI189" s="9" t="n"/>
      <c r="BJ189" s="9" t="n"/>
      <c r="BK189" s="9" t="n"/>
      <c r="BL189" s="9" t="n"/>
      <c r="BM189" s="9" t="n"/>
      <c r="BN189" s="9" t="n"/>
      <c r="BO189" s="8" t="n"/>
      <c r="BP189" s="9" t="n"/>
      <c r="BQ189" s="9" t="n"/>
      <c r="BR189" s="13">
        <f>IF(COUNTIF(AI189:BM189,"N")+COUNTBLANK(AI189:BM189)=0,"Y","N")</f>
        <v/>
      </c>
      <c r="BS189" s="13">
        <f>IF(AND(BR189="Y",OR(L189="Submitted",L189="Under Review")),"Y",IF(L189="Closed","Y","N"))</f>
        <v/>
      </c>
      <c r="BT189" s="10" t="n"/>
      <c r="BU189" s="13">
        <f>Rule_Flags!Q188</f>
        <v/>
      </c>
      <c r="BV189" s="13">
        <f>Rule_Flags!P188</f>
        <v/>
      </c>
      <c r="BW189" s="13">
        <f>IF(Rule_Flags!E188=1,"SITE_CONTROL",IF(Rule_Flags!F188=1,"APPROVALS",IF(Rule_Flags!G188=1,"REPORTS",IF(Rule_Flags!H188=1,"DEFICIENCY",IF(Rule_Flags!I188=1,"UNDERWRITING",IF(Rule_Flags!J188=1,"COMPLIANCE",""))))))</f>
        <v/>
      </c>
      <c r="BX189" s="13">
        <f>IF(BW189="SITE_CONTROL","Site control missing or invalid",IF(BW189="APPROVALS","Required approvals or resolutions incomplete",IF(BW189="REPORTS","Required third-party reports incomplete",IF(BW189="DEFICIENCY","Unresolved deficiency or material deficiency",IF(BW189="UNDERWRITING","Underwriting / feasibility not passed",IF(BW189="COMPLIANCE","Deconcentration, one-mile, LURA, or Chapter 12 issue","Ready under current engine rules"))))))</f>
        <v/>
      </c>
      <c r="BY189" s="13">
        <f>IF(BV189="Determination Notice","Streamlined + DN-ready assumptions satisfied",IF(BV189="Board","Board-required or board-ready assumptions satisfied",""))</f>
        <v/>
      </c>
      <c r="BZ189" s="13">
        <f>IF(AND(BP189="Y",BQ189&lt;&gt;"Y"),"Carryforward project retains queue priority",IF(BQ189="Y","New project enters behind carryforward projects",""))</f>
        <v/>
      </c>
      <c r="CA189" s="13">
        <f>_xludf.RANK.EQ(Rule_Flags!O188,Rule_Flags!$O$3:$O$402,0)</f>
        <v/>
      </c>
      <c r="CB189" s="13">
        <f>IF(OR(BU189="Determination Notice Issued",BU189="Board",BU189="Closed"),"Y","N")</f>
        <v/>
      </c>
      <c r="CC189" s="9" t="n"/>
      <c r="CD189" s="9" t="n"/>
      <c r="CE189" s="9" t="n"/>
      <c r="CF189" s="9" t="n"/>
      <c r="CG189" s="9" t="n"/>
      <c r="CH189" s="9" t="n"/>
    </row>
    <row r="190">
      <c r="A190" s="8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8" t="n"/>
      <c r="L190" s="9" t="n"/>
      <c r="M190" s="8" t="n"/>
      <c r="N190" s="8" t="n"/>
      <c r="O190" s="8" t="n"/>
      <c r="P190" s="8" t="n"/>
      <c r="Q190" s="8" t="n"/>
      <c r="R190" s="9" t="n"/>
      <c r="S190" s="9" t="n"/>
      <c r="T190" s="10" t="n"/>
      <c r="U190" s="10" t="n"/>
      <c r="V190" s="9" t="n"/>
      <c r="W190" s="9" t="n"/>
      <c r="X190" s="9" t="n"/>
      <c r="Y190" s="9" t="n"/>
      <c r="Z190" s="11" t="n"/>
      <c r="AA190" s="11" t="n"/>
      <c r="AB190" s="11" t="n"/>
      <c r="AC190" s="11" t="n"/>
      <c r="AD190" s="11" t="n"/>
      <c r="AE190" s="11" t="n"/>
      <c r="AF190" s="9" t="n"/>
      <c r="AG190" s="9" t="n"/>
      <c r="AH190" s="9" t="n"/>
      <c r="AI190" s="9" t="n"/>
      <c r="AJ190" s="8" t="n"/>
      <c r="AK190" s="9" t="n"/>
      <c r="AL190" s="9" t="n"/>
      <c r="AM190" s="9" t="n"/>
      <c r="AN190" s="9" t="n"/>
      <c r="AO190" s="9" t="n"/>
      <c r="AP190" s="9" t="n"/>
      <c r="AQ190" s="9" t="n"/>
      <c r="AR190" s="9" t="n"/>
      <c r="AS190" s="9" t="n"/>
      <c r="AT190" s="8" t="n"/>
      <c r="AU190" s="8" t="n"/>
      <c r="AV190" s="9" t="n"/>
      <c r="AW190" s="8" t="n"/>
      <c r="AX190" s="9" t="n"/>
      <c r="AY190" s="9" t="n"/>
      <c r="AZ190" s="9" t="n"/>
      <c r="BA190" s="9" t="n"/>
      <c r="BB190" s="9" t="n"/>
      <c r="BC190" s="9" t="n"/>
      <c r="BD190" s="9" t="n"/>
      <c r="BE190" s="9" t="n"/>
      <c r="BF190" s="9" t="n"/>
      <c r="BG190" s="9" t="n"/>
      <c r="BH190" s="9" t="n"/>
      <c r="BI190" s="9" t="n"/>
      <c r="BJ190" s="9" t="n"/>
      <c r="BK190" s="9" t="n"/>
      <c r="BL190" s="9" t="n"/>
      <c r="BM190" s="9" t="n"/>
      <c r="BN190" s="9" t="n"/>
      <c r="BO190" s="8" t="n"/>
      <c r="BP190" s="9" t="n"/>
      <c r="BQ190" s="9" t="n"/>
      <c r="BR190" s="13">
        <f>IF(COUNTIF(AI190:BM190,"N")+COUNTBLANK(AI190:BM190)=0,"Y","N")</f>
        <v/>
      </c>
      <c r="BS190" s="13">
        <f>IF(AND(BR190="Y",OR(L190="Submitted",L190="Under Review")),"Y",IF(L190="Closed","Y","N"))</f>
        <v/>
      </c>
      <c r="BT190" s="10" t="n"/>
      <c r="BU190" s="13">
        <f>Rule_Flags!Q189</f>
        <v/>
      </c>
      <c r="BV190" s="13">
        <f>Rule_Flags!P189</f>
        <v/>
      </c>
      <c r="BW190" s="13">
        <f>IF(Rule_Flags!E189=1,"SITE_CONTROL",IF(Rule_Flags!F189=1,"APPROVALS",IF(Rule_Flags!G189=1,"REPORTS",IF(Rule_Flags!H189=1,"DEFICIENCY",IF(Rule_Flags!I189=1,"UNDERWRITING",IF(Rule_Flags!J189=1,"COMPLIANCE",""))))))</f>
        <v/>
      </c>
      <c r="BX190" s="13">
        <f>IF(BW190="SITE_CONTROL","Site control missing or invalid",IF(BW190="APPROVALS","Required approvals or resolutions incomplete",IF(BW190="REPORTS","Required third-party reports incomplete",IF(BW190="DEFICIENCY","Unresolved deficiency or material deficiency",IF(BW190="UNDERWRITING","Underwriting / feasibility not passed",IF(BW190="COMPLIANCE","Deconcentration, one-mile, LURA, or Chapter 12 issue","Ready under current engine rules"))))))</f>
        <v/>
      </c>
      <c r="BY190" s="13">
        <f>IF(BV190="Determination Notice","Streamlined + DN-ready assumptions satisfied",IF(BV190="Board","Board-required or board-ready assumptions satisfied",""))</f>
        <v/>
      </c>
      <c r="BZ190" s="13">
        <f>IF(AND(BP190="Y",BQ190&lt;&gt;"Y"),"Carryforward project retains queue priority",IF(BQ190="Y","New project enters behind carryforward projects",""))</f>
        <v/>
      </c>
      <c r="CA190" s="13">
        <f>_xludf.RANK.EQ(Rule_Flags!O189,Rule_Flags!$O$3:$O$402,0)</f>
        <v/>
      </c>
      <c r="CB190" s="13">
        <f>IF(OR(BU190="Determination Notice Issued",BU190="Board",BU190="Closed"),"Y","N")</f>
        <v/>
      </c>
      <c r="CC190" s="9" t="n"/>
      <c r="CD190" s="9" t="n"/>
      <c r="CE190" s="9" t="n"/>
      <c r="CF190" s="9" t="n"/>
      <c r="CG190" s="9" t="n"/>
      <c r="CH190" s="9" t="n"/>
    </row>
    <row r="191">
      <c r="A191" s="8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8" t="n"/>
      <c r="L191" s="9" t="n"/>
      <c r="M191" s="8" t="n"/>
      <c r="N191" s="8" t="n"/>
      <c r="O191" s="8" t="n"/>
      <c r="P191" s="8" t="n"/>
      <c r="Q191" s="8" t="n"/>
      <c r="R191" s="9" t="n"/>
      <c r="S191" s="9" t="n"/>
      <c r="T191" s="10" t="n"/>
      <c r="U191" s="10" t="n"/>
      <c r="V191" s="9" t="n"/>
      <c r="W191" s="9" t="n"/>
      <c r="X191" s="9" t="n"/>
      <c r="Y191" s="9" t="n"/>
      <c r="Z191" s="11" t="n"/>
      <c r="AA191" s="11" t="n"/>
      <c r="AB191" s="11" t="n"/>
      <c r="AC191" s="11" t="n"/>
      <c r="AD191" s="11" t="n"/>
      <c r="AE191" s="11" t="n"/>
      <c r="AF191" s="9" t="n"/>
      <c r="AG191" s="9" t="n"/>
      <c r="AH191" s="9" t="n"/>
      <c r="AI191" s="9" t="n"/>
      <c r="AJ191" s="8" t="n"/>
      <c r="AK191" s="9" t="n"/>
      <c r="AL191" s="9" t="n"/>
      <c r="AM191" s="9" t="n"/>
      <c r="AN191" s="9" t="n"/>
      <c r="AO191" s="9" t="n"/>
      <c r="AP191" s="9" t="n"/>
      <c r="AQ191" s="9" t="n"/>
      <c r="AR191" s="9" t="n"/>
      <c r="AS191" s="9" t="n"/>
      <c r="AT191" s="8" t="n"/>
      <c r="AU191" s="8" t="n"/>
      <c r="AV191" s="9" t="n"/>
      <c r="AW191" s="8" t="n"/>
      <c r="AX191" s="9" t="n"/>
      <c r="AY191" s="9" t="n"/>
      <c r="AZ191" s="9" t="n"/>
      <c r="BA191" s="9" t="n"/>
      <c r="BB191" s="9" t="n"/>
      <c r="BC191" s="9" t="n"/>
      <c r="BD191" s="9" t="n"/>
      <c r="BE191" s="9" t="n"/>
      <c r="BF191" s="9" t="n"/>
      <c r="BG191" s="9" t="n"/>
      <c r="BH191" s="9" t="n"/>
      <c r="BI191" s="9" t="n"/>
      <c r="BJ191" s="9" t="n"/>
      <c r="BK191" s="9" t="n"/>
      <c r="BL191" s="9" t="n"/>
      <c r="BM191" s="9" t="n"/>
      <c r="BN191" s="9" t="n"/>
      <c r="BO191" s="8" t="n"/>
      <c r="BP191" s="9" t="n"/>
      <c r="BQ191" s="9" t="n"/>
      <c r="BR191" s="13">
        <f>IF(COUNTIF(AI191:BM191,"N")+COUNTBLANK(AI191:BM191)=0,"Y","N")</f>
        <v/>
      </c>
      <c r="BS191" s="13">
        <f>IF(AND(BR191="Y",OR(L191="Submitted",L191="Under Review")),"Y",IF(L191="Closed","Y","N"))</f>
        <v/>
      </c>
      <c r="BT191" s="10" t="n"/>
      <c r="BU191" s="13">
        <f>Rule_Flags!Q190</f>
        <v/>
      </c>
      <c r="BV191" s="13">
        <f>Rule_Flags!P190</f>
        <v/>
      </c>
      <c r="BW191" s="13">
        <f>IF(Rule_Flags!E190=1,"SITE_CONTROL",IF(Rule_Flags!F190=1,"APPROVALS",IF(Rule_Flags!G190=1,"REPORTS",IF(Rule_Flags!H190=1,"DEFICIENCY",IF(Rule_Flags!I190=1,"UNDERWRITING",IF(Rule_Flags!J190=1,"COMPLIANCE",""))))))</f>
        <v/>
      </c>
      <c r="BX191" s="13">
        <f>IF(BW191="SITE_CONTROL","Site control missing or invalid",IF(BW191="APPROVALS","Required approvals or resolutions incomplete",IF(BW191="REPORTS","Required third-party reports incomplete",IF(BW191="DEFICIENCY","Unresolved deficiency or material deficiency",IF(BW191="UNDERWRITING","Underwriting / feasibility not passed",IF(BW191="COMPLIANCE","Deconcentration, one-mile, LURA, or Chapter 12 issue","Ready under current engine rules"))))))</f>
        <v/>
      </c>
      <c r="BY191" s="13">
        <f>IF(BV191="Determination Notice","Streamlined + DN-ready assumptions satisfied",IF(BV191="Board","Board-required or board-ready assumptions satisfied",""))</f>
        <v/>
      </c>
      <c r="BZ191" s="13">
        <f>IF(AND(BP191="Y",BQ191&lt;&gt;"Y"),"Carryforward project retains queue priority",IF(BQ191="Y","New project enters behind carryforward projects",""))</f>
        <v/>
      </c>
      <c r="CA191" s="13">
        <f>_xludf.RANK.EQ(Rule_Flags!O190,Rule_Flags!$O$3:$O$402,0)</f>
        <v/>
      </c>
      <c r="CB191" s="13">
        <f>IF(OR(BU191="Determination Notice Issued",BU191="Board",BU191="Closed"),"Y","N")</f>
        <v/>
      </c>
      <c r="CC191" s="9" t="n"/>
      <c r="CD191" s="9" t="n"/>
      <c r="CE191" s="9" t="n"/>
      <c r="CF191" s="9" t="n"/>
      <c r="CG191" s="9" t="n"/>
      <c r="CH191" s="9" t="n"/>
    </row>
    <row r="192">
      <c r="A192" s="8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8" t="n"/>
      <c r="L192" s="9" t="n"/>
      <c r="M192" s="8" t="n"/>
      <c r="N192" s="8" t="n"/>
      <c r="O192" s="8" t="n"/>
      <c r="P192" s="8" t="n"/>
      <c r="Q192" s="8" t="n"/>
      <c r="R192" s="9" t="n"/>
      <c r="S192" s="9" t="n"/>
      <c r="T192" s="10" t="n"/>
      <c r="U192" s="10" t="n"/>
      <c r="V192" s="9" t="n"/>
      <c r="W192" s="9" t="n"/>
      <c r="X192" s="9" t="n"/>
      <c r="Y192" s="9" t="n"/>
      <c r="Z192" s="11" t="n"/>
      <c r="AA192" s="11" t="n"/>
      <c r="AB192" s="11" t="n"/>
      <c r="AC192" s="11" t="n"/>
      <c r="AD192" s="11" t="n"/>
      <c r="AE192" s="11" t="n"/>
      <c r="AF192" s="9" t="n"/>
      <c r="AG192" s="9" t="n"/>
      <c r="AH192" s="9" t="n"/>
      <c r="AI192" s="9" t="n"/>
      <c r="AJ192" s="8" t="n"/>
      <c r="AK192" s="9" t="n"/>
      <c r="AL192" s="9" t="n"/>
      <c r="AM192" s="9" t="n"/>
      <c r="AN192" s="9" t="n"/>
      <c r="AO192" s="9" t="n"/>
      <c r="AP192" s="9" t="n"/>
      <c r="AQ192" s="9" t="n"/>
      <c r="AR192" s="9" t="n"/>
      <c r="AS192" s="9" t="n"/>
      <c r="AT192" s="8" t="n"/>
      <c r="AU192" s="8" t="n"/>
      <c r="AV192" s="9" t="n"/>
      <c r="AW192" s="8" t="n"/>
      <c r="AX192" s="9" t="n"/>
      <c r="AY192" s="9" t="n"/>
      <c r="AZ192" s="9" t="n"/>
      <c r="BA192" s="9" t="n"/>
      <c r="BB192" s="9" t="n"/>
      <c r="BC192" s="9" t="n"/>
      <c r="BD192" s="9" t="n"/>
      <c r="BE192" s="9" t="n"/>
      <c r="BF192" s="9" t="n"/>
      <c r="BG192" s="9" t="n"/>
      <c r="BH192" s="9" t="n"/>
      <c r="BI192" s="9" t="n"/>
      <c r="BJ192" s="9" t="n"/>
      <c r="BK192" s="9" t="n"/>
      <c r="BL192" s="9" t="n"/>
      <c r="BM192" s="9" t="n"/>
      <c r="BN192" s="9" t="n"/>
      <c r="BO192" s="8" t="n"/>
      <c r="BP192" s="9" t="n"/>
      <c r="BQ192" s="9" t="n"/>
      <c r="BR192" s="13">
        <f>IF(COUNTIF(AI192:BM192,"N")+COUNTBLANK(AI192:BM192)=0,"Y","N")</f>
        <v/>
      </c>
      <c r="BS192" s="13">
        <f>IF(AND(BR192="Y",OR(L192="Submitted",L192="Under Review")),"Y",IF(L192="Closed","Y","N"))</f>
        <v/>
      </c>
      <c r="BT192" s="10" t="n"/>
      <c r="BU192" s="13">
        <f>Rule_Flags!Q191</f>
        <v/>
      </c>
      <c r="BV192" s="13">
        <f>Rule_Flags!P191</f>
        <v/>
      </c>
      <c r="BW192" s="13">
        <f>IF(Rule_Flags!E191=1,"SITE_CONTROL",IF(Rule_Flags!F191=1,"APPROVALS",IF(Rule_Flags!G191=1,"REPORTS",IF(Rule_Flags!H191=1,"DEFICIENCY",IF(Rule_Flags!I191=1,"UNDERWRITING",IF(Rule_Flags!J191=1,"COMPLIANCE",""))))))</f>
        <v/>
      </c>
      <c r="BX192" s="13">
        <f>IF(BW192="SITE_CONTROL","Site control missing or invalid",IF(BW192="APPROVALS","Required approvals or resolutions incomplete",IF(BW192="REPORTS","Required third-party reports incomplete",IF(BW192="DEFICIENCY","Unresolved deficiency or material deficiency",IF(BW192="UNDERWRITING","Underwriting / feasibility not passed",IF(BW192="COMPLIANCE","Deconcentration, one-mile, LURA, or Chapter 12 issue","Ready under current engine rules"))))))</f>
        <v/>
      </c>
      <c r="BY192" s="13">
        <f>IF(BV192="Determination Notice","Streamlined + DN-ready assumptions satisfied",IF(BV192="Board","Board-required or board-ready assumptions satisfied",""))</f>
        <v/>
      </c>
      <c r="BZ192" s="13">
        <f>IF(AND(BP192="Y",BQ192&lt;&gt;"Y"),"Carryforward project retains queue priority",IF(BQ192="Y","New project enters behind carryforward projects",""))</f>
        <v/>
      </c>
      <c r="CA192" s="13">
        <f>_xludf.RANK.EQ(Rule_Flags!O191,Rule_Flags!$O$3:$O$402,0)</f>
        <v/>
      </c>
      <c r="CB192" s="13">
        <f>IF(OR(BU192="Determination Notice Issued",BU192="Board",BU192="Closed"),"Y","N")</f>
        <v/>
      </c>
      <c r="CC192" s="9" t="n"/>
      <c r="CD192" s="9" t="n"/>
      <c r="CE192" s="9" t="n"/>
      <c r="CF192" s="9" t="n"/>
      <c r="CG192" s="9" t="n"/>
      <c r="CH192" s="9" t="n"/>
    </row>
    <row r="193">
      <c r="A193" s="8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8" t="n"/>
      <c r="L193" s="9" t="n"/>
      <c r="M193" s="8" t="n"/>
      <c r="N193" s="8" t="n"/>
      <c r="O193" s="8" t="n"/>
      <c r="P193" s="8" t="n"/>
      <c r="Q193" s="8" t="n"/>
      <c r="R193" s="9" t="n"/>
      <c r="S193" s="9" t="n"/>
      <c r="T193" s="10" t="n"/>
      <c r="U193" s="10" t="n"/>
      <c r="V193" s="9" t="n"/>
      <c r="W193" s="9" t="n"/>
      <c r="X193" s="9" t="n"/>
      <c r="Y193" s="9" t="n"/>
      <c r="Z193" s="11" t="n"/>
      <c r="AA193" s="11" t="n"/>
      <c r="AB193" s="11" t="n"/>
      <c r="AC193" s="11" t="n"/>
      <c r="AD193" s="11" t="n"/>
      <c r="AE193" s="11" t="n"/>
      <c r="AF193" s="9" t="n"/>
      <c r="AG193" s="9" t="n"/>
      <c r="AH193" s="9" t="n"/>
      <c r="AI193" s="9" t="n"/>
      <c r="AJ193" s="8" t="n"/>
      <c r="AK193" s="9" t="n"/>
      <c r="AL193" s="9" t="n"/>
      <c r="AM193" s="9" t="n"/>
      <c r="AN193" s="9" t="n"/>
      <c r="AO193" s="9" t="n"/>
      <c r="AP193" s="9" t="n"/>
      <c r="AQ193" s="9" t="n"/>
      <c r="AR193" s="9" t="n"/>
      <c r="AS193" s="9" t="n"/>
      <c r="AT193" s="8" t="n"/>
      <c r="AU193" s="8" t="n"/>
      <c r="AV193" s="9" t="n"/>
      <c r="AW193" s="8" t="n"/>
      <c r="AX193" s="9" t="n"/>
      <c r="AY193" s="9" t="n"/>
      <c r="AZ193" s="9" t="n"/>
      <c r="BA193" s="9" t="n"/>
      <c r="BB193" s="9" t="n"/>
      <c r="BC193" s="9" t="n"/>
      <c r="BD193" s="9" t="n"/>
      <c r="BE193" s="9" t="n"/>
      <c r="BF193" s="9" t="n"/>
      <c r="BG193" s="9" t="n"/>
      <c r="BH193" s="9" t="n"/>
      <c r="BI193" s="9" t="n"/>
      <c r="BJ193" s="9" t="n"/>
      <c r="BK193" s="9" t="n"/>
      <c r="BL193" s="9" t="n"/>
      <c r="BM193" s="9" t="n"/>
      <c r="BN193" s="9" t="n"/>
      <c r="BO193" s="8" t="n"/>
      <c r="BP193" s="9" t="n"/>
      <c r="BQ193" s="9" t="n"/>
      <c r="BR193" s="13">
        <f>IF(COUNTIF(AI193:BM193,"N")+COUNTBLANK(AI193:BM193)=0,"Y","N")</f>
        <v/>
      </c>
      <c r="BS193" s="13">
        <f>IF(AND(BR193="Y",OR(L193="Submitted",L193="Under Review")),"Y",IF(L193="Closed","Y","N"))</f>
        <v/>
      </c>
      <c r="BT193" s="10" t="n"/>
      <c r="BU193" s="13">
        <f>Rule_Flags!Q192</f>
        <v/>
      </c>
      <c r="BV193" s="13">
        <f>Rule_Flags!P192</f>
        <v/>
      </c>
      <c r="BW193" s="13">
        <f>IF(Rule_Flags!E192=1,"SITE_CONTROL",IF(Rule_Flags!F192=1,"APPROVALS",IF(Rule_Flags!G192=1,"REPORTS",IF(Rule_Flags!H192=1,"DEFICIENCY",IF(Rule_Flags!I192=1,"UNDERWRITING",IF(Rule_Flags!J192=1,"COMPLIANCE",""))))))</f>
        <v/>
      </c>
      <c r="BX193" s="13">
        <f>IF(BW193="SITE_CONTROL","Site control missing or invalid",IF(BW193="APPROVALS","Required approvals or resolutions incomplete",IF(BW193="REPORTS","Required third-party reports incomplete",IF(BW193="DEFICIENCY","Unresolved deficiency or material deficiency",IF(BW193="UNDERWRITING","Underwriting / feasibility not passed",IF(BW193="COMPLIANCE","Deconcentration, one-mile, LURA, or Chapter 12 issue","Ready under current engine rules"))))))</f>
        <v/>
      </c>
      <c r="BY193" s="13">
        <f>IF(BV193="Determination Notice","Streamlined + DN-ready assumptions satisfied",IF(BV193="Board","Board-required or board-ready assumptions satisfied",""))</f>
        <v/>
      </c>
      <c r="BZ193" s="13">
        <f>IF(AND(BP193="Y",BQ193&lt;&gt;"Y"),"Carryforward project retains queue priority",IF(BQ193="Y","New project enters behind carryforward projects",""))</f>
        <v/>
      </c>
      <c r="CA193" s="13">
        <f>_xludf.RANK.EQ(Rule_Flags!O192,Rule_Flags!$O$3:$O$402,0)</f>
        <v/>
      </c>
      <c r="CB193" s="13">
        <f>IF(OR(BU193="Determination Notice Issued",BU193="Board",BU193="Closed"),"Y","N")</f>
        <v/>
      </c>
      <c r="CC193" s="9" t="n"/>
      <c r="CD193" s="9" t="n"/>
      <c r="CE193" s="9" t="n"/>
      <c r="CF193" s="9" t="n"/>
      <c r="CG193" s="9" t="n"/>
      <c r="CH193" s="9" t="n"/>
    </row>
    <row r="194">
      <c r="A194" s="8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8" t="n"/>
      <c r="L194" s="9" t="n"/>
      <c r="M194" s="8" t="n"/>
      <c r="N194" s="8" t="n"/>
      <c r="O194" s="8" t="n"/>
      <c r="P194" s="8" t="n"/>
      <c r="Q194" s="8" t="n"/>
      <c r="R194" s="9" t="n"/>
      <c r="S194" s="9" t="n"/>
      <c r="T194" s="10" t="n"/>
      <c r="U194" s="10" t="n"/>
      <c r="V194" s="9" t="n"/>
      <c r="W194" s="9" t="n"/>
      <c r="X194" s="9" t="n"/>
      <c r="Y194" s="9" t="n"/>
      <c r="Z194" s="11" t="n"/>
      <c r="AA194" s="11" t="n"/>
      <c r="AB194" s="11" t="n"/>
      <c r="AC194" s="11" t="n"/>
      <c r="AD194" s="11" t="n"/>
      <c r="AE194" s="11" t="n"/>
      <c r="AF194" s="9" t="n"/>
      <c r="AG194" s="9" t="n"/>
      <c r="AH194" s="9" t="n"/>
      <c r="AI194" s="9" t="n"/>
      <c r="AJ194" s="8" t="n"/>
      <c r="AK194" s="9" t="n"/>
      <c r="AL194" s="9" t="n"/>
      <c r="AM194" s="9" t="n"/>
      <c r="AN194" s="9" t="n"/>
      <c r="AO194" s="9" t="n"/>
      <c r="AP194" s="9" t="n"/>
      <c r="AQ194" s="9" t="n"/>
      <c r="AR194" s="9" t="n"/>
      <c r="AS194" s="9" t="n"/>
      <c r="AT194" s="8" t="n"/>
      <c r="AU194" s="8" t="n"/>
      <c r="AV194" s="9" t="n"/>
      <c r="AW194" s="8" t="n"/>
      <c r="AX194" s="9" t="n"/>
      <c r="AY194" s="9" t="n"/>
      <c r="AZ194" s="9" t="n"/>
      <c r="BA194" s="9" t="n"/>
      <c r="BB194" s="9" t="n"/>
      <c r="BC194" s="9" t="n"/>
      <c r="BD194" s="9" t="n"/>
      <c r="BE194" s="9" t="n"/>
      <c r="BF194" s="9" t="n"/>
      <c r="BG194" s="9" t="n"/>
      <c r="BH194" s="9" t="n"/>
      <c r="BI194" s="9" t="n"/>
      <c r="BJ194" s="9" t="n"/>
      <c r="BK194" s="9" t="n"/>
      <c r="BL194" s="9" t="n"/>
      <c r="BM194" s="9" t="n"/>
      <c r="BN194" s="9" t="n"/>
      <c r="BO194" s="8" t="n"/>
      <c r="BP194" s="9" t="n"/>
      <c r="BQ194" s="9" t="n"/>
      <c r="BR194" s="13">
        <f>IF(COUNTIF(AI194:BM194,"N")+COUNTBLANK(AI194:BM194)=0,"Y","N")</f>
        <v/>
      </c>
      <c r="BS194" s="13">
        <f>IF(AND(BR194="Y",OR(L194="Submitted",L194="Under Review")),"Y",IF(L194="Closed","Y","N"))</f>
        <v/>
      </c>
      <c r="BT194" s="10" t="n"/>
      <c r="BU194" s="13">
        <f>Rule_Flags!Q193</f>
        <v/>
      </c>
      <c r="BV194" s="13">
        <f>Rule_Flags!P193</f>
        <v/>
      </c>
      <c r="BW194" s="13">
        <f>IF(Rule_Flags!E193=1,"SITE_CONTROL",IF(Rule_Flags!F193=1,"APPROVALS",IF(Rule_Flags!G193=1,"REPORTS",IF(Rule_Flags!H193=1,"DEFICIENCY",IF(Rule_Flags!I193=1,"UNDERWRITING",IF(Rule_Flags!J193=1,"COMPLIANCE",""))))))</f>
        <v/>
      </c>
      <c r="BX194" s="13">
        <f>IF(BW194="SITE_CONTROL","Site control missing or invalid",IF(BW194="APPROVALS","Required approvals or resolutions incomplete",IF(BW194="REPORTS","Required third-party reports incomplete",IF(BW194="DEFICIENCY","Unresolved deficiency or material deficiency",IF(BW194="UNDERWRITING","Underwriting / feasibility not passed",IF(BW194="COMPLIANCE","Deconcentration, one-mile, LURA, or Chapter 12 issue","Ready under current engine rules"))))))</f>
        <v/>
      </c>
      <c r="BY194" s="13">
        <f>IF(BV194="Determination Notice","Streamlined + DN-ready assumptions satisfied",IF(BV194="Board","Board-required or board-ready assumptions satisfied",""))</f>
        <v/>
      </c>
      <c r="BZ194" s="13">
        <f>IF(AND(BP194="Y",BQ194&lt;&gt;"Y"),"Carryforward project retains queue priority",IF(BQ194="Y","New project enters behind carryforward projects",""))</f>
        <v/>
      </c>
      <c r="CA194" s="13">
        <f>_xludf.RANK.EQ(Rule_Flags!O193,Rule_Flags!$O$3:$O$402,0)</f>
        <v/>
      </c>
      <c r="CB194" s="13">
        <f>IF(OR(BU194="Determination Notice Issued",BU194="Board",BU194="Closed"),"Y","N")</f>
        <v/>
      </c>
      <c r="CC194" s="9" t="n"/>
      <c r="CD194" s="9" t="n"/>
      <c r="CE194" s="9" t="n"/>
      <c r="CF194" s="9" t="n"/>
      <c r="CG194" s="9" t="n"/>
      <c r="CH194" s="9" t="n"/>
    </row>
    <row r="195">
      <c r="A195" s="8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8" t="n"/>
      <c r="L195" s="9" t="n"/>
      <c r="M195" s="8" t="n"/>
      <c r="N195" s="8" t="n"/>
      <c r="O195" s="8" t="n"/>
      <c r="P195" s="8" t="n"/>
      <c r="Q195" s="8" t="n"/>
      <c r="R195" s="9" t="n"/>
      <c r="S195" s="9" t="n"/>
      <c r="T195" s="10" t="n"/>
      <c r="U195" s="10" t="n"/>
      <c r="V195" s="9" t="n"/>
      <c r="W195" s="9" t="n"/>
      <c r="X195" s="9" t="n"/>
      <c r="Y195" s="9" t="n"/>
      <c r="Z195" s="11" t="n"/>
      <c r="AA195" s="11" t="n"/>
      <c r="AB195" s="11" t="n"/>
      <c r="AC195" s="11" t="n"/>
      <c r="AD195" s="11" t="n"/>
      <c r="AE195" s="11" t="n"/>
      <c r="AF195" s="9" t="n"/>
      <c r="AG195" s="9" t="n"/>
      <c r="AH195" s="9" t="n"/>
      <c r="AI195" s="9" t="n"/>
      <c r="AJ195" s="8" t="n"/>
      <c r="AK195" s="9" t="n"/>
      <c r="AL195" s="9" t="n"/>
      <c r="AM195" s="9" t="n"/>
      <c r="AN195" s="9" t="n"/>
      <c r="AO195" s="9" t="n"/>
      <c r="AP195" s="9" t="n"/>
      <c r="AQ195" s="9" t="n"/>
      <c r="AR195" s="9" t="n"/>
      <c r="AS195" s="9" t="n"/>
      <c r="AT195" s="8" t="n"/>
      <c r="AU195" s="8" t="n"/>
      <c r="AV195" s="9" t="n"/>
      <c r="AW195" s="8" t="n"/>
      <c r="AX195" s="9" t="n"/>
      <c r="AY195" s="9" t="n"/>
      <c r="AZ195" s="9" t="n"/>
      <c r="BA195" s="9" t="n"/>
      <c r="BB195" s="9" t="n"/>
      <c r="BC195" s="9" t="n"/>
      <c r="BD195" s="9" t="n"/>
      <c r="BE195" s="9" t="n"/>
      <c r="BF195" s="9" t="n"/>
      <c r="BG195" s="9" t="n"/>
      <c r="BH195" s="9" t="n"/>
      <c r="BI195" s="9" t="n"/>
      <c r="BJ195" s="9" t="n"/>
      <c r="BK195" s="9" t="n"/>
      <c r="BL195" s="9" t="n"/>
      <c r="BM195" s="9" t="n"/>
      <c r="BN195" s="9" t="n"/>
      <c r="BO195" s="8" t="n"/>
      <c r="BP195" s="9" t="n"/>
      <c r="BQ195" s="9" t="n"/>
      <c r="BR195" s="13">
        <f>IF(COUNTIF(AI195:BM195,"N")+COUNTBLANK(AI195:BM195)=0,"Y","N")</f>
        <v/>
      </c>
      <c r="BS195" s="13">
        <f>IF(AND(BR195="Y",OR(L195="Submitted",L195="Under Review")),"Y",IF(L195="Closed","Y","N"))</f>
        <v/>
      </c>
      <c r="BT195" s="10" t="n"/>
      <c r="BU195" s="13">
        <f>Rule_Flags!Q194</f>
        <v/>
      </c>
      <c r="BV195" s="13">
        <f>Rule_Flags!P194</f>
        <v/>
      </c>
      <c r="BW195" s="13">
        <f>IF(Rule_Flags!E194=1,"SITE_CONTROL",IF(Rule_Flags!F194=1,"APPROVALS",IF(Rule_Flags!G194=1,"REPORTS",IF(Rule_Flags!H194=1,"DEFICIENCY",IF(Rule_Flags!I194=1,"UNDERWRITING",IF(Rule_Flags!J194=1,"COMPLIANCE",""))))))</f>
        <v/>
      </c>
      <c r="BX195" s="13">
        <f>IF(BW195="SITE_CONTROL","Site control missing or invalid",IF(BW195="APPROVALS","Required approvals or resolutions incomplete",IF(BW195="REPORTS","Required third-party reports incomplete",IF(BW195="DEFICIENCY","Unresolved deficiency or material deficiency",IF(BW195="UNDERWRITING","Underwriting / feasibility not passed",IF(BW195="COMPLIANCE","Deconcentration, one-mile, LURA, or Chapter 12 issue","Ready under current engine rules"))))))</f>
        <v/>
      </c>
      <c r="BY195" s="13">
        <f>IF(BV195="Determination Notice","Streamlined + DN-ready assumptions satisfied",IF(BV195="Board","Board-required or board-ready assumptions satisfied",""))</f>
        <v/>
      </c>
      <c r="BZ195" s="13">
        <f>IF(AND(BP195="Y",BQ195&lt;&gt;"Y"),"Carryforward project retains queue priority",IF(BQ195="Y","New project enters behind carryforward projects",""))</f>
        <v/>
      </c>
      <c r="CA195" s="13">
        <f>_xludf.RANK.EQ(Rule_Flags!O194,Rule_Flags!$O$3:$O$402,0)</f>
        <v/>
      </c>
      <c r="CB195" s="13">
        <f>IF(OR(BU195="Determination Notice Issued",BU195="Board",BU195="Closed"),"Y","N")</f>
        <v/>
      </c>
      <c r="CC195" s="9" t="n"/>
      <c r="CD195" s="9" t="n"/>
      <c r="CE195" s="9" t="n"/>
      <c r="CF195" s="9" t="n"/>
      <c r="CG195" s="9" t="n"/>
      <c r="CH195" s="9" t="n"/>
    </row>
    <row r="196">
      <c r="A196" s="8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8" t="n"/>
      <c r="L196" s="9" t="n"/>
      <c r="M196" s="8" t="n"/>
      <c r="N196" s="8" t="n"/>
      <c r="O196" s="8" t="n"/>
      <c r="P196" s="8" t="n"/>
      <c r="Q196" s="8" t="n"/>
      <c r="R196" s="9" t="n"/>
      <c r="S196" s="9" t="n"/>
      <c r="T196" s="10" t="n"/>
      <c r="U196" s="10" t="n"/>
      <c r="V196" s="9" t="n"/>
      <c r="W196" s="9" t="n"/>
      <c r="X196" s="9" t="n"/>
      <c r="Y196" s="9" t="n"/>
      <c r="Z196" s="11" t="n"/>
      <c r="AA196" s="11" t="n"/>
      <c r="AB196" s="11" t="n"/>
      <c r="AC196" s="11" t="n"/>
      <c r="AD196" s="11" t="n"/>
      <c r="AE196" s="11" t="n"/>
      <c r="AF196" s="9" t="n"/>
      <c r="AG196" s="9" t="n"/>
      <c r="AH196" s="9" t="n"/>
      <c r="AI196" s="9" t="n"/>
      <c r="AJ196" s="8" t="n"/>
      <c r="AK196" s="9" t="n"/>
      <c r="AL196" s="9" t="n"/>
      <c r="AM196" s="9" t="n"/>
      <c r="AN196" s="9" t="n"/>
      <c r="AO196" s="9" t="n"/>
      <c r="AP196" s="9" t="n"/>
      <c r="AQ196" s="9" t="n"/>
      <c r="AR196" s="9" t="n"/>
      <c r="AS196" s="9" t="n"/>
      <c r="AT196" s="8" t="n"/>
      <c r="AU196" s="8" t="n"/>
      <c r="AV196" s="9" t="n"/>
      <c r="AW196" s="8" t="n"/>
      <c r="AX196" s="9" t="n"/>
      <c r="AY196" s="9" t="n"/>
      <c r="AZ196" s="9" t="n"/>
      <c r="BA196" s="9" t="n"/>
      <c r="BB196" s="9" t="n"/>
      <c r="BC196" s="9" t="n"/>
      <c r="BD196" s="9" t="n"/>
      <c r="BE196" s="9" t="n"/>
      <c r="BF196" s="9" t="n"/>
      <c r="BG196" s="9" t="n"/>
      <c r="BH196" s="9" t="n"/>
      <c r="BI196" s="9" t="n"/>
      <c r="BJ196" s="9" t="n"/>
      <c r="BK196" s="9" t="n"/>
      <c r="BL196" s="9" t="n"/>
      <c r="BM196" s="9" t="n"/>
      <c r="BN196" s="9" t="n"/>
      <c r="BO196" s="8" t="n"/>
      <c r="BP196" s="9" t="n"/>
      <c r="BQ196" s="9" t="n"/>
      <c r="BR196" s="13">
        <f>IF(COUNTIF(AI196:BM196,"N")+COUNTBLANK(AI196:BM196)=0,"Y","N")</f>
        <v/>
      </c>
      <c r="BS196" s="13">
        <f>IF(AND(BR196="Y",OR(L196="Submitted",L196="Under Review")),"Y",IF(L196="Closed","Y","N"))</f>
        <v/>
      </c>
      <c r="BT196" s="10" t="n"/>
      <c r="BU196" s="13">
        <f>Rule_Flags!Q195</f>
        <v/>
      </c>
      <c r="BV196" s="13">
        <f>Rule_Flags!P195</f>
        <v/>
      </c>
      <c r="BW196" s="13">
        <f>IF(Rule_Flags!E195=1,"SITE_CONTROL",IF(Rule_Flags!F195=1,"APPROVALS",IF(Rule_Flags!G195=1,"REPORTS",IF(Rule_Flags!H195=1,"DEFICIENCY",IF(Rule_Flags!I195=1,"UNDERWRITING",IF(Rule_Flags!J195=1,"COMPLIANCE",""))))))</f>
        <v/>
      </c>
      <c r="BX196" s="13">
        <f>IF(BW196="SITE_CONTROL","Site control missing or invalid",IF(BW196="APPROVALS","Required approvals or resolutions incomplete",IF(BW196="REPORTS","Required third-party reports incomplete",IF(BW196="DEFICIENCY","Unresolved deficiency or material deficiency",IF(BW196="UNDERWRITING","Underwriting / feasibility not passed",IF(BW196="COMPLIANCE","Deconcentration, one-mile, LURA, or Chapter 12 issue","Ready under current engine rules"))))))</f>
        <v/>
      </c>
      <c r="BY196" s="13">
        <f>IF(BV196="Determination Notice","Streamlined + DN-ready assumptions satisfied",IF(BV196="Board","Board-required or board-ready assumptions satisfied",""))</f>
        <v/>
      </c>
      <c r="BZ196" s="13">
        <f>IF(AND(BP196="Y",BQ196&lt;&gt;"Y"),"Carryforward project retains queue priority",IF(BQ196="Y","New project enters behind carryforward projects",""))</f>
        <v/>
      </c>
      <c r="CA196" s="13">
        <f>_xludf.RANK.EQ(Rule_Flags!O195,Rule_Flags!$O$3:$O$402,0)</f>
        <v/>
      </c>
      <c r="CB196" s="13">
        <f>IF(OR(BU196="Determination Notice Issued",BU196="Board",BU196="Closed"),"Y","N")</f>
        <v/>
      </c>
      <c r="CC196" s="9" t="n"/>
      <c r="CD196" s="9" t="n"/>
      <c r="CE196" s="9" t="n"/>
      <c r="CF196" s="9" t="n"/>
      <c r="CG196" s="9" t="n"/>
      <c r="CH196" s="9" t="n"/>
    </row>
    <row r="197">
      <c r="A197" s="8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8" t="n"/>
      <c r="L197" s="9" t="n"/>
      <c r="M197" s="8" t="n"/>
      <c r="N197" s="8" t="n"/>
      <c r="O197" s="8" t="n"/>
      <c r="P197" s="8" t="n"/>
      <c r="Q197" s="8" t="n"/>
      <c r="R197" s="9" t="n"/>
      <c r="S197" s="9" t="n"/>
      <c r="T197" s="10" t="n"/>
      <c r="U197" s="10" t="n"/>
      <c r="V197" s="9" t="n"/>
      <c r="W197" s="9" t="n"/>
      <c r="X197" s="9" t="n"/>
      <c r="Y197" s="9" t="n"/>
      <c r="Z197" s="11" t="n"/>
      <c r="AA197" s="11" t="n"/>
      <c r="AB197" s="11" t="n"/>
      <c r="AC197" s="11" t="n"/>
      <c r="AD197" s="11" t="n"/>
      <c r="AE197" s="11" t="n"/>
      <c r="AF197" s="9" t="n"/>
      <c r="AG197" s="9" t="n"/>
      <c r="AH197" s="9" t="n"/>
      <c r="AI197" s="9" t="n"/>
      <c r="AJ197" s="8" t="n"/>
      <c r="AK197" s="9" t="n"/>
      <c r="AL197" s="9" t="n"/>
      <c r="AM197" s="9" t="n"/>
      <c r="AN197" s="9" t="n"/>
      <c r="AO197" s="9" t="n"/>
      <c r="AP197" s="9" t="n"/>
      <c r="AQ197" s="9" t="n"/>
      <c r="AR197" s="9" t="n"/>
      <c r="AS197" s="9" t="n"/>
      <c r="AT197" s="8" t="n"/>
      <c r="AU197" s="8" t="n"/>
      <c r="AV197" s="9" t="n"/>
      <c r="AW197" s="8" t="n"/>
      <c r="AX197" s="9" t="n"/>
      <c r="AY197" s="9" t="n"/>
      <c r="AZ197" s="9" t="n"/>
      <c r="BA197" s="9" t="n"/>
      <c r="BB197" s="9" t="n"/>
      <c r="BC197" s="9" t="n"/>
      <c r="BD197" s="9" t="n"/>
      <c r="BE197" s="9" t="n"/>
      <c r="BF197" s="9" t="n"/>
      <c r="BG197" s="9" t="n"/>
      <c r="BH197" s="9" t="n"/>
      <c r="BI197" s="9" t="n"/>
      <c r="BJ197" s="9" t="n"/>
      <c r="BK197" s="9" t="n"/>
      <c r="BL197" s="9" t="n"/>
      <c r="BM197" s="9" t="n"/>
      <c r="BN197" s="9" t="n"/>
      <c r="BO197" s="8" t="n"/>
      <c r="BP197" s="9" t="n"/>
      <c r="BQ197" s="9" t="n"/>
      <c r="BR197" s="13">
        <f>IF(COUNTIF(AI197:BM197,"N")+COUNTBLANK(AI197:BM197)=0,"Y","N")</f>
        <v/>
      </c>
      <c r="BS197" s="13">
        <f>IF(AND(BR197="Y",OR(L197="Submitted",L197="Under Review")),"Y",IF(L197="Closed","Y","N"))</f>
        <v/>
      </c>
      <c r="BT197" s="10" t="n"/>
      <c r="BU197" s="13">
        <f>Rule_Flags!Q196</f>
        <v/>
      </c>
      <c r="BV197" s="13">
        <f>Rule_Flags!P196</f>
        <v/>
      </c>
      <c r="BW197" s="13">
        <f>IF(Rule_Flags!E196=1,"SITE_CONTROL",IF(Rule_Flags!F196=1,"APPROVALS",IF(Rule_Flags!G196=1,"REPORTS",IF(Rule_Flags!H196=1,"DEFICIENCY",IF(Rule_Flags!I196=1,"UNDERWRITING",IF(Rule_Flags!J196=1,"COMPLIANCE",""))))))</f>
        <v/>
      </c>
      <c r="BX197" s="13">
        <f>IF(BW197="SITE_CONTROL","Site control missing or invalid",IF(BW197="APPROVALS","Required approvals or resolutions incomplete",IF(BW197="REPORTS","Required third-party reports incomplete",IF(BW197="DEFICIENCY","Unresolved deficiency or material deficiency",IF(BW197="UNDERWRITING","Underwriting / feasibility not passed",IF(BW197="COMPLIANCE","Deconcentration, one-mile, LURA, or Chapter 12 issue","Ready under current engine rules"))))))</f>
        <v/>
      </c>
      <c r="BY197" s="13">
        <f>IF(BV197="Determination Notice","Streamlined + DN-ready assumptions satisfied",IF(BV197="Board","Board-required or board-ready assumptions satisfied",""))</f>
        <v/>
      </c>
      <c r="BZ197" s="13">
        <f>IF(AND(BP197="Y",BQ197&lt;&gt;"Y"),"Carryforward project retains queue priority",IF(BQ197="Y","New project enters behind carryforward projects",""))</f>
        <v/>
      </c>
      <c r="CA197" s="13">
        <f>_xludf.RANK.EQ(Rule_Flags!O196,Rule_Flags!$O$3:$O$402,0)</f>
        <v/>
      </c>
      <c r="CB197" s="13">
        <f>IF(OR(BU197="Determination Notice Issued",BU197="Board",BU197="Closed"),"Y","N")</f>
        <v/>
      </c>
      <c r="CC197" s="9" t="n"/>
      <c r="CD197" s="9" t="n"/>
      <c r="CE197" s="9" t="n"/>
      <c r="CF197" s="9" t="n"/>
      <c r="CG197" s="9" t="n"/>
      <c r="CH197" s="9" t="n"/>
    </row>
    <row r="198">
      <c r="A198" s="8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8" t="n"/>
      <c r="L198" s="9" t="n"/>
      <c r="M198" s="8" t="n"/>
      <c r="N198" s="8" t="n"/>
      <c r="O198" s="8" t="n"/>
      <c r="P198" s="8" t="n"/>
      <c r="Q198" s="8" t="n"/>
      <c r="R198" s="9" t="n"/>
      <c r="S198" s="9" t="n"/>
      <c r="T198" s="10" t="n"/>
      <c r="U198" s="10" t="n"/>
      <c r="V198" s="9" t="n"/>
      <c r="W198" s="9" t="n"/>
      <c r="X198" s="9" t="n"/>
      <c r="Y198" s="9" t="n"/>
      <c r="Z198" s="11" t="n"/>
      <c r="AA198" s="11" t="n"/>
      <c r="AB198" s="11" t="n"/>
      <c r="AC198" s="11" t="n"/>
      <c r="AD198" s="11" t="n"/>
      <c r="AE198" s="11" t="n"/>
      <c r="AF198" s="9" t="n"/>
      <c r="AG198" s="9" t="n"/>
      <c r="AH198" s="9" t="n"/>
      <c r="AI198" s="9" t="n"/>
      <c r="AJ198" s="8" t="n"/>
      <c r="AK198" s="9" t="n"/>
      <c r="AL198" s="9" t="n"/>
      <c r="AM198" s="9" t="n"/>
      <c r="AN198" s="9" t="n"/>
      <c r="AO198" s="9" t="n"/>
      <c r="AP198" s="9" t="n"/>
      <c r="AQ198" s="9" t="n"/>
      <c r="AR198" s="9" t="n"/>
      <c r="AS198" s="9" t="n"/>
      <c r="AT198" s="8" t="n"/>
      <c r="AU198" s="8" t="n"/>
      <c r="AV198" s="9" t="n"/>
      <c r="AW198" s="8" t="n"/>
      <c r="AX198" s="9" t="n"/>
      <c r="AY198" s="9" t="n"/>
      <c r="AZ198" s="9" t="n"/>
      <c r="BA198" s="9" t="n"/>
      <c r="BB198" s="9" t="n"/>
      <c r="BC198" s="9" t="n"/>
      <c r="BD198" s="9" t="n"/>
      <c r="BE198" s="9" t="n"/>
      <c r="BF198" s="9" t="n"/>
      <c r="BG198" s="9" t="n"/>
      <c r="BH198" s="9" t="n"/>
      <c r="BI198" s="9" t="n"/>
      <c r="BJ198" s="9" t="n"/>
      <c r="BK198" s="9" t="n"/>
      <c r="BL198" s="9" t="n"/>
      <c r="BM198" s="9" t="n"/>
      <c r="BN198" s="9" t="n"/>
      <c r="BO198" s="8" t="n"/>
      <c r="BP198" s="9" t="n"/>
      <c r="BQ198" s="9" t="n"/>
      <c r="BR198" s="13">
        <f>IF(COUNTIF(AI198:BM198,"N")+COUNTBLANK(AI198:BM198)=0,"Y","N")</f>
        <v/>
      </c>
      <c r="BS198" s="13">
        <f>IF(AND(BR198="Y",OR(L198="Submitted",L198="Under Review")),"Y",IF(L198="Closed","Y","N"))</f>
        <v/>
      </c>
      <c r="BT198" s="10" t="n"/>
      <c r="BU198" s="13">
        <f>Rule_Flags!Q197</f>
        <v/>
      </c>
      <c r="BV198" s="13">
        <f>Rule_Flags!P197</f>
        <v/>
      </c>
      <c r="BW198" s="13">
        <f>IF(Rule_Flags!E197=1,"SITE_CONTROL",IF(Rule_Flags!F197=1,"APPROVALS",IF(Rule_Flags!G197=1,"REPORTS",IF(Rule_Flags!H197=1,"DEFICIENCY",IF(Rule_Flags!I197=1,"UNDERWRITING",IF(Rule_Flags!J197=1,"COMPLIANCE",""))))))</f>
        <v/>
      </c>
      <c r="BX198" s="13">
        <f>IF(BW198="SITE_CONTROL","Site control missing or invalid",IF(BW198="APPROVALS","Required approvals or resolutions incomplete",IF(BW198="REPORTS","Required third-party reports incomplete",IF(BW198="DEFICIENCY","Unresolved deficiency or material deficiency",IF(BW198="UNDERWRITING","Underwriting / feasibility not passed",IF(BW198="COMPLIANCE","Deconcentration, one-mile, LURA, or Chapter 12 issue","Ready under current engine rules"))))))</f>
        <v/>
      </c>
      <c r="BY198" s="13">
        <f>IF(BV198="Determination Notice","Streamlined + DN-ready assumptions satisfied",IF(BV198="Board","Board-required or board-ready assumptions satisfied",""))</f>
        <v/>
      </c>
      <c r="BZ198" s="13">
        <f>IF(AND(BP198="Y",BQ198&lt;&gt;"Y"),"Carryforward project retains queue priority",IF(BQ198="Y","New project enters behind carryforward projects",""))</f>
        <v/>
      </c>
      <c r="CA198" s="13">
        <f>_xludf.RANK.EQ(Rule_Flags!O197,Rule_Flags!$O$3:$O$402,0)</f>
        <v/>
      </c>
      <c r="CB198" s="13">
        <f>IF(OR(BU198="Determination Notice Issued",BU198="Board",BU198="Closed"),"Y","N")</f>
        <v/>
      </c>
      <c r="CC198" s="9" t="n"/>
      <c r="CD198" s="9" t="n"/>
      <c r="CE198" s="9" t="n"/>
      <c r="CF198" s="9" t="n"/>
      <c r="CG198" s="9" t="n"/>
      <c r="CH198" s="9" t="n"/>
    </row>
    <row r="199">
      <c r="A199" s="8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8" t="n"/>
      <c r="L199" s="9" t="n"/>
      <c r="M199" s="8" t="n"/>
      <c r="N199" s="8" t="n"/>
      <c r="O199" s="8" t="n"/>
      <c r="P199" s="8" t="n"/>
      <c r="Q199" s="8" t="n"/>
      <c r="R199" s="9" t="n"/>
      <c r="S199" s="9" t="n"/>
      <c r="T199" s="10" t="n"/>
      <c r="U199" s="10" t="n"/>
      <c r="V199" s="9" t="n"/>
      <c r="W199" s="9" t="n"/>
      <c r="X199" s="9" t="n"/>
      <c r="Y199" s="9" t="n"/>
      <c r="Z199" s="11" t="n"/>
      <c r="AA199" s="11" t="n"/>
      <c r="AB199" s="11" t="n"/>
      <c r="AC199" s="11" t="n"/>
      <c r="AD199" s="11" t="n"/>
      <c r="AE199" s="11" t="n"/>
      <c r="AF199" s="9" t="n"/>
      <c r="AG199" s="9" t="n"/>
      <c r="AH199" s="9" t="n"/>
      <c r="AI199" s="9" t="n"/>
      <c r="AJ199" s="8" t="n"/>
      <c r="AK199" s="9" t="n"/>
      <c r="AL199" s="9" t="n"/>
      <c r="AM199" s="9" t="n"/>
      <c r="AN199" s="9" t="n"/>
      <c r="AO199" s="9" t="n"/>
      <c r="AP199" s="9" t="n"/>
      <c r="AQ199" s="9" t="n"/>
      <c r="AR199" s="9" t="n"/>
      <c r="AS199" s="9" t="n"/>
      <c r="AT199" s="8" t="n"/>
      <c r="AU199" s="8" t="n"/>
      <c r="AV199" s="9" t="n"/>
      <c r="AW199" s="8" t="n"/>
      <c r="AX199" s="9" t="n"/>
      <c r="AY199" s="9" t="n"/>
      <c r="AZ199" s="9" t="n"/>
      <c r="BA199" s="9" t="n"/>
      <c r="BB199" s="9" t="n"/>
      <c r="BC199" s="9" t="n"/>
      <c r="BD199" s="9" t="n"/>
      <c r="BE199" s="9" t="n"/>
      <c r="BF199" s="9" t="n"/>
      <c r="BG199" s="9" t="n"/>
      <c r="BH199" s="9" t="n"/>
      <c r="BI199" s="9" t="n"/>
      <c r="BJ199" s="9" t="n"/>
      <c r="BK199" s="9" t="n"/>
      <c r="BL199" s="9" t="n"/>
      <c r="BM199" s="9" t="n"/>
      <c r="BN199" s="9" t="n"/>
      <c r="BO199" s="8" t="n"/>
      <c r="BP199" s="9" t="n"/>
      <c r="BQ199" s="9" t="n"/>
      <c r="BR199" s="13">
        <f>IF(COUNTIF(AI199:BM199,"N")+COUNTBLANK(AI199:BM199)=0,"Y","N")</f>
        <v/>
      </c>
      <c r="BS199" s="13">
        <f>IF(AND(BR199="Y",OR(L199="Submitted",L199="Under Review")),"Y",IF(L199="Closed","Y","N"))</f>
        <v/>
      </c>
      <c r="BT199" s="10" t="n"/>
      <c r="BU199" s="13">
        <f>Rule_Flags!Q198</f>
        <v/>
      </c>
      <c r="BV199" s="13">
        <f>Rule_Flags!P198</f>
        <v/>
      </c>
      <c r="BW199" s="13">
        <f>IF(Rule_Flags!E198=1,"SITE_CONTROL",IF(Rule_Flags!F198=1,"APPROVALS",IF(Rule_Flags!G198=1,"REPORTS",IF(Rule_Flags!H198=1,"DEFICIENCY",IF(Rule_Flags!I198=1,"UNDERWRITING",IF(Rule_Flags!J198=1,"COMPLIANCE",""))))))</f>
        <v/>
      </c>
      <c r="BX199" s="13">
        <f>IF(BW199="SITE_CONTROL","Site control missing or invalid",IF(BW199="APPROVALS","Required approvals or resolutions incomplete",IF(BW199="REPORTS","Required third-party reports incomplete",IF(BW199="DEFICIENCY","Unresolved deficiency or material deficiency",IF(BW199="UNDERWRITING","Underwriting / feasibility not passed",IF(BW199="COMPLIANCE","Deconcentration, one-mile, LURA, or Chapter 12 issue","Ready under current engine rules"))))))</f>
        <v/>
      </c>
      <c r="BY199" s="13">
        <f>IF(BV199="Determination Notice","Streamlined + DN-ready assumptions satisfied",IF(BV199="Board","Board-required or board-ready assumptions satisfied",""))</f>
        <v/>
      </c>
      <c r="BZ199" s="13">
        <f>IF(AND(BP199="Y",BQ199&lt;&gt;"Y"),"Carryforward project retains queue priority",IF(BQ199="Y","New project enters behind carryforward projects",""))</f>
        <v/>
      </c>
      <c r="CA199" s="13">
        <f>_xludf.RANK.EQ(Rule_Flags!O198,Rule_Flags!$O$3:$O$402,0)</f>
        <v/>
      </c>
      <c r="CB199" s="13">
        <f>IF(OR(BU199="Determination Notice Issued",BU199="Board",BU199="Closed"),"Y","N")</f>
        <v/>
      </c>
      <c r="CC199" s="9" t="n"/>
      <c r="CD199" s="9" t="n"/>
      <c r="CE199" s="9" t="n"/>
      <c r="CF199" s="9" t="n"/>
      <c r="CG199" s="9" t="n"/>
      <c r="CH199" s="9" t="n"/>
    </row>
    <row r="200">
      <c r="A200" s="8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8" t="n"/>
      <c r="L200" s="9" t="n"/>
      <c r="M200" s="8" t="n"/>
      <c r="N200" s="8" t="n"/>
      <c r="O200" s="8" t="n"/>
      <c r="P200" s="8" t="n"/>
      <c r="Q200" s="8" t="n"/>
      <c r="R200" s="9" t="n"/>
      <c r="S200" s="9" t="n"/>
      <c r="T200" s="10" t="n"/>
      <c r="U200" s="10" t="n"/>
      <c r="V200" s="9" t="n"/>
      <c r="W200" s="9" t="n"/>
      <c r="X200" s="9" t="n"/>
      <c r="Y200" s="9" t="n"/>
      <c r="Z200" s="11" t="n"/>
      <c r="AA200" s="11" t="n"/>
      <c r="AB200" s="11" t="n"/>
      <c r="AC200" s="11" t="n"/>
      <c r="AD200" s="11" t="n"/>
      <c r="AE200" s="11" t="n"/>
      <c r="AF200" s="9" t="n"/>
      <c r="AG200" s="9" t="n"/>
      <c r="AH200" s="9" t="n"/>
      <c r="AI200" s="9" t="n"/>
      <c r="AJ200" s="8" t="n"/>
      <c r="AK200" s="9" t="n"/>
      <c r="AL200" s="9" t="n"/>
      <c r="AM200" s="9" t="n"/>
      <c r="AN200" s="9" t="n"/>
      <c r="AO200" s="9" t="n"/>
      <c r="AP200" s="9" t="n"/>
      <c r="AQ200" s="9" t="n"/>
      <c r="AR200" s="9" t="n"/>
      <c r="AS200" s="9" t="n"/>
      <c r="AT200" s="8" t="n"/>
      <c r="AU200" s="8" t="n"/>
      <c r="AV200" s="9" t="n"/>
      <c r="AW200" s="8" t="n"/>
      <c r="AX200" s="9" t="n"/>
      <c r="AY200" s="9" t="n"/>
      <c r="AZ200" s="9" t="n"/>
      <c r="BA200" s="9" t="n"/>
      <c r="BB200" s="9" t="n"/>
      <c r="BC200" s="9" t="n"/>
      <c r="BD200" s="9" t="n"/>
      <c r="BE200" s="9" t="n"/>
      <c r="BF200" s="9" t="n"/>
      <c r="BG200" s="9" t="n"/>
      <c r="BH200" s="9" t="n"/>
      <c r="BI200" s="9" t="n"/>
      <c r="BJ200" s="9" t="n"/>
      <c r="BK200" s="9" t="n"/>
      <c r="BL200" s="9" t="n"/>
      <c r="BM200" s="9" t="n"/>
      <c r="BN200" s="9" t="n"/>
      <c r="BO200" s="8" t="n"/>
      <c r="BP200" s="9" t="n"/>
      <c r="BQ200" s="9" t="n"/>
      <c r="BR200" s="13">
        <f>IF(COUNTIF(AI200:BM200,"N")+COUNTBLANK(AI200:BM200)=0,"Y","N")</f>
        <v/>
      </c>
      <c r="BS200" s="13">
        <f>IF(AND(BR200="Y",OR(L200="Submitted",L200="Under Review")),"Y",IF(L200="Closed","Y","N"))</f>
        <v/>
      </c>
      <c r="BT200" s="10" t="n"/>
      <c r="BU200" s="13">
        <f>Rule_Flags!Q199</f>
        <v/>
      </c>
      <c r="BV200" s="13">
        <f>Rule_Flags!P199</f>
        <v/>
      </c>
      <c r="BW200" s="13">
        <f>IF(Rule_Flags!E199=1,"SITE_CONTROL",IF(Rule_Flags!F199=1,"APPROVALS",IF(Rule_Flags!G199=1,"REPORTS",IF(Rule_Flags!H199=1,"DEFICIENCY",IF(Rule_Flags!I199=1,"UNDERWRITING",IF(Rule_Flags!J199=1,"COMPLIANCE",""))))))</f>
        <v/>
      </c>
      <c r="BX200" s="13">
        <f>IF(BW200="SITE_CONTROL","Site control missing or invalid",IF(BW200="APPROVALS","Required approvals or resolutions incomplete",IF(BW200="REPORTS","Required third-party reports incomplete",IF(BW200="DEFICIENCY","Unresolved deficiency or material deficiency",IF(BW200="UNDERWRITING","Underwriting / feasibility not passed",IF(BW200="COMPLIANCE","Deconcentration, one-mile, LURA, or Chapter 12 issue","Ready under current engine rules"))))))</f>
        <v/>
      </c>
      <c r="BY200" s="13">
        <f>IF(BV200="Determination Notice","Streamlined + DN-ready assumptions satisfied",IF(BV200="Board","Board-required or board-ready assumptions satisfied",""))</f>
        <v/>
      </c>
      <c r="BZ200" s="13">
        <f>IF(AND(BP200="Y",BQ200&lt;&gt;"Y"),"Carryforward project retains queue priority",IF(BQ200="Y","New project enters behind carryforward projects",""))</f>
        <v/>
      </c>
      <c r="CA200" s="13">
        <f>_xludf.RANK.EQ(Rule_Flags!O199,Rule_Flags!$O$3:$O$402,0)</f>
        <v/>
      </c>
      <c r="CB200" s="13">
        <f>IF(OR(BU200="Determination Notice Issued",BU200="Board",BU200="Closed"),"Y","N")</f>
        <v/>
      </c>
      <c r="CC200" s="9" t="n"/>
      <c r="CD200" s="9" t="n"/>
      <c r="CE200" s="9" t="n"/>
      <c r="CF200" s="9" t="n"/>
      <c r="CG200" s="9" t="n"/>
      <c r="CH200" s="9" t="n"/>
    </row>
    <row r="201">
      <c r="A201" s="8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8" t="n"/>
      <c r="L201" s="9" t="n"/>
      <c r="M201" s="8" t="n"/>
      <c r="N201" s="8" t="n"/>
      <c r="O201" s="8" t="n"/>
      <c r="P201" s="8" t="n"/>
      <c r="Q201" s="8" t="n"/>
      <c r="R201" s="9" t="n"/>
      <c r="S201" s="9" t="n"/>
      <c r="T201" s="10" t="n"/>
      <c r="U201" s="10" t="n"/>
      <c r="V201" s="9" t="n"/>
      <c r="W201" s="9" t="n"/>
      <c r="X201" s="9" t="n"/>
      <c r="Y201" s="9" t="n"/>
      <c r="Z201" s="11" t="n"/>
      <c r="AA201" s="11" t="n"/>
      <c r="AB201" s="11" t="n"/>
      <c r="AC201" s="11" t="n"/>
      <c r="AD201" s="11" t="n"/>
      <c r="AE201" s="11" t="n"/>
      <c r="AF201" s="9" t="n"/>
      <c r="AG201" s="9" t="n"/>
      <c r="AH201" s="9" t="n"/>
      <c r="AI201" s="9" t="n"/>
      <c r="AJ201" s="8" t="n"/>
      <c r="AK201" s="9" t="n"/>
      <c r="AL201" s="9" t="n"/>
      <c r="AM201" s="9" t="n"/>
      <c r="AN201" s="9" t="n"/>
      <c r="AO201" s="9" t="n"/>
      <c r="AP201" s="9" t="n"/>
      <c r="AQ201" s="9" t="n"/>
      <c r="AR201" s="9" t="n"/>
      <c r="AS201" s="9" t="n"/>
      <c r="AT201" s="8" t="n"/>
      <c r="AU201" s="8" t="n"/>
      <c r="AV201" s="9" t="n"/>
      <c r="AW201" s="8" t="n"/>
      <c r="AX201" s="9" t="n"/>
      <c r="AY201" s="9" t="n"/>
      <c r="AZ201" s="9" t="n"/>
      <c r="BA201" s="9" t="n"/>
      <c r="BB201" s="9" t="n"/>
      <c r="BC201" s="9" t="n"/>
      <c r="BD201" s="9" t="n"/>
      <c r="BE201" s="9" t="n"/>
      <c r="BF201" s="9" t="n"/>
      <c r="BG201" s="9" t="n"/>
      <c r="BH201" s="9" t="n"/>
      <c r="BI201" s="9" t="n"/>
      <c r="BJ201" s="9" t="n"/>
      <c r="BK201" s="9" t="n"/>
      <c r="BL201" s="9" t="n"/>
      <c r="BM201" s="9" t="n"/>
      <c r="BN201" s="9" t="n"/>
      <c r="BO201" s="8" t="n"/>
      <c r="BP201" s="9" t="n"/>
      <c r="BQ201" s="9" t="n"/>
      <c r="BR201" s="13">
        <f>IF(COUNTIF(AI201:BM201,"N")+COUNTBLANK(AI201:BM201)=0,"Y","N")</f>
        <v/>
      </c>
      <c r="BS201" s="13">
        <f>IF(AND(BR201="Y",OR(L201="Submitted",L201="Under Review")),"Y",IF(L201="Closed","Y","N"))</f>
        <v/>
      </c>
      <c r="BT201" s="10" t="n"/>
      <c r="BU201" s="13">
        <f>Rule_Flags!Q200</f>
        <v/>
      </c>
      <c r="BV201" s="13">
        <f>Rule_Flags!P200</f>
        <v/>
      </c>
      <c r="BW201" s="13">
        <f>IF(Rule_Flags!E200=1,"SITE_CONTROL",IF(Rule_Flags!F200=1,"APPROVALS",IF(Rule_Flags!G200=1,"REPORTS",IF(Rule_Flags!H200=1,"DEFICIENCY",IF(Rule_Flags!I200=1,"UNDERWRITING",IF(Rule_Flags!J200=1,"COMPLIANCE",""))))))</f>
        <v/>
      </c>
      <c r="BX201" s="13">
        <f>IF(BW201="SITE_CONTROL","Site control missing or invalid",IF(BW201="APPROVALS","Required approvals or resolutions incomplete",IF(BW201="REPORTS","Required third-party reports incomplete",IF(BW201="DEFICIENCY","Unresolved deficiency or material deficiency",IF(BW201="UNDERWRITING","Underwriting / feasibility not passed",IF(BW201="COMPLIANCE","Deconcentration, one-mile, LURA, or Chapter 12 issue","Ready under current engine rules"))))))</f>
        <v/>
      </c>
      <c r="BY201" s="13">
        <f>IF(BV201="Determination Notice","Streamlined + DN-ready assumptions satisfied",IF(BV201="Board","Board-required or board-ready assumptions satisfied",""))</f>
        <v/>
      </c>
      <c r="BZ201" s="13">
        <f>IF(AND(BP201="Y",BQ201&lt;&gt;"Y"),"Carryforward project retains queue priority",IF(BQ201="Y","New project enters behind carryforward projects",""))</f>
        <v/>
      </c>
      <c r="CA201" s="13">
        <f>_xludf.RANK.EQ(Rule_Flags!O200,Rule_Flags!$O$3:$O$402,0)</f>
        <v/>
      </c>
      <c r="CB201" s="13">
        <f>IF(OR(BU201="Determination Notice Issued",BU201="Board",BU201="Closed"),"Y","N")</f>
        <v/>
      </c>
      <c r="CC201" s="9" t="n"/>
      <c r="CD201" s="9" t="n"/>
      <c r="CE201" s="9" t="n"/>
      <c r="CF201" s="9" t="n"/>
      <c r="CG201" s="9" t="n"/>
      <c r="CH201" s="9" t="n"/>
    </row>
    <row r="202">
      <c r="A202" s="8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8" t="n"/>
      <c r="L202" s="9" t="n"/>
      <c r="M202" s="8" t="n"/>
      <c r="N202" s="8" t="n"/>
      <c r="O202" s="8" t="n"/>
      <c r="P202" s="8" t="n"/>
      <c r="Q202" s="8" t="n"/>
      <c r="R202" s="9" t="n"/>
      <c r="S202" s="9" t="n"/>
      <c r="T202" s="10" t="n"/>
      <c r="U202" s="10" t="n"/>
      <c r="V202" s="9" t="n"/>
      <c r="W202" s="9" t="n"/>
      <c r="X202" s="9" t="n"/>
      <c r="Y202" s="9" t="n"/>
      <c r="Z202" s="11" t="n"/>
      <c r="AA202" s="11" t="n"/>
      <c r="AB202" s="11" t="n"/>
      <c r="AC202" s="11" t="n"/>
      <c r="AD202" s="11" t="n"/>
      <c r="AE202" s="11" t="n"/>
      <c r="AF202" s="9" t="n"/>
      <c r="AG202" s="9" t="n"/>
      <c r="AH202" s="9" t="n"/>
      <c r="AI202" s="9" t="n"/>
      <c r="AJ202" s="8" t="n"/>
      <c r="AK202" s="9" t="n"/>
      <c r="AL202" s="9" t="n"/>
      <c r="AM202" s="9" t="n"/>
      <c r="AN202" s="9" t="n"/>
      <c r="AO202" s="9" t="n"/>
      <c r="AP202" s="9" t="n"/>
      <c r="AQ202" s="9" t="n"/>
      <c r="AR202" s="9" t="n"/>
      <c r="AS202" s="9" t="n"/>
      <c r="AT202" s="8" t="n"/>
      <c r="AU202" s="8" t="n"/>
      <c r="AV202" s="9" t="n"/>
      <c r="AW202" s="8" t="n"/>
      <c r="AX202" s="9" t="n"/>
      <c r="AY202" s="9" t="n"/>
      <c r="AZ202" s="9" t="n"/>
      <c r="BA202" s="9" t="n"/>
      <c r="BB202" s="9" t="n"/>
      <c r="BC202" s="9" t="n"/>
      <c r="BD202" s="9" t="n"/>
      <c r="BE202" s="9" t="n"/>
      <c r="BF202" s="9" t="n"/>
      <c r="BG202" s="9" t="n"/>
      <c r="BH202" s="9" t="n"/>
      <c r="BI202" s="9" t="n"/>
      <c r="BJ202" s="9" t="n"/>
      <c r="BK202" s="9" t="n"/>
      <c r="BL202" s="9" t="n"/>
      <c r="BM202" s="9" t="n"/>
      <c r="BN202" s="9" t="n"/>
      <c r="BO202" s="8" t="n"/>
      <c r="BP202" s="9" t="n"/>
      <c r="BQ202" s="9" t="n"/>
      <c r="BR202" s="13">
        <f>IF(COUNTIF(AI202:BM202,"N")+COUNTBLANK(AI202:BM202)=0,"Y","N")</f>
        <v/>
      </c>
      <c r="BS202" s="13">
        <f>IF(AND(BR202="Y",OR(L202="Submitted",L202="Under Review")),"Y",IF(L202="Closed","Y","N"))</f>
        <v/>
      </c>
      <c r="BT202" s="10" t="n"/>
      <c r="BU202" s="13">
        <f>Rule_Flags!Q201</f>
        <v/>
      </c>
      <c r="BV202" s="13">
        <f>Rule_Flags!P201</f>
        <v/>
      </c>
      <c r="BW202" s="13">
        <f>IF(Rule_Flags!E201=1,"SITE_CONTROL",IF(Rule_Flags!F201=1,"APPROVALS",IF(Rule_Flags!G201=1,"REPORTS",IF(Rule_Flags!H201=1,"DEFICIENCY",IF(Rule_Flags!I201=1,"UNDERWRITING",IF(Rule_Flags!J201=1,"COMPLIANCE",""))))))</f>
        <v/>
      </c>
      <c r="BX202" s="13">
        <f>IF(BW202="SITE_CONTROL","Site control missing or invalid",IF(BW202="APPROVALS","Required approvals or resolutions incomplete",IF(BW202="REPORTS","Required third-party reports incomplete",IF(BW202="DEFICIENCY","Unresolved deficiency or material deficiency",IF(BW202="UNDERWRITING","Underwriting / feasibility not passed",IF(BW202="COMPLIANCE","Deconcentration, one-mile, LURA, or Chapter 12 issue","Ready under current engine rules"))))))</f>
        <v/>
      </c>
      <c r="BY202" s="13">
        <f>IF(BV202="Determination Notice","Streamlined + DN-ready assumptions satisfied",IF(BV202="Board","Board-required or board-ready assumptions satisfied",""))</f>
        <v/>
      </c>
      <c r="BZ202" s="13">
        <f>IF(AND(BP202="Y",BQ202&lt;&gt;"Y"),"Carryforward project retains queue priority",IF(BQ202="Y","New project enters behind carryforward projects",""))</f>
        <v/>
      </c>
      <c r="CA202" s="13">
        <f>_xludf.RANK.EQ(Rule_Flags!O201,Rule_Flags!$O$3:$O$402,0)</f>
        <v/>
      </c>
      <c r="CB202" s="13">
        <f>IF(OR(BU202="Determination Notice Issued",BU202="Board",BU202="Closed"),"Y","N")</f>
        <v/>
      </c>
      <c r="CC202" s="9" t="n"/>
      <c r="CD202" s="9" t="n"/>
      <c r="CE202" s="9" t="n"/>
      <c r="CF202" s="9" t="n"/>
      <c r="CG202" s="9" t="n"/>
      <c r="CH202" s="9" t="n"/>
    </row>
    <row r="203">
      <c r="A203" s="8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8" t="n"/>
      <c r="L203" s="9" t="n"/>
      <c r="M203" s="8" t="n"/>
      <c r="N203" s="8" t="n"/>
      <c r="O203" s="8" t="n"/>
      <c r="P203" s="8" t="n"/>
      <c r="Q203" s="8" t="n"/>
      <c r="R203" s="9" t="n"/>
      <c r="S203" s="9" t="n"/>
      <c r="T203" s="10" t="n"/>
      <c r="U203" s="10" t="n"/>
      <c r="V203" s="9" t="n"/>
      <c r="W203" s="9" t="n"/>
      <c r="X203" s="9" t="n"/>
      <c r="Y203" s="9" t="n"/>
      <c r="Z203" s="11" t="n"/>
      <c r="AA203" s="11" t="n"/>
      <c r="AB203" s="11" t="n"/>
      <c r="AC203" s="11" t="n"/>
      <c r="AD203" s="11" t="n"/>
      <c r="AE203" s="11" t="n"/>
      <c r="AF203" s="9" t="n"/>
      <c r="AG203" s="9" t="n"/>
      <c r="AH203" s="9" t="n"/>
      <c r="AI203" s="9" t="n"/>
      <c r="AJ203" s="8" t="n"/>
      <c r="AK203" s="9" t="n"/>
      <c r="AL203" s="9" t="n"/>
      <c r="AM203" s="9" t="n"/>
      <c r="AN203" s="9" t="n"/>
      <c r="AO203" s="9" t="n"/>
      <c r="AP203" s="9" t="n"/>
      <c r="AQ203" s="9" t="n"/>
      <c r="AR203" s="9" t="n"/>
      <c r="AS203" s="9" t="n"/>
      <c r="AT203" s="8" t="n"/>
      <c r="AU203" s="8" t="n"/>
      <c r="AV203" s="9" t="n"/>
      <c r="AW203" s="8" t="n"/>
      <c r="AX203" s="9" t="n"/>
      <c r="AY203" s="9" t="n"/>
      <c r="AZ203" s="9" t="n"/>
      <c r="BA203" s="9" t="n"/>
      <c r="BB203" s="9" t="n"/>
      <c r="BC203" s="9" t="n"/>
      <c r="BD203" s="9" t="n"/>
      <c r="BE203" s="9" t="n"/>
      <c r="BF203" s="9" t="n"/>
      <c r="BG203" s="9" t="n"/>
      <c r="BH203" s="9" t="n"/>
      <c r="BI203" s="9" t="n"/>
      <c r="BJ203" s="9" t="n"/>
      <c r="BK203" s="9" t="n"/>
      <c r="BL203" s="9" t="n"/>
      <c r="BM203" s="9" t="n"/>
      <c r="BN203" s="9" t="n"/>
      <c r="BO203" s="8" t="n"/>
      <c r="BP203" s="9" t="n"/>
      <c r="BQ203" s="9" t="n"/>
      <c r="BR203" s="13">
        <f>IF(COUNTIF(AI203:BM203,"N")+COUNTBLANK(AI203:BM203)=0,"Y","N")</f>
        <v/>
      </c>
      <c r="BS203" s="13">
        <f>IF(AND(BR203="Y",OR(L203="Submitted",L203="Under Review")),"Y",IF(L203="Closed","Y","N"))</f>
        <v/>
      </c>
      <c r="BT203" s="10" t="n"/>
      <c r="BU203" s="13">
        <f>Rule_Flags!Q202</f>
        <v/>
      </c>
      <c r="BV203" s="13">
        <f>Rule_Flags!P202</f>
        <v/>
      </c>
      <c r="BW203" s="13">
        <f>IF(Rule_Flags!E202=1,"SITE_CONTROL",IF(Rule_Flags!F202=1,"APPROVALS",IF(Rule_Flags!G202=1,"REPORTS",IF(Rule_Flags!H202=1,"DEFICIENCY",IF(Rule_Flags!I202=1,"UNDERWRITING",IF(Rule_Flags!J202=1,"COMPLIANCE",""))))))</f>
        <v/>
      </c>
      <c r="BX203" s="13">
        <f>IF(BW203="SITE_CONTROL","Site control missing or invalid",IF(BW203="APPROVALS","Required approvals or resolutions incomplete",IF(BW203="REPORTS","Required third-party reports incomplete",IF(BW203="DEFICIENCY","Unresolved deficiency or material deficiency",IF(BW203="UNDERWRITING","Underwriting / feasibility not passed",IF(BW203="COMPLIANCE","Deconcentration, one-mile, LURA, or Chapter 12 issue","Ready under current engine rules"))))))</f>
        <v/>
      </c>
      <c r="BY203" s="13">
        <f>IF(BV203="Determination Notice","Streamlined + DN-ready assumptions satisfied",IF(BV203="Board","Board-required or board-ready assumptions satisfied",""))</f>
        <v/>
      </c>
      <c r="BZ203" s="13">
        <f>IF(AND(BP203="Y",BQ203&lt;&gt;"Y"),"Carryforward project retains queue priority",IF(BQ203="Y","New project enters behind carryforward projects",""))</f>
        <v/>
      </c>
      <c r="CA203" s="13">
        <f>_xludf.RANK.EQ(Rule_Flags!O202,Rule_Flags!$O$3:$O$402,0)</f>
        <v/>
      </c>
      <c r="CB203" s="13">
        <f>IF(OR(BU203="Determination Notice Issued",BU203="Board",BU203="Closed"),"Y","N")</f>
        <v/>
      </c>
      <c r="CC203" s="9" t="n"/>
      <c r="CD203" s="9" t="n"/>
      <c r="CE203" s="9" t="n"/>
      <c r="CF203" s="9" t="n"/>
      <c r="CG203" s="9" t="n"/>
      <c r="CH203" s="9" t="n"/>
    </row>
    <row r="204">
      <c r="A204" s="8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8" t="n"/>
      <c r="L204" s="9" t="n"/>
      <c r="M204" s="8" t="n"/>
      <c r="N204" s="8" t="n"/>
      <c r="O204" s="8" t="n"/>
      <c r="P204" s="8" t="n"/>
      <c r="Q204" s="8" t="n"/>
      <c r="R204" s="9" t="n"/>
      <c r="S204" s="9" t="n"/>
      <c r="T204" s="10" t="n"/>
      <c r="U204" s="10" t="n"/>
      <c r="V204" s="9" t="n"/>
      <c r="W204" s="9" t="n"/>
      <c r="X204" s="9" t="n"/>
      <c r="Y204" s="9" t="n"/>
      <c r="Z204" s="11" t="n"/>
      <c r="AA204" s="11" t="n"/>
      <c r="AB204" s="11" t="n"/>
      <c r="AC204" s="11" t="n"/>
      <c r="AD204" s="11" t="n"/>
      <c r="AE204" s="11" t="n"/>
      <c r="AF204" s="9" t="n"/>
      <c r="AG204" s="9" t="n"/>
      <c r="AH204" s="9" t="n"/>
      <c r="AI204" s="9" t="n"/>
      <c r="AJ204" s="8" t="n"/>
      <c r="AK204" s="9" t="n"/>
      <c r="AL204" s="9" t="n"/>
      <c r="AM204" s="9" t="n"/>
      <c r="AN204" s="9" t="n"/>
      <c r="AO204" s="9" t="n"/>
      <c r="AP204" s="9" t="n"/>
      <c r="AQ204" s="9" t="n"/>
      <c r="AR204" s="9" t="n"/>
      <c r="AS204" s="9" t="n"/>
      <c r="AT204" s="8" t="n"/>
      <c r="AU204" s="8" t="n"/>
      <c r="AV204" s="9" t="n"/>
      <c r="AW204" s="8" t="n"/>
      <c r="AX204" s="9" t="n"/>
      <c r="AY204" s="9" t="n"/>
      <c r="AZ204" s="9" t="n"/>
      <c r="BA204" s="9" t="n"/>
      <c r="BB204" s="9" t="n"/>
      <c r="BC204" s="9" t="n"/>
      <c r="BD204" s="9" t="n"/>
      <c r="BE204" s="9" t="n"/>
      <c r="BF204" s="9" t="n"/>
      <c r="BG204" s="9" t="n"/>
      <c r="BH204" s="9" t="n"/>
      <c r="BI204" s="9" t="n"/>
      <c r="BJ204" s="9" t="n"/>
      <c r="BK204" s="9" t="n"/>
      <c r="BL204" s="9" t="n"/>
      <c r="BM204" s="9" t="n"/>
      <c r="BN204" s="9" t="n"/>
      <c r="BO204" s="8" t="n"/>
      <c r="BP204" s="9" t="n"/>
      <c r="BQ204" s="9" t="n"/>
      <c r="BR204" s="13">
        <f>IF(COUNTIF(AI204:BM204,"N")+COUNTBLANK(AI204:BM204)=0,"Y","N")</f>
        <v/>
      </c>
      <c r="BS204" s="13">
        <f>IF(AND(BR204="Y",OR(L204="Submitted",L204="Under Review")),"Y",IF(L204="Closed","Y","N"))</f>
        <v/>
      </c>
      <c r="BT204" s="10" t="n"/>
      <c r="BU204" s="13">
        <f>Rule_Flags!Q203</f>
        <v/>
      </c>
      <c r="BV204" s="13">
        <f>Rule_Flags!P203</f>
        <v/>
      </c>
      <c r="BW204" s="13">
        <f>IF(Rule_Flags!E203=1,"SITE_CONTROL",IF(Rule_Flags!F203=1,"APPROVALS",IF(Rule_Flags!G203=1,"REPORTS",IF(Rule_Flags!H203=1,"DEFICIENCY",IF(Rule_Flags!I203=1,"UNDERWRITING",IF(Rule_Flags!J203=1,"COMPLIANCE",""))))))</f>
        <v/>
      </c>
      <c r="BX204" s="13">
        <f>IF(BW204="SITE_CONTROL","Site control missing or invalid",IF(BW204="APPROVALS","Required approvals or resolutions incomplete",IF(BW204="REPORTS","Required third-party reports incomplete",IF(BW204="DEFICIENCY","Unresolved deficiency or material deficiency",IF(BW204="UNDERWRITING","Underwriting / feasibility not passed",IF(BW204="COMPLIANCE","Deconcentration, one-mile, LURA, or Chapter 12 issue","Ready under current engine rules"))))))</f>
        <v/>
      </c>
      <c r="BY204" s="13">
        <f>IF(BV204="Determination Notice","Streamlined + DN-ready assumptions satisfied",IF(BV204="Board","Board-required or board-ready assumptions satisfied",""))</f>
        <v/>
      </c>
      <c r="BZ204" s="13">
        <f>IF(AND(BP204="Y",BQ204&lt;&gt;"Y"),"Carryforward project retains queue priority",IF(BQ204="Y","New project enters behind carryforward projects",""))</f>
        <v/>
      </c>
      <c r="CA204" s="13">
        <f>_xludf.RANK.EQ(Rule_Flags!O203,Rule_Flags!$O$3:$O$402,0)</f>
        <v/>
      </c>
      <c r="CB204" s="13">
        <f>IF(OR(BU204="Determination Notice Issued",BU204="Board",BU204="Closed"),"Y","N")</f>
        <v/>
      </c>
      <c r="CC204" s="9" t="n"/>
      <c r="CD204" s="9" t="n"/>
      <c r="CE204" s="9" t="n"/>
      <c r="CF204" s="9" t="n"/>
      <c r="CG204" s="9" t="n"/>
      <c r="CH204" s="9" t="n"/>
    </row>
    <row r="205">
      <c r="A205" s="8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8" t="n"/>
      <c r="L205" s="9" t="n"/>
      <c r="M205" s="8" t="n"/>
      <c r="N205" s="8" t="n"/>
      <c r="O205" s="8" t="n"/>
      <c r="P205" s="8" t="n"/>
      <c r="Q205" s="8" t="n"/>
      <c r="R205" s="9" t="n"/>
      <c r="S205" s="9" t="n"/>
      <c r="T205" s="10" t="n"/>
      <c r="U205" s="10" t="n"/>
      <c r="V205" s="9" t="n"/>
      <c r="W205" s="9" t="n"/>
      <c r="X205" s="9" t="n"/>
      <c r="Y205" s="9" t="n"/>
      <c r="Z205" s="11" t="n"/>
      <c r="AA205" s="11" t="n"/>
      <c r="AB205" s="11" t="n"/>
      <c r="AC205" s="11" t="n"/>
      <c r="AD205" s="11" t="n"/>
      <c r="AE205" s="11" t="n"/>
      <c r="AF205" s="9" t="n"/>
      <c r="AG205" s="9" t="n"/>
      <c r="AH205" s="9" t="n"/>
      <c r="AI205" s="9" t="n"/>
      <c r="AJ205" s="8" t="n"/>
      <c r="AK205" s="9" t="n"/>
      <c r="AL205" s="9" t="n"/>
      <c r="AM205" s="9" t="n"/>
      <c r="AN205" s="9" t="n"/>
      <c r="AO205" s="9" t="n"/>
      <c r="AP205" s="9" t="n"/>
      <c r="AQ205" s="9" t="n"/>
      <c r="AR205" s="9" t="n"/>
      <c r="AS205" s="9" t="n"/>
      <c r="AT205" s="8" t="n"/>
      <c r="AU205" s="8" t="n"/>
      <c r="AV205" s="9" t="n"/>
      <c r="AW205" s="8" t="n"/>
      <c r="AX205" s="9" t="n"/>
      <c r="AY205" s="9" t="n"/>
      <c r="AZ205" s="9" t="n"/>
      <c r="BA205" s="9" t="n"/>
      <c r="BB205" s="9" t="n"/>
      <c r="BC205" s="9" t="n"/>
      <c r="BD205" s="9" t="n"/>
      <c r="BE205" s="9" t="n"/>
      <c r="BF205" s="9" t="n"/>
      <c r="BG205" s="9" t="n"/>
      <c r="BH205" s="9" t="n"/>
      <c r="BI205" s="9" t="n"/>
      <c r="BJ205" s="9" t="n"/>
      <c r="BK205" s="9" t="n"/>
      <c r="BL205" s="9" t="n"/>
      <c r="BM205" s="9" t="n"/>
      <c r="BN205" s="9" t="n"/>
      <c r="BO205" s="8" t="n"/>
      <c r="BP205" s="9" t="n"/>
      <c r="BQ205" s="9" t="n"/>
      <c r="BR205" s="13">
        <f>IF(COUNTIF(AI205:BM205,"N")+COUNTBLANK(AI205:BM205)=0,"Y","N")</f>
        <v/>
      </c>
      <c r="BS205" s="13">
        <f>IF(AND(BR205="Y",OR(L205="Submitted",L205="Under Review")),"Y",IF(L205="Closed","Y","N"))</f>
        <v/>
      </c>
      <c r="BT205" s="10" t="n"/>
      <c r="BU205" s="13">
        <f>Rule_Flags!Q204</f>
        <v/>
      </c>
      <c r="BV205" s="13">
        <f>Rule_Flags!P204</f>
        <v/>
      </c>
      <c r="BW205" s="13">
        <f>IF(Rule_Flags!E204=1,"SITE_CONTROL",IF(Rule_Flags!F204=1,"APPROVALS",IF(Rule_Flags!G204=1,"REPORTS",IF(Rule_Flags!H204=1,"DEFICIENCY",IF(Rule_Flags!I204=1,"UNDERWRITING",IF(Rule_Flags!J204=1,"COMPLIANCE",""))))))</f>
        <v/>
      </c>
      <c r="BX205" s="13">
        <f>IF(BW205="SITE_CONTROL","Site control missing or invalid",IF(BW205="APPROVALS","Required approvals or resolutions incomplete",IF(BW205="REPORTS","Required third-party reports incomplete",IF(BW205="DEFICIENCY","Unresolved deficiency or material deficiency",IF(BW205="UNDERWRITING","Underwriting / feasibility not passed",IF(BW205="COMPLIANCE","Deconcentration, one-mile, LURA, or Chapter 12 issue","Ready under current engine rules"))))))</f>
        <v/>
      </c>
      <c r="BY205" s="13">
        <f>IF(BV205="Determination Notice","Streamlined + DN-ready assumptions satisfied",IF(BV205="Board","Board-required or board-ready assumptions satisfied",""))</f>
        <v/>
      </c>
      <c r="BZ205" s="13">
        <f>IF(AND(BP205="Y",BQ205&lt;&gt;"Y"),"Carryforward project retains queue priority",IF(BQ205="Y","New project enters behind carryforward projects",""))</f>
        <v/>
      </c>
      <c r="CA205" s="13">
        <f>_xludf.RANK.EQ(Rule_Flags!O204,Rule_Flags!$O$3:$O$402,0)</f>
        <v/>
      </c>
      <c r="CB205" s="13">
        <f>IF(OR(BU205="Determination Notice Issued",BU205="Board",BU205="Closed"),"Y","N")</f>
        <v/>
      </c>
      <c r="CC205" s="9" t="n"/>
      <c r="CD205" s="9" t="n"/>
      <c r="CE205" s="9" t="n"/>
      <c r="CF205" s="9" t="n"/>
      <c r="CG205" s="9" t="n"/>
      <c r="CH205" s="9" t="n"/>
    </row>
    <row r="206">
      <c r="A206" s="8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8" t="n"/>
      <c r="L206" s="9" t="n"/>
      <c r="M206" s="8" t="n"/>
      <c r="N206" s="8" t="n"/>
      <c r="O206" s="8" t="n"/>
      <c r="P206" s="8" t="n"/>
      <c r="Q206" s="8" t="n"/>
      <c r="R206" s="9" t="n"/>
      <c r="S206" s="9" t="n"/>
      <c r="T206" s="10" t="n"/>
      <c r="U206" s="10" t="n"/>
      <c r="V206" s="9" t="n"/>
      <c r="W206" s="9" t="n"/>
      <c r="X206" s="9" t="n"/>
      <c r="Y206" s="9" t="n"/>
      <c r="Z206" s="11" t="n"/>
      <c r="AA206" s="11" t="n"/>
      <c r="AB206" s="11" t="n"/>
      <c r="AC206" s="11" t="n"/>
      <c r="AD206" s="11" t="n"/>
      <c r="AE206" s="11" t="n"/>
      <c r="AF206" s="9" t="n"/>
      <c r="AG206" s="9" t="n"/>
      <c r="AH206" s="9" t="n"/>
      <c r="AI206" s="9" t="n"/>
      <c r="AJ206" s="8" t="n"/>
      <c r="AK206" s="9" t="n"/>
      <c r="AL206" s="9" t="n"/>
      <c r="AM206" s="9" t="n"/>
      <c r="AN206" s="9" t="n"/>
      <c r="AO206" s="9" t="n"/>
      <c r="AP206" s="9" t="n"/>
      <c r="AQ206" s="9" t="n"/>
      <c r="AR206" s="9" t="n"/>
      <c r="AS206" s="9" t="n"/>
      <c r="AT206" s="8" t="n"/>
      <c r="AU206" s="8" t="n"/>
      <c r="AV206" s="9" t="n"/>
      <c r="AW206" s="8" t="n"/>
      <c r="AX206" s="9" t="n"/>
      <c r="AY206" s="9" t="n"/>
      <c r="AZ206" s="9" t="n"/>
      <c r="BA206" s="9" t="n"/>
      <c r="BB206" s="9" t="n"/>
      <c r="BC206" s="9" t="n"/>
      <c r="BD206" s="9" t="n"/>
      <c r="BE206" s="9" t="n"/>
      <c r="BF206" s="9" t="n"/>
      <c r="BG206" s="9" t="n"/>
      <c r="BH206" s="9" t="n"/>
      <c r="BI206" s="9" t="n"/>
      <c r="BJ206" s="9" t="n"/>
      <c r="BK206" s="9" t="n"/>
      <c r="BL206" s="9" t="n"/>
      <c r="BM206" s="9" t="n"/>
      <c r="BN206" s="9" t="n"/>
      <c r="BO206" s="8" t="n"/>
      <c r="BP206" s="9" t="n"/>
      <c r="BQ206" s="9" t="n"/>
      <c r="BR206" s="13">
        <f>IF(COUNTIF(AI206:BM206,"N")+COUNTBLANK(AI206:BM206)=0,"Y","N")</f>
        <v/>
      </c>
      <c r="BS206" s="13">
        <f>IF(AND(BR206="Y",OR(L206="Submitted",L206="Under Review")),"Y",IF(L206="Closed","Y","N"))</f>
        <v/>
      </c>
      <c r="BT206" s="10" t="n"/>
      <c r="BU206" s="13">
        <f>Rule_Flags!Q205</f>
        <v/>
      </c>
      <c r="BV206" s="13">
        <f>Rule_Flags!P205</f>
        <v/>
      </c>
      <c r="BW206" s="13">
        <f>IF(Rule_Flags!E205=1,"SITE_CONTROL",IF(Rule_Flags!F205=1,"APPROVALS",IF(Rule_Flags!G205=1,"REPORTS",IF(Rule_Flags!H205=1,"DEFICIENCY",IF(Rule_Flags!I205=1,"UNDERWRITING",IF(Rule_Flags!J205=1,"COMPLIANCE",""))))))</f>
        <v/>
      </c>
      <c r="BX206" s="13">
        <f>IF(BW206="SITE_CONTROL","Site control missing or invalid",IF(BW206="APPROVALS","Required approvals or resolutions incomplete",IF(BW206="REPORTS","Required third-party reports incomplete",IF(BW206="DEFICIENCY","Unresolved deficiency or material deficiency",IF(BW206="UNDERWRITING","Underwriting / feasibility not passed",IF(BW206="COMPLIANCE","Deconcentration, one-mile, LURA, or Chapter 12 issue","Ready under current engine rules"))))))</f>
        <v/>
      </c>
      <c r="BY206" s="13">
        <f>IF(BV206="Determination Notice","Streamlined + DN-ready assumptions satisfied",IF(BV206="Board","Board-required or board-ready assumptions satisfied",""))</f>
        <v/>
      </c>
      <c r="BZ206" s="13">
        <f>IF(AND(BP206="Y",BQ206&lt;&gt;"Y"),"Carryforward project retains queue priority",IF(BQ206="Y","New project enters behind carryforward projects",""))</f>
        <v/>
      </c>
      <c r="CA206" s="13">
        <f>_xludf.RANK.EQ(Rule_Flags!O205,Rule_Flags!$O$3:$O$402,0)</f>
        <v/>
      </c>
      <c r="CB206" s="13">
        <f>IF(OR(BU206="Determination Notice Issued",BU206="Board",BU206="Closed"),"Y","N")</f>
        <v/>
      </c>
      <c r="CC206" s="9" t="n"/>
      <c r="CD206" s="9" t="n"/>
      <c r="CE206" s="9" t="n"/>
      <c r="CF206" s="9" t="n"/>
      <c r="CG206" s="9" t="n"/>
      <c r="CH206" s="9" t="n"/>
    </row>
    <row r="207">
      <c r="A207" s="8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8" t="n"/>
      <c r="L207" s="9" t="n"/>
      <c r="M207" s="8" t="n"/>
      <c r="N207" s="8" t="n"/>
      <c r="O207" s="8" t="n"/>
      <c r="P207" s="8" t="n"/>
      <c r="Q207" s="8" t="n"/>
      <c r="R207" s="9" t="n"/>
      <c r="S207" s="9" t="n"/>
      <c r="T207" s="10" t="n"/>
      <c r="U207" s="10" t="n"/>
      <c r="V207" s="9" t="n"/>
      <c r="W207" s="9" t="n"/>
      <c r="X207" s="9" t="n"/>
      <c r="Y207" s="9" t="n"/>
      <c r="Z207" s="11" t="n"/>
      <c r="AA207" s="11" t="n"/>
      <c r="AB207" s="11" t="n"/>
      <c r="AC207" s="11" t="n"/>
      <c r="AD207" s="11" t="n"/>
      <c r="AE207" s="11" t="n"/>
      <c r="AF207" s="9" t="n"/>
      <c r="AG207" s="9" t="n"/>
      <c r="AH207" s="9" t="n"/>
      <c r="AI207" s="9" t="n"/>
      <c r="AJ207" s="8" t="n"/>
      <c r="AK207" s="9" t="n"/>
      <c r="AL207" s="9" t="n"/>
      <c r="AM207" s="9" t="n"/>
      <c r="AN207" s="9" t="n"/>
      <c r="AO207" s="9" t="n"/>
      <c r="AP207" s="9" t="n"/>
      <c r="AQ207" s="9" t="n"/>
      <c r="AR207" s="9" t="n"/>
      <c r="AS207" s="9" t="n"/>
      <c r="AT207" s="8" t="n"/>
      <c r="AU207" s="8" t="n"/>
      <c r="AV207" s="9" t="n"/>
      <c r="AW207" s="8" t="n"/>
      <c r="AX207" s="9" t="n"/>
      <c r="AY207" s="9" t="n"/>
      <c r="AZ207" s="9" t="n"/>
      <c r="BA207" s="9" t="n"/>
      <c r="BB207" s="9" t="n"/>
      <c r="BC207" s="9" t="n"/>
      <c r="BD207" s="9" t="n"/>
      <c r="BE207" s="9" t="n"/>
      <c r="BF207" s="9" t="n"/>
      <c r="BG207" s="9" t="n"/>
      <c r="BH207" s="9" t="n"/>
      <c r="BI207" s="9" t="n"/>
      <c r="BJ207" s="9" t="n"/>
      <c r="BK207" s="9" t="n"/>
      <c r="BL207" s="9" t="n"/>
      <c r="BM207" s="9" t="n"/>
      <c r="BN207" s="9" t="n"/>
      <c r="BO207" s="8" t="n"/>
      <c r="BP207" s="9" t="n"/>
      <c r="BQ207" s="9" t="n"/>
      <c r="BR207" s="13">
        <f>IF(COUNTIF(AI207:BM207,"N")+COUNTBLANK(AI207:BM207)=0,"Y","N")</f>
        <v/>
      </c>
      <c r="BS207" s="13">
        <f>IF(AND(BR207="Y",OR(L207="Submitted",L207="Under Review")),"Y",IF(L207="Closed","Y","N"))</f>
        <v/>
      </c>
      <c r="BT207" s="10" t="n"/>
      <c r="BU207" s="13">
        <f>Rule_Flags!Q206</f>
        <v/>
      </c>
      <c r="BV207" s="13">
        <f>Rule_Flags!P206</f>
        <v/>
      </c>
      <c r="BW207" s="13">
        <f>IF(Rule_Flags!E206=1,"SITE_CONTROL",IF(Rule_Flags!F206=1,"APPROVALS",IF(Rule_Flags!G206=1,"REPORTS",IF(Rule_Flags!H206=1,"DEFICIENCY",IF(Rule_Flags!I206=1,"UNDERWRITING",IF(Rule_Flags!J206=1,"COMPLIANCE",""))))))</f>
        <v/>
      </c>
      <c r="BX207" s="13">
        <f>IF(BW207="SITE_CONTROL","Site control missing or invalid",IF(BW207="APPROVALS","Required approvals or resolutions incomplete",IF(BW207="REPORTS","Required third-party reports incomplete",IF(BW207="DEFICIENCY","Unresolved deficiency or material deficiency",IF(BW207="UNDERWRITING","Underwriting / feasibility not passed",IF(BW207="COMPLIANCE","Deconcentration, one-mile, LURA, or Chapter 12 issue","Ready under current engine rules"))))))</f>
        <v/>
      </c>
      <c r="BY207" s="13">
        <f>IF(BV207="Determination Notice","Streamlined + DN-ready assumptions satisfied",IF(BV207="Board","Board-required or board-ready assumptions satisfied",""))</f>
        <v/>
      </c>
      <c r="BZ207" s="13">
        <f>IF(AND(BP207="Y",BQ207&lt;&gt;"Y"),"Carryforward project retains queue priority",IF(BQ207="Y","New project enters behind carryforward projects",""))</f>
        <v/>
      </c>
      <c r="CA207" s="13">
        <f>_xludf.RANK.EQ(Rule_Flags!O206,Rule_Flags!$O$3:$O$402,0)</f>
        <v/>
      </c>
      <c r="CB207" s="13">
        <f>IF(OR(BU207="Determination Notice Issued",BU207="Board",BU207="Closed"),"Y","N")</f>
        <v/>
      </c>
      <c r="CC207" s="9" t="n"/>
      <c r="CD207" s="9" t="n"/>
      <c r="CE207" s="9" t="n"/>
      <c r="CF207" s="9" t="n"/>
      <c r="CG207" s="9" t="n"/>
      <c r="CH207" s="9" t="n"/>
    </row>
    <row r="208">
      <c r="A208" s="8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8" t="n"/>
      <c r="L208" s="9" t="n"/>
      <c r="M208" s="8" t="n"/>
      <c r="N208" s="8" t="n"/>
      <c r="O208" s="8" t="n"/>
      <c r="P208" s="8" t="n"/>
      <c r="Q208" s="8" t="n"/>
      <c r="R208" s="9" t="n"/>
      <c r="S208" s="9" t="n"/>
      <c r="T208" s="10" t="n"/>
      <c r="U208" s="10" t="n"/>
      <c r="V208" s="9" t="n"/>
      <c r="W208" s="9" t="n"/>
      <c r="X208" s="9" t="n"/>
      <c r="Y208" s="9" t="n"/>
      <c r="Z208" s="11" t="n"/>
      <c r="AA208" s="11" t="n"/>
      <c r="AB208" s="11" t="n"/>
      <c r="AC208" s="11" t="n"/>
      <c r="AD208" s="11" t="n"/>
      <c r="AE208" s="11" t="n"/>
      <c r="AF208" s="9" t="n"/>
      <c r="AG208" s="9" t="n"/>
      <c r="AH208" s="9" t="n"/>
      <c r="AI208" s="9" t="n"/>
      <c r="AJ208" s="8" t="n"/>
      <c r="AK208" s="9" t="n"/>
      <c r="AL208" s="9" t="n"/>
      <c r="AM208" s="9" t="n"/>
      <c r="AN208" s="9" t="n"/>
      <c r="AO208" s="9" t="n"/>
      <c r="AP208" s="9" t="n"/>
      <c r="AQ208" s="9" t="n"/>
      <c r="AR208" s="9" t="n"/>
      <c r="AS208" s="9" t="n"/>
      <c r="AT208" s="8" t="n"/>
      <c r="AU208" s="8" t="n"/>
      <c r="AV208" s="9" t="n"/>
      <c r="AW208" s="8" t="n"/>
      <c r="AX208" s="9" t="n"/>
      <c r="AY208" s="9" t="n"/>
      <c r="AZ208" s="9" t="n"/>
      <c r="BA208" s="9" t="n"/>
      <c r="BB208" s="9" t="n"/>
      <c r="BC208" s="9" t="n"/>
      <c r="BD208" s="9" t="n"/>
      <c r="BE208" s="9" t="n"/>
      <c r="BF208" s="9" t="n"/>
      <c r="BG208" s="9" t="n"/>
      <c r="BH208" s="9" t="n"/>
      <c r="BI208" s="9" t="n"/>
      <c r="BJ208" s="9" t="n"/>
      <c r="BK208" s="9" t="n"/>
      <c r="BL208" s="9" t="n"/>
      <c r="BM208" s="9" t="n"/>
      <c r="BN208" s="9" t="n"/>
      <c r="BO208" s="8" t="n"/>
      <c r="BP208" s="9" t="n"/>
      <c r="BQ208" s="9" t="n"/>
      <c r="BR208" s="13">
        <f>IF(COUNTIF(AI208:BM208,"N")+COUNTBLANK(AI208:BM208)=0,"Y","N")</f>
        <v/>
      </c>
      <c r="BS208" s="13">
        <f>IF(AND(BR208="Y",OR(L208="Submitted",L208="Under Review")),"Y",IF(L208="Closed","Y","N"))</f>
        <v/>
      </c>
      <c r="BT208" s="10" t="n"/>
      <c r="BU208" s="13">
        <f>Rule_Flags!Q207</f>
        <v/>
      </c>
      <c r="BV208" s="13">
        <f>Rule_Flags!P207</f>
        <v/>
      </c>
      <c r="BW208" s="13">
        <f>IF(Rule_Flags!E207=1,"SITE_CONTROL",IF(Rule_Flags!F207=1,"APPROVALS",IF(Rule_Flags!G207=1,"REPORTS",IF(Rule_Flags!H207=1,"DEFICIENCY",IF(Rule_Flags!I207=1,"UNDERWRITING",IF(Rule_Flags!J207=1,"COMPLIANCE",""))))))</f>
        <v/>
      </c>
      <c r="BX208" s="13">
        <f>IF(BW208="SITE_CONTROL","Site control missing or invalid",IF(BW208="APPROVALS","Required approvals or resolutions incomplete",IF(BW208="REPORTS","Required third-party reports incomplete",IF(BW208="DEFICIENCY","Unresolved deficiency or material deficiency",IF(BW208="UNDERWRITING","Underwriting / feasibility not passed",IF(BW208="COMPLIANCE","Deconcentration, one-mile, LURA, or Chapter 12 issue","Ready under current engine rules"))))))</f>
        <v/>
      </c>
      <c r="BY208" s="13">
        <f>IF(BV208="Determination Notice","Streamlined + DN-ready assumptions satisfied",IF(BV208="Board","Board-required or board-ready assumptions satisfied",""))</f>
        <v/>
      </c>
      <c r="BZ208" s="13">
        <f>IF(AND(BP208="Y",BQ208&lt;&gt;"Y"),"Carryforward project retains queue priority",IF(BQ208="Y","New project enters behind carryforward projects",""))</f>
        <v/>
      </c>
      <c r="CA208" s="13">
        <f>_xludf.RANK.EQ(Rule_Flags!O207,Rule_Flags!$O$3:$O$402,0)</f>
        <v/>
      </c>
      <c r="CB208" s="13">
        <f>IF(OR(BU208="Determination Notice Issued",BU208="Board",BU208="Closed"),"Y","N")</f>
        <v/>
      </c>
      <c r="CC208" s="9" t="n"/>
      <c r="CD208" s="9" t="n"/>
      <c r="CE208" s="9" t="n"/>
      <c r="CF208" s="9" t="n"/>
      <c r="CG208" s="9" t="n"/>
      <c r="CH208" s="9" t="n"/>
    </row>
    <row r="209">
      <c r="A209" s="8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8" t="n"/>
      <c r="L209" s="9" t="n"/>
      <c r="M209" s="8" t="n"/>
      <c r="N209" s="8" t="n"/>
      <c r="O209" s="8" t="n"/>
      <c r="P209" s="8" t="n"/>
      <c r="Q209" s="8" t="n"/>
      <c r="R209" s="9" t="n"/>
      <c r="S209" s="9" t="n"/>
      <c r="T209" s="10" t="n"/>
      <c r="U209" s="10" t="n"/>
      <c r="V209" s="9" t="n"/>
      <c r="W209" s="9" t="n"/>
      <c r="X209" s="9" t="n"/>
      <c r="Y209" s="9" t="n"/>
      <c r="Z209" s="11" t="n"/>
      <c r="AA209" s="11" t="n"/>
      <c r="AB209" s="11" t="n"/>
      <c r="AC209" s="11" t="n"/>
      <c r="AD209" s="11" t="n"/>
      <c r="AE209" s="11" t="n"/>
      <c r="AF209" s="9" t="n"/>
      <c r="AG209" s="9" t="n"/>
      <c r="AH209" s="9" t="n"/>
      <c r="AI209" s="9" t="n"/>
      <c r="AJ209" s="8" t="n"/>
      <c r="AK209" s="9" t="n"/>
      <c r="AL209" s="9" t="n"/>
      <c r="AM209" s="9" t="n"/>
      <c r="AN209" s="9" t="n"/>
      <c r="AO209" s="9" t="n"/>
      <c r="AP209" s="9" t="n"/>
      <c r="AQ209" s="9" t="n"/>
      <c r="AR209" s="9" t="n"/>
      <c r="AS209" s="9" t="n"/>
      <c r="AT209" s="8" t="n"/>
      <c r="AU209" s="8" t="n"/>
      <c r="AV209" s="9" t="n"/>
      <c r="AW209" s="8" t="n"/>
      <c r="AX209" s="9" t="n"/>
      <c r="AY209" s="9" t="n"/>
      <c r="AZ209" s="9" t="n"/>
      <c r="BA209" s="9" t="n"/>
      <c r="BB209" s="9" t="n"/>
      <c r="BC209" s="9" t="n"/>
      <c r="BD209" s="9" t="n"/>
      <c r="BE209" s="9" t="n"/>
      <c r="BF209" s="9" t="n"/>
      <c r="BG209" s="9" t="n"/>
      <c r="BH209" s="9" t="n"/>
      <c r="BI209" s="9" t="n"/>
      <c r="BJ209" s="9" t="n"/>
      <c r="BK209" s="9" t="n"/>
      <c r="BL209" s="9" t="n"/>
      <c r="BM209" s="9" t="n"/>
      <c r="BN209" s="9" t="n"/>
      <c r="BO209" s="8" t="n"/>
      <c r="BP209" s="9" t="n"/>
      <c r="BQ209" s="9" t="n"/>
      <c r="BR209" s="13">
        <f>IF(COUNTIF(AI209:BM209,"N")+COUNTBLANK(AI209:BM209)=0,"Y","N")</f>
        <v/>
      </c>
      <c r="BS209" s="13">
        <f>IF(AND(BR209="Y",OR(L209="Submitted",L209="Under Review")),"Y",IF(L209="Closed","Y","N"))</f>
        <v/>
      </c>
      <c r="BT209" s="10" t="n"/>
      <c r="BU209" s="13">
        <f>Rule_Flags!Q208</f>
        <v/>
      </c>
      <c r="BV209" s="13">
        <f>Rule_Flags!P208</f>
        <v/>
      </c>
      <c r="BW209" s="13">
        <f>IF(Rule_Flags!E208=1,"SITE_CONTROL",IF(Rule_Flags!F208=1,"APPROVALS",IF(Rule_Flags!G208=1,"REPORTS",IF(Rule_Flags!H208=1,"DEFICIENCY",IF(Rule_Flags!I208=1,"UNDERWRITING",IF(Rule_Flags!J208=1,"COMPLIANCE",""))))))</f>
        <v/>
      </c>
      <c r="BX209" s="13">
        <f>IF(BW209="SITE_CONTROL","Site control missing or invalid",IF(BW209="APPROVALS","Required approvals or resolutions incomplete",IF(BW209="REPORTS","Required third-party reports incomplete",IF(BW209="DEFICIENCY","Unresolved deficiency or material deficiency",IF(BW209="UNDERWRITING","Underwriting / feasibility not passed",IF(BW209="COMPLIANCE","Deconcentration, one-mile, LURA, or Chapter 12 issue","Ready under current engine rules"))))))</f>
        <v/>
      </c>
      <c r="BY209" s="13">
        <f>IF(BV209="Determination Notice","Streamlined + DN-ready assumptions satisfied",IF(BV209="Board","Board-required or board-ready assumptions satisfied",""))</f>
        <v/>
      </c>
      <c r="BZ209" s="13">
        <f>IF(AND(BP209="Y",BQ209&lt;&gt;"Y"),"Carryforward project retains queue priority",IF(BQ209="Y","New project enters behind carryforward projects",""))</f>
        <v/>
      </c>
      <c r="CA209" s="13">
        <f>_xludf.RANK.EQ(Rule_Flags!O208,Rule_Flags!$O$3:$O$402,0)</f>
        <v/>
      </c>
      <c r="CB209" s="13">
        <f>IF(OR(BU209="Determination Notice Issued",BU209="Board",BU209="Closed"),"Y","N")</f>
        <v/>
      </c>
      <c r="CC209" s="9" t="n"/>
      <c r="CD209" s="9" t="n"/>
      <c r="CE209" s="9" t="n"/>
      <c r="CF209" s="9" t="n"/>
      <c r="CG209" s="9" t="n"/>
      <c r="CH209" s="9" t="n"/>
    </row>
    <row r="210">
      <c r="A210" s="8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8" t="n"/>
      <c r="L210" s="9" t="n"/>
      <c r="M210" s="8" t="n"/>
      <c r="N210" s="8" t="n"/>
      <c r="O210" s="8" t="n"/>
      <c r="P210" s="8" t="n"/>
      <c r="Q210" s="8" t="n"/>
      <c r="R210" s="9" t="n"/>
      <c r="S210" s="9" t="n"/>
      <c r="T210" s="10" t="n"/>
      <c r="U210" s="10" t="n"/>
      <c r="V210" s="9" t="n"/>
      <c r="W210" s="9" t="n"/>
      <c r="X210" s="9" t="n"/>
      <c r="Y210" s="9" t="n"/>
      <c r="Z210" s="11" t="n"/>
      <c r="AA210" s="11" t="n"/>
      <c r="AB210" s="11" t="n"/>
      <c r="AC210" s="11" t="n"/>
      <c r="AD210" s="11" t="n"/>
      <c r="AE210" s="11" t="n"/>
      <c r="AF210" s="9" t="n"/>
      <c r="AG210" s="9" t="n"/>
      <c r="AH210" s="9" t="n"/>
      <c r="AI210" s="9" t="n"/>
      <c r="AJ210" s="8" t="n"/>
      <c r="AK210" s="9" t="n"/>
      <c r="AL210" s="9" t="n"/>
      <c r="AM210" s="9" t="n"/>
      <c r="AN210" s="9" t="n"/>
      <c r="AO210" s="9" t="n"/>
      <c r="AP210" s="9" t="n"/>
      <c r="AQ210" s="9" t="n"/>
      <c r="AR210" s="9" t="n"/>
      <c r="AS210" s="9" t="n"/>
      <c r="AT210" s="8" t="n"/>
      <c r="AU210" s="8" t="n"/>
      <c r="AV210" s="9" t="n"/>
      <c r="AW210" s="8" t="n"/>
      <c r="AX210" s="9" t="n"/>
      <c r="AY210" s="9" t="n"/>
      <c r="AZ210" s="9" t="n"/>
      <c r="BA210" s="9" t="n"/>
      <c r="BB210" s="9" t="n"/>
      <c r="BC210" s="9" t="n"/>
      <c r="BD210" s="9" t="n"/>
      <c r="BE210" s="9" t="n"/>
      <c r="BF210" s="9" t="n"/>
      <c r="BG210" s="9" t="n"/>
      <c r="BH210" s="9" t="n"/>
      <c r="BI210" s="9" t="n"/>
      <c r="BJ210" s="9" t="n"/>
      <c r="BK210" s="9" t="n"/>
      <c r="BL210" s="9" t="n"/>
      <c r="BM210" s="9" t="n"/>
      <c r="BN210" s="9" t="n"/>
      <c r="BO210" s="8" t="n"/>
      <c r="BP210" s="9" t="n"/>
      <c r="BQ210" s="9" t="n"/>
      <c r="BR210" s="13">
        <f>IF(COUNTIF(AI210:BM210,"N")+COUNTBLANK(AI210:BM210)=0,"Y","N")</f>
        <v/>
      </c>
      <c r="BS210" s="13">
        <f>IF(AND(BR210="Y",OR(L210="Submitted",L210="Under Review")),"Y",IF(L210="Closed","Y","N"))</f>
        <v/>
      </c>
      <c r="BT210" s="10" t="n"/>
      <c r="BU210" s="13">
        <f>Rule_Flags!Q209</f>
        <v/>
      </c>
      <c r="BV210" s="13">
        <f>Rule_Flags!P209</f>
        <v/>
      </c>
      <c r="BW210" s="13">
        <f>IF(Rule_Flags!E209=1,"SITE_CONTROL",IF(Rule_Flags!F209=1,"APPROVALS",IF(Rule_Flags!G209=1,"REPORTS",IF(Rule_Flags!H209=1,"DEFICIENCY",IF(Rule_Flags!I209=1,"UNDERWRITING",IF(Rule_Flags!J209=1,"COMPLIANCE",""))))))</f>
        <v/>
      </c>
      <c r="BX210" s="13">
        <f>IF(BW210="SITE_CONTROL","Site control missing or invalid",IF(BW210="APPROVALS","Required approvals or resolutions incomplete",IF(BW210="REPORTS","Required third-party reports incomplete",IF(BW210="DEFICIENCY","Unresolved deficiency or material deficiency",IF(BW210="UNDERWRITING","Underwriting / feasibility not passed",IF(BW210="COMPLIANCE","Deconcentration, one-mile, LURA, or Chapter 12 issue","Ready under current engine rules"))))))</f>
        <v/>
      </c>
      <c r="BY210" s="13">
        <f>IF(BV210="Determination Notice","Streamlined + DN-ready assumptions satisfied",IF(BV210="Board","Board-required or board-ready assumptions satisfied",""))</f>
        <v/>
      </c>
      <c r="BZ210" s="13">
        <f>IF(AND(BP210="Y",BQ210&lt;&gt;"Y"),"Carryforward project retains queue priority",IF(BQ210="Y","New project enters behind carryforward projects",""))</f>
        <v/>
      </c>
      <c r="CA210" s="13">
        <f>_xludf.RANK.EQ(Rule_Flags!O209,Rule_Flags!$O$3:$O$402,0)</f>
        <v/>
      </c>
      <c r="CB210" s="13">
        <f>IF(OR(BU210="Determination Notice Issued",BU210="Board",BU210="Closed"),"Y","N")</f>
        <v/>
      </c>
      <c r="CC210" s="9" t="n"/>
      <c r="CD210" s="9" t="n"/>
      <c r="CE210" s="9" t="n"/>
      <c r="CF210" s="9" t="n"/>
      <c r="CG210" s="9" t="n"/>
      <c r="CH210" s="9" t="n"/>
    </row>
    <row r="211">
      <c r="A211" s="8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8" t="n"/>
      <c r="L211" s="9" t="n"/>
      <c r="M211" s="8" t="n"/>
      <c r="N211" s="8" t="n"/>
      <c r="O211" s="8" t="n"/>
      <c r="P211" s="8" t="n"/>
      <c r="Q211" s="8" t="n"/>
      <c r="R211" s="9" t="n"/>
      <c r="S211" s="9" t="n"/>
      <c r="T211" s="10" t="n"/>
      <c r="U211" s="10" t="n"/>
      <c r="V211" s="9" t="n"/>
      <c r="W211" s="9" t="n"/>
      <c r="X211" s="9" t="n"/>
      <c r="Y211" s="9" t="n"/>
      <c r="Z211" s="11" t="n"/>
      <c r="AA211" s="11" t="n"/>
      <c r="AB211" s="11" t="n"/>
      <c r="AC211" s="11" t="n"/>
      <c r="AD211" s="11" t="n"/>
      <c r="AE211" s="11" t="n"/>
      <c r="AF211" s="9" t="n"/>
      <c r="AG211" s="9" t="n"/>
      <c r="AH211" s="9" t="n"/>
      <c r="AI211" s="9" t="n"/>
      <c r="AJ211" s="8" t="n"/>
      <c r="AK211" s="9" t="n"/>
      <c r="AL211" s="9" t="n"/>
      <c r="AM211" s="9" t="n"/>
      <c r="AN211" s="9" t="n"/>
      <c r="AO211" s="9" t="n"/>
      <c r="AP211" s="9" t="n"/>
      <c r="AQ211" s="9" t="n"/>
      <c r="AR211" s="9" t="n"/>
      <c r="AS211" s="9" t="n"/>
      <c r="AT211" s="8" t="n"/>
      <c r="AU211" s="8" t="n"/>
      <c r="AV211" s="9" t="n"/>
      <c r="AW211" s="8" t="n"/>
      <c r="AX211" s="9" t="n"/>
      <c r="AY211" s="9" t="n"/>
      <c r="AZ211" s="9" t="n"/>
      <c r="BA211" s="9" t="n"/>
      <c r="BB211" s="9" t="n"/>
      <c r="BC211" s="9" t="n"/>
      <c r="BD211" s="9" t="n"/>
      <c r="BE211" s="9" t="n"/>
      <c r="BF211" s="9" t="n"/>
      <c r="BG211" s="9" t="n"/>
      <c r="BH211" s="9" t="n"/>
      <c r="BI211" s="9" t="n"/>
      <c r="BJ211" s="9" t="n"/>
      <c r="BK211" s="9" t="n"/>
      <c r="BL211" s="9" t="n"/>
      <c r="BM211" s="9" t="n"/>
      <c r="BN211" s="9" t="n"/>
      <c r="BO211" s="8" t="n"/>
      <c r="BP211" s="9" t="n"/>
      <c r="BQ211" s="9" t="n"/>
      <c r="BR211" s="13">
        <f>IF(COUNTIF(AI211:BM211,"N")+COUNTBLANK(AI211:BM211)=0,"Y","N")</f>
        <v/>
      </c>
      <c r="BS211" s="13">
        <f>IF(AND(BR211="Y",OR(L211="Submitted",L211="Under Review")),"Y",IF(L211="Closed","Y","N"))</f>
        <v/>
      </c>
      <c r="BT211" s="10" t="n"/>
      <c r="BU211" s="13">
        <f>Rule_Flags!Q210</f>
        <v/>
      </c>
      <c r="BV211" s="13">
        <f>Rule_Flags!P210</f>
        <v/>
      </c>
      <c r="BW211" s="13">
        <f>IF(Rule_Flags!E210=1,"SITE_CONTROL",IF(Rule_Flags!F210=1,"APPROVALS",IF(Rule_Flags!G210=1,"REPORTS",IF(Rule_Flags!H210=1,"DEFICIENCY",IF(Rule_Flags!I210=1,"UNDERWRITING",IF(Rule_Flags!J210=1,"COMPLIANCE",""))))))</f>
        <v/>
      </c>
      <c r="BX211" s="13">
        <f>IF(BW211="SITE_CONTROL","Site control missing or invalid",IF(BW211="APPROVALS","Required approvals or resolutions incomplete",IF(BW211="REPORTS","Required third-party reports incomplete",IF(BW211="DEFICIENCY","Unresolved deficiency or material deficiency",IF(BW211="UNDERWRITING","Underwriting / feasibility not passed",IF(BW211="COMPLIANCE","Deconcentration, one-mile, LURA, or Chapter 12 issue","Ready under current engine rules"))))))</f>
        <v/>
      </c>
      <c r="BY211" s="13">
        <f>IF(BV211="Determination Notice","Streamlined + DN-ready assumptions satisfied",IF(BV211="Board","Board-required or board-ready assumptions satisfied",""))</f>
        <v/>
      </c>
      <c r="BZ211" s="13">
        <f>IF(AND(BP211="Y",BQ211&lt;&gt;"Y"),"Carryforward project retains queue priority",IF(BQ211="Y","New project enters behind carryforward projects",""))</f>
        <v/>
      </c>
      <c r="CA211" s="13">
        <f>_xludf.RANK.EQ(Rule_Flags!O210,Rule_Flags!$O$3:$O$402,0)</f>
        <v/>
      </c>
      <c r="CB211" s="13">
        <f>IF(OR(BU211="Determination Notice Issued",BU211="Board",BU211="Closed"),"Y","N")</f>
        <v/>
      </c>
      <c r="CC211" s="9" t="n"/>
      <c r="CD211" s="9" t="n"/>
      <c r="CE211" s="9" t="n"/>
      <c r="CF211" s="9" t="n"/>
      <c r="CG211" s="9" t="n"/>
      <c r="CH211" s="9" t="n"/>
    </row>
    <row r="212">
      <c r="A212" s="8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8" t="n"/>
      <c r="L212" s="9" t="n"/>
      <c r="M212" s="8" t="n"/>
      <c r="N212" s="8" t="n"/>
      <c r="O212" s="8" t="n"/>
      <c r="P212" s="8" t="n"/>
      <c r="Q212" s="8" t="n"/>
      <c r="R212" s="9" t="n"/>
      <c r="S212" s="9" t="n"/>
      <c r="T212" s="10" t="n"/>
      <c r="U212" s="10" t="n"/>
      <c r="V212" s="9" t="n"/>
      <c r="W212" s="9" t="n"/>
      <c r="X212" s="9" t="n"/>
      <c r="Y212" s="9" t="n"/>
      <c r="Z212" s="11" t="n"/>
      <c r="AA212" s="11" t="n"/>
      <c r="AB212" s="11" t="n"/>
      <c r="AC212" s="11" t="n"/>
      <c r="AD212" s="11" t="n"/>
      <c r="AE212" s="11" t="n"/>
      <c r="AF212" s="9" t="n"/>
      <c r="AG212" s="9" t="n"/>
      <c r="AH212" s="9" t="n"/>
      <c r="AI212" s="9" t="n"/>
      <c r="AJ212" s="8" t="n"/>
      <c r="AK212" s="9" t="n"/>
      <c r="AL212" s="9" t="n"/>
      <c r="AM212" s="9" t="n"/>
      <c r="AN212" s="9" t="n"/>
      <c r="AO212" s="9" t="n"/>
      <c r="AP212" s="9" t="n"/>
      <c r="AQ212" s="9" t="n"/>
      <c r="AR212" s="9" t="n"/>
      <c r="AS212" s="9" t="n"/>
      <c r="AT212" s="8" t="n"/>
      <c r="AU212" s="8" t="n"/>
      <c r="AV212" s="9" t="n"/>
      <c r="AW212" s="8" t="n"/>
      <c r="AX212" s="9" t="n"/>
      <c r="AY212" s="9" t="n"/>
      <c r="AZ212" s="9" t="n"/>
      <c r="BA212" s="9" t="n"/>
      <c r="BB212" s="9" t="n"/>
      <c r="BC212" s="9" t="n"/>
      <c r="BD212" s="9" t="n"/>
      <c r="BE212" s="9" t="n"/>
      <c r="BF212" s="9" t="n"/>
      <c r="BG212" s="9" t="n"/>
      <c r="BH212" s="9" t="n"/>
      <c r="BI212" s="9" t="n"/>
      <c r="BJ212" s="9" t="n"/>
      <c r="BK212" s="9" t="n"/>
      <c r="BL212" s="9" t="n"/>
      <c r="BM212" s="9" t="n"/>
      <c r="BN212" s="9" t="n"/>
      <c r="BO212" s="8" t="n"/>
      <c r="BP212" s="9" t="n"/>
      <c r="BQ212" s="9" t="n"/>
      <c r="BR212" s="13">
        <f>IF(COUNTIF(AI212:BM212,"N")+COUNTBLANK(AI212:BM212)=0,"Y","N")</f>
        <v/>
      </c>
      <c r="BS212" s="13">
        <f>IF(AND(BR212="Y",OR(L212="Submitted",L212="Under Review")),"Y",IF(L212="Closed","Y","N"))</f>
        <v/>
      </c>
      <c r="BT212" s="10" t="n"/>
      <c r="BU212" s="13">
        <f>Rule_Flags!Q211</f>
        <v/>
      </c>
      <c r="BV212" s="13">
        <f>Rule_Flags!P211</f>
        <v/>
      </c>
      <c r="BW212" s="13">
        <f>IF(Rule_Flags!E211=1,"SITE_CONTROL",IF(Rule_Flags!F211=1,"APPROVALS",IF(Rule_Flags!G211=1,"REPORTS",IF(Rule_Flags!H211=1,"DEFICIENCY",IF(Rule_Flags!I211=1,"UNDERWRITING",IF(Rule_Flags!J211=1,"COMPLIANCE",""))))))</f>
        <v/>
      </c>
      <c r="BX212" s="13">
        <f>IF(BW212="SITE_CONTROL","Site control missing or invalid",IF(BW212="APPROVALS","Required approvals or resolutions incomplete",IF(BW212="REPORTS","Required third-party reports incomplete",IF(BW212="DEFICIENCY","Unresolved deficiency or material deficiency",IF(BW212="UNDERWRITING","Underwriting / feasibility not passed",IF(BW212="COMPLIANCE","Deconcentration, one-mile, LURA, or Chapter 12 issue","Ready under current engine rules"))))))</f>
        <v/>
      </c>
      <c r="BY212" s="13">
        <f>IF(BV212="Determination Notice","Streamlined + DN-ready assumptions satisfied",IF(BV212="Board","Board-required or board-ready assumptions satisfied",""))</f>
        <v/>
      </c>
      <c r="BZ212" s="13">
        <f>IF(AND(BP212="Y",BQ212&lt;&gt;"Y"),"Carryforward project retains queue priority",IF(BQ212="Y","New project enters behind carryforward projects",""))</f>
        <v/>
      </c>
      <c r="CA212" s="13">
        <f>_xludf.RANK.EQ(Rule_Flags!O211,Rule_Flags!$O$3:$O$402,0)</f>
        <v/>
      </c>
      <c r="CB212" s="13">
        <f>IF(OR(BU212="Determination Notice Issued",BU212="Board",BU212="Closed"),"Y","N")</f>
        <v/>
      </c>
      <c r="CC212" s="9" t="n"/>
      <c r="CD212" s="9" t="n"/>
      <c r="CE212" s="9" t="n"/>
      <c r="CF212" s="9" t="n"/>
      <c r="CG212" s="9" t="n"/>
      <c r="CH212" s="9" t="n"/>
    </row>
    <row r="213">
      <c r="A213" s="8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8" t="n"/>
      <c r="L213" s="9" t="n"/>
      <c r="M213" s="8" t="n"/>
      <c r="N213" s="8" t="n"/>
      <c r="O213" s="8" t="n"/>
      <c r="P213" s="8" t="n"/>
      <c r="Q213" s="8" t="n"/>
      <c r="R213" s="9" t="n"/>
      <c r="S213" s="9" t="n"/>
      <c r="T213" s="10" t="n"/>
      <c r="U213" s="10" t="n"/>
      <c r="V213" s="9" t="n"/>
      <c r="W213" s="9" t="n"/>
      <c r="X213" s="9" t="n"/>
      <c r="Y213" s="9" t="n"/>
      <c r="Z213" s="11" t="n"/>
      <c r="AA213" s="11" t="n"/>
      <c r="AB213" s="11" t="n"/>
      <c r="AC213" s="11" t="n"/>
      <c r="AD213" s="11" t="n"/>
      <c r="AE213" s="11" t="n"/>
      <c r="AF213" s="9" t="n"/>
      <c r="AG213" s="9" t="n"/>
      <c r="AH213" s="9" t="n"/>
      <c r="AI213" s="9" t="n"/>
      <c r="AJ213" s="8" t="n"/>
      <c r="AK213" s="9" t="n"/>
      <c r="AL213" s="9" t="n"/>
      <c r="AM213" s="9" t="n"/>
      <c r="AN213" s="9" t="n"/>
      <c r="AO213" s="9" t="n"/>
      <c r="AP213" s="9" t="n"/>
      <c r="AQ213" s="9" t="n"/>
      <c r="AR213" s="9" t="n"/>
      <c r="AS213" s="9" t="n"/>
      <c r="AT213" s="8" t="n"/>
      <c r="AU213" s="8" t="n"/>
      <c r="AV213" s="9" t="n"/>
      <c r="AW213" s="8" t="n"/>
      <c r="AX213" s="9" t="n"/>
      <c r="AY213" s="9" t="n"/>
      <c r="AZ213" s="9" t="n"/>
      <c r="BA213" s="9" t="n"/>
      <c r="BB213" s="9" t="n"/>
      <c r="BC213" s="9" t="n"/>
      <c r="BD213" s="9" t="n"/>
      <c r="BE213" s="9" t="n"/>
      <c r="BF213" s="9" t="n"/>
      <c r="BG213" s="9" t="n"/>
      <c r="BH213" s="9" t="n"/>
      <c r="BI213" s="9" t="n"/>
      <c r="BJ213" s="9" t="n"/>
      <c r="BK213" s="9" t="n"/>
      <c r="BL213" s="9" t="n"/>
      <c r="BM213" s="9" t="n"/>
      <c r="BN213" s="9" t="n"/>
      <c r="BO213" s="8" t="n"/>
      <c r="BP213" s="9" t="n"/>
      <c r="BQ213" s="9" t="n"/>
      <c r="BR213" s="13">
        <f>IF(COUNTIF(AI213:BM213,"N")+COUNTBLANK(AI213:BM213)=0,"Y","N")</f>
        <v/>
      </c>
      <c r="BS213" s="13">
        <f>IF(AND(BR213="Y",OR(L213="Submitted",L213="Under Review")),"Y",IF(L213="Closed","Y","N"))</f>
        <v/>
      </c>
      <c r="BT213" s="10" t="n"/>
      <c r="BU213" s="13">
        <f>Rule_Flags!Q212</f>
        <v/>
      </c>
      <c r="BV213" s="13">
        <f>Rule_Flags!P212</f>
        <v/>
      </c>
      <c r="BW213" s="13">
        <f>IF(Rule_Flags!E212=1,"SITE_CONTROL",IF(Rule_Flags!F212=1,"APPROVALS",IF(Rule_Flags!G212=1,"REPORTS",IF(Rule_Flags!H212=1,"DEFICIENCY",IF(Rule_Flags!I212=1,"UNDERWRITING",IF(Rule_Flags!J212=1,"COMPLIANCE",""))))))</f>
        <v/>
      </c>
      <c r="BX213" s="13">
        <f>IF(BW213="SITE_CONTROL","Site control missing or invalid",IF(BW213="APPROVALS","Required approvals or resolutions incomplete",IF(BW213="REPORTS","Required third-party reports incomplete",IF(BW213="DEFICIENCY","Unresolved deficiency or material deficiency",IF(BW213="UNDERWRITING","Underwriting / feasibility not passed",IF(BW213="COMPLIANCE","Deconcentration, one-mile, LURA, or Chapter 12 issue","Ready under current engine rules"))))))</f>
        <v/>
      </c>
      <c r="BY213" s="13">
        <f>IF(BV213="Determination Notice","Streamlined + DN-ready assumptions satisfied",IF(BV213="Board","Board-required or board-ready assumptions satisfied",""))</f>
        <v/>
      </c>
      <c r="BZ213" s="13">
        <f>IF(AND(BP213="Y",BQ213&lt;&gt;"Y"),"Carryforward project retains queue priority",IF(BQ213="Y","New project enters behind carryforward projects",""))</f>
        <v/>
      </c>
      <c r="CA213" s="13">
        <f>_xludf.RANK.EQ(Rule_Flags!O212,Rule_Flags!$O$3:$O$402,0)</f>
        <v/>
      </c>
      <c r="CB213" s="13">
        <f>IF(OR(BU213="Determination Notice Issued",BU213="Board",BU213="Closed"),"Y","N")</f>
        <v/>
      </c>
      <c r="CC213" s="9" t="n"/>
      <c r="CD213" s="9" t="n"/>
      <c r="CE213" s="9" t="n"/>
      <c r="CF213" s="9" t="n"/>
      <c r="CG213" s="9" t="n"/>
      <c r="CH213" s="9" t="n"/>
    </row>
    <row r="214">
      <c r="A214" s="8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8" t="n"/>
      <c r="L214" s="9" t="n"/>
      <c r="M214" s="8" t="n"/>
      <c r="N214" s="8" t="n"/>
      <c r="O214" s="8" t="n"/>
      <c r="P214" s="8" t="n"/>
      <c r="Q214" s="8" t="n"/>
      <c r="R214" s="9" t="n"/>
      <c r="S214" s="9" t="n"/>
      <c r="T214" s="10" t="n"/>
      <c r="U214" s="10" t="n"/>
      <c r="V214" s="9" t="n"/>
      <c r="W214" s="9" t="n"/>
      <c r="X214" s="9" t="n"/>
      <c r="Y214" s="9" t="n"/>
      <c r="Z214" s="11" t="n"/>
      <c r="AA214" s="11" t="n"/>
      <c r="AB214" s="11" t="n"/>
      <c r="AC214" s="11" t="n"/>
      <c r="AD214" s="11" t="n"/>
      <c r="AE214" s="11" t="n"/>
      <c r="AF214" s="9" t="n"/>
      <c r="AG214" s="9" t="n"/>
      <c r="AH214" s="9" t="n"/>
      <c r="AI214" s="9" t="n"/>
      <c r="AJ214" s="8" t="n"/>
      <c r="AK214" s="9" t="n"/>
      <c r="AL214" s="9" t="n"/>
      <c r="AM214" s="9" t="n"/>
      <c r="AN214" s="9" t="n"/>
      <c r="AO214" s="9" t="n"/>
      <c r="AP214" s="9" t="n"/>
      <c r="AQ214" s="9" t="n"/>
      <c r="AR214" s="9" t="n"/>
      <c r="AS214" s="9" t="n"/>
      <c r="AT214" s="8" t="n"/>
      <c r="AU214" s="8" t="n"/>
      <c r="AV214" s="9" t="n"/>
      <c r="AW214" s="8" t="n"/>
      <c r="AX214" s="9" t="n"/>
      <c r="AY214" s="9" t="n"/>
      <c r="AZ214" s="9" t="n"/>
      <c r="BA214" s="9" t="n"/>
      <c r="BB214" s="9" t="n"/>
      <c r="BC214" s="9" t="n"/>
      <c r="BD214" s="9" t="n"/>
      <c r="BE214" s="9" t="n"/>
      <c r="BF214" s="9" t="n"/>
      <c r="BG214" s="9" t="n"/>
      <c r="BH214" s="9" t="n"/>
      <c r="BI214" s="9" t="n"/>
      <c r="BJ214" s="9" t="n"/>
      <c r="BK214" s="9" t="n"/>
      <c r="BL214" s="9" t="n"/>
      <c r="BM214" s="9" t="n"/>
      <c r="BN214" s="9" t="n"/>
      <c r="BO214" s="8" t="n"/>
      <c r="BP214" s="9" t="n"/>
      <c r="BQ214" s="9" t="n"/>
      <c r="BR214" s="13">
        <f>IF(COUNTIF(AI214:BM214,"N")+COUNTBLANK(AI214:BM214)=0,"Y","N")</f>
        <v/>
      </c>
      <c r="BS214" s="13">
        <f>IF(AND(BR214="Y",OR(L214="Submitted",L214="Under Review")),"Y",IF(L214="Closed","Y","N"))</f>
        <v/>
      </c>
      <c r="BT214" s="10" t="n"/>
      <c r="BU214" s="13">
        <f>Rule_Flags!Q213</f>
        <v/>
      </c>
      <c r="BV214" s="13">
        <f>Rule_Flags!P213</f>
        <v/>
      </c>
      <c r="BW214" s="13">
        <f>IF(Rule_Flags!E213=1,"SITE_CONTROL",IF(Rule_Flags!F213=1,"APPROVALS",IF(Rule_Flags!G213=1,"REPORTS",IF(Rule_Flags!H213=1,"DEFICIENCY",IF(Rule_Flags!I213=1,"UNDERWRITING",IF(Rule_Flags!J213=1,"COMPLIANCE",""))))))</f>
        <v/>
      </c>
      <c r="BX214" s="13">
        <f>IF(BW214="SITE_CONTROL","Site control missing or invalid",IF(BW214="APPROVALS","Required approvals or resolutions incomplete",IF(BW214="REPORTS","Required third-party reports incomplete",IF(BW214="DEFICIENCY","Unresolved deficiency or material deficiency",IF(BW214="UNDERWRITING","Underwriting / feasibility not passed",IF(BW214="COMPLIANCE","Deconcentration, one-mile, LURA, or Chapter 12 issue","Ready under current engine rules"))))))</f>
        <v/>
      </c>
      <c r="BY214" s="13">
        <f>IF(BV214="Determination Notice","Streamlined + DN-ready assumptions satisfied",IF(BV214="Board","Board-required or board-ready assumptions satisfied",""))</f>
        <v/>
      </c>
      <c r="BZ214" s="13">
        <f>IF(AND(BP214="Y",BQ214&lt;&gt;"Y"),"Carryforward project retains queue priority",IF(BQ214="Y","New project enters behind carryforward projects",""))</f>
        <v/>
      </c>
      <c r="CA214" s="13">
        <f>_xludf.RANK.EQ(Rule_Flags!O213,Rule_Flags!$O$3:$O$402,0)</f>
        <v/>
      </c>
      <c r="CB214" s="13">
        <f>IF(OR(BU214="Determination Notice Issued",BU214="Board",BU214="Closed"),"Y","N")</f>
        <v/>
      </c>
      <c r="CC214" s="9" t="n"/>
      <c r="CD214" s="9" t="n"/>
      <c r="CE214" s="9" t="n"/>
      <c r="CF214" s="9" t="n"/>
      <c r="CG214" s="9" t="n"/>
      <c r="CH214" s="9" t="n"/>
    </row>
    <row r="215">
      <c r="A215" s="8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8" t="n"/>
      <c r="L215" s="9" t="n"/>
      <c r="M215" s="8" t="n"/>
      <c r="N215" s="8" t="n"/>
      <c r="O215" s="8" t="n"/>
      <c r="P215" s="8" t="n"/>
      <c r="Q215" s="8" t="n"/>
      <c r="R215" s="9" t="n"/>
      <c r="S215" s="9" t="n"/>
      <c r="T215" s="10" t="n"/>
      <c r="U215" s="10" t="n"/>
      <c r="V215" s="9" t="n"/>
      <c r="W215" s="9" t="n"/>
      <c r="X215" s="9" t="n"/>
      <c r="Y215" s="9" t="n"/>
      <c r="Z215" s="11" t="n"/>
      <c r="AA215" s="11" t="n"/>
      <c r="AB215" s="11" t="n"/>
      <c r="AC215" s="11" t="n"/>
      <c r="AD215" s="11" t="n"/>
      <c r="AE215" s="11" t="n"/>
      <c r="AF215" s="9" t="n"/>
      <c r="AG215" s="9" t="n"/>
      <c r="AH215" s="9" t="n"/>
      <c r="AI215" s="9" t="n"/>
      <c r="AJ215" s="8" t="n"/>
      <c r="AK215" s="9" t="n"/>
      <c r="AL215" s="9" t="n"/>
      <c r="AM215" s="9" t="n"/>
      <c r="AN215" s="9" t="n"/>
      <c r="AO215" s="9" t="n"/>
      <c r="AP215" s="9" t="n"/>
      <c r="AQ215" s="9" t="n"/>
      <c r="AR215" s="9" t="n"/>
      <c r="AS215" s="9" t="n"/>
      <c r="AT215" s="8" t="n"/>
      <c r="AU215" s="8" t="n"/>
      <c r="AV215" s="9" t="n"/>
      <c r="AW215" s="8" t="n"/>
      <c r="AX215" s="9" t="n"/>
      <c r="AY215" s="9" t="n"/>
      <c r="AZ215" s="9" t="n"/>
      <c r="BA215" s="9" t="n"/>
      <c r="BB215" s="9" t="n"/>
      <c r="BC215" s="9" t="n"/>
      <c r="BD215" s="9" t="n"/>
      <c r="BE215" s="9" t="n"/>
      <c r="BF215" s="9" t="n"/>
      <c r="BG215" s="9" t="n"/>
      <c r="BH215" s="9" t="n"/>
      <c r="BI215" s="9" t="n"/>
      <c r="BJ215" s="9" t="n"/>
      <c r="BK215" s="9" t="n"/>
      <c r="BL215" s="9" t="n"/>
      <c r="BM215" s="9" t="n"/>
      <c r="BN215" s="9" t="n"/>
      <c r="BO215" s="8" t="n"/>
      <c r="BP215" s="9" t="n"/>
      <c r="BQ215" s="9" t="n"/>
      <c r="BR215" s="13">
        <f>IF(COUNTIF(AI215:BM215,"N")+COUNTBLANK(AI215:BM215)=0,"Y","N")</f>
        <v/>
      </c>
      <c r="BS215" s="13">
        <f>IF(AND(BR215="Y",OR(L215="Submitted",L215="Under Review")),"Y",IF(L215="Closed","Y","N"))</f>
        <v/>
      </c>
      <c r="BT215" s="10" t="n"/>
      <c r="BU215" s="13">
        <f>Rule_Flags!Q214</f>
        <v/>
      </c>
      <c r="BV215" s="13">
        <f>Rule_Flags!P214</f>
        <v/>
      </c>
      <c r="BW215" s="13">
        <f>IF(Rule_Flags!E214=1,"SITE_CONTROL",IF(Rule_Flags!F214=1,"APPROVALS",IF(Rule_Flags!G214=1,"REPORTS",IF(Rule_Flags!H214=1,"DEFICIENCY",IF(Rule_Flags!I214=1,"UNDERWRITING",IF(Rule_Flags!J214=1,"COMPLIANCE",""))))))</f>
        <v/>
      </c>
      <c r="BX215" s="13">
        <f>IF(BW215="SITE_CONTROL","Site control missing or invalid",IF(BW215="APPROVALS","Required approvals or resolutions incomplete",IF(BW215="REPORTS","Required third-party reports incomplete",IF(BW215="DEFICIENCY","Unresolved deficiency or material deficiency",IF(BW215="UNDERWRITING","Underwriting / feasibility not passed",IF(BW215="COMPLIANCE","Deconcentration, one-mile, LURA, or Chapter 12 issue","Ready under current engine rules"))))))</f>
        <v/>
      </c>
      <c r="BY215" s="13">
        <f>IF(BV215="Determination Notice","Streamlined + DN-ready assumptions satisfied",IF(BV215="Board","Board-required or board-ready assumptions satisfied",""))</f>
        <v/>
      </c>
      <c r="BZ215" s="13">
        <f>IF(AND(BP215="Y",BQ215&lt;&gt;"Y"),"Carryforward project retains queue priority",IF(BQ215="Y","New project enters behind carryforward projects",""))</f>
        <v/>
      </c>
      <c r="CA215" s="13">
        <f>_xludf.RANK.EQ(Rule_Flags!O214,Rule_Flags!$O$3:$O$402,0)</f>
        <v/>
      </c>
      <c r="CB215" s="13">
        <f>IF(OR(BU215="Determination Notice Issued",BU215="Board",BU215="Closed"),"Y","N")</f>
        <v/>
      </c>
      <c r="CC215" s="9" t="n"/>
      <c r="CD215" s="9" t="n"/>
      <c r="CE215" s="9" t="n"/>
      <c r="CF215" s="9" t="n"/>
      <c r="CG215" s="9" t="n"/>
      <c r="CH215" s="9" t="n"/>
    </row>
    <row r="216">
      <c r="A216" s="8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8" t="n"/>
      <c r="L216" s="9" t="n"/>
      <c r="M216" s="8" t="n"/>
      <c r="N216" s="8" t="n"/>
      <c r="O216" s="8" t="n"/>
      <c r="P216" s="8" t="n"/>
      <c r="Q216" s="8" t="n"/>
      <c r="R216" s="9" t="n"/>
      <c r="S216" s="9" t="n"/>
      <c r="T216" s="10" t="n"/>
      <c r="U216" s="10" t="n"/>
      <c r="V216" s="9" t="n"/>
      <c r="W216" s="9" t="n"/>
      <c r="X216" s="9" t="n"/>
      <c r="Y216" s="9" t="n"/>
      <c r="Z216" s="11" t="n"/>
      <c r="AA216" s="11" t="n"/>
      <c r="AB216" s="11" t="n"/>
      <c r="AC216" s="11" t="n"/>
      <c r="AD216" s="11" t="n"/>
      <c r="AE216" s="11" t="n"/>
      <c r="AF216" s="9" t="n"/>
      <c r="AG216" s="9" t="n"/>
      <c r="AH216" s="9" t="n"/>
      <c r="AI216" s="9" t="n"/>
      <c r="AJ216" s="8" t="n"/>
      <c r="AK216" s="9" t="n"/>
      <c r="AL216" s="9" t="n"/>
      <c r="AM216" s="9" t="n"/>
      <c r="AN216" s="9" t="n"/>
      <c r="AO216" s="9" t="n"/>
      <c r="AP216" s="9" t="n"/>
      <c r="AQ216" s="9" t="n"/>
      <c r="AR216" s="9" t="n"/>
      <c r="AS216" s="9" t="n"/>
      <c r="AT216" s="8" t="n"/>
      <c r="AU216" s="8" t="n"/>
      <c r="AV216" s="9" t="n"/>
      <c r="AW216" s="8" t="n"/>
      <c r="AX216" s="9" t="n"/>
      <c r="AY216" s="9" t="n"/>
      <c r="AZ216" s="9" t="n"/>
      <c r="BA216" s="9" t="n"/>
      <c r="BB216" s="9" t="n"/>
      <c r="BC216" s="9" t="n"/>
      <c r="BD216" s="9" t="n"/>
      <c r="BE216" s="9" t="n"/>
      <c r="BF216" s="9" t="n"/>
      <c r="BG216" s="9" t="n"/>
      <c r="BH216" s="9" t="n"/>
      <c r="BI216" s="9" t="n"/>
      <c r="BJ216" s="9" t="n"/>
      <c r="BK216" s="9" t="n"/>
      <c r="BL216" s="9" t="n"/>
      <c r="BM216" s="9" t="n"/>
      <c r="BN216" s="9" t="n"/>
      <c r="BO216" s="8" t="n"/>
      <c r="BP216" s="9" t="n"/>
      <c r="BQ216" s="9" t="n"/>
      <c r="BR216" s="13">
        <f>IF(COUNTIF(AI216:BM216,"N")+COUNTBLANK(AI216:BM216)=0,"Y","N")</f>
        <v/>
      </c>
      <c r="BS216" s="13">
        <f>IF(AND(BR216="Y",OR(L216="Submitted",L216="Under Review")),"Y",IF(L216="Closed","Y","N"))</f>
        <v/>
      </c>
      <c r="BT216" s="10" t="n"/>
      <c r="BU216" s="13">
        <f>Rule_Flags!Q215</f>
        <v/>
      </c>
      <c r="BV216" s="13">
        <f>Rule_Flags!P215</f>
        <v/>
      </c>
      <c r="BW216" s="13">
        <f>IF(Rule_Flags!E215=1,"SITE_CONTROL",IF(Rule_Flags!F215=1,"APPROVALS",IF(Rule_Flags!G215=1,"REPORTS",IF(Rule_Flags!H215=1,"DEFICIENCY",IF(Rule_Flags!I215=1,"UNDERWRITING",IF(Rule_Flags!J215=1,"COMPLIANCE",""))))))</f>
        <v/>
      </c>
      <c r="BX216" s="13">
        <f>IF(BW216="SITE_CONTROL","Site control missing or invalid",IF(BW216="APPROVALS","Required approvals or resolutions incomplete",IF(BW216="REPORTS","Required third-party reports incomplete",IF(BW216="DEFICIENCY","Unresolved deficiency or material deficiency",IF(BW216="UNDERWRITING","Underwriting / feasibility not passed",IF(BW216="COMPLIANCE","Deconcentration, one-mile, LURA, or Chapter 12 issue","Ready under current engine rules"))))))</f>
        <v/>
      </c>
      <c r="BY216" s="13">
        <f>IF(BV216="Determination Notice","Streamlined + DN-ready assumptions satisfied",IF(BV216="Board","Board-required or board-ready assumptions satisfied",""))</f>
        <v/>
      </c>
      <c r="BZ216" s="13">
        <f>IF(AND(BP216="Y",BQ216&lt;&gt;"Y"),"Carryforward project retains queue priority",IF(BQ216="Y","New project enters behind carryforward projects",""))</f>
        <v/>
      </c>
      <c r="CA216" s="13">
        <f>_xludf.RANK.EQ(Rule_Flags!O215,Rule_Flags!$O$3:$O$402,0)</f>
        <v/>
      </c>
      <c r="CB216" s="13">
        <f>IF(OR(BU216="Determination Notice Issued",BU216="Board",BU216="Closed"),"Y","N")</f>
        <v/>
      </c>
      <c r="CC216" s="9" t="n"/>
      <c r="CD216" s="9" t="n"/>
      <c r="CE216" s="9" t="n"/>
      <c r="CF216" s="9" t="n"/>
      <c r="CG216" s="9" t="n"/>
      <c r="CH216" s="9" t="n"/>
    </row>
    <row r="217">
      <c r="A217" s="8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8" t="n"/>
      <c r="L217" s="9" t="n"/>
      <c r="M217" s="8" t="n"/>
      <c r="N217" s="8" t="n"/>
      <c r="O217" s="8" t="n"/>
      <c r="P217" s="8" t="n"/>
      <c r="Q217" s="8" t="n"/>
      <c r="R217" s="9" t="n"/>
      <c r="S217" s="9" t="n"/>
      <c r="T217" s="10" t="n"/>
      <c r="U217" s="10" t="n"/>
      <c r="V217" s="9" t="n"/>
      <c r="W217" s="9" t="n"/>
      <c r="X217" s="9" t="n"/>
      <c r="Y217" s="9" t="n"/>
      <c r="Z217" s="11" t="n"/>
      <c r="AA217" s="11" t="n"/>
      <c r="AB217" s="11" t="n"/>
      <c r="AC217" s="11" t="n"/>
      <c r="AD217" s="11" t="n"/>
      <c r="AE217" s="11" t="n"/>
      <c r="AF217" s="9" t="n"/>
      <c r="AG217" s="9" t="n"/>
      <c r="AH217" s="9" t="n"/>
      <c r="AI217" s="9" t="n"/>
      <c r="AJ217" s="8" t="n"/>
      <c r="AK217" s="9" t="n"/>
      <c r="AL217" s="9" t="n"/>
      <c r="AM217" s="9" t="n"/>
      <c r="AN217" s="9" t="n"/>
      <c r="AO217" s="9" t="n"/>
      <c r="AP217" s="9" t="n"/>
      <c r="AQ217" s="9" t="n"/>
      <c r="AR217" s="9" t="n"/>
      <c r="AS217" s="9" t="n"/>
      <c r="AT217" s="8" t="n"/>
      <c r="AU217" s="8" t="n"/>
      <c r="AV217" s="9" t="n"/>
      <c r="AW217" s="8" t="n"/>
      <c r="AX217" s="9" t="n"/>
      <c r="AY217" s="9" t="n"/>
      <c r="AZ217" s="9" t="n"/>
      <c r="BA217" s="9" t="n"/>
      <c r="BB217" s="9" t="n"/>
      <c r="BC217" s="9" t="n"/>
      <c r="BD217" s="9" t="n"/>
      <c r="BE217" s="9" t="n"/>
      <c r="BF217" s="9" t="n"/>
      <c r="BG217" s="9" t="n"/>
      <c r="BH217" s="9" t="n"/>
      <c r="BI217" s="9" t="n"/>
      <c r="BJ217" s="9" t="n"/>
      <c r="BK217" s="9" t="n"/>
      <c r="BL217" s="9" t="n"/>
      <c r="BM217" s="9" t="n"/>
      <c r="BN217" s="9" t="n"/>
      <c r="BO217" s="8" t="n"/>
      <c r="BP217" s="9" t="n"/>
      <c r="BQ217" s="9" t="n"/>
      <c r="BR217" s="13">
        <f>IF(COUNTIF(AI217:BM217,"N")+COUNTBLANK(AI217:BM217)=0,"Y","N")</f>
        <v/>
      </c>
      <c r="BS217" s="13">
        <f>IF(AND(BR217="Y",OR(L217="Submitted",L217="Under Review")),"Y",IF(L217="Closed","Y","N"))</f>
        <v/>
      </c>
      <c r="BT217" s="10" t="n"/>
      <c r="BU217" s="13">
        <f>Rule_Flags!Q216</f>
        <v/>
      </c>
      <c r="BV217" s="13">
        <f>Rule_Flags!P216</f>
        <v/>
      </c>
      <c r="BW217" s="13">
        <f>IF(Rule_Flags!E216=1,"SITE_CONTROL",IF(Rule_Flags!F216=1,"APPROVALS",IF(Rule_Flags!G216=1,"REPORTS",IF(Rule_Flags!H216=1,"DEFICIENCY",IF(Rule_Flags!I216=1,"UNDERWRITING",IF(Rule_Flags!J216=1,"COMPLIANCE",""))))))</f>
        <v/>
      </c>
      <c r="BX217" s="13">
        <f>IF(BW217="SITE_CONTROL","Site control missing or invalid",IF(BW217="APPROVALS","Required approvals or resolutions incomplete",IF(BW217="REPORTS","Required third-party reports incomplete",IF(BW217="DEFICIENCY","Unresolved deficiency or material deficiency",IF(BW217="UNDERWRITING","Underwriting / feasibility not passed",IF(BW217="COMPLIANCE","Deconcentration, one-mile, LURA, or Chapter 12 issue","Ready under current engine rules"))))))</f>
        <v/>
      </c>
      <c r="BY217" s="13">
        <f>IF(BV217="Determination Notice","Streamlined + DN-ready assumptions satisfied",IF(BV217="Board","Board-required or board-ready assumptions satisfied",""))</f>
        <v/>
      </c>
      <c r="BZ217" s="13">
        <f>IF(AND(BP217="Y",BQ217&lt;&gt;"Y"),"Carryforward project retains queue priority",IF(BQ217="Y","New project enters behind carryforward projects",""))</f>
        <v/>
      </c>
      <c r="CA217" s="13">
        <f>_xludf.RANK.EQ(Rule_Flags!O216,Rule_Flags!$O$3:$O$402,0)</f>
        <v/>
      </c>
      <c r="CB217" s="13">
        <f>IF(OR(BU217="Determination Notice Issued",BU217="Board",BU217="Closed"),"Y","N")</f>
        <v/>
      </c>
      <c r="CC217" s="9" t="n"/>
      <c r="CD217" s="9" t="n"/>
      <c r="CE217" s="9" t="n"/>
      <c r="CF217" s="9" t="n"/>
      <c r="CG217" s="9" t="n"/>
      <c r="CH217" s="9" t="n"/>
    </row>
    <row r="218">
      <c r="A218" s="8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8" t="n"/>
      <c r="L218" s="9" t="n"/>
      <c r="M218" s="8" t="n"/>
      <c r="N218" s="8" t="n"/>
      <c r="O218" s="8" t="n"/>
      <c r="P218" s="8" t="n"/>
      <c r="Q218" s="8" t="n"/>
      <c r="R218" s="9" t="n"/>
      <c r="S218" s="9" t="n"/>
      <c r="T218" s="10" t="n"/>
      <c r="U218" s="10" t="n"/>
      <c r="V218" s="9" t="n"/>
      <c r="W218" s="9" t="n"/>
      <c r="X218" s="9" t="n"/>
      <c r="Y218" s="9" t="n"/>
      <c r="Z218" s="11" t="n"/>
      <c r="AA218" s="11" t="n"/>
      <c r="AB218" s="11" t="n"/>
      <c r="AC218" s="11" t="n"/>
      <c r="AD218" s="11" t="n"/>
      <c r="AE218" s="11" t="n"/>
      <c r="AF218" s="9" t="n"/>
      <c r="AG218" s="9" t="n"/>
      <c r="AH218" s="9" t="n"/>
      <c r="AI218" s="9" t="n"/>
      <c r="AJ218" s="8" t="n"/>
      <c r="AK218" s="9" t="n"/>
      <c r="AL218" s="9" t="n"/>
      <c r="AM218" s="9" t="n"/>
      <c r="AN218" s="9" t="n"/>
      <c r="AO218" s="9" t="n"/>
      <c r="AP218" s="9" t="n"/>
      <c r="AQ218" s="9" t="n"/>
      <c r="AR218" s="9" t="n"/>
      <c r="AS218" s="9" t="n"/>
      <c r="AT218" s="8" t="n"/>
      <c r="AU218" s="8" t="n"/>
      <c r="AV218" s="9" t="n"/>
      <c r="AW218" s="8" t="n"/>
      <c r="AX218" s="9" t="n"/>
      <c r="AY218" s="9" t="n"/>
      <c r="AZ218" s="9" t="n"/>
      <c r="BA218" s="9" t="n"/>
      <c r="BB218" s="9" t="n"/>
      <c r="BC218" s="9" t="n"/>
      <c r="BD218" s="9" t="n"/>
      <c r="BE218" s="9" t="n"/>
      <c r="BF218" s="9" t="n"/>
      <c r="BG218" s="9" t="n"/>
      <c r="BH218" s="9" t="n"/>
      <c r="BI218" s="9" t="n"/>
      <c r="BJ218" s="9" t="n"/>
      <c r="BK218" s="9" t="n"/>
      <c r="BL218" s="9" t="n"/>
      <c r="BM218" s="9" t="n"/>
      <c r="BN218" s="9" t="n"/>
      <c r="BO218" s="8" t="n"/>
      <c r="BP218" s="9" t="n"/>
      <c r="BQ218" s="9" t="n"/>
      <c r="BR218" s="13">
        <f>IF(COUNTIF(AI218:BM218,"N")+COUNTBLANK(AI218:BM218)=0,"Y","N")</f>
        <v/>
      </c>
      <c r="BS218" s="13">
        <f>IF(AND(BR218="Y",OR(L218="Submitted",L218="Under Review")),"Y",IF(L218="Closed","Y","N"))</f>
        <v/>
      </c>
      <c r="BT218" s="10" t="n"/>
      <c r="BU218" s="13">
        <f>Rule_Flags!Q217</f>
        <v/>
      </c>
      <c r="BV218" s="13">
        <f>Rule_Flags!P217</f>
        <v/>
      </c>
      <c r="BW218" s="13">
        <f>IF(Rule_Flags!E217=1,"SITE_CONTROL",IF(Rule_Flags!F217=1,"APPROVALS",IF(Rule_Flags!G217=1,"REPORTS",IF(Rule_Flags!H217=1,"DEFICIENCY",IF(Rule_Flags!I217=1,"UNDERWRITING",IF(Rule_Flags!J217=1,"COMPLIANCE",""))))))</f>
        <v/>
      </c>
      <c r="BX218" s="13">
        <f>IF(BW218="SITE_CONTROL","Site control missing or invalid",IF(BW218="APPROVALS","Required approvals or resolutions incomplete",IF(BW218="REPORTS","Required third-party reports incomplete",IF(BW218="DEFICIENCY","Unresolved deficiency or material deficiency",IF(BW218="UNDERWRITING","Underwriting / feasibility not passed",IF(BW218="COMPLIANCE","Deconcentration, one-mile, LURA, or Chapter 12 issue","Ready under current engine rules"))))))</f>
        <v/>
      </c>
      <c r="BY218" s="13">
        <f>IF(BV218="Determination Notice","Streamlined + DN-ready assumptions satisfied",IF(BV218="Board","Board-required or board-ready assumptions satisfied",""))</f>
        <v/>
      </c>
      <c r="BZ218" s="13">
        <f>IF(AND(BP218="Y",BQ218&lt;&gt;"Y"),"Carryforward project retains queue priority",IF(BQ218="Y","New project enters behind carryforward projects",""))</f>
        <v/>
      </c>
      <c r="CA218" s="13">
        <f>_xludf.RANK.EQ(Rule_Flags!O217,Rule_Flags!$O$3:$O$402,0)</f>
        <v/>
      </c>
      <c r="CB218" s="13">
        <f>IF(OR(BU218="Determination Notice Issued",BU218="Board",BU218="Closed"),"Y","N")</f>
        <v/>
      </c>
      <c r="CC218" s="9" t="n"/>
      <c r="CD218" s="9" t="n"/>
      <c r="CE218" s="9" t="n"/>
      <c r="CF218" s="9" t="n"/>
      <c r="CG218" s="9" t="n"/>
      <c r="CH218" s="9" t="n"/>
    </row>
    <row r="219">
      <c r="A219" s="8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8" t="n"/>
      <c r="L219" s="9" t="n"/>
      <c r="M219" s="8" t="n"/>
      <c r="N219" s="8" t="n"/>
      <c r="O219" s="8" t="n"/>
      <c r="P219" s="8" t="n"/>
      <c r="Q219" s="8" t="n"/>
      <c r="R219" s="9" t="n"/>
      <c r="S219" s="9" t="n"/>
      <c r="T219" s="10" t="n"/>
      <c r="U219" s="10" t="n"/>
      <c r="V219" s="9" t="n"/>
      <c r="W219" s="9" t="n"/>
      <c r="X219" s="9" t="n"/>
      <c r="Y219" s="9" t="n"/>
      <c r="Z219" s="11" t="n"/>
      <c r="AA219" s="11" t="n"/>
      <c r="AB219" s="11" t="n"/>
      <c r="AC219" s="11" t="n"/>
      <c r="AD219" s="11" t="n"/>
      <c r="AE219" s="11" t="n"/>
      <c r="AF219" s="9" t="n"/>
      <c r="AG219" s="9" t="n"/>
      <c r="AH219" s="9" t="n"/>
      <c r="AI219" s="9" t="n"/>
      <c r="AJ219" s="8" t="n"/>
      <c r="AK219" s="9" t="n"/>
      <c r="AL219" s="9" t="n"/>
      <c r="AM219" s="9" t="n"/>
      <c r="AN219" s="9" t="n"/>
      <c r="AO219" s="9" t="n"/>
      <c r="AP219" s="9" t="n"/>
      <c r="AQ219" s="9" t="n"/>
      <c r="AR219" s="9" t="n"/>
      <c r="AS219" s="9" t="n"/>
      <c r="AT219" s="8" t="n"/>
      <c r="AU219" s="8" t="n"/>
      <c r="AV219" s="9" t="n"/>
      <c r="AW219" s="8" t="n"/>
      <c r="AX219" s="9" t="n"/>
      <c r="AY219" s="9" t="n"/>
      <c r="AZ219" s="9" t="n"/>
      <c r="BA219" s="9" t="n"/>
      <c r="BB219" s="9" t="n"/>
      <c r="BC219" s="9" t="n"/>
      <c r="BD219" s="9" t="n"/>
      <c r="BE219" s="9" t="n"/>
      <c r="BF219" s="9" t="n"/>
      <c r="BG219" s="9" t="n"/>
      <c r="BH219" s="9" t="n"/>
      <c r="BI219" s="9" t="n"/>
      <c r="BJ219" s="9" t="n"/>
      <c r="BK219" s="9" t="n"/>
      <c r="BL219" s="9" t="n"/>
      <c r="BM219" s="9" t="n"/>
      <c r="BN219" s="9" t="n"/>
      <c r="BO219" s="8" t="n"/>
      <c r="BP219" s="9" t="n"/>
      <c r="BQ219" s="9" t="n"/>
      <c r="BR219" s="13">
        <f>IF(COUNTIF(AI219:BM219,"N")+COUNTBLANK(AI219:BM219)=0,"Y","N")</f>
        <v/>
      </c>
      <c r="BS219" s="13">
        <f>IF(AND(BR219="Y",OR(L219="Submitted",L219="Under Review")),"Y",IF(L219="Closed","Y","N"))</f>
        <v/>
      </c>
      <c r="BT219" s="10" t="n"/>
      <c r="BU219" s="13">
        <f>Rule_Flags!Q218</f>
        <v/>
      </c>
      <c r="BV219" s="13">
        <f>Rule_Flags!P218</f>
        <v/>
      </c>
      <c r="BW219" s="13">
        <f>IF(Rule_Flags!E218=1,"SITE_CONTROL",IF(Rule_Flags!F218=1,"APPROVALS",IF(Rule_Flags!G218=1,"REPORTS",IF(Rule_Flags!H218=1,"DEFICIENCY",IF(Rule_Flags!I218=1,"UNDERWRITING",IF(Rule_Flags!J218=1,"COMPLIANCE",""))))))</f>
        <v/>
      </c>
      <c r="BX219" s="13">
        <f>IF(BW219="SITE_CONTROL","Site control missing or invalid",IF(BW219="APPROVALS","Required approvals or resolutions incomplete",IF(BW219="REPORTS","Required third-party reports incomplete",IF(BW219="DEFICIENCY","Unresolved deficiency or material deficiency",IF(BW219="UNDERWRITING","Underwriting / feasibility not passed",IF(BW219="COMPLIANCE","Deconcentration, one-mile, LURA, or Chapter 12 issue","Ready under current engine rules"))))))</f>
        <v/>
      </c>
      <c r="BY219" s="13">
        <f>IF(BV219="Determination Notice","Streamlined + DN-ready assumptions satisfied",IF(BV219="Board","Board-required or board-ready assumptions satisfied",""))</f>
        <v/>
      </c>
      <c r="BZ219" s="13">
        <f>IF(AND(BP219="Y",BQ219&lt;&gt;"Y"),"Carryforward project retains queue priority",IF(BQ219="Y","New project enters behind carryforward projects",""))</f>
        <v/>
      </c>
      <c r="CA219" s="13">
        <f>_xludf.RANK.EQ(Rule_Flags!O218,Rule_Flags!$O$3:$O$402,0)</f>
        <v/>
      </c>
      <c r="CB219" s="13">
        <f>IF(OR(BU219="Determination Notice Issued",BU219="Board",BU219="Closed"),"Y","N")</f>
        <v/>
      </c>
      <c r="CC219" s="9" t="n"/>
      <c r="CD219" s="9" t="n"/>
      <c r="CE219" s="9" t="n"/>
      <c r="CF219" s="9" t="n"/>
      <c r="CG219" s="9" t="n"/>
      <c r="CH219" s="9" t="n"/>
    </row>
    <row r="220">
      <c r="A220" s="8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8" t="n"/>
      <c r="L220" s="9" t="n"/>
      <c r="M220" s="8" t="n"/>
      <c r="N220" s="8" t="n"/>
      <c r="O220" s="8" t="n"/>
      <c r="P220" s="8" t="n"/>
      <c r="Q220" s="8" t="n"/>
      <c r="R220" s="9" t="n"/>
      <c r="S220" s="9" t="n"/>
      <c r="T220" s="10" t="n"/>
      <c r="U220" s="10" t="n"/>
      <c r="V220" s="9" t="n"/>
      <c r="W220" s="9" t="n"/>
      <c r="X220" s="9" t="n"/>
      <c r="Y220" s="9" t="n"/>
      <c r="Z220" s="11" t="n"/>
      <c r="AA220" s="11" t="n"/>
      <c r="AB220" s="11" t="n"/>
      <c r="AC220" s="11" t="n"/>
      <c r="AD220" s="11" t="n"/>
      <c r="AE220" s="11" t="n"/>
      <c r="AF220" s="9" t="n"/>
      <c r="AG220" s="9" t="n"/>
      <c r="AH220" s="9" t="n"/>
      <c r="AI220" s="9" t="n"/>
      <c r="AJ220" s="8" t="n"/>
      <c r="AK220" s="9" t="n"/>
      <c r="AL220" s="9" t="n"/>
      <c r="AM220" s="9" t="n"/>
      <c r="AN220" s="9" t="n"/>
      <c r="AO220" s="9" t="n"/>
      <c r="AP220" s="9" t="n"/>
      <c r="AQ220" s="9" t="n"/>
      <c r="AR220" s="9" t="n"/>
      <c r="AS220" s="9" t="n"/>
      <c r="AT220" s="8" t="n"/>
      <c r="AU220" s="8" t="n"/>
      <c r="AV220" s="9" t="n"/>
      <c r="AW220" s="8" t="n"/>
      <c r="AX220" s="9" t="n"/>
      <c r="AY220" s="9" t="n"/>
      <c r="AZ220" s="9" t="n"/>
      <c r="BA220" s="9" t="n"/>
      <c r="BB220" s="9" t="n"/>
      <c r="BC220" s="9" t="n"/>
      <c r="BD220" s="9" t="n"/>
      <c r="BE220" s="9" t="n"/>
      <c r="BF220" s="9" t="n"/>
      <c r="BG220" s="9" t="n"/>
      <c r="BH220" s="9" t="n"/>
      <c r="BI220" s="9" t="n"/>
      <c r="BJ220" s="9" t="n"/>
      <c r="BK220" s="9" t="n"/>
      <c r="BL220" s="9" t="n"/>
      <c r="BM220" s="9" t="n"/>
      <c r="BN220" s="9" t="n"/>
      <c r="BO220" s="8" t="n"/>
      <c r="BP220" s="9" t="n"/>
      <c r="BQ220" s="9" t="n"/>
      <c r="BR220" s="13">
        <f>IF(COUNTIF(AI220:BM220,"N")+COUNTBLANK(AI220:BM220)=0,"Y","N")</f>
        <v/>
      </c>
      <c r="BS220" s="13">
        <f>IF(AND(BR220="Y",OR(L220="Submitted",L220="Under Review")),"Y",IF(L220="Closed","Y","N"))</f>
        <v/>
      </c>
      <c r="BT220" s="10" t="n"/>
      <c r="BU220" s="13">
        <f>Rule_Flags!Q219</f>
        <v/>
      </c>
      <c r="BV220" s="13">
        <f>Rule_Flags!P219</f>
        <v/>
      </c>
      <c r="BW220" s="13">
        <f>IF(Rule_Flags!E219=1,"SITE_CONTROL",IF(Rule_Flags!F219=1,"APPROVALS",IF(Rule_Flags!G219=1,"REPORTS",IF(Rule_Flags!H219=1,"DEFICIENCY",IF(Rule_Flags!I219=1,"UNDERWRITING",IF(Rule_Flags!J219=1,"COMPLIANCE",""))))))</f>
        <v/>
      </c>
      <c r="BX220" s="13">
        <f>IF(BW220="SITE_CONTROL","Site control missing or invalid",IF(BW220="APPROVALS","Required approvals or resolutions incomplete",IF(BW220="REPORTS","Required third-party reports incomplete",IF(BW220="DEFICIENCY","Unresolved deficiency or material deficiency",IF(BW220="UNDERWRITING","Underwriting / feasibility not passed",IF(BW220="COMPLIANCE","Deconcentration, one-mile, LURA, or Chapter 12 issue","Ready under current engine rules"))))))</f>
        <v/>
      </c>
      <c r="BY220" s="13">
        <f>IF(BV220="Determination Notice","Streamlined + DN-ready assumptions satisfied",IF(BV220="Board","Board-required or board-ready assumptions satisfied",""))</f>
        <v/>
      </c>
      <c r="BZ220" s="13">
        <f>IF(AND(BP220="Y",BQ220&lt;&gt;"Y"),"Carryforward project retains queue priority",IF(BQ220="Y","New project enters behind carryforward projects",""))</f>
        <v/>
      </c>
      <c r="CA220" s="13">
        <f>_xludf.RANK.EQ(Rule_Flags!O219,Rule_Flags!$O$3:$O$402,0)</f>
        <v/>
      </c>
      <c r="CB220" s="13">
        <f>IF(OR(BU220="Determination Notice Issued",BU220="Board",BU220="Closed"),"Y","N")</f>
        <v/>
      </c>
      <c r="CC220" s="9" t="n"/>
      <c r="CD220" s="9" t="n"/>
      <c r="CE220" s="9" t="n"/>
      <c r="CF220" s="9" t="n"/>
      <c r="CG220" s="9" t="n"/>
      <c r="CH220" s="9" t="n"/>
    </row>
    <row r="221">
      <c r="A221" s="8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8" t="n"/>
      <c r="L221" s="9" t="n"/>
      <c r="M221" s="8" t="n"/>
      <c r="N221" s="8" t="n"/>
      <c r="O221" s="8" t="n"/>
      <c r="P221" s="8" t="n"/>
      <c r="Q221" s="8" t="n"/>
      <c r="R221" s="9" t="n"/>
      <c r="S221" s="9" t="n"/>
      <c r="T221" s="10" t="n"/>
      <c r="U221" s="10" t="n"/>
      <c r="V221" s="9" t="n"/>
      <c r="W221" s="9" t="n"/>
      <c r="X221" s="9" t="n"/>
      <c r="Y221" s="9" t="n"/>
      <c r="Z221" s="11" t="n"/>
      <c r="AA221" s="11" t="n"/>
      <c r="AB221" s="11" t="n"/>
      <c r="AC221" s="11" t="n"/>
      <c r="AD221" s="11" t="n"/>
      <c r="AE221" s="11" t="n"/>
      <c r="AF221" s="9" t="n"/>
      <c r="AG221" s="9" t="n"/>
      <c r="AH221" s="9" t="n"/>
      <c r="AI221" s="9" t="n"/>
      <c r="AJ221" s="8" t="n"/>
      <c r="AK221" s="9" t="n"/>
      <c r="AL221" s="9" t="n"/>
      <c r="AM221" s="9" t="n"/>
      <c r="AN221" s="9" t="n"/>
      <c r="AO221" s="9" t="n"/>
      <c r="AP221" s="9" t="n"/>
      <c r="AQ221" s="9" t="n"/>
      <c r="AR221" s="9" t="n"/>
      <c r="AS221" s="9" t="n"/>
      <c r="AT221" s="8" t="n"/>
      <c r="AU221" s="8" t="n"/>
      <c r="AV221" s="9" t="n"/>
      <c r="AW221" s="8" t="n"/>
      <c r="AX221" s="9" t="n"/>
      <c r="AY221" s="9" t="n"/>
      <c r="AZ221" s="9" t="n"/>
      <c r="BA221" s="9" t="n"/>
      <c r="BB221" s="9" t="n"/>
      <c r="BC221" s="9" t="n"/>
      <c r="BD221" s="9" t="n"/>
      <c r="BE221" s="9" t="n"/>
      <c r="BF221" s="9" t="n"/>
      <c r="BG221" s="9" t="n"/>
      <c r="BH221" s="9" t="n"/>
      <c r="BI221" s="9" t="n"/>
      <c r="BJ221" s="9" t="n"/>
      <c r="BK221" s="9" t="n"/>
      <c r="BL221" s="9" t="n"/>
      <c r="BM221" s="9" t="n"/>
      <c r="BN221" s="9" t="n"/>
      <c r="BO221" s="8" t="n"/>
      <c r="BP221" s="9" t="n"/>
      <c r="BQ221" s="9" t="n"/>
      <c r="BR221" s="13">
        <f>IF(COUNTIF(AI221:BM221,"N")+COUNTBLANK(AI221:BM221)=0,"Y","N")</f>
        <v/>
      </c>
      <c r="BS221" s="13">
        <f>IF(AND(BR221="Y",OR(L221="Submitted",L221="Under Review")),"Y",IF(L221="Closed","Y","N"))</f>
        <v/>
      </c>
      <c r="BT221" s="10" t="n"/>
      <c r="BU221" s="13">
        <f>Rule_Flags!Q220</f>
        <v/>
      </c>
      <c r="BV221" s="13">
        <f>Rule_Flags!P220</f>
        <v/>
      </c>
      <c r="BW221" s="13">
        <f>IF(Rule_Flags!E220=1,"SITE_CONTROL",IF(Rule_Flags!F220=1,"APPROVALS",IF(Rule_Flags!G220=1,"REPORTS",IF(Rule_Flags!H220=1,"DEFICIENCY",IF(Rule_Flags!I220=1,"UNDERWRITING",IF(Rule_Flags!J220=1,"COMPLIANCE",""))))))</f>
        <v/>
      </c>
      <c r="BX221" s="13">
        <f>IF(BW221="SITE_CONTROL","Site control missing or invalid",IF(BW221="APPROVALS","Required approvals or resolutions incomplete",IF(BW221="REPORTS","Required third-party reports incomplete",IF(BW221="DEFICIENCY","Unresolved deficiency or material deficiency",IF(BW221="UNDERWRITING","Underwriting / feasibility not passed",IF(BW221="COMPLIANCE","Deconcentration, one-mile, LURA, or Chapter 12 issue","Ready under current engine rules"))))))</f>
        <v/>
      </c>
      <c r="BY221" s="13">
        <f>IF(BV221="Determination Notice","Streamlined + DN-ready assumptions satisfied",IF(BV221="Board","Board-required or board-ready assumptions satisfied",""))</f>
        <v/>
      </c>
      <c r="BZ221" s="13">
        <f>IF(AND(BP221="Y",BQ221&lt;&gt;"Y"),"Carryforward project retains queue priority",IF(BQ221="Y","New project enters behind carryforward projects",""))</f>
        <v/>
      </c>
      <c r="CA221" s="13">
        <f>_xludf.RANK.EQ(Rule_Flags!O220,Rule_Flags!$O$3:$O$402,0)</f>
        <v/>
      </c>
      <c r="CB221" s="13">
        <f>IF(OR(BU221="Determination Notice Issued",BU221="Board",BU221="Closed"),"Y","N")</f>
        <v/>
      </c>
      <c r="CC221" s="9" t="n"/>
      <c r="CD221" s="9" t="n"/>
      <c r="CE221" s="9" t="n"/>
      <c r="CF221" s="9" t="n"/>
      <c r="CG221" s="9" t="n"/>
      <c r="CH221" s="9" t="n"/>
    </row>
    <row r="222">
      <c r="A222" s="8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8" t="n"/>
      <c r="L222" s="9" t="n"/>
      <c r="M222" s="8" t="n"/>
      <c r="N222" s="8" t="n"/>
      <c r="O222" s="8" t="n"/>
      <c r="P222" s="8" t="n"/>
      <c r="Q222" s="8" t="n"/>
      <c r="R222" s="9" t="n"/>
      <c r="S222" s="9" t="n"/>
      <c r="T222" s="10" t="n"/>
      <c r="U222" s="10" t="n"/>
      <c r="V222" s="9" t="n"/>
      <c r="W222" s="9" t="n"/>
      <c r="X222" s="9" t="n"/>
      <c r="Y222" s="9" t="n"/>
      <c r="Z222" s="11" t="n"/>
      <c r="AA222" s="11" t="n"/>
      <c r="AB222" s="11" t="n"/>
      <c r="AC222" s="11" t="n"/>
      <c r="AD222" s="11" t="n"/>
      <c r="AE222" s="11" t="n"/>
      <c r="AF222" s="9" t="n"/>
      <c r="AG222" s="9" t="n"/>
      <c r="AH222" s="9" t="n"/>
      <c r="AI222" s="9" t="n"/>
      <c r="AJ222" s="8" t="n"/>
      <c r="AK222" s="9" t="n"/>
      <c r="AL222" s="9" t="n"/>
      <c r="AM222" s="9" t="n"/>
      <c r="AN222" s="9" t="n"/>
      <c r="AO222" s="9" t="n"/>
      <c r="AP222" s="9" t="n"/>
      <c r="AQ222" s="9" t="n"/>
      <c r="AR222" s="9" t="n"/>
      <c r="AS222" s="9" t="n"/>
      <c r="AT222" s="8" t="n"/>
      <c r="AU222" s="8" t="n"/>
      <c r="AV222" s="9" t="n"/>
      <c r="AW222" s="8" t="n"/>
      <c r="AX222" s="9" t="n"/>
      <c r="AY222" s="9" t="n"/>
      <c r="AZ222" s="9" t="n"/>
      <c r="BA222" s="9" t="n"/>
      <c r="BB222" s="9" t="n"/>
      <c r="BC222" s="9" t="n"/>
      <c r="BD222" s="9" t="n"/>
      <c r="BE222" s="9" t="n"/>
      <c r="BF222" s="9" t="n"/>
      <c r="BG222" s="9" t="n"/>
      <c r="BH222" s="9" t="n"/>
      <c r="BI222" s="9" t="n"/>
      <c r="BJ222" s="9" t="n"/>
      <c r="BK222" s="9" t="n"/>
      <c r="BL222" s="9" t="n"/>
      <c r="BM222" s="9" t="n"/>
      <c r="BN222" s="9" t="n"/>
      <c r="BO222" s="8" t="n"/>
      <c r="BP222" s="9" t="n"/>
      <c r="BQ222" s="9" t="n"/>
      <c r="BR222" s="13">
        <f>IF(COUNTIF(AI222:BM222,"N")+COUNTBLANK(AI222:BM222)=0,"Y","N")</f>
        <v/>
      </c>
      <c r="BS222" s="13">
        <f>IF(AND(BR222="Y",OR(L222="Submitted",L222="Under Review")),"Y",IF(L222="Closed","Y","N"))</f>
        <v/>
      </c>
      <c r="BT222" s="10" t="n"/>
      <c r="BU222" s="13">
        <f>Rule_Flags!Q221</f>
        <v/>
      </c>
      <c r="BV222" s="13">
        <f>Rule_Flags!P221</f>
        <v/>
      </c>
      <c r="BW222" s="13">
        <f>IF(Rule_Flags!E221=1,"SITE_CONTROL",IF(Rule_Flags!F221=1,"APPROVALS",IF(Rule_Flags!G221=1,"REPORTS",IF(Rule_Flags!H221=1,"DEFICIENCY",IF(Rule_Flags!I221=1,"UNDERWRITING",IF(Rule_Flags!J221=1,"COMPLIANCE",""))))))</f>
        <v/>
      </c>
      <c r="BX222" s="13">
        <f>IF(BW222="SITE_CONTROL","Site control missing or invalid",IF(BW222="APPROVALS","Required approvals or resolutions incomplete",IF(BW222="REPORTS","Required third-party reports incomplete",IF(BW222="DEFICIENCY","Unresolved deficiency or material deficiency",IF(BW222="UNDERWRITING","Underwriting / feasibility not passed",IF(BW222="COMPLIANCE","Deconcentration, one-mile, LURA, or Chapter 12 issue","Ready under current engine rules"))))))</f>
        <v/>
      </c>
      <c r="BY222" s="13">
        <f>IF(BV222="Determination Notice","Streamlined + DN-ready assumptions satisfied",IF(BV222="Board","Board-required or board-ready assumptions satisfied",""))</f>
        <v/>
      </c>
      <c r="BZ222" s="13">
        <f>IF(AND(BP222="Y",BQ222&lt;&gt;"Y"),"Carryforward project retains queue priority",IF(BQ222="Y","New project enters behind carryforward projects",""))</f>
        <v/>
      </c>
      <c r="CA222" s="13">
        <f>_xludf.RANK.EQ(Rule_Flags!O221,Rule_Flags!$O$3:$O$402,0)</f>
        <v/>
      </c>
      <c r="CB222" s="13">
        <f>IF(OR(BU222="Determination Notice Issued",BU222="Board",BU222="Closed"),"Y","N")</f>
        <v/>
      </c>
      <c r="CC222" s="9" t="n"/>
      <c r="CD222" s="9" t="n"/>
      <c r="CE222" s="9" t="n"/>
      <c r="CF222" s="9" t="n"/>
      <c r="CG222" s="9" t="n"/>
      <c r="CH222" s="9" t="n"/>
    </row>
    <row r="223">
      <c r="A223" s="8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8" t="n"/>
      <c r="L223" s="9" t="n"/>
      <c r="M223" s="8" t="n"/>
      <c r="N223" s="8" t="n"/>
      <c r="O223" s="8" t="n"/>
      <c r="P223" s="8" t="n"/>
      <c r="Q223" s="8" t="n"/>
      <c r="R223" s="9" t="n"/>
      <c r="S223" s="9" t="n"/>
      <c r="T223" s="10" t="n"/>
      <c r="U223" s="10" t="n"/>
      <c r="V223" s="9" t="n"/>
      <c r="W223" s="9" t="n"/>
      <c r="X223" s="9" t="n"/>
      <c r="Y223" s="9" t="n"/>
      <c r="Z223" s="11" t="n"/>
      <c r="AA223" s="11" t="n"/>
      <c r="AB223" s="11" t="n"/>
      <c r="AC223" s="11" t="n"/>
      <c r="AD223" s="11" t="n"/>
      <c r="AE223" s="11" t="n"/>
      <c r="AF223" s="9" t="n"/>
      <c r="AG223" s="9" t="n"/>
      <c r="AH223" s="9" t="n"/>
      <c r="AI223" s="9" t="n"/>
      <c r="AJ223" s="8" t="n"/>
      <c r="AK223" s="9" t="n"/>
      <c r="AL223" s="9" t="n"/>
      <c r="AM223" s="9" t="n"/>
      <c r="AN223" s="9" t="n"/>
      <c r="AO223" s="9" t="n"/>
      <c r="AP223" s="9" t="n"/>
      <c r="AQ223" s="9" t="n"/>
      <c r="AR223" s="9" t="n"/>
      <c r="AS223" s="9" t="n"/>
      <c r="AT223" s="8" t="n"/>
      <c r="AU223" s="8" t="n"/>
      <c r="AV223" s="9" t="n"/>
      <c r="AW223" s="8" t="n"/>
      <c r="AX223" s="9" t="n"/>
      <c r="AY223" s="9" t="n"/>
      <c r="AZ223" s="9" t="n"/>
      <c r="BA223" s="9" t="n"/>
      <c r="BB223" s="9" t="n"/>
      <c r="BC223" s="9" t="n"/>
      <c r="BD223" s="9" t="n"/>
      <c r="BE223" s="9" t="n"/>
      <c r="BF223" s="9" t="n"/>
      <c r="BG223" s="9" t="n"/>
      <c r="BH223" s="9" t="n"/>
      <c r="BI223" s="9" t="n"/>
      <c r="BJ223" s="9" t="n"/>
      <c r="BK223" s="9" t="n"/>
      <c r="BL223" s="9" t="n"/>
      <c r="BM223" s="9" t="n"/>
      <c r="BN223" s="9" t="n"/>
      <c r="BO223" s="8" t="n"/>
      <c r="BP223" s="9" t="n"/>
      <c r="BQ223" s="9" t="n"/>
      <c r="BR223" s="13">
        <f>IF(COUNTIF(AI223:BM223,"N")+COUNTBLANK(AI223:BM223)=0,"Y","N")</f>
        <v/>
      </c>
      <c r="BS223" s="13">
        <f>IF(AND(BR223="Y",OR(L223="Submitted",L223="Under Review")),"Y",IF(L223="Closed","Y","N"))</f>
        <v/>
      </c>
      <c r="BT223" s="10" t="n"/>
      <c r="BU223" s="13">
        <f>Rule_Flags!Q222</f>
        <v/>
      </c>
      <c r="BV223" s="13">
        <f>Rule_Flags!P222</f>
        <v/>
      </c>
      <c r="BW223" s="13">
        <f>IF(Rule_Flags!E222=1,"SITE_CONTROL",IF(Rule_Flags!F222=1,"APPROVALS",IF(Rule_Flags!G222=1,"REPORTS",IF(Rule_Flags!H222=1,"DEFICIENCY",IF(Rule_Flags!I222=1,"UNDERWRITING",IF(Rule_Flags!J222=1,"COMPLIANCE",""))))))</f>
        <v/>
      </c>
      <c r="BX223" s="13">
        <f>IF(BW223="SITE_CONTROL","Site control missing or invalid",IF(BW223="APPROVALS","Required approvals or resolutions incomplete",IF(BW223="REPORTS","Required third-party reports incomplete",IF(BW223="DEFICIENCY","Unresolved deficiency or material deficiency",IF(BW223="UNDERWRITING","Underwriting / feasibility not passed",IF(BW223="COMPLIANCE","Deconcentration, one-mile, LURA, or Chapter 12 issue","Ready under current engine rules"))))))</f>
        <v/>
      </c>
      <c r="BY223" s="13">
        <f>IF(BV223="Determination Notice","Streamlined + DN-ready assumptions satisfied",IF(BV223="Board","Board-required or board-ready assumptions satisfied",""))</f>
        <v/>
      </c>
      <c r="BZ223" s="13">
        <f>IF(AND(BP223="Y",BQ223&lt;&gt;"Y"),"Carryforward project retains queue priority",IF(BQ223="Y","New project enters behind carryforward projects",""))</f>
        <v/>
      </c>
      <c r="CA223" s="13">
        <f>_xludf.RANK.EQ(Rule_Flags!O222,Rule_Flags!$O$3:$O$402,0)</f>
        <v/>
      </c>
      <c r="CB223" s="13">
        <f>IF(OR(BU223="Determination Notice Issued",BU223="Board",BU223="Closed"),"Y","N")</f>
        <v/>
      </c>
      <c r="CC223" s="9" t="n"/>
      <c r="CD223" s="9" t="n"/>
      <c r="CE223" s="9" t="n"/>
      <c r="CF223" s="9" t="n"/>
      <c r="CG223" s="9" t="n"/>
      <c r="CH223" s="9" t="n"/>
    </row>
    <row r="224">
      <c r="A224" s="8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8" t="n"/>
      <c r="L224" s="9" t="n"/>
      <c r="M224" s="8" t="n"/>
      <c r="N224" s="8" t="n"/>
      <c r="O224" s="8" t="n"/>
      <c r="P224" s="8" t="n"/>
      <c r="Q224" s="8" t="n"/>
      <c r="R224" s="9" t="n"/>
      <c r="S224" s="9" t="n"/>
      <c r="T224" s="10" t="n"/>
      <c r="U224" s="10" t="n"/>
      <c r="V224" s="9" t="n"/>
      <c r="W224" s="9" t="n"/>
      <c r="X224" s="9" t="n"/>
      <c r="Y224" s="9" t="n"/>
      <c r="Z224" s="11" t="n"/>
      <c r="AA224" s="11" t="n"/>
      <c r="AB224" s="11" t="n"/>
      <c r="AC224" s="11" t="n"/>
      <c r="AD224" s="11" t="n"/>
      <c r="AE224" s="11" t="n"/>
      <c r="AF224" s="9" t="n"/>
      <c r="AG224" s="9" t="n"/>
      <c r="AH224" s="9" t="n"/>
      <c r="AI224" s="9" t="n"/>
      <c r="AJ224" s="8" t="n"/>
      <c r="AK224" s="9" t="n"/>
      <c r="AL224" s="9" t="n"/>
      <c r="AM224" s="9" t="n"/>
      <c r="AN224" s="9" t="n"/>
      <c r="AO224" s="9" t="n"/>
      <c r="AP224" s="9" t="n"/>
      <c r="AQ224" s="9" t="n"/>
      <c r="AR224" s="9" t="n"/>
      <c r="AS224" s="9" t="n"/>
      <c r="AT224" s="8" t="n"/>
      <c r="AU224" s="8" t="n"/>
      <c r="AV224" s="9" t="n"/>
      <c r="AW224" s="8" t="n"/>
      <c r="AX224" s="9" t="n"/>
      <c r="AY224" s="9" t="n"/>
      <c r="AZ224" s="9" t="n"/>
      <c r="BA224" s="9" t="n"/>
      <c r="BB224" s="9" t="n"/>
      <c r="BC224" s="9" t="n"/>
      <c r="BD224" s="9" t="n"/>
      <c r="BE224" s="9" t="n"/>
      <c r="BF224" s="9" t="n"/>
      <c r="BG224" s="9" t="n"/>
      <c r="BH224" s="9" t="n"/>
      <c r="BI224" s="9" t="n"/>
      <c r="BJ224" s="9" t="n"/>
      <c r="BK224" s="9" t="n"/>
      <c r="BL224" s="9" t="n"/>
      <c r="BM224" s="9" t="n"/>
      <c r="BN224" s="9" t="n"/>
      <c r="BO224" s="8" t="n"/>
      <c r="BP224" s="9" t="n"/>
      <c r="BQ224" s="9" t="n"/>
      <c r="BR224" s="13">
        <f>IF(COUNTIF(AI224:BM224,"N")+COUNTBLANK(AI224:BM224)=0,"Y","N")</f>
        <v/>
      </c>
      <c r="BS224" s="13">
        <f>IF(AND(BR224="Y",OR(L224="Submitted",L224="Under Review")),"Y",IF(L224="Closed","Y","N"))</f>
        <v/>
      </c>
      <c r="BT224" s="10" t="n"/>
      <c r="BU224" s="13">
        <f>Rule_Flags!Q223</f>
        <v/>
      </c>
      <c r="BV224" s="13">
        <f>Rule_Flags!P223</f>
        <v/>
      </c>
      <c r="BW224" s="13">
        <f>IF(Rule_Flags!E223=1,"SITE_CONTROL",IF(Rule_Flags!F223=1,"APPROVALS",IF(Rule_Flags!G223=1,"REPORTS",IF(Rule_Flags!H223=1,"DEFICIENCY",IF(Rule_Flags!I223=1,"UNDERWRITING",IF(Rule_Flags!J223=1,"COMPLIANCE",""))))))</f>
        <v/>
      </c>
      <c r="BX224" s="13">
        <f>IF(BW224="SITE_CONTROL","Site control missing or invalid",IF(BW224="APPROVALS","Required approvals or resolutions incomplete",IF(BW224="REPORTS","Required third-party reports incomplete",IF(BW224="DEFICIENCY","Unresolved deficiency or material deficiency",IF(BW224="UNDERWRITING","Underwriting / feasibility not passed",IF(BW224="COMPLIANCE","Deconcentration, one-mile, LURA, or Chapter 12 issue","Ready under current engine rules"))))))</f>
        <v/>
      </c>
      <c r="BY224" s="13">
        <f>IF(BV224="Determination Notice","Streamlined + DN-ready assumptions satisfied",IF(BV224="Board","Board-required or board-ready assumptions satisfied",""))</f>
        <v/>
      </c>
      <c r="BZ224" s="13">
        <f>IF(AND(BP224="Y",BQ224&lt;&gt;"Y"),"Carryforward project retains queue priority",IF(BQ224="Y","New project enters behind carryforward projects",""))</f>
        <v/>
      </c>
      <c r="CA224" s="13">
        <f>_xludf.RANK.EQ(Rule_Flags!O223,Rule_Flags!$O$3:$O$402,0)</f>
        <v/>
      </c>
      <c r="CB224" s="13">
        <f>IF(OR(BU224="Determination Notice Issued",BU224="Board",BU224="Closed"),"Y","N")</f>
        <v/>
      </c>
      <c r="CC224" s="9" t="n"/>
      <c r="CD224" s="9" t="n"/>
      <c r="CE224" s="9" t="n"/>
      <c r="CF224" s="9" t="n"/>
      <c r="CG224" s="9" t="n"/>
      <c r="CH224" s="9" t="n"/>
    </row>
    <row r="225">
      <c r="A225" s="8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8" t="n"/>
      <c r="L225" s="9" t="n"/>
      <c r="M225" s="8" t="n"/>
      <c r="N225" s="8" t="n"/>
      <c r="O225" s="8" t="n"/>
      <c r="P225" s="8" t="n"/>
      <c r="Q225" s="8" t="n"/>
      <c r="R225" s="9" t="n"/>
      <c r="S225" s="9" t="n"/>
      <c r="T225" s="10" t="n"/>
      <c r="U225" s="10" t="n"/>
      <c r="V225" s="9" t="n"/>
      <c r="W225" s="9" t="n"/>
      <c r="X225" s="9" t="n"/>
      <c r="Y225" s="9" t="n"/>
      <c r="Z225" s="11" t="n"/>
      <c r="AA225" s="11" t="n"/>
      <c r="AB225" s="11" t="n"/>
      <c r="AC225" s="11" t="n"/>
      <c r="AD225" s="11" t="n"/>
      <c r="AE225" s="11" t="n"/>
      <c r="AF225" s="9" t="n"/>
      <c r="AG225" s="9" t="n"/>
      <c r="AH225" s="9" t="n"/>
      <c r="AI225" s="9" t="n"/>
      <c r="AJ225" s="8" t="n"/>
      <c r="AK225" s="9" t="n"/>
      <c r="AL225" s="9" t="n"/>
      <c r="AM225" s="9" t="n"/>
      <c r="AN225" s="9" t="n"/>
      <c r="AO225" s="9" t="n"/>
      <c r="AP225" s="9" t="n"/>
      <c r="AQ225" s="9" t="n"/>
      <c r="AR225" s="9" t="n"/>
      <c r="AS225" s="9" t="n"/>
      <c r="AT225" s="8" t="n"/>
      <c r="AU225" s="8" t="n"/>
      <c r="AV225" s="9" t="n"/>
      <c r="AW225" s="8" t="n"/>
      <c r="AX225" s="9" t="n"/>
      <c r="AY225" s="9" t="n"/>
      <c r="AZ225" s="9" t="n"/>
      <c r="BA225" s="9" t="n"/>
      <c r="BB225" s="9" t="n"/>
      <c r="BC225" s="9" t="n"/>
      <c r="BD225" s="9" t="n"/>
      <c r="BE225" s="9" t="n"/>
      <c r="BF225" s="9" t="n"/>
      <c r="BG225" s="9" t="n"/>
      <c r="BH225" s="9" t="n"/>
      <c r="BI225" s="9" t="n"/>
      <c r="BJ225" s="9" t="n"/>
      <c r="BK225" s="9" t="n"/>
      <c r="BL225" s="9" t="n"/>
      <c r="BM225" s="9" t="n"/>
      <c r="BN225" s="9" t="n"/>
      <c r="BO225" s="8" t="n"/>
      <c r="BP225" s="9" t="n"/>
      <c r="BQ225" s="9" t="n"/>
      <c r="BR225" s="13">
        <f>IF(COUNTIF(AI225:BM225,"N")+COUNTBLANK(AI225:BM225)=0,"Y","N")</f>
        <v/>
      </c>
      <c r="BS225" s="13">
        <f>IF(AND(BR225="Y",OR(L225="Submitted",L225="Under Review")),"Y",IF(L225="Closed","Y","N"))</f>
        <v/>
      </c>
      <c r="BT225" s="10" t="n"/>
      <c r="BU225" s="13">
        <f>Rule_Flags!Q224</f>
        <v/>
      </c>
      <c r="BV225" s="13">
        <f>Rule_Flags!P224</f>
        <v/>
      </c>
      <c r="BW225" s="13">
        <f>IF(Rule_Flags!E224=1,"SITE_CONTROL",IF(Rule_Flags!F224=1,"APPROVALS",IF(Rule_Flags!G224=1,"REPORTS",IF(Rule_Flags!H224=1,"DEFICIENCY",IF(Rule_Flags!I224=1,"UNDERWRITING",IF(Rule_Flags!J224=1,"COMPLIANCE",""))))))</f>
        <v/>
      </c>
      <c r="BX225" s="13">
        <f>IF(BW225="SITE_CONTROL","Site control missing or invalid",IF(BW225="APPROVALS","Required approvals or resolutions incomplete",IF(BW225="REPORTS","Required third-party reports incomplete",IF(BW225="DEFICIENCY","Unresolved deficiency or material deficiency",IF(BW225="UNDERWRITING","Underwriting / feasibility not passed",IF(BW225="COMPLIANCE","Deconcentration, one-mile, LURA, or Chapter 12 issue","Ready under current engine rules"))))))</f>
        <v/>
      </c>
      <c r="BY225" s="13">
        <f>IF(BV225="Determination Notice","Streamlined + DN-ready assumptions satisfied",IF(BV225="Board","Board-required or board-ready assumptions satisfied",""))</f>
        <v/>
      </c>
      <c r="BZ225" s="13">
        <f>IF(AND(BP225="Y",BQ225&lt;&gt;"Y"),"Carryforward project retains queue priority",IF(BQ225="Y","New project enters behind carryforward projects",""))</f>
        <v/>
      </c>
      <c r="CA225" s="13">
        <f>_xludf.RANK.EQ(Rule_Flags!O224,Rule_Flags!$O$3:$O$402,0)</f>
        <v/>
      </c>
      <c r="CB225" s="13">
        <f>IF(OR(BU225="Determination Notice Issued",BU225="Board",BU225="Closed"),"Y","N")</f>
        <v/>
      </c>
      <c r="CC225" s="9" t="n"/>
      <c r="CD225" s="9" t="n"/>
      <c r="CE225" s="9" t="n"/>
      <c r="CF225" s="9" t="n"/>
      <c r="CG225" s="9" t="n"/>
      <c r="CH225" s="9" t="n"/>
    </row>
    <row r="226">
      <c r="A226" s="8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8" t="n"/>
      <c r="L226" s="9" t="n"/>
      <c r="M226" s="8" t="n"/>
      <c r="N226" s="8" t="n"/>
      <c r="O226" s="8" t="n"/>
      <c r="P226" s="8" t="n"/>
      <c r="Q226" s="8" t="n"/>
      <c r="R226" s="9" t="n"/>
      <c r="S226" s="9" t="n"/>
      <c r="T226" s="10" t="n"/>
      <c r="U226" s="10" t="n"/>
      <c r="V226" s="9" t="n"/>
      <c r="W226" s="9" t="n"/>
      <c r="X226" s="9" t="n"/>
      <c r="Y226" s="9" t="n"/>
      <c r="Z226" s="11" t="n"/>
      <c r="AA226" s="11" t="n"/>
      <c r="AB226" s="11" t="n"/>
      <c r="AC226" s="11" t="n"/>
      <c r="AD226" s="11" t="n"/>
      <c r="AE226" s="11" t="n"/>
      <c r="AF226" s="9" t="n"/>
      <c r="AG226" s="9" t="n"/>
      <c r="AH226" s="9" t="n"/>
      <c r="AI226" s="9" t="n"/>
      <c r="AJ226" s="8" t="n"/>
      <c r="AK226" s="9" t="n"/>
      <c r="AL226" s="9" t="n"/>
      <c r="AM226" s="9" t="n"/>
      <c r="AN226" s="9" t="n"/>
      <c r="AO226" s="9" t="n"/>
      <c r="AP226" s="9" t="n"/>
      <c r="AQ226" s="9" t="n"/>
      <c r="AR226" s="9" t="n"/>
      <c r="AS226" s="9" t="n"/>
      <c r="AT226" s="8" t="n"/>
      <c r="AU226" s="8" t="n"/>
      <c r="AV226" s="9" t="n"/>
      <c r="AW226" s="8" t="n"/>
      <c r="AX226" s="9" t="n"/>
      <c r="AY226" s="9" t="n"/>
      <c r="AZ226" s="9" t="n"/>
      <c r="BA226" s="9" t="n"/>
      <c r="BB226" s="9" t="n"/>
      <c r="BC226" s="9" t="n"/>
      <c r="BD226" s="9" t="n"/>
      <c r="BE226" s="9" t="n"/>
      <c r="BF226" s="9" t="n"/>
      <c r="BG226" s="9" t="n"/>
      <c r="BH226" s="9" t="n"/>
      <c r="BI226" s="9" t="n"/>
      <c r="BJ226" s="9" t="n"/>
      <c r="BK226" s="9" t="n"/>
      <c r="BL226" s="9" t="n"/>
      <c r="BM226" s="9" t="n"/>
      <c r="BN226" s="9" t="n"/>
      <c r="BO226" s="8" t="n"/>
      <c r="BP226" s="9" t="n"/>
      <c r="BQ226" s="9" t="n"/>
      <c r="BR226" s="13">
        <f>IF(COUNTIF(AI226:BM226,"N")+COUNTBLANK(AI226:BM226)=0,"Y","N")</f>
        <v/>
      </c>
      <c r="BS226" s="13">
        <f>IF(AND(BR226="Y",OR(L226="Submitted",L226="Under Review")),"Y",IF(L226="Closed","Y","N"))</f>
        <v/>
      </c>
      <c r="BT226" s="10" t="n"/>
      <c r="BU226" s="13">
        <f>Rule_Flags!Q225</f>
        <v/>
      </c>
      <c r="BV226" s="13">
        <f>Rule_Flags!P225</f>
        <v/>
      </c>
      <c r="BW226" s="13">
        <f>IF(Rule_Flags!E225=1,"SITE_CONTROL",IF(Rule_Flags!F225=1,"APPROVALS",IF(Rule_Flags!G225=1,"REPORTS",IF(Rule_Flags!H225=1,"DEFICIENCY",IF(Rule_Flags!I225=1,"UNDERWRITING",IF(Rule_Flags!J225=1,"COMPLIANCE",""))))))</f>
        <v/>
      </c>
      <c r="BX226" s="13">
        <f>IF(BW226="SITE_CONTROL","Site control missing or invalid",IF(BW226="APPROVALS","Required approvals or resolutions incomplete",IF(BW226="REPORTS","Required third-party reports incomplete",IF(BW226="DEFICIENCY","Unresolved deficiency or material deficiency",IF(BW226="UNDERWRITING","Underwriting / feasibility not passed",IF(BW226="COMPLIANCE","Deconcentration, one-mile, LURA, or Chapter 12 issue","Ready under current engine rules"))))))</f>
        <v/>
      </c>
      <c r="BY226" s="13">
        <f>IF(BV226="Determination Notice","Streamlined + DN-ready assumptions satisfied",IF(BV226="Board","Board-required or board-ready assumptions satisfied",""))</f>
        <v/>
      </c>
      <c r="BZ226" s="13">
        <f>IF(AND(BP226="Y",BQ226&lt;&gt;"Y"),"Carryforward project retains queue priority",IF(BQ226="Y","New project enters behind carryforward projects",""))</f>
        <v/>
      </c>
      <c r="CA226" s="13">
        <f>_xludf.RANK.EQ(Rule_Flags!O225,Rule_Flags!$O$3:$O$402,0)</f>
        <v/>
      </c>
      <c r="CB226" s="13">
        <f>IF(OR(BU226="Determination Notice Issued",BU226="Board",BU226="Closed"),"Y","N")</f>
        <v/>
      </c>
      <c r="CC226" s="9" t="n"/>
      <c r="CD226" s="9" t="n"/>
      <c r="CE226" s="9" t="n"/>
      <c r="CF226" s="9" t="n"/>
      <c r="CG226" s="9" t="n"/>
      <c r="CH226" s="9" t="n"/>
    </row>
    <row r="227">
      <c r="A227" s="8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8" t="n"/>
      <c r="L227" s="9" t="n"/>
      <c r="M227" s="8" t="n"/>
      <c r="N227" s="8" t="n"/>
      <c r="O227" s="8" t="n"/>
      <c r="P227" s="8" t="n"/>
      <c r="Q227" s="8" t="n"/>
      <c r="R227" s="9" t="n"/>
      <c r="S227" s="9" t="n"/>
      <c r="T227" s="10" t="n"/>
      <c r="U227" s="10" t="n"/>
      <c r="V227" s="9" t="n"/>
      <c r="W227" s="9" t="n"/>
      <c r="X227" s="9" t="n"/>
      <c r="Y227" s="9" t="n"/>
      <c r="Z227" s="11" t="n"/>
      <c r="AA227" s="11" t="n"/>
      <c r="AB227" s="11" t="n"/>
      <c r="AC227" s="11" t="n"/>
      <c r="AD227" s="11" t="n"/>
      <c r="AE227" s="11" t="n"/>
      <c r="AF227" s="9" t="n"/>
      <c r="AG227" s="9" t="n"/>
      <c r="AH227" s="9" t="n"/>
      <c r="AI227" s="9" t="n"/>
      <c r="AJ227" s="8" t="n"/>
      <c r="AK227" s="9" t="n"/>
      <c r="AL227" s="9" t="n"/>
      <c r="AM227" s="9" t="n"/>
      <c r="AN227" s="9" t="n"/>
      <c r="AO227" s="9" t="n"/>
      <c r="AP227" s="9" t="n"/>
      <c r="AQ227" s="9" t="n"/>
      <c r="AR227" s="9" t="n"/>
      <c r="AS227" s="9" t="n"/>
      <c r="AT227" s="8" t="n"/>
      <c r="AU227" s="8" t="n"/>
      <c r="AV227" s="9" t="n"/>
      <c r="AW227" s="8" t="n"/>
      <c r="AX227" s="9" t="n"/>
      <c r="AY227" s="9" t="n"/>
      <c r="AZ227" s="9" t="n"/>
      <c r="BA227" s="9" t="n"/>
      <c r="BB227" s="9" t="n"/>
      <c r="BC227" s="9" t="n"/>
      <c r="BD227" s="9" t="n"/>
      <c r="BE227" s="9" t="n"/>
      <c r="BF227" s="9" t="n"/>
      <c r="BG227" s="9" t="n"/>
      <c r="BH227" s="9" t="n"/>
      <c r="BI227" s="9" t="n"/>
      <c r="BJ227" s="9" t="n"/>
      <c r="BK227" s="9" t="n"/>
      <c r="BL227" s="9" t="n"/>
      <c r="BM227" s="9" t="n"/>
      <c r="BN227" s="9" t="n"/>
      <c r="BO227" s="8" t="n"/>
      <c r="BP227" s="9" t="n"/>
      <c r="BQ227" s="9" t="n"/>
      <c r="BR227" s="13">
        <f>IF(COUNTIF(AI227:BM227,"N")+COUNTBLANK(AI227:BM227)=0,"Y","N")</f>
        <v/>
      </c>
      <c r="BS227" s="13">
        <f>IF(AND(BR227="Y",OR(L227="Submitted",L227="Under Review")),"Y",IF(L227="Closed","Y","N"))</f>
        <v/>
      </c>
      <c r="BT227" s="10" t="n"/>
      <c r="BU227" s="13">
        <f>Rule_Flags!Q226</f>
        <v/>
      </c>
      <c r="BV227" s="13">
        <f>Rule_Flags!P226</f>
        <v/>
      </c>
      <c r="BW227" s="13">
        <f>IF(Rule_Flags!E226=1,"SITE_CONTROL",IF(Rule_Flags!F226=1,"APPROVALS",IF(Rule_Flags!G226=1,"REPORTS",IF(Rule_Flags!H226=1,"DEFICIENCY",IF(Rule_Flags!I226=1,"UNDERWRITING",IF(Rule_Flags!J226=1,"COMPLIANCE",""))))))</f>
        <v/>
      </c>
      <c r="BX227" s="13">
        <f>IF(BW227="SITE_CONTROL","Site control missing or invalid",IF(BW227="APPROVALS","Required approvals or resolutions incomplete",IF(BW227="REPORTS","Required third-party reports incomplete",IF(BW227="DEFICIENCY","Unresolved deficiency or material deficiency",IF(BW227="UNDERWRITING","Underwriting / feasibility not passed",IF(BW227="COMPLIANCE","Deconcentration, one-mile, LURA, or Chapter 12 issue","Ready under current engine rules"))))))</f>
        <v/>
      </c>
      <c r="BY227" s="13">
        <f>IF(BV227="Determination Notice","Streamlined + DN-ready assumptions satisfied",IF(BV227="Board","Board-required or board-ready assumptions satisfied",""))</f>
        <v/>
      </c>
      <c r="BZ227" s="13">
        <f>IF(AND(BP227="Y",BQ227&lt;&gt;"Y"),"Carryforward project retains queue priority",IF(BQ227="Y","New project enters behind carryforward projects",""))</f>
        <v/>
      </c>
      <c r="CA227" s="13">
        <f>_xludf.RANK.EQ(Rule_Flags!O226,Rule_Flags!$O$3:$O$402,0)</f>
        <v/>
      </c>
      <c r="CB227" s="13">
        <f>IF(OR(BU227="Determination Notice Issued",BU227="Board",BU227="Closed"),"Y","N")</f>
        <v/>
      </c>
      <c r="CC227" s="9" t="n"/>
      <c r="CD227" s="9" t="n"/>
      <c r="CE227" s="9" t="n"/>
      <c r="CF227" s="9" t="n"/>
      <c r="CG227" s="9" t="n"/>
      <c r="CH227" s="9" t="n"/>
    </row>
    <row r="228">
      <c r="A228" s="8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8" t="n"/>
      <c r="L228" s="9" t="n"/>
      <c r="M228" s="8" t="n"/>
      <c r="N228" s="8" t="n"/>
      <c r="O228" s="8" t="n"/>
      <c r="P228" s="8" t="n"/>
      <c r="Q228" s="8" t="n"/>
      <c r="R228" s="9" t="n"/>
      <c r="S228" s="9" t="n"/>
      <c r="T228" s="10" t="n"/>
      <c r="U228" s="10" t="n"/>
      <c r="V228" s="9" t="n"/>
      <c r="W228" s="9" t="n"/>
      <c r="X228" s="9" t="n"/>
      <c r="Y228" s="9" t="n"/>
      <c r="Z228" s="11" t="n"/>
      <c r="AA228" s="11" t="n"/>
      <c r="AB228" s="11" t="n"/>
      <c r="AC228" s="11" t="n"/>
      <c r="AD228" s="11" t="n"/>
      <c r="AE228" s="11" t="n"/>
      <c r="AF228" s="9" t="n"/>
      <c r="AG228" s="9" t="n"/>
      <c r="AH228" s="9" t="n"/>
      <c r="AI228" s="9" t="n"/>
      <c r="AJ228" s="8" t="n"/>
      <c r="AK228" s="9" t="n"/>
      <c r="AL228" s="9" t="n"/>
      <c r="AM228" s="9" t="n"/>
      <c r="AN228" s="9" t="n"/>
      <c r="AO228" s="9" t="n"/>
      <c r="AP228" s="9" t="n"/>
      <c r="AQ228" s="9" t="n"/>
      <c r="AR228" s="9" t="n"/>
      <c r="AS228" s="9" t="n"/>
      <c r="AT228" s="8" t="n"/>
      <c r="AU228" s="8" t="n"/>
      <c r="AV228" s="9" t="n"/>
      <c r="AW228" s="8" t="n"/>
      <c r="AX228" s="9" t="n"/>
      <c r="AY228" s="9" t="n"/>
      <c r="AZ228" s="9" t="n"/>
      <c r="BA228" s="9" t="n"/>
      <c r="BB228" s="9" t="n"/>
      <c r="BC228" s="9" t="n"/>
      <c r="BD228" s="9" t="n"/>
      <c r="BE228" s="9" t="n"/>
      <c r="BF228" s="9" t="n"/>
      <c r="BG228" s="9" t="n"/>
      <c r="BH228" s="9" t="n"/>
      <c r="BI228" s="9" t="n"/>
      <c r="BJ228" s="9" t="n"/>
      <c r="BK228" s="9" t="n"/>
      <c r="BL228" s="9" t="n"/>
      <c r="BM228" s="9" t="n"/>
      <c r="BN228" s="9" t="n"/>
      <c r="BO228" s="8" t="n"/>
      <c r="BP228" s="9" t="n"/>
      <c r="BQ228" s="9" t="n"/>
      <c r="BR228" s="13">
        <f>IF(COUNTIF(AI228:BM228,"N")+COUNTBLANK(AI228:BM228)=0,"Y","N")</f>
        <v/>
      </c>
      <c r="BS228" s="13">
        <f>IF(AND(BR228="Y",OR(L228="Submitted",L228="Under Review")),"Y",IF(L228="Closed","Y","N"))</f>
        <v/>
      </c>
      <c r="BT228" s="10" t="n"/>
      <c r="BU228" s="13">
        <f>Rule_Flags!Q227</f>
        <v/>
      </c>
      <c r="BV228" s="13">
        <f>Rule_Flags!P227</f>
        <v/>
      </c>
      <c r="BW228" s="13">
        <f>IF(Rule_Flags!E227=1,"SITE_CONTROL",IF(Rule_Flags!F227=1,"APPROVALS",IF(Rule_Flags!G227=1,"REPORTS",IF(Rule_Flags!H227=1,"DEFICIENCY",IF(Rule_Flags!I227=1,"UNDERWRITING",IF(Rule_Flags!J227=1,"COMPLIANCE",""))))))</f>
        <v/>
      </c>
      <c r="BX228" s="13">
        <f>IF(BW228="SITE_CONTROL","Site control missing or invalid",IF(BW228="APPROVALS","Required approvals or resolutions incomplete",IF(BW228="REPORTS","Required third-party reports incomplete",IF(BW228="DEFICIENCY","Unresolved deficiency or material deficiency",IF(BW228="UNDERWRITING","Underwriting / feasibility not passed",IF(BW228="COMPLIANCE","Deconcentration, one-mile, LURA, or Chapter 12 issue","Ready under current engine rules"))))))</f>
        <v/>
      </c>
      <c r="BY228" s="13">
        <f>IF(BV228="Determination Notice","Streamlined + DN-ready assumptions satisfied",IF(BV228="Board","Board-required or board-ready assumptions satisfied",""))</f>
        <v/>
      </c>
      <c r="BZ228" s="13">
        <f>IF(AND(BP228="Y",BQ228&lt;&gt;"Y"),"Carryforward project retains queue priority",IF(BQ228="Y","New project enters behind carryforward projects",""))</f>
        <v/>
      </c>
      <c r="CA228" s="13">
        <f>_xludf.RANK.EQ(Rule_Flags!O227,Rule_Flags!$O$3:$O$402,0)</f>
        <v/>
      </c>
      <c r="CB228" s="13">
        <f>IF(OR(BU228="Determination Notice Issued",BU228="Board",BU228="Closed"),"Y","N")</f>
        <v/>
      </c>
      <c r="CC228" s="9" t="n"/>
      <c r="CD228" s="9" t="n"/>
      <c r="CE228" s="9" t="n"/>
      <c r="CF228" s="9" t="n"/>
      <c r="CG228" s="9" t="n"/>
      <c r="CH228" s="9" t="n"/>
    </row>
    <row r="229">
      <c r="A229" s="8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8" t="n"/>
      <c r="L229" s="9" t="n"/>
      <c r="M229" s="8" t="n"/>
      <c r="N229" s="8" t="n"/>
      <c r="O229" s="8" t="n"/>
      <c r="P229" s="8" t="n"/>
      <c r="Q229" s="8" t="n"/>
      <c r="R229" s="9" t="n"/>
      <c r="S229" s="9" t="n"/>
      <c r="T229" s="10" t="n"/>
      <c r="U229" s="10" t="n"/>
      <c r="V229" s="9" t="n"/>
      <c r="W229" s="9" t="n"/>
      <c r="X229" s="9" t="n"/>
      <c r="Y229" s="9" t="n"/>
      <c r="Z229" s="11" t="n"/>
      <c r="AA229" s="11" t="n"/>
      <c r="AB229" s="11" t="n"/>
      <c r="AC229" s="11" t="n"/>
      <c r="AD229" s="11" t="n"/>
      <c r="AE229" s="11" t="n"/>
      <c r="AF229" s="9" t="n"/>
      <c r="AG229" s="9" t="n"/>
      <c r="AH229" s="9" t="n"/>
      <c r="AI229" s="9" t="n"/>
      <c r="AJ229" s="8" t="n"/>
      <c r="AK229" s="9" t="n"/>
      <c r="AL229" s="9" t="n"/>
      <c r="AM229" s="9" t="n"/>
      <c r="AN229" s="9" t="n"/>
      <c r="AO229" s="9" t="n"/>
      <c r="AP229" s="9" t="n"/>
      <c r="AQ229" s="9" t="n"/>
      <c r="AR229" s="9" t="n"/>
      <c r="AS229" s="9" t="n"/>
      <c r="AT229" s="8" t="n"/>
      <c r="AU229" s="8" t="n"/>
      <c r="AV229" s="9" t="n"/>
      <c r="AW229" s="8" t="n"/>
      <c r="AX229" s="9" t="n"/>
      <c r="AY229" s="9" t="n"/>
      <c r="AZ229" s="9" t="n"/>
      <c r="BA229" s="9" t="n"/>
      <c r="BB229" s="9" t="n"/>
      <c r="BC229" s="9" t="n"/>
      <c r="BD229" s="9" t="n"/>
      <c r="BE229" s="9" t="n"/>
      <c r="BF229" s="9" t="n"/>
      <c r="BG229" s="9" t="n"/>
      <c r="BH229" s="9" t="n"/>
      <c r="BI229" s="9" t="n"/>
      <c r="BJ229" s="9" t="n"/>
      <c r="BK229" s="9" t="n"/>
      <c r="BL229" s="9" t="n"/>
      <c r="BM229" s="9" t="n"/>
      <c r="BN229" s="9" t="n"/>
      <c r="BO229" s="8" t="n"/>
      <c r="BP229" s="9" t="n"/>
      <c r="BQ229" s="9" t="n"/>
      <c r="BR229" s="13">
        <f>IF(COUNTIF(AI229:BM229,"N")+COUNTBLANK(AI229:BM229)=0,"Y","N")</f>
        <v/>
      </c>
      <c r="BS229" s="13">
        <f>IF(AND(BR229="Y",OR(L229="Submitted",L229="Under Review")),"Y",IF(L229="Closed","Y","N"))</f>
        <v/>
      </c>
      <c r="BT229" s="10" t="n"/>
      <c r="BU229" s="13">
        <f>Rule_Flags!Q228</f>
        <v/>
      </c>
      <c r="BV229" s="13">
        <f>Rule_Flags!P228</f>
        <v/>
      </c>
      <c r="BW229" s="13">
        <f>IF(Rule_Flags!E228=1,"SITE_CONTROL",IF(Rule_Flags!F228=1,"APPROVALS",IF(Rule_Flags!G228=1,"REPORTS",IF(Rule_Flags!H228=1,"DEFICIENCY",IF(Rule_Flags!I228=1,"UNDERWRITING",IF(Rule_Flags!J228=1,"COMPLIANCE",""))))))</f>
        <v/>
      </c>
      <c r="BX229" s="13">
        <f>IF(BW229="SITE_CONTROL","Site control missing or invalid",IF(BW229="APPROVALS","Required approvals or resolutions incomplete",IF(BW229="REPORTS","Required third-party reports incomplete",IF(BW229="DEFICIENCY","Unresolved deficiency or material deficiency",IF(BW229="UNDERWRITING","Underwriting / feasibility not passed",IF(BW229="COMPLIANCE","Deconcentration, one-mile, LURA, or Chapter 12 issue","Ready under current engine rules"))))))</f>
        <v/>
      </c>
      <c r="BY229" s="13">
        <f>IF(BV229="Determination Notice","Streamlined + DN-ready assumptions satisfied",IF(BV229="Board","Board-required or board-ready assumptions satisfied",""))</f>
        <v/>
      </c>
      <c r="BZ229" s="13">
        <f>IF(AND(BP229="Y",BQ229&lt;&gt;"Y"),"Carryforward project retains queue priority",IF(BQ229="Y","New project enters behind carryforward projects",""))</f>
        <v/>
      </c>
      <c r="CA229" s="13">
        <f>_xludf.RANK.EQ(Rule_Flags!O228,Rule_Flags!$O$3:$O$402,0)</f>
        <v/>
      </c>
      <c r="CB229" s="13">
        <f>IF(OR(BU229="Determination Notice Issued",BU229="Board",BU229="Closed"),"Y","N")</f>
        <v/>
      </c>
      <c r="CC229" s="9" t="n"/>
      <c r="CD229" s="9" t="n"/>
      <c r="CE229" s="9" t="n"/>
      <c r="CF229" s="9" t="n"/>
      <c r="CG229" s="9" t="n"/>
      <c r="CH229" s="9" t="n"/>
    </row>
    <row r="230">
      <c r="A230" s="8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8" t="n"/>
      <c r="L230" s="9" t="n"/>
      <c r="M230" s="8" t="n"/>
      <c r="N230" s="8" t="n"/>
      <c r="O230" s="8" t="n"/>
      <c r="P230" s="8" t="n"/>
      <c r="Q230" s="8" t="n"/>
      <c r="R230" s="9" t="n"/>
      <c r="S230" s="9" t="n"/>
      <c r="T230" s="10" t="n"/>
      <c r="U230" s="10" t="n"/>
      <c r="V230" s="9" t="n"/>
      <c r="W230" s="9" t="n"/>
      <c r="X230" s="9" t="n"/>
      <c r="Y230" s="9" t="n"/>
      <c r="Z230" s="11" t="n"/>
      <c r="AA230" s="11" t="n"/>
      <c r="AB230" s="11" t="n"/>
      <c r="AC230" s="11" t="n"/>
      <c r="AD230" s="11" t="n"/>
      <c r="AE230" s="11" t="n"/>
      <c r="AF230" s="9" t="n"/>
      <c r="AG230" s="9" t="n"/>
      <c r="AH230" s="9" t="n"/>
      <c r="AI230" s="9" t="n"/>
      <c r="AJ230" s="8" t="n"/>
      <c r="AK230" s="9" t="n"/>
      <c r="AL230" s="9" t="n"/>
      <c r="AM230" s="9" t="n"/>
      <c r="AN230" s="9" t="n"/>
      <c r="AO230" s="9" t="n"/>
      <c r="AP230" s="9" t="n"/>
      <c r="AQ230" s="9" t="n"/>
      <c r="AR230" s="9" t="n"/>
      <c r="AS230" s="9" t="n"/>
      <c r="AT230" s="8" t="n"/>
      <c r="AU230" s="8" t="n"/>
      <c r="AV230" s="9" t="n"/>
      <c r="AW230" s="8" t="n"/>
      <c r="AX230" s="9" t="n"/>
      <c r="AY230" s="9" t="n"/>
      <c r="AZ230" s="9" t="n"/>
      <c r="BA230" s="9" t="n"/>
      <c r="BB230" s="9" t="n"/>
      <c r="BC230" s="9" t="n"/>
      <c r="BD230" s="9" t="n"/>
      <c r="BE230" s="9" t="n"/>
      <c r="BF230" s="9" t="n"/>
      <c r="BG230" s="9" t="n"/>
      <c r="BH230" s="9" t="n"/>
      <c r="BI230" s="9" t="n"/>
      <c r="BJ230" s="9" t="n"/>
      <c r="BK230" s="9" t="n"/>
      <c r="BL230" s="9" t="n"/>
      <c r="BM230" s="9" t="n"/>
      <c r="BN230" s="9" t="n"/>
      <c r="BO230" s="8" t="n"/>
      <c r="BP230" s="9" t="n"/>
      <c r="BQ230" s="9" t="n"/>
      <c r="BR230" s="13">
        <f>IF(COUNTIF(AI230:BM230,"N")+COUNTBLANK(AI230:BM230)=0,"Y","N")</f>
        <v/>
      </c>
      <c r="BS230" s="13">
        <f>IF(AND(BR230="Y",OR(L230="Submitted",L230="Under Review")),"Y",IF(L230="Closed","Y","N"))</f>
        <v/>
      </c>
      <c r="BT230" s="10" t="n"/>
      <c r="BU230" s="13">
        <f>Rule_Flags!Q229</f>
        <v/>
      </c>
      <c r="BV230" s="13">
        <f>Rule_Flags!P229</f>
        <v/>
      </c>
      <c r="BW230" s="13">
        <f>IF(Rule_Flags!E229=1,"SITE_CONTROL",IF(Rule_Flags!F229=1,"APPROVALS",IF(Rule_Flags!G229=1,"REPORTS",IF(Rule_Flags!H229=1,"DEFICIENCY",IF(Rule_Flags!I229=1,"UNDERWRITING",IF(Rule_Flags!J229=1,"COMPLIANCE",""))))))</f>
        <v/>
      </c>
      <c r="BX230" s="13">
        <f>IF(BW230="SITE_CONTROL","Site control missing or invalid",IF(BW230="APPROVALS","Required approvals or resolutions incomplete",IF(BW230="REPORTS","Required third-party reports incomplete",IF(BW230="DEFICIENCY","Unresolved deficiency or material deficiency",IF(BW230="UNDERWRITING","Underwriting / feasibility not passed",IF(BW230="COMPLIANCE","Deconcentration, one-mile, LURA, or Chapter 12 issue","Ready under current engine rules"))))))</f>
        <v/>
      </c>
      <c r="BY230" s="13">
        <f>IF(BV230="Determination Notice","Streamlined + DN-ready assumptions satisfied",IF(BV230="Board","Board-required or board-ready assumptions satisfied",""))</f>
        <v/>
      </c>
      <c r="BZ230" s="13">
        <f>IF(AND(BP230="Y",BQ230&lt;&gt;"Y"),"Carryforward project retains queue priority",IF(BQ230="Y","New project enters behind carryforward projects",""))</f>
        <v/>
      </c>
      <c r="CA230" s="13">
        <f>_xludf.RANK.EQ(Rule_Flags!O229,Rule_Flags!$O$3:$O$402,0)</f>
        <v/>
      </c>
      <c r="CB230" s="13">
        <f>IF(OR(BU230="Determination Notice Issued",BU230="Board",BU230="Closed"),"Y","N")</f>
        <v/>
      </c>
      <c r="CC230" s="9" t="n"/>
      <c r="CD230" s="9" t="n"/>
      <c r="CE230" s="9" t="n"/>
      <c r="CF230" s="9" t="n"/>
      <c r="CG230" s="9" t="n"/>
      <c r="CH230" s="9" t="n"/>
    </row>
    <row r="231">
      <c r="A231" s="8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8" t="n"/>
      <c r="L231" s="9" t="n"/>
      <c r="M231" s="8" t="n"/>
      <c r="N231" s="8" t="n"/>
      <c r="O231" s="8" t="n"/>
      <c r="P231" s="8" t="n"/>
      <c r="Q231" s="8" t="n"/>
      <c r="R231" s="9" t="n"/>
      <c r="S231" s="9" t="n"/>
      <c r="T231" s="10" t="n"/>
      <c r="U231" s="10" t="n"/>
      <c r="V231" s="9" t="n"/>
      <c r="W231" s="9" t="n"/>
      <c r="X231" s="9" t="n"/>
      <c r="Y231" s="9" t="n"/>
      <c r="Z231" s="11" t="n"/>
      <c r="AA231" s="11" t="n"/>
      <c r="AB231" s="11" t="n"/>
      <c r="AC231" s="11" t="n"/>
      <c r="AD231" s="11" t="n"/>
      <c r="AE231" s="11" t="n"/>
      <c r="AF231" s="9" t="n"/>
      <c r="AG231" s="9" t="n"/>
      <c r="AH231" s="9" t="n"/>
      <c r="AI231" s="9" t="n"/>
      <c r="AJ231" s="8" t="n"/>
      <c r="AK231" s="9" t="n"/>
      <c r="AL231" s="9" t="n"/>
      <c r="AM231" s="9" t="n"/>
      <c r="AN231" s="9" t="n"/>
      <c r="AO231" s="9" t="n"/>
      <c r="AP231" s="9" t="n"/>
      <c r="AQ231" s="9" t="n"/>
      <c r="AR231" s="9" t="n"/>
      <c r="AS231" s="9" t="n"/>
      <c r="AT231" s="8" t="n"/>
      <c r="AU231" s="8" t="n"/>
      <c r="AV231" s="9" t="n"/>
      <c r="AW231" s="8" t="n"/>
      <c r="AX231" s="9" t="n"/>
      <c r="AY231" s="9" t="n"/>
      <c r="AZ231" s="9" t="n"/>
      <c r="BA231" s="9" t="n"/>
      <c r="BB231" s="9" t="n"/>
      <c r="BC231" s="9" t="n"/>
      <c r="BD231" s="9" t="n"/>
      <c r="BE231" s="9" t="n"/>
      <c r="BF231" s="9" t="n"/>
      <c r="BG231" s="9" t="n"/>
      <c r="BH231" s="9" t="n"/>
      <c r="BI231" s="9" t="n"/>
      <c r="BJ231" s="9" t="n"/>
      <c r="BK231" s="9" t="n"/>
      <c r="BL231" s="9" t="n"/>
      <c r="BM231" s="9" t="n"/>
      <c r="BN231" s="9" t="n"/>
      <c r="BO231" s="8" t="n"/>
      <c r="BP231" s="9" t="n"/>
      <c r="BQ231" s="9" t="n"/>
      <c r="BR231" s="13">
        <f>IF(COUNTIF(AI231:BM231,"N")+COUNTBLANK(AI231:BM231)=0,"Y","N")</f>
        <v/>
      </c>
      <c r="BS231" s="13">
        <f>IF(AND(BR231="Y",OR(L231="Submitted",L231="Under Review")),"Y",IF(L231="Closed","Y","N"))</f>
        <v/>
      </c>
      <c r="BT231" s="10" t="n"/>
      <c r="BU231" s="13">
        <f>Rule_Flags!Q230</f>
        <v/>
      </c>
      <c r="BV231" s="13">
        <f>Rule_Flags!P230</f>
        <v/>
      </c>
      <c r="BW231" s="13">
        <f>IF(Rule_Flags!E230=1,"SITE_CONTROL",IF(Rule_Flags!F230=1,"APPROVALS",IF(Rule_Flags!G230=1,"REPORTS",IF(Rule_Flags!H230=1,"DEFICIENCY",IF(Rule_Flags!I230=1,"UNDERWRITING",IF(Rule_Flags!J230=1,"COMPLIANCE",""))))))</f>
        <v/>
      </c>
      <c r="BX231" s="13">
        <f>IF(BW231="SITE_CONTROL","Site control missing or invalid",IF(BW231="APPROVALS","Required approvals or resolutions incomplete",IF(BW231="REPORTS","Required third-party reports incomplete",IF(BW231="DEFICIENCY","Unresolved deficiency or material deficiency",IF(BW231="UNDERWRITING","Underwriting / feasibility not passed",IF(BW231="COMPLIANCE","Deconcentration, one-mile, LURA, or Chapter 12 issue","Ready under current engine rules"))))))</f>
        <v/>
      </c>
      <c r="BY231" s="13">
        <f>IF(BV231="Determination Notice","Streamlined + DN-ready assumptions satisfied",IF(BV231="Board","Board-required or board-ready assumptions satisfied",""))</f>
        <v/>
      </c>
      <c r="BZ231" s="13">
        <f>IF(AND(BP231="Y",BQ231&lt;&gt;"Y"),"Carryforward project retains queue priority",IF(BQ231="Y","New project enters behind carryforward projects",""))</f>
        <v/>
      </c>
      <c r="CA231" s="13">
        <f>_xludf.RANK.EQ(Rule_Flags!O230,Rule_Flags!$O$3:$O$402,0)</f>
        <v/>
      </c>
      <c r="CB231" s="13">
        <f>IF(OR(BU231="Determination Notice Issued",BU231="Board",BU231="Closed"),"Y","N")</f>
        <v/>
      </c>
      <c r="CC231" s="9" t="n"/>
      <c r="CD231" s="9" t="n"/>
      <c r="CE231" s="9" t="n"/>
      <c r="CF231" s="9" t="n"/>
      <c r="CG231" s="9" t="n"/>
      <c r="CH231" s="9" t="n"/>
    </row>
    <row r="232">
      <c r="A232" s="8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8" t="n"/>
      <c r="L232" s="9" t="n"/>
      <c r="M232" s="8" t="n"/>
      <c r="N232" s="8" t="n"/>
      <c r="O232" s="8" t="n"/>
      <c r="P232" s="8" t="n"/>
      <c r="Q232" s="8" t="n"/>
      <c r="R232" s="9" t="n"/>
      <c r="S232" s="9" t="n"/>
      <c r="T232" s="10" t="n"/>
      <c r="U232" s="10" t="n"/>
      <c r="V232" s="9" t="n"/>
      <c r="W232" s="9" t="n"/>
      <c r="X232" s="9" t="n"/>
      <c r="Y232" s="9" t="n"/>
      <c r="Z232" s="11" t="n"/>
      <c r="AA232" s="11" t="n"/>
      <c r="AB232" s="11" t="n"/>
      <c r="AC232" s="11" t="n"/>
      <c r="AD232" s="11" t="n"/>
      <c r="AE232" s="11" t="n"/>
      <c r="AF232" s="9" t="n"/>
      <c r="AG232" s="9" t="n"/>
      <c r="AH232" s="9" t="n"/>
      <c r="AI232" s="9" t="n"/>
      <c r="AJ232" s="8" t="n"/>
      <c r="AK232" s="9" t="n"/>
      <c r="AL232" s="9" t="n"/>
      <c r="AM232" s="9" t="n"/>
      <c r="AN232" s="9" t="n"/>
      <c r="AO232" s="9" t="n"/>
      <c r="AP232" s="9" t="n"/>
      <c r="AQ232" s="9" t="n"/>
      <c r="AR232" s="9" t="n"/>
      <c r="AS232" s="9" t="n"/>
      <c r="AT232" s="8" t="n"/>
      <c r="AU232" s="8" t="n"/>
      <c r="AV232" s="9" t="n"/>
      <c r="AW232" s="8" t="n"/>
      <c r="AX232" s="9" t="n"/>
      <c r="AY232" s="9" t="n"/>
      <c r="AZ232" s="9" t="n"/>
      <c r="BA232" s="9" t="n"/>
      <c r="BB232" s="9" t="n"/>
      <c r="BC232" s="9" t="n"/>
      <c r="BD232" s="9" t="n"/>
      <c r="BE232" s="9" t="n"/>
      <c r="BF232" s="9" t="n"/>
      <c r="BG232" s="9" t="n"/>
      <c r="BH232" s="9" t="n"/>
      <c r="BI232" s="9" t="n"/>
      <c r="BJ232" s="9" t="n"/>
      <c r="BK232" s="9" t="n"/>
      <c r="BL232" s="9" t="n"/>
      <c r="BM232" s="9" t="n"/>
      <c r="BN232" s="9" t="n"/>
      <c r="BO232" s="8" t="n"/>
      <c r="BP232" s="9" t="n"/>
      <c r="BQ232" s="9" t="n"/>
      <c r="BR232" s="13">
        <f>IF(COUNTIF(AI232:BM232,"N")+COUNTBLANK(AI232:BM232)=0,"Y","N")</f>
        <v/>
      </c>
      <c r="BS232" s="13">
        <f>IF(AND(BR232="Y",OR(L232="Submitted",L232="Under Review")),"Y",IF(L232="Closed","Y","N"))</f>
        <v/>
      </c>
      <c r="BT232" s="10" t="n"/>
      <c r="BU232" s="13">
        <f>Rule_Flags!Q231</f>
        <v/>
      </c>
      <c r="BV232" s="13">
        <f>Rule_Flags!P231</f>
        <v/>
      </c>
      <c r="BW232" s="13">
        <f>IF(Rule_Flags!E231=1,"SITE_CONTROL",IF(Rule_Flags!F231=1,"APPROVALS",IF(Rule_Flags!G231=1,"REPORTS",IF(Rule_Flags!H231=1,"DEFICIENCY",IF(Rule_Flags!I231=1,"UNDERWRITING",IF(Rule_Flags!J231=1,"COMPLIANCE",""))))))</f>
        <v/>
      </c>
      <c r="BX232" s="13">
        <f>IF(BW232="SITE_CONTROL","Site control missing or invalid",IF(BW232="APPROVALS","Required approvals or resolutions incomplete",IF(BW232="REPORTS","Required third-party reports incomplete",IF(BW232="DEFICIENCY","Unresolved deficiency or material deficiency",IF(BW232="UNDERWRITING","Underwriting / feasibility not passed",IF(BW232="COMPLIANCE","Deconcentration, one-mile, LURA, or Chapter 12 issue","Ready under current engine rules"))))))</f>
        <v/>
      </c>
      <c r="BY232" s="13">
        <f>IF(BV232="Determination Notice","Streamlined + DN-ready assumptions satisfied",IF(BV232="Board","Board-required or board-ready assumptions satisfied",""))</f>
        <v/>
      </c>
      <c r="BZ232" s="13">
        <f>IF(AND(BP232="Y",BQ232&lt;&gt;"Y"),"Carryforward project retains queue priority",IF(BQ232="Y","New project enters behind carryforward projects",""))</f>
        <v/>
      </c>
      <c r="CA232" s="13">
        <f>_xludf.RANK.EQ(Rule_Flags!O231,Rule_Flags!$O$3:$O$402,0)</f>
        <v/>
      </c>
      <c r="CB232" s="13">
        <f>IF(OR(BU232="Determination Notice Issued",BU232="Board",BU232="Closed"),"Y","N")</f>
        <v/>
      </c>
      <c r="CC232" s="9" t="n"/>
      <c r="CD232" s="9" t="n"/>
      <c r="CE232" s="9" t="n"/>
      <c r="CF232" s="9" t="n"/>
      <c r="CG232" s="9" t="n"/>
      <c r="CH232" s="9" t="n"/>
    </row>
    <row r="233">
      <c r="A233" s="8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8" t="n"/>
      <c r="L233" s="9" t="n"/>
      <c r="M233" s="8" t="n"/>
      <c r="N233" s="8" t="n"/>
      <c r="O233" s="8" t="n"/>
      <c r="P233" s="8" t="n"/>
      <c r="Q233" s="8" t="n"/>
      <c r="R233" s="9" t="n"/>
      <c r="S233" s="9" t="n"/>
      <c r="T233" s="10" t="n"/>
      <c r="U233" s="10" t="n"/>
      <c r="V233" s="9" t="n"/>
      <c r="W233" s="9" t="n"/>
      <c r="X233" s="9" t="n"/>
      <c r="Y233" s="9" t="n"/>
      <c r="Z233" s="11" t="n"/>
      <c r="AA233" s="11" t="n"/>
      <c r="AB233" s="11" t="n"/>
      <c r="AC233" s="11" t="n"/>
      <c r="AD233" s="11" t="n"/>
      <c r="AE233" s="11" t="n"/>
      <c r="AF233" s="9" t="n"/>
      <c r="AG233" s="9" t="n"/>
      <c r="AH233" s="9" t="n"/>
      <c r="AI233" s="9" t="n"/>
      <c r="AJ233" s="8" t="n"/>
      <c r="AK233" s="9" t="n"/>
      <c r="AL233" s="9" t="n"/>
      <c r="AM233" s="9" t="n"/>
      <c r="AN233" s="9" t="n"/>
      <c r="AO233" s="9" t="n"/>
      <c r="AP233" s="9" t="n"/>
      <c r="AQ233" s="9" t="n"/>
      <c r="AR233" s="9" t="n"/>
      <c r="AS233" s="9" t="n"/>
      <c r="AT233" s="8" t="n"/>
      <c r="AU233" s="8" t="n"/>
      <c r="AV233" s="9" t="n"/>
      <c r="AW233" s="8" t="n"/>
      <c r="AX233" s="9" t="n"/>
      <c r="AY233" s="9" t="n"/>
      <c r="AZ233" s="9" t="n"/>
      <c r="BA233" s="9" t="n"/>
      <c r="BB233" s="9" t="n"/>
      <c r="BC233" s="9" t="n"/>
      <c r="BD233" s="9" t="n"/>
      <c r="BE233" s="9" t="n"/>
      <c r="BF233" s="9" t="n"/>
      <c r="BG233" s="9" t="n"/>
      <c r="BH233" s="9" t="n"/>
      <c r="BI233" s="9" t="n"/>
      <c r="BJ233" s="9" t="n"/>
      <c r="BK233" s="9" t="n"/>
      <c r="BL233" s="9" t="n"/>
      <c r="BM233" s="9" t="n"/>
      <c r="BN233" s="9" t="n"/>
      <c r="BO233" s="8" t="n"/>
      <c r="BP233" s="9" t="n"/>
      <c r="BQ233" s="9" t="n"/>
      <c r="BR233" s="13">
        <f>IF(COUNTIF(AI233:BM233,"N")+COUNTBLANK(AI233:BM233)=0,"Y","N")</f>
        <v/>
      </c>
      <c r="BS233" s="13">
        <f>IF(AND(BR233="Y",OR(L233="Submitted",L233="Under Review")),"Y",IF(L233="Closed","Y","N"))</f>
        <v/>
      </c>
      <c r="BT233" s="10" t="n"/>
      <c r="BU233" s="13">
        <f>Rule_Flags!Q232</f>
        <v/>
      </c>
      <c r="BV233" s="13">
        <f>Rule_Flags!P232</f>
        <v/>
      </c>
      <c r="BW233" s="13">
        <f>IF(Rule_Flags!E232=1,"SITE_CONTROL",IF(Rule_Flags!F232=1,"APPROVALS",IF(Rule_Flags!G232=1,"REPORTS",IF(Rule_Flags!H232=1,"DEFICIENCY",IF(Rule_Flags!I232=1,"UNDERWRITING",IF(Rule_Flags!J232=1,"COMPLIANCE",""))))))</f>
        <v/>
      </c>
      <c r="BX233" s="13">
        <f>IF(BW233="SITE_CONTROL","Site control missing or invalid",IF(BW233="APPROVALS","Required approvals or resolutions incomplete",IF(BW233="REPORTS","Required third-party reports incomplete",IF(BW233="DEFICIENCY","Unresolved deficiency or material deficiency",IF(BW233="UNDERWRITING","Underwriting / feasibility not passed",IF(BW233="COMPLIANCE","Deconcentration, one-mile, LURA, or Chapter 12 issue","Ready under current engine rules"))))))</f>
        <v/>
      </c>
      <c r="BY233" s="13">
        <f>IF(BV233="Determination Notice","Streamlined + DN-ready assumptions satisfied",IF(BV233="Board","Board-required or board-ready assumptions satisfied",""))</f>
        <v/>
      </c>
      <c r="BZ233" s="13">
        <f>IF(AND(BP233="Y",BQ233&lt;&gt;"Y"),"Carryforward project retains queue priority",IF(BQ233="Y","New project enters behind carryforward projects",""))</f>
        <v/>
      </c>
      <c r="CA233" s="13">
        <f>_xludf.RANK.EQ(Rule_Flags!O232,Rule_Flags!$O$3:$O$402,0)</f>
        <v/>
      </c>
      <c r="CB233" s="13">
        <f>IF(OR(BU233="Determination Notice Issued",BU233="Board",BU233="Closed"),"Y","N")</f>
        <v/>
      </c>
      <c r="CC233" s="9" t="n"/>
      <c r="CD233" s="9" t="n"/>
      <c r="CE233" s="9" t="n"/>
      <c r="CF233" s="9" t="n"/>
      <c r="CG233" s="9" t="n"/>
      <c r="CH233" s="9" t="n"/>
    </row>
    <row r="234">
      <c r="A234" s="8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8" t="n"/>
      <c r="L234" s="9" t="n"/>
      <c r="M234" s="8" t="n"/>
      <c r="N234" s="8" t="n"/>
      <c r="O234" s="8" t="n"/>
      <c r="P234" s="8" t="n"/>
      <c r="Q234" s="8" t="n"/>
      <c r="R234" s="9" t="n"/>
      <c r="S234" s="9" t="n"/>
      <c r="T234" s="10" t="n"/>
      <c r="U234" s="10" t="n"/>
      <c r="V234" s="9" t="n"/>
      <c r="W234" s="9" t="n"/>
      <c r="X234" s="9" t="n"/>
      <c r="Y234" s="9" t="n"/>
      <c r="Z234" s="11" t="n"/>
      <c r="AA234" s="11" t="n"/>
      <c r="AB234" s="11" t="n"/>
      <c r="AC234" s="11" t="n"/>
      <c r="AD234" s="11" t="n"/>
      <c r="AE234" s="11" t="n"/>
      <c r="AF234" s="9" t="n"/>
      <c r="AG234" s="9" t="n"/>
      <c r="AH234" s="9" t="n"/>
      <c r="AI234" s="9" t="n"/>
      <c r="AJ234" s="8" t="n"/>
      <c r="AK234" s="9" t="n"/>
      <c r="AL234" s="9" t="n"/>
      <c r="AM234" s="9" t="n"/>
      <c r="AN234" s="9" t="n"/>
      <c r="AO234" s="9" t="n"/>
      <c r="AP234" s="9" t="n"/>
      <c r="AQ234" s="9" t="n"/>
      <c r="AR234" s="9" t="n"/>
      <c r="AS234" s="9" t="n"/>
      <c r="AT234" s="8" t="n"/>
      <c r="AU234" s="8" t="n"/>
      <c r="AV234" s="9" t="n"/>
      <c r="AW234" s="8" t="n"/>
      <c r="AX234" s="9" t="n"/>
      <c r="AY234" s="9" t="n"/>
      <c r="AZ234" s="9" t="n"/>
      <c r="BA234" s="9" t="n"/>
      <c r="BB234" s="9" t="n"/>
      <c r="BC234" s="9" t="n"/>
      <c r="BD234" s="9" t="n"/>
      <c r="BE234" s="9" t="n"/>
      <c r="BF234" s="9" t="n"/>
      <c r="BG234" s="9" t="n"/>
      <c r="BH234" s="9" t="n"/>
      <c r="BI234" s="9" t="n"/>
      <c r="BJ234" s="9" t="n"/>
      <c r="BK234" s="9" t="n"/>
      <c r="BL234" s="9" t="n"/>
      <c r="BM234" s="9" t="n"/>
      <c r="BN234" s="9" t="n"/>
      <c r="BO234" s="8" t="n"/>
      <c r="BP234" s="9" t="n"/>
      <c r="BQ234" s="9" t="n"/>
      <c r="BR234" s="13">
        <f>IF(COUNTIF(AI234:BM234,"N")+COUNTBLANK(AI234:BM234)=0,"Y","N")</f>
        <v/>
      </c>
      <c r="BS234" s="13">
        <f>IF(AND(BR234="Y",OR(L234="Submitted",L234="Under Review")),"Y",IF(L234="Closed","Y","N"))</f>
        <v/>
      </c>
      <c r="BT234" s="10" t="n"/>
      <c r="BU234" s="13">
        <f>Rule_Flags!Q233</f>
        <v/>
      </c>
      <c r="BV234" s="13">
        <f>Rule_Flags!P233</f>
        <v/>
      </c>
      <c r="BW234" s="13">
        <f>IF(Rule_Flags!E233=1,"SITE_CONTROL",IF(Rule_Flags!F233=1,"APPROVALS",IF(Rule_Flags!G233=1,"REPORTS",IF(Rule_Flags!H233=1,"DEFICIENCY",IF(Rule_Flags!I233=1,"UNDERWRITING",IF(Rule_Flags!J233=1,"COMPLIANCE",""))))))</f>
        <v/>
      </c>
      <c r="BX234" s="13">
        <f>IF(BW234="SITE_CONTROL","Site control missing or invalid",IF(BW234="APPROVALS","Required approvals or resolutions incomplete",IF(BW234="REPORTS","Required third-party reports incomplete",IF(BW234="DEFICIENCY","Unresolved deficiency or material deficiency",IF(BW234="UNDERWRITING","Underwriting / feasibility not passed",IF(BW234="COMPLIANCE","Deconcentration, one-mile, LURA, or Chapter 12 issue","Ready under current engine rules"))))))</f>
        <v/>
      </c>
      <c r="BY234" s="13">
        <f>IF(BV234="Determination Notice","Streamlined + DN-ready assumptions satisfied",IF(BV234="Board","Board-required or board-ready assumptions satisfied",""))</f>
        <v/>
      </c>
      <c r="BZ234" s="13">
        <f>IF(AND(BP234="Y",BQ234&lt;&gt;"Y"),"Carryforward project retains queue priority",IF(BQ234="Y","New project enters behind carryforward projects",""))</f>
        <v/>
      </c>
      <c r="CA234" s="13">
        <f>_xludf.RANK.EQ(Rule_Flags!O233,Rule_Flags!$O$3:$O$402,0)</f>
        <v/>
      </c>
      <c r="CB234" s="13">
        <f>IF(OR(BU234="Determination Notice Issued",BU234="Board",BU234="Closed"),"Y","N")</f>
        <v/>
      </c>
      <c r="CC234" s="9" t="n"/>
      <c r="CD234" s="9" t="n"/>
      <c r="CE234" s="9" t="n"/>
      <c r="CF234" s="9" t="n"/>
      <c r="CG234" s="9" t="n"/>
      <c r="CH234" s="9" t="n"/>
    </row>
    <row r="235">
      <c r="A235" s="8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8" t="n"/>
      <c r="L235" s="9" t="n"/>
      <c r="M235" s="8" t="n"/>
      <c r="N235" s="8" t="n"/>
      <c r="O235" s="8" t="n"/>
      <c r="P235" s="8" t="n"/>
      <c r="Q235" s="8" t="n"/>
      <c r="R235" s="9" t="n"/>
      <c r="S235" s="9" t="n"/>
      <c r="T235" s="10" t="n"/>
      <c r="U235" s="10" t="n"/>
      <c r="V235" s="9" t="n"/>
      <c r="W235" s="9" t="n"/>
      <c r="X235" s="9" t="n"/>
      <c r="Y235" s="9" t="n"/>
      <c r="Z235" s="11" t="n"/>
      <c r="AA235" s="11" t="n"/>
      <c r="AB235" s="11" t="n"/>
      <c r="AC235" s="11" t="n"/>
      <c r="AD235" s="11" t="n"/>
      <c r="AE235" s="11" t="n"/>
      <c r="AF235" s="9" t="n"/>
      <c r="AG235" s="9" t="n"/>
      <c r="AH235" s="9" t="n"/>
      <c r="AI235" s="9" t="n"/>
      <c r="AJ235" s="8" t="n"/>
      <c r="AK235" s="9" t="n"/>
      <c r="AL235" s="9" t="n"/>
      <c r="AM235" s="9" t="n"/>
      <c r="AN235" s="9" t="n"/>
      <c r="AO235" s="9" t="n"/>
      <c r="AP235" s="9" t="n"/>
      <c r="AQ235" s="9" t="n"/>
      <c r="AR235" s="9" t="n"/>
      <c r="AS235" s="9" t="n"/>
      <c r="AT235" s="8" t="n"/>
      <c r="AU235" s="8" t="n"/>
      <c r="AV235" s="9" t="n"/>
      <c r="AW235" s="8" t="n"/>
      <c r="AX235" s="9" t="n"/>
      <c r="AY235" s="9" t="n"/>
      <c r="AZ235" s="9" t="n"/>
      <c r="BA235" s="9" t="n"/>
      <c r="BB235" s="9" t="n"/>
      <c r="BC235" s="9" t="n"/>
      <c r="BD235" s="9" t="n"/>
      <c r="BE235" s="9" t="n"/>
      <c r="BF235" s="9" t="n"/>
      <c r="BG235" s="9" t="n"/>
      <c r="BH235" s="9" t="n"/>
      <c r="BI235" s="9" t="n"/>
      <c r="BJ235" s="9" t="n"/>
      <c r="BK235" s="9" t="n"/>
      <c r="BL235" s="9" t="n"/>
      <c r="BM235" s="9" t="n"/>
      <c r="BN235" s="9" t="n"/>
      <c r="BO235" s="8" t="n"/>
      <c r="BP235" s="9" t="n"/>
      <c r="BQ235" s="9" t="n"/>
      <c r="BR235" s="13">
        <f>IF(COUNTIF(AI235:BM235,"N")+COUNTBLANK(AI235:BM235)=0,"Y","N")</f>
        <v/>
      </c>
      <c r="BS235" s="13">
        <f>IF(AND(BR235="Y",OR(L235="Submitted",L235="Under Review")),"Y",IF(L235="Closed","Y","N"))</f>
        <v/>
      </c>
      <c r="BT235" s="10" t="n"/>
      <c r="BU235" s="13">
        <f>Rule_Flags!Q234</f>
        <v/>
      </c>
      <c r="BV235" s="13">
        <f>Rule_Flags!P234</f>
        <v/>
      </c>
      <c r="BW235" s="13">
        <f>IF(Rule_Flags!E234=1,"SITE_CONTROL",IF(Rule_Flags!F234=1,"APPROVALS",IF(Rule_Flags!G234=1,"REPORTS",IF(Rule_Flags!H234=1,"DEFICIENCY",IF(Rule_Flags!I234=1,"UNDERWRITING",IF(Rule_Flags!J234=1,"COMPLIANCE",""))))))</f>
        <v/>
      </c>
      <c r="BX235" s="13">
        <f>IF(BW235="SITE_CONTROL","Site control missing or invalid",IF(BW235="APPROVALS","Required approvals or resolutions incomplete",IF(BW235="REPORTS","Required third-party reports incomplete",IF(BW235="DEFICIENCY","Unresolved deficiency or material deficiency",IF(BW235="UNDERWRITING","Underwriting / feasibility not passed",IF(BW235="COMPLIANCE","Deconcentration, one-mile, LURA, or Chapter 12 issue","Ready under current engine rules"))))))</f>
        <v/>
      </c>
      <c r="BY235" s="13">
        <f>IF(BV235="Determination Notice","Streamlined + DN-ready assumptions satisfied",IF(BV235="Board","Board-required or board-ready assumptions satisfied",""))</f>
        <v/>
      </c>
      <c r="BZ235" s="13">
        <f>IF(AND(BP235="Y",BQ235&lt;&gt;"Y"),"Carryforward project retains queue priority",IF(BQ235="Y","New project enters behind carryforward projects",""))</f>
        <v/>
      </c>
      <c r="CA235" s="13">
        <f>_xludf.RANK.EQ(Rule_Flags!O234,Rule_Flags!$O$3:$O$402,0)</f>
        <v/>
      </c>
      <c r="CB235" s="13">
        <f>IF(OR(BU235="Determination Notice Issued",BU235="Board",BU235="Closed"),"Y","N")</f>
        <v/>
      </c>
      <c r="CC235" s="9" t="n"/>
      <c r="CD235" s="9" t="n"/>
      <c r="CE235" s="9" t="n"/>
      <c r="CF235" s="9" t="n"/>
      <c r="CG235" s="9" t="n"/>
      <c r="CH235" s="9" t="n"/>
    </row>
    <row r="236">
      <c r="A236" s="8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8" t="n"/>
      <c r="L236" s="9" t="n"/>
      <c r="M236" s="8" t="n"/>
      <c r="N236" s="8" t="n"/>
      <c r="O236" s="8" t="n"/>
      <c r="P236" s="8" t="n"/>
      <c r="Q236" s="8" t="n"/>
      <c r="R236" s="9" t="n"/>
      <c r="S236" s="9" t="n"/>
      <c r="T236" s="10" t="n"/>
      <c r="U236" s="10" t="n"/>
      <c r="V236" s="9" t="n"/>
      <c r="W236" s="9" t="n"/>
      <c r="X236" s="9" t="n"/>
      <c r="Y236" s="9" t="n"/>
      <c r="Z236" s="11" t="n"/>
      <c r="AA236" s="11" t="n"/>
      <c r="AB236" s="11" t="n"/>
      <c r="AC236" s="11" t="n"/>
      <c r="AD236" s="11" t="n"/>
      <c r="AE236" s="11" t="n"/>
      <c r="AF236" s="9" t="n"/>
      <c r="AG236" s="9" t="n"/>
      <c r="AH236" s="9" t="n"/>
      <c r="AI236" s="9" t="n"/>
      <c r="AJ236" s="8" t="n"/>
      <c r="AK236" s="9" t="n"/>
      <c r="AL236" s="9" t="n"/>
      <c r="AM236" s="9" t="n"/>
      <c r="AN236" s="9" t="n"/>
      <c r="AO236" s="9" t="n"/>
      <c r="AP236" s="9" t="n"/>
      <c r="AQ236" s="9" t="n"/>
      <c r="AR236" s="9" t="n"/>
      <c r="AS236" s="9" t="n"/>
      <c r="AT236" s="8" t="n"/>
      <c r="AU236" s="8" t="n"/>
      <c r="AV236" s="9" t="n"/>
      <c r="AW236" s="8" t="n"/>
      <c r="AX236" s="9" t="n"/>
      <c r="AY236" s="9" t="n"/>
      <c r="AZ236" s="9" t="n"/>
      <c r="BA236" s="9" t="n"/>
      <c r="BB236" s="9" t="n"/>
      <c r="BC236" s="9" t="n"/>
      <c r="BD236" s="9" t="n"/>
      <c r="BE236" s="9" t="n"/>
      <c r="BF236" s="9" t="n"/>
      <c r="BG236" s="9" t="n"/>
      <c r="BH236" s="9" t="n"/>
      <c r="BI236" s="9" t="n"/>
      <c r="BJ236" s="9" t="n"/>
      <c r="BK236" s="9" t="n"/>
      <c r="BL236" s="9" t="n"/>
      <c r="BM236" s="9" t="n"/>
      <c r="BN236" s="9" t="n"/>
      <c r="BO236" s="8" t="n"/>
      <c r="BP236" s="9" t="n"/>
      <c r="BQ236" s="9" t="n"/>
      <c r="BR236" s="13">
        <f>IF(COUNTIF(AI236:BM236,"N")+COUNTBLANK(AI236:BM236)=0,"Y","N")</f>
        <v/>
      </c>
      <c r="BS236" s="13">
        <f>IF(AND(BR236="Y",OR(L236="Submitted",L236="Under Review")),"Y",IF(L236="Closed","Y","N"))</f>
        <v/>
      </c>
      <c r="BT236" s="10" t="n"/>
      <c r="BU236" s="13">
        <f>Rule_Flags!Q235</f>
        <v/>
      </c>
      <c r="BV236" s="13">
        <f>Rule_Flags!P235</f>
        <v/>
      </c>
      <c r="BW236" s="13">
        <f>IF(Rule_Flags!E235=1,"SITE_CONTROL",IF(Rule_Flags!F235=1,"APPROVALS",IF(Rule_Flags!G235=1,"REPORTS",IF(Rule_Flags!H235=1,"DEFICIENCY",IF(Rule_Flags!I235=1,"UNDERWRITING",IF(Rule_Flags!J235=1,"COMPLIANCE",""))))))</f>
        <v/>
      </c>
      <c r="BX236" s="13">
        <f>IF(BW236="SITE_CONTROL","Site control missing or invalid",IF(BW236="APPROVALS","Required approvals or resolutions incomplete",IF(BW236="REPORTS","Required third-party reports incomplete",IF(BW236="DEFICIENCY","Unresolved deficiency or material deficiency",IF(BW236="UNDERWRITING","Underwriting / feasibility not passed",IF(BW236="COMPLIANCE","Deconcentration, one-mile, LURA, or Chapter 12 issue","Ready under current engine rules"))))))</f>
        <v/>
      </c>
      <c r="BY236" s="13">
        <f>IF(BV236="Determination Notice","Streamlined + DN-ready assumptions satisfied",IF(BV236="Board","Board-required or board-ready assumptions satisfied",""))</f>
        <v/>
      </c>
      <c r="BZ236" s="13">
        <f>IF(AND(BP236="Y",BQ236&lt;&gt;"Y"),"Carryforward project retains queue priority",IF(BQ236="Y","New project enters behind carryforward projects",""))</f>
        <v/>
      </c>
      <c r="CA236" s="13">
        <f>_xludf.RANK.EQ(Rule_Flags!O235,Rule_Flags!$O$3:$O$402,0)</f>
        <v/>
      </c>
      <c r="CB236" s="13">
        <f>IF(OR(BU236="Determination Notice Issued",BU236="Board",BU236="Closed"),"Y","N")</f>
        <v/>
      </c>
      <c r="CC236" s="9" t="n"/>
      <c r="CD236" s="9" t="n"/>
      <c r="CE236" s="9" t="n"/>
      <c r="CF236" s="9" t="n"/>
      <c r="CG236" s="9" t="n"/>
      <c r="CH236" s="9" t="n"/>
    </row>
    <row r="237">
      <c r="A237" s="8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8" t="n"/>
      <c r="L237" s="9" t="n"/>
      <c r="M237" s="8" t="n"/>
      <c r="N237" s="8" t="n"/>
      <c r="O237" s="8" t="n"/>
      <c r="P237" s="8" t="n"/>
      <c r="Q237" s="8" t="n"/>
      <c r="R237" s="9" t="n"/>
      <c r="S237" s="9" t="n"/>
      <c r="T237" s="10" t="n"/>
      <c r="U237" s="10" t="n"/>
      <c r="V237" s="9" t="n"/>
      <c r="W237" s="9" t="n"/>
      <c r="X237" s="9" t="n"/>
      <c r="Y237" s="9" t="n"/>
      <c r="Z237" s="11" t="n"/>
      <c r="AA237" s="11" t="n"/>
      <c r="AB237" s="11" t="n"/>
      <c r="AC237" s="11" t="n"/>
      <c r="AD237" s="11" t="n"/>
      <c r="AE237" s="11" t="n"/>
      <c r="AF237" s="9" t="n"/>
      <c r="AG237" s="9" t="n"/>
      <c r="AH237" s="9" t="n"/>
      <c r="AI237" s="9" t="n"/>
      <c r="AJ237" s="8" t="n"/>
      <c r="AK237" s="9" t="n"/>
      <c r="AL237" s="9" t="n"/>
      <c r="AM237" s="9" t="n"/>
      <c r="AN237" s="9" t="n"/>
      <c r="AO237" s="9" t="n"/>
      <c r="AP237" s="9" t="n"/>
      <c r="AQ237" s="9" t="n"/>
      <c r="AR237" s="9" t="n"/>
      <c r="AS237" s="9" t="n"/>
      <c r="AT237" s="8" t="n"/>
      <c r="AU237" s="8" t="n"/>
      <c r="AV237" s="9" t="n"/>
      <c r="AW237" s="8" t="n"/>
      <c r="AX237" s="9" t="n"/>
      <c r="AY237" s="9" t="n"/>
      <c r="AZ237" s="9" t="n"/>
      <c r="BA237" s="9" t="n"/>
      <c r="BB237" s="9" t="n"/>
      <c r="BC237" s="9" t="n"/>
      <c r="BD237" s="9" t="n"/>
      <c r="BE237" s="9" t="n"/>
      <c r="BF237" s="9" t="n"/>
      <c r="BG237" s="9" t="n"/>
      <c r="BH237" s="9" t="n"/>
      <c r="BI237" s="9" t="n"/>
      <c r="BJ237" s="9" t="n"/>
      <c r="BK237" s="9" t="n"/>
      <c r="BL237" s="9" t="n"/>
      <c r="BM237" s="9" t="n"/>
      <c r="BN237" s="9" t="n"/>
      <c r="BO237" s="8" t="n"/>
      <c r="BP237" s="9" t="n"/>
      <c r="BQ237" s="9" t="n"/>
      <c r="BR237" s="13">
        <f>IF(COUNTIF(AI237:BM237,"N")+COUNTBLANK(AI237:BM237)=0,"Y","N")</f>
        <v/>
      </c>
      <c r="BS237" s="13">
        <f>IF(AND(BR237="Y",OR(L237="Submitted",L237="Under Review")),"Y",IF(L237="Closed","Y","N"))</f>
        <v/>
      </c>
      <c r="BT237" s="10" t="n"/>
      <c r="BU237" s="13">
        <f>Rule_Flags!Q236</f>
        <v/>
      </c>
      <c r="BV237" s="13">
        <f>Rule_Flags!P236</f>
        <v/>
      </c>
      <c r="BW237" s="13">
        <f>IF(Rule_Flags!E236=1,"SITE_CONTROL",IF(Rule_Flags!F236=1,"APPROVALS",IF(Rule_Flags!G236=1,"REPORTS",IF(Rule_Flags!H236=1,"DEFICIENCY",IF(Rule_Flags!I236=1,"UNDERWRITING",IF(Rule_Flags!J236=1,"COMPLIANCE",""))))))</f>
        <v/>
      </c>
      <c r="BX237" s="13">
        <f>IF(BW237="SITE_CONTROL","Site control missing or invalid",IF(BW237="APPROVALS","Required approvals or resolutions incomplete",IF(BW237="REPORTS","Required third-party reports incomplete",IF(BW237="DEFICIENCY","Unresolved deficiency or material deficiency",IF(BW237="UNDERWRITING","Underwriting / feasibility not passed",IF(BW237="COMPLIANCE","Deconcentration, one-mile, LURA, or Chapter 12 issue","Ready under current engine rules"))))))</f>
        <v/>
      </c>
      <c r="BY237" s="13">
        <f>IF(BV237="Determination Notice","Streamlined + DN-ready assumptions satisfied",IF(BV237="Board","Board-required or board-ready assumptions satisfied",""))</f>
        <v/>
      </c>
      <c r="BZ237" s="13">
        <f>IF(AND(BP237="Y",BQ237&lt;&gt;"Y"),"Carryforward project retains queue priority",IF(BQ237="Y","New project enters behind carryforward projects",""))</f>
        <v/>
      </c>
      <c r="CA237" s="13">
        <f>_xludf.RANK.EQ(Rule_Flags!O236,Rule_Flags!$O$3:$O$402,0)</f>
        <v/>
      </c>
      <c r="CB237" s="13">
        <f>IF(OR(BU237="Determination Notice Issued",BU237="Board",BU237="Closed"),"Y","N")</f>
        <v/>
      </c>
      <c r="CC237" s="9" t="n"/>
      <c r="CD237" s="9" t="n"/>
      <c r="CE237" s="9" t="n"/>
      <c r="CF237" s="9" t="n"/>
      <c r="CG237" s="9" t="n"/>
      <c r="CH237" s="9" t="n"/>
    </row>
    <row r="238">
      <c r="A238" s="8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8" t="n"/>
      <c r="L238" s="9" t="n"/>
      <c r="M238" s="8" t="n"/>
      <c r="N238" s="8" t="n"/>
      <c r="O238" s="8" t="n"/>
      <c r="P238" s="8" t="n"/>
      <c r="Q238" s="8" t="n"/>
      <c r="R238" s="9" t="n"/>
      <c r="S238" s="9" t="n"/>
      <c r="T238" s="10" t="n"/>
      <c r="U238" s="10" t="n"/>
      <c r="V238" s="9" t="n"/>
      <c r="W238" s="9" t="n"/>
      <c r="X238" s="9" t="n"/>
      <c r="Y238" s="9" t="n"/>
      <c r="Z238" s="11" t="n"/>
      <c r="AA238" s="11" t="n"/>
      <c r="AB238" s="11" t="n"/>
      <c r="AC238" s="11" t="n"/>
      <c r="AD238" s="11" t="n"/>
      <c r="AE238" s="11" t="n"/>
      <c r="AF238" s="9" t="n"/>
      <c r="AG238" s="9" t="n"/>
      <c r="AH238" s="9" t="n"/>
      <c r="AI238" s="9" t="n"/>
      <c r="AJ238" s="8" t="n"/>
      <c r="AK238" s="9" t="n"/>
      <c r="AL238" s="9" t="n"/>
      <c r="AM238" s="9" t="n"/>
      <c r="AN238" s="9" t="n"/>
      <c r="AO238" s="9" t="n"/>
      <c r="AP238" s="9" t="n"/>
      <c r="AQ238" s="9" t="n"/>
      <c r="AR238" s="9" t="n"/>
      <c r="AS238" s="9" t="n"/>
      <c r="AT238" s="8" t="n"/>
      <c r="AU238" s="8" t="n"/>
      <c r="AV238" s="9" t="n"/>
      <c r="AW238" s="8" t="n"/>
      <c r="AX238" s="9" t="n"/>
      <c r="AY238" s="9" t="n"/>
      <c r="AZ238" s="9" t="n"/>
      <c r="BA238" s="9" t="n"/>
      <c r="BB238" s="9" t="n"/>
      <c r="BC238" s="9" t="n"/>
      <c r="BD238" s="9" t="n"/>
      <c r="BE238" s="9" t="n"/>
      <c r="BF238" s="9" t="n"/>
      <c r="BG238" s="9" t="n"/>
      <c r="BH238" s="9" t="n"/>
      <c r="BI238" s="9" t="n"/>
      <c r="BJ238" s="9" t="n"/>
      <c r="BK238" s="9" t="n"/>
      <c r="BL238" s="9" t="n"/>
      <c r="BM238" s="9" t="n"/>
      <c r="BN238" s="9" t="n"/>
      <c r="BO238" s="8" t="n"/>
      <c r="BP238" s="9" t="n"/>
      <c r="BQ238" s="9" t="n"/>
      <c r="BR238" s="13">
        <f>IF(COUNTIF(AI238:BM238,"N")+COUNTBLANK(AI238:BM238)=0,"Y","N")</f>
        <v/>
      </c>
      <c r="BS238" s="13">
        <f>IF(AND(BR238="Y",OR(L238="Submitted",L238="Under Review")),"Y",IF(L238="Closed","Y","N"))</f>
        <v/>
      </c>
      <c r="BT238" s="10" t="n"/>
      <c r="BU238" s="13">
        <f>Rule_Flags!Q237</f>
        <v/>
      </c>
      <c r="BV238" s="13">
        <f>Rule_Flags!P237</f>
        <v/>
      </c>
      <c r="BW238" s="13">
        <f>IF(Rule_Flags!E237=1,"SITE_CONTROL",IF(Rule_Flags!F237=1,"APPROVALS",IF(Rule_Flags!G237=1,"REPORTS",IF(Rule_Flags!H237=1,"DEFICIENCY",IF(Rule_Flags!I237=1,"UNDERWRITING",IF(Rule_Flags!J237=1,"COMPLIANCE",""))))))</f>
        <v/>
      </c>
      <c r="BX238" s="13">
        <f>IF(BW238="SITE_CONTROL","Site control missing or invalid",IF(BW238="APPROVALS","Required approvals or resolutions incomplete",IF(BW238="REPORTS","Required third-party reports incomplete",IF(BW238="DEFICIENCY","Unresolved deficiency or material deficiency",IF(BW238="UNDERWRITING","Underwriting / feasibility not passed",IF(BW238="COMPLIANCE","Deconcentration, one-mile, LURA, or Chapter 12 issue","Ready under current engine rules"))))))</f>
        <v/>
      </c>
      <c r="BY238" s="13">
        <f>IF(BV238="Determination Notice","Streamlined + DN-ready assumptions satisfied",IF(BV238="Board","Board-required or board-ready assumptions satisfied",""))</f>
        <v/>
      </c>
      <c r="BZ238" s="13">
        <f>IF(AND(BP238="Y",BQ238&lt;&gt;"Y"),"Carryforward project retains queue priority",IF(BQ238="Y","New project enters behind carryforward projects",""))</f>
        <v/>
      </c>
      <c r="CA238" s="13">
        <f>_xludf.RANK.EQ(Rule_Flags!O237,Rule_Flags!$O$3:$O$402,0)</f>
        <v/>
      </c>
      <c r="CB238" s="13">
        <f>IF(OR(BU238="Determination Notice Issued",BU238="Board",BU238="Closed"),"Y","N")</f>
        <v/>
      </c>
      <c r="CC238" s="9" t="n"/>
      <c r="CD238" s="9" t="n"/>
      <c r="CE238" s="9" t="n"/>
      <c r="CF238" s="9" t="n"/>
      <c r="CG238" s="9" t="n"/>
      <c r="CH238" s="9" t="n"/>
    </row>
    <row r="239">
      <c r="A239" s="8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8" t="n"/>
      <c r="L239" s="9" t="n"/>
      <c r="M239" s="8" t="n"/>
      <c r="N239" s="8" t="n"/>
      <c r="O239" s="8" t="n"/>
      <c r="P239" s="8" t="n"/>
      <c r="Q239" s="8" t="n"/>
      <c r="R239" s="9" t="n"/>
      <c r="S239" s="9" t="n"/>
      <c r="T239" s="10" t="n"/>
      <c r="U239" s="10" t="n"/>
      <c r="V239" s="9" t="n"/>
      <c r="W239" s="9" t="n"/>
      <c r="X239" s="9" t="n"/>
      <c r="Y239" s="9" t="n"/>
      <c r="Z239" s="11" t="n"/>
      <c r="AA239" s="11" t="n"/>
      <c r="AB239" s="11" t="n"/>
      <c r="AC239" s="11" t="n"/>
      <c r="AD239" s="11" t="n"/>
      <c r="AE239" s="11" t="n"/>
      <c r="AF239" s="9" t="n"/>
      <c r="AG239" s="9" t="n"/>
      <c r="AH239" s="9" t="n"/>
      <c r="AI239" s="9" t="n"/>
      <c r="AJ239" s="8" t="n"/>
      <c r="AK239" s="9" t="n"/>
      <c r="AL239" s="9" t="n"/>
      <c r="AM239" s="9" t="n"/>
      <c r="AN239" s="9" t="n"/>
      <c r="AO239" s="9" t="n"/>
      <c r="AP239" s="9" t="n"/>
      <c r="AQ239" s="9" t="n"/>
      <c r="AR239" s="9" t="n"/>
      <c r="AS239" s="9" t="n"/>
      <c r="AT239" s="8" t="n"/>
      <c r="AU239" s="8" t="n"/>
      <c r="AV239" s="9" t="n"/>
      <c r="AW239" s="8" t="n"/>
      <c r="AX239" s="9" t="n"/>
      <c r="AY239" s="9" t="n"/>
      <c r="AZ239" s="9" t="n"/>
      <c r="BA239" s="9" t="n"/>
      <c r="BB239" s="9" t="n"/>
      <c r="BC239" s="9" t="n"/>
      <c r="BD239" s="9" t="n"/>
      <c r="BE239" s="9" t="n"/>
      <c r="BF239" s="9" t="n"/>
      <c r="BG239" s="9" t="n"/>
      <c r="BH239" s="9" t="n"/>
      <c r="BI239" s="9" t="n"/>
      <c r="BJ239" s="9" t="n"/>
      <c r="BK239" s="9" t="n"/>
      <c r="BL239" s="9" t="n"/>
      <c r="BM239" s="9" t="n"/>
      <c r="BN239" s="9" t="n"/>
      <c r="BO239" s="8" t="n"/>
      <c r="BP239" s="9" t="n"/>
      <c r="BQ239" s="9" t="n"/>
      <c r="BR239" s="13">
        <f>IF(COUNTIF(AI239:BM239,"N")+COUNTBLANK(AI239:BM239)=0,"Y","N")</f>
        <v/>
      </c>
      <c r="BS239" s="13">
        <f>IF(AND(BR239="Y",OR(L239="Submitted",L239="Under Review")),"Y",IF(L239="Closed","Y","N"))</f>
        <v/>
      </c>
      <c r="BT239" s="10" t="n"/>
      <c r="BU239" s="13">
        <f>Rule_Flags!Q238</f>
        <v/>
      </c>
      <c r="BV239" s="13">
        <f>Rule_Flags!P238</f>
        <v/>
      </c>
      <c r="BW239" s="13">
        <f>IF(Rule_Flags!E238=1,"SITE_CONTROL",IF(Rule_Flags!F238=1,"APPROVALS",IF(Rule_Flags!G238=1,"REPORTS",IF(Rule_Flags!H238=1,"DEFICIENCY",IF(Rule_Flags!I238=1,"UNDERWRITING",IF(Rule_Flags!J238=1,"COMPLIANCE",""))))))</f>
        <v/>
      </c>
      <c r="BX239" s="13">
        <f>IF(BW239="SITE_CONTROL","Site control missing or invalid",IF(BW239="APPROVALS","Required approvals or resolutions incomplete",IF(BW239="REPORTS","Required third-party reports incomplete",IF(BW239="DEFICIENCY","Unresolved deficiency or material deficiency",IF(BW239="UNDERWRITING","Underwriting / feasibility not passed",IF(BW239="COMPLIANCE","Deconcentration, one-mile, LURA, or Chapter 12 issue","Ready under current engine rules"))))))</f>
        <v/>
      </c>
      <c r="BY239" s="13">
        <f>IF(BV239="Determination Notice","Streamlined + DN-ready assumptions satisfied",IF(BV239="Board","Board-required or board-ready assumptions satisfied",""))</f>
        <v/>
      </c>
      <c r="BZ239" s="13">
        <f>IF(AND(BP239="Y",BQ239&lt;&gt;"Y"),"Carryforward project retains queue priority",IF(BQ239="Y","New project enters behind carryforward projects",""))</f>
        <v/>
      </c>
      <c r="CA239" s="13">
        <f>_xludf.RANK.EQ(Rule_Flags!O238,Rule_Flags!$O$3:$O$402,0)</f>
        <v/>
      </c>
      <c r="CB239" s="13">
        <f>IF(OR(BU239="Determination Notice Issued",BU239="Board",BU239="Closed"),"Y","N")</f>
        <v/>
      </c>
      <c r="CC239" s="9" t="n"/>
      <c r="CD239" s="9" t="n"/>
      <c r="CE239" s="9" t="n"/>
      <c r="CF239" s="9" t="n"/>
      <c r="CG239" s="9" t="n"/>
      <c r="CH239" s="9" t="n"/>
    </row>
    <row r="240">
      <c r="A240" s="8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8" t="n"/>
      <c r="L240" s="9" t="n"/>
      <c r="M240" s="8" t="n"/>
      <c r="N240" s="8" t="n"/>
      <c r="O240" s="8" t="n"/>
      <c r="P240" s="8" t="n"/>
      <c r="Q240" s="8" t="n"/>
      <c r="R240" s="9" t="n"/>
      <c r="S240" s="9" t="n"/>
      <c r="T240" s="10" t="n"/>
      <c r="U240" s="10" t="n"/>
      <c r="V240" s="9" t="n"/>
      <c r="W240" s="9" t="n"/>
      <c r="X240" s="9" t="n"/>
      <c r="Y240" s="9" t="n"/>
      <c r="Z240" s="11" t="n"/>
      <c r="AA240" s="11" t="n"/>
      <c r="AB240" s="11" t="n"/>
      <c r="AC240" s="11" t="n"/>
      <c r="AD240" s="11" t="n"/>
      <c r="AE240" s="11" t="n"/>
      <c r="AF240" s="9" t="n"/>
      <c r="AG240" s="9" t="n"/>
      <c r="AH240" s="9" t="n"/>
      <c r="AI240" s="9" t="n"/>
      <c r="AJ240" s="8" t="n"/>
      <c r="AK240" s="9" t="n"/>
      <c r="AL240" s="9" t="n"/>
      <c r="AM240" s="9" t="n"/>
      <c r="AN240" s="9" t="n"/>
      <c r="AO240" s="9" t="n"/>
      <c r="AP240" s="9" t="n"/>
      <c r="AQ240" s="9" t="n"/>
      <c r="AR240" s="9" t="n"/>
      <c r="AS240" s="9" t="n"/>
      <c r="AT240" s="8" t="n"/>
      <c r="AU240" s="8" t="n"/>
      <c r="AV240" s="9" t="n"/>
      <c r="AW240" s="8" t="n"/>
      <c r="AX240" s="9" t="n"/>
      <c r="AY240" s="9" t="n"/>
      <c r="AZ240" s="9" t="n"/>
      <c r="BA240" s="9" t="n"/>
      <c r="BB240" s="9" t="n"/>
      <c r="BC240" s="9" t="n"/>
      <c r="BD240" s="9" t="n"/>
      <c r="BE240" s="9" t="n"/>
      <c r="BF240" s="9" t="n"/>
      <c r="BG240" s="9" t="n"/>
      <c r="BH240" s="9" t="n"/>
      <c r="BI240" s="9" t="n"/>
      <c r="BJ240" s="9" t="n"/>
      <c r="BK240" s="9" t="n"/>
      <c r="BL240" s="9" t="n"/>
      <c r="BM240" s="9" t="n"/>
      <c r="BN240" s="9" t="n"/>
      <c r="BO240" s="8" t="n"/>
      <c r="BP240" s="9" t="n"/>
      <c r="BQ240" s="9" t="n"/>
      <c r="BR240" s="13">
        <f>IF(COUNTIF(AI240:BM240,"N")+COUNTBLANK(AI240:BM240)=0,"Y","N")</f>
        <v/>
      </c>
      <c r="BS240" s="13">
        <f>IF(AND(BR240="Y",OR(L240="Submitted",L240="Under Review")),"Y",IF(L240="Closed","Y","N"))</f>
        <v/>
      </c>
      <c r="BT240" s="10" t="n"/>
      <c r="BU240" s="13">
        <f>Rule_Flags!Q239</f>
        <v/>
      </c>
      <c r="BV240" s="13">
        <f>Rule_Flags!P239</f>
        <v/>
      </c>
      <c r="BW240" s="13">
        <f>IF(Rule_Flags!E239=1,"SITE_CONTROL",IF(Rule_Flags!F239=1,"APPROVALS",IF(Rule_Flags!G239=1,"REPORTS",IF(Rule_Flags!H239=1,"DEFICIENCY",IF(Rule_Flags!I239=1,"UNDERWRITING",IF(Rule_Flags!J239=1,"COMPLIANCE",""))))))</f>
        <v/>
      </c>
      <c r="BX240" s="13">
        <f>IF(BW240="SITE_CONTROL","Site control missing or invalid",IF(BW240="APPROVALS","Required approvals or resolutions incomplete",IF(BW240="REPORTS","Required third-party reports incomplete",IF(BW240="DEFICIENCY","Unresolved deficiency or material deficiency",IF(BW240="UNDERWRITING","Underwriting / feasibility not passed",IF(BW240="COMPLIANCE","Deconcentration, one-mile, LURA, or Chapter 12 issue","Ready under current engine rules"))))))</f>
        <v/>
      </c>
      <c r="BY240" s="13">
        <f>IF(BV240="Determination Notice","Streamlined + DN-ready assumptions satisfied",IF(BV240="Board","Board-required or board-ready assumptions satisfied",""))</f>
        <v/>
      </c>
      <c r="BZ240" s="13">
        <f>IF(AND(BP240="Y",BQ240&lt;&gt;"Y"),"Carryforward project retains queue priority",IF(BQ240="Y","New project enters behind carryforward projects",""))</f>
        <v/>
      </c>
      <c r="CA240" s="13">
        <f>_xludf.RANK.EQ(Rule_Flags!O239,Rule_Flags!$O$3:$O$402,0)</f>
        <v/>
      </c>
      <c r="CB240" s="13">
        <f>IF(OR(BU240="Determination Notice Issued",BU240="Board",BU240="Closed"),"Y","N")</f>
        <v/>
      </c>
      <c r="CC240" s="9" t="n"/>
      <c r="CD240" s="9" t="n"/>
      <c r="CE240" s="9" t="n"/>
      <c r="CF240" s="9" t="n"/>
      <c r="CG240" s="9" t="n"/>
      <c r="CH240" s="9" t="n"/>
    </row>
    <row r="241">
      <c r="A241" s="8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8" t="n"/>
      <c r="L241" s="9" t="n"/>
      <c r="M241" s="8" t="n"/>
      <c r="N241" s="8" t="n"/>
      <c r="O241" s="8" t="n"/>
      <c r="P241" s="8" t="n"/>
      <c r="Q241" s="8" t="n"/>
      <c r="R241" s="9" t="n"/>
      <c r="S241" s="9" t="n"/>
      <c r="T241" s="10" t="n"/>
      <c r="U241" s="10" t="n"/>
      <c r="V241" s="9" t="n"/>
      <c r="W241" s="9" t="n"/>
      <c r="X241" s="9" t="n"/>
      <c r="Y241" s="9" t="n"/>
      <c r="Z241" s="11" t="n"/>
      <c r="AA241" s="11" t="n"/>
      <c r="AB241" s="11" t="n"/>
      <c r="AC241" s="11" t="n"/>
      <c r="AD241" s="11" t="n"/>
      <c r="AE241" s="11" t="n"/>
      <c r="AF241" s="9" t="n"/>
      <c r="AG241" s="9" t="n"/>
      <c r="AH241" s="9" t="n"/>
      <c r="AI241" s="9" t="n"/>
      <c r="AJ241" s="8" t="n"/>
      <c r="AK241" s="9" t="n"/>
      <c r="AL241" s="9" t="n"/>
      <c r="AM241" s="9" t="n"/>
      <c r="AN241" s="9" t="n"/>
      <c r="AO241" s="9" t="n"/>
      <c r="AP241" s="9" t="n"/>
      <c r="AQ241" s="9" t="n"/>
      <c r="AR241" s="9" t="n"/>
      <c r="AS241" s="9" t="n"/>
      <c r="AT241" s="8" t="n"/>
      <c r="AU241" s="8" t="n"/>
      <c r="AV241" s="9" t="n"/>
      <c r="AW241" s="8" t="n"/>
      <c r="AX241" s="9" t="n"/>
      <c r="AY241" s="9" t="n"/>
      <c r="AZ241" s="9" t="n"/>
      <c r="BA241" s="9" t="n"/>
      <c r="BB241" s="9" t="n"/>
      <c r="BC241" s="9" t="n"/>
      <c r="BD241" s="9" t="n"/>
      <c r="BE241" s="9" t="n"/>
      <c r="BF241" s="9" t="n"/>
      <c r="BG241" s="9" t="n"/>
      <c r="BH241" s="9" t="n"/>
      <c r="BI241" s="9" t="n"/>
      <c r="BJ241" s="9" t="n"/>
      <c r="BK241" s="9" t="n"/>
      <c r="BL241" s="9" t="n"/>
      <c r="BM241" s="9" t="n"/>
      <c r="BN241" s="9" t="n"/>
      <c r="BO241" s="8" t="n"/>
      <c r="BP241" s="9" t="n"/>
      <c r="BQ241" s="9" t="n"/>
      <c r="BR241" s="13">
        <f>IF(COUNTIF(AI241:BM241,"N")+COUNTBLANK(AI241:BM241)=0,"Y","N")</f>
        <v/>
      </c>
      <c r="BS241" s="13">
        <f>IF(AND(BR241="Y",OR(L241="Submitted",L241="Under Review")),"Y",IF(L241="Closed","Y","N"))</f>
        <v/>
      </c>
      <c r="BT241" s="10" t="n"/>
      <c r="BU241" s="13">
        <f>Rule_Flags!Q240</f>
        <v/>
      </c>
      <c r="BV241" s="13">
        <f>Rule_Flags!P240</f>
        <v/>
      </c>
      <c r="BW241" s="13">
        <f>IF(Rule_Flags!E240=1,"SITE_CONTROL",IF(Rule_Flags!F240=1,"APPROVALS",IF(Rule_Flags!G240=1,"REPORTS",IF(Rule_Flags!H240=1,"DEFICIENCY",IF(Rule_Flags!I240=1,"UNDERWRITING",IF(Rule_Flags!J240=1,"COMPLIANCE",""))))))</f>
        <v/>
      </c>
      <c r="BX241" s="13">
        <f>IF(BW241="SITE_CONTROL","Site control missing or invalid",IF(BW241="APPROVALS","Required approvals or resolutions incomplete",IF(BW241="REPORTS","Required third-party reports incomplete",IF(BW241="DEFICIENCY","Unresolved deficiency or material deficiency",IF(BW241="UNDERWRITING","Underwriting / feasibility not passed",IF(BW241="COMPLIANCE","Deconcentration, one-mile, LURA, or Chapter 12 issue","Ready under current engine rules"))))))</f>
        <v/>
      </c>
      <c r="BY241" s="13">
        <f>IF(BV241="Determination Notice","Streamlined + DN-ready assumptions satisfied",IF(BV241="Board","Board-required or board-ready assumptions satisfied",""))</f>
        <v/>
      </c>
      <c r="BZ241" s="13">
        <f>IF(AND(BP241="Y",BQ241&lt;&gt;"Y"),"Carryforward project retains queue priority",IF(BQ241="Y","New project enters behind carryforward projects",""))</f>
        <v/>
      </c>
      <c r="CA241" s="13">
        <f>_xludf.RANK.EQ(Rule_Flags!O240,Rule_Flags!$O$3:$O$402,0)</f>
        <v/>
      </c>
      <c r="CB241" s="13">
        <f>IF(OR(BU241="Determination Notice Issued",BU241="Board",BU241="Closed"),"Y","N")</f>
        <v/>
      </c>
      <c r="CC241" s="9" t="n"/>
      <c r="CD241" s="9" t="n"/>
      <c r="CE241" s="9" t="n"/>
      <c r="CF241" s="9" t="n"/>
      <c r="CG241" s="9" t="n"/>
      <c r="CH241" s="9" t="n"/>
    </row>
    <row r="242">
      <c r="A242" s="8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8" t="n"/>
      <c r="L242" s="9" t="n"/>
      <c r="M242" s="8" t="n"/>
      <c r="N242" s="8" t="n"/>
      <c r="O242" s="8" t="n"/>
      <c r="P242" s="8" t="n"/>
      <c r="Q242" s="8" t="n"/>
      <c r="R242" s="9" t="n"/>
      <c r="S242" s="9" t="n"/>
      <c r="T242" s="10" t="n"/>
      <c r="U242" s="10" t="n"/>
      <c r="V242" s="9" t="n"/>
      <c r="W242" s="9" t="n"/>
      <c r="X242" s="9" t="n"/>
      <c r="Y242" s="9" t="n"/>
      <c r="Z242" s="11" t="n"/>
      <c r="AA242" s="11" t="n"/>
      <c r="AB242" s="11" t="n"/>
      <c r="AC242" s="11" t="n"/>
      <c r="AD242" s="11" t="n"/>
      <c r="AE242" s="11" t="n"/>
      <c r="AF242" s="9" t="n"/>
      <c r="AG242" s="9" t="n"/>
      <c r="AH242" s="9" t="n"/>
      <c r="AI242" s="9" t="n"/>
      <c r="AJ242" s="8" t="n"/>
      <c r="AK242" s="9" t="n"/>
      <c r="AL242" s="9" t="n"/>
      <c r="AM242" s="9" t="n"/>
      <c r="AN242" s="9" t="n"/>
      <c r="AO242" s="9" t="n"/>
      <c r="AP242" s="9" t="n"/>
      <c r="AQ242" s="9" t="n"/>
      <c r="AR242" s="9" t="n"/>
      <c r="AS242" s="9" t="n"/>
      <c r="AT242" s="8" t="n"/>
      <c r="AU242" s="8" t="n"/>
      <c r="AV242" s="9" t="n"/>
      <c r="AW242" s="8" t="n"/>
      <c r="AX242" s="9" t="n"/>
      <c r="AY242" s="9" t="n"/>
      <c r="AZ242" s="9" t="n"/>
      <c r="BA242" s="9" t="n"/>
      <c r="BB242" s="9" t="n"/>
      <c r="BC242" s="9" t="n"/>
      <c r="BD242" s="9" t="n"/>
      <c r="BE242" s="9" t="n"/>
      <c r="BF242" s="9" t="n"/>
      <c r="BG242" s="9" t="n"/>
      <c r="BH242" s="9" t="n"/>
      <c r="BI242" s="9" t="n"/>
      <c r="BJ242" s="9" t="n"/>
      <c r="BK242" s="9" t="n"/>
      <c r="BL242" s="9" t="n"/>
      <c r="BM242" s="9" t="n"/>
      <c r="BN242" s="9" t="n"/>
      <c r="BO242" s="8" t="n"/>
      <c r="BP242" s="9" t="n"/>
      <c r="BQ242" s="9" t="n"/>
      <c r="BR242" s="13">
        <f>IF(COUNTIF(AI242:BM242,"N")+COUNTBLANK(AI242:BM242)=0,"Y","N")</f>
        <v/>
      </c>
      <c r="BS242" s="13">
        <f>IF(AND(BR242="Y",OR(L242="Submitted",L242="Under Review")),"Y",IF(L242="Closed","Y","N"))</f>
        <v/>
      </c>
      <c r="BT242" s="10" t="n"/>
      <c r="BU242" s="13">
        <f>Rule_Flags!Q241</f>
        <v/>
      </c>
      <c r="BV242" s="13">
        <f>Rule_Flags!P241</f>
        <v/>
      </c>
      <c r="BW242" s="13">
        <f>IF(Rule_Flags!E241=1,"SITE_CONTROL",IF(Rule_Flags!F241=1,"APPROVALS",IF(Rule_Flags!G241=1,"REPORTS",IF(Rule_Flags!H241=1,"DEFICIENCY",IF(Rule_Flags!I241=1,"UNDERWRITING",IF(Rule_Flags!J241=1,"COMPLIANCE",""))))))</f>
        <v/>
      </c>
      <c r="BX242" s="13">
        <f>IF(BW242="SITE_CONTROL","Site control missing or invalid",IF(BW242="APPROVALS","Required approvals or resolutions incomplete",IF(BW242="REPORTS","Required third-party reports incomplete",IF(BW242="DEFICIENCY","Unresolved deficiency or material deficiency",IF(BW242="UNDERWRITING","Underwriting / feasibility not passed",IF(BW242="COMPLIANCE","Deconcentration, one-mile, LURA, or Chapter 12 issue","Ready under current engine rules"))))))</f>
        <v/>
      </c>
      <c r="BY242" s="13">
        <f>IF(BV242="Determination Notice","Streamlined + DN-ready assumptions satisfied",IF(BV242="Board","Board-required or board-ready assumptions satisfied",""))</f>
        <v/>
      </c>
      <c r="BZ242" s="13">
        <f>IF(AND(BP242="Y",BQ242&lt;&gt;"Y"),"Carryforward project retains queue priority",IF(BQ242="Y","New project enters behind carryforward projects",""))</f>
        <v/>
      </c>
      <c r="CA242" s="13">
        <f>_xludf.RANK.EQ(Rule_Flags!O241,Rule_Flags!$O$3:$O$402,0)</f>
        <v/>
      </c>
      <c r="CB242" s="13">
        <f>IF(OR(BU242="Determination Notice Issued",BU242="Board",BU242="Closed"),"Y","N")</f>
        <v/>
      </c>
      <c r="CC242" s="9" t="n"/>
      <c r="CD242" s="9" t="n"/>
      <c r="CE242" s="9" t="n"/>
      <c r="CF242" s="9" t="n"/>
      <c r="CG242" s="9" t="n"/>
      <c r="CH242" s="9" t="n"/>
    </row>
    <row r="243">
      <c r="A243" s="8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8" t="n"/>
      <c r="L243" s="9" t="n"/>
      <c r="M243" s="8" t="n"/>
      <c r="N243" s="8" t="n"/>
      <c r="O243" s="8" t="n"/>
      <c r="P243" s="8" t="n"/>
      <c r="Q243" s="8" t="n"/>
      <c r="R243" s="9" t="n"/>
      <c r="S243" s="9" t="n"/>
      <c r="T243" s="10" t="n"/>
      <c r="U243" s="10" t="n"/>
      <c r="V243" s="9" t="n"/>
      <c r="W243" s="9" t="n"/>
      <c r="X243" s="9" t="n"/>
      <c r="Y243" s="9" t="n"/>
      <c r="Z243" s="11" t="n"/>
      <c r="AA243" s="11" t="n"/>
      <c r="AB243" s="11" t="n"/>
      <c r="AC243" s="11" t="n"/>
      <c r="AD243" s="11" t="n"/>
      <c r="AE243" s="11" t="n"/>
      <c r="AF243" s="9" t="n"/>
      <c r="AG243" s="9" t="n"/>
      <c r="AH243" s="9" t="n"/>
      <c r="AI243" s="9" t="n"/>
      <c r="AJ243" s="8" t="n"/>
      <c r="AK243" s="9" t="n"/>
      <c r="AL243" s="9" t="n"/>
      <c r="AM243" s="9" t="n"/>
      <c r="AN243" s="9" t="n"/>
      <c r="AO243" s="9" t="n"/>
      <c r="AP243" s="9" t="n"/>
      <c r="AQ243" s="9" t="n"/>
      <c r="AR243" s="9" t="n"/>
      <c r="AS243" s="9" t="n"/>
      <c r="AT243" s="8" t="n"/>
      <c r="AU243" s="8" t="n"/>
      <c r="AV243" s="9" t="n"/>
      <c r="AW243" s="8" t="n"/>
      <c r="AX243" s="9" t="n"/>
      <c r="AY243" s="9" t="n"/>
      <c r="AZ243" s="9" t="n"/>
      <c r="BA243" s="9" t="n"/>
      <c r="BB243" s="9" t="n"/>
      <c r="BC243" s="9" t="n"/>
      <c r="BD243" s="9" t="n"/>
      <c r="BE243" s="9" t="n"/>
      <c r="BF243" s="9" t="n"/>
      <c r="BG243" s="9" t="n"/>
      <c r="BH243" s="9" t="n"/>
      <c r="BI243" s="9" t="n"/>
      <c r="BJ243" s="9" t="n"/>
      <c r="BK243" s="9" t="n"/>
      <c r="BL243" s="9" t="n"/>
      <c r="BM243" s="9" t="n"/>
      <c r="BN243" s="9" t="n"/>
      <c r="BO243" s="8" t="n"/>
      <c r="BP243" s="9" t="n"/>
      <c r="BQ243" s="9" t="n"/>
      <c r="BR243" s="13">
        <f>IF(COUNTIF(AI243:BM243,"N")+COUNTBLANK(AI243:BM243)=0,"Y","N")</f>
        <v/>
      </c>
      <c r="BS243" s="13">
        <f>IF(AND(BR243="Y",OR(L243="Submitted",L243="Under Review")),"Y",IF(L243="Closed","Y","N"))</f>
        <v/>
      </c>
      <c r="BT243" s="10" t="n"/>
      <c r="BU243" s="13">
        <f>Rule_Flags!Q242</f>
        <v/>
      </c>
      <c r="BV243" s="13">
        <f>Rule_Flags!P242</f>
        <v/>
      </c>
      <c r="BW243" s="13">
        <f>IF(Rule_Flags!E242=1,"SITE_CONTROL",IF(Rule_Flags!F242=1,"APPROVALS",IF(Rule_Flags!G242=1,"REPORTS",IF(Rule_Flags!H242=1,"DEFICIENCY",IF(Rule_Flags!I242=1,"UNDERWRITING",IF(Rule_Flags!J242=1,"COMPLIANCE",""))))))</f>
        <v/>
      </c>
      <c r="BX243" s="13">
        <f>IF(BW243="SITE_CONTROL","Site control missing or invalid",IF(BW243="APPROVALS","Required approvals or resolutions incomplete",IF(BW243="REPORTS","Required third-party reports incomplete",IF(BW243="DEFICIENCY","Unresolved deficiency or material deficiency",IF(BW243="UNDERWRITING","Underwriting / feasibility not passed",IF(BW243="COMPLIANCE","Deconcentration, one-mile, LURA, or Chapter 12 issue","Ready under current engine rules"))))))</f>
        <v/>
      </c>
      <c r="BY243" s="13">
        <f>IF(BV243="Determination Notice","Streamlined + DN-ready assumptions satisfied",IF(BV243="Board","Board-required or board-ready assumptions satisfied",""))</f>
        <v/>
      </c>
      <c r="BZ243" s="13">
        <f>IF(AND(BP243="Y",BQ243&lt;&gt;"Y"),"Carryforward project retains queue priority",IF(BQ243="Y","New project enters behind carryforward projects",""))</f>
        <v/>
      </c>
      <c r="CA243" s="13">
        <f>_xludf.RANK.EQ(Rule_Flags!O242,Rule_Flags!$O$3:$O$402,0)</f>
        <v/>
      </c>
      <c r="CB243" s="13">
        <f>IF(OR(BU243="Determination Notice Issued",BU243="Board",BU243="Closed"),"Y","N")</f>
        <v/>
      </c>
      <c r="CC243" s="9" t="n"/>
      <c r="CD243" s="9" t="n"/>
      <c r="CE243" s="9" t="n"/>
      <c r="CF243" s="9" t="n"/>
      <c r="CG243" s="9" t="n"/>
      <c r="CH243" s="9" t="n"/>
    </row>
    <row r="244">
      <c r="A244" s="8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8" t="n"/>
      <c r="L244" s="9" t="n"/>
      <c r="M244" s="8" t="n"/>
      <c r="N244" s="8" t="n"/>
      <c r="O244" s="8" t="n"/>
      <c r="P244" s="8" t="n"/>
      <c r="Q244" s="8" t="n"/>
      <c r="R244" s="9" t="n"/>
      <c r="S244" s="9" t="n"/>
      <c r="T244" s="10" t="n"/>
      <c r="U244" s="10" t="n"/>
      <c r="V244" s="9" t="n"/>
      <c r="W244" s="9" t="n"/>
      <c r="X244" s="9" t="n"/>
      <c r="Y244" s="9" t="n"/>
      <c r="Z244" s="11" t="n"/>
      <c r="AA244" s="11" t="n"/>
      <c r="AB244" s="11" t="n"/>
      <c r="AC244" s="11" t="n"/>
      <c r="AD244" s="11" t="n"/>
      <c r="AE244" s="11" t="n"/>
      <c r="AF244" s="9" t="n"/>
      <c r="AG244" s="9" t="n"/>
      <c r="AH244" s="9" t="n"/>
      <c r="AI244" s="9" t="n"/>
      <c r="AJ244" s="8" t="n"/>
      <c r="AK244" s="9" t="n"/>
      <c r="AL244" s="9" t="n"/>
      <c r="AM244" s="9" t="n"/>
      <c r="AN244" s="9" t="n"/>
      <c r="AO244" s="9" t="n"/>
      <c r="AP244" s="9" t="n"/>
      <c r="AQ244" s="9" t="n"/>
      <c r="AR244" s="9" t="n"/>
      <c r="AS244" s="9" t="n"/>
      <c r="AT244" s="8" t="n"/>
      <c r="AU244" s="8" t="n"/>
      <c r="AV244" s="9" t="n"/>
      <c r="AW244" s="8" t="n"/>
      <c r="AX244" s="9" t="n"/>
      <c r="AY244" s="9" t="n"/>
      <c r="AZ244" s="9" t="n"/>
      <c r="BA244" s="9" t="n"/>
      <c r="BB244" s="9" t="n"/>
      <c r="BC244" s="9" t="n"/>
      <c r="BD244" s="9" t="n"/>
      <c r="BE244" s="9" t="n"/>
      <c r="BF244" s="9" t="n"/>
      <c r="BG244" s="9" t="n"/>
      <c r="BH244" s="9" t="n"/>
      <c r="BI244" s="9" t="n"/>
      <c r="BJ244" s="9" t="n"/>
      <c r="BK244" s="9" t="n"/>
      <c r="BL244" s="9" t="n"/>
      <c r="BM244" s="9" t="n"/>
      <c r="BN244" s="9" t="n"/>
      <c r="BO244" s="8" t="n"/>
      <c r="BP244" s="9" t="n"/>
      <c r="BQ244" s="9" t="n"/>
      <c r="BR244" s="13">
        <f>IF(COUNTIF(AI244:BM244,"N")+COUNTBLANK(AI244:BM244)=0,"Y","N")</f>
        <v/>
      </c>
      <c r="BS244" s="13">
        <f>IF(AND(BR244="Y",OR(L244="Submitted",L244="Under Review")),"Y",IF(L244="Closed","Y","N"))</f>
        <v/>
      </c>
      <c r="BT244" s="10" t="n"/>
      <c r="BU244" s="13">
        <f>Rule_Flags!Q243</f>
        <v/>
      </c>
      <c r="BV244" s="13">
        <f>Rule_Flags!P243</f>
        <v/>
      </c>
      <c r="BW244" s="13">
        <f>IF(Rule_Flags!E243=1,"SITE_CONTROL",IF(Rule_Flags!F243=1,"APPROVALS",IF(Rule_Flags!G243=1,"REPORTS",IF(Rule_Flags!H243=1,"DEFICIENCY",IF(Rule_Flags!I243=1,"UNDERWRITING",IF(Rule_Flags!J243=1,"COMPLIANCE",""))))))</f>
        <v/>
      </c>
      <c r="BX244" s="13">
        <f>IF(BW244="SITE_CONTROL","Site control missing or invalid",IF(BW244="APPROVALS","Required approvals or resolutions incomplete",IF(BW244="REPORTS","Required third-party reports incomplete",IF(BW244="DEFICIENCY","Unresolved deficiency or material deficiency",IF(BW244="UNDERWRITING","Underwriting / feasibility not passed",IF(BW244="COMPLIANCE","Deconcentration, one-mile, LURA, or Chapter 12 issue","Ready under current engine rules"))))))</f>
        <v/>
      </c>
      <c r="BY244" s="13">
        <f>IF(BV244="Determination Notice","Streamlined + DN-ready assumptions satisfied",IF(BV244="Board","Board-required or board-ready assumptions satisfied",""))</f>
        <v/>
      </c>
      <c r="BZ244" s="13">
        <f>IF(AND(BP244="Y",BQ244&lt;&gt;"Y"),"Carryforward project retains queue priority",IF(BQ244="Y","New project enters behind carryforward projects",""))</f>
        <v/>
      </c>
      <c r="CA244" s="13">
        <f>_xludf.RANK.EQ(Rule_Flags!O243,Rule_Flags!$O$3:$O$402,0)</f>
        <v/>
      </c>
      <c r="CB244" s="13">
        <f>IF(OR(BU244="Determination Notice Issued",BU244="Board",BU244="Closed"),"Y","N")</f>
        <v/>
      </c>
      <c r="CC244" s="9" t="n"/>
      <c r="CD244" s="9" t="n"/>
      <c r="CE244" s="9" t="n"/>
      <c r="CF244" s="9" t="n"/>
      <c r="CG244" s="9" t="n"/>
      <c r="CH244" s="9" t="n"/>
    </row>
    <row r="245">
      <c r="A245" s="8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8" t="n"/>
      <c r="L245" s="9" t="n"/>
      <c r="M245" s="8" t="n"/>
      <c r="N245" s="8" t="n"/>
      <c r="O245" s="8" t="n"/>
      <c r="P245" s="8" t="n"/>
      <c r="Q245" s="8" t="n"/>
      <c r="R245" s="9" t="n"/>
      <c r="S245" s="9" t="n"/>
      <c r="T245" s="10" t="n"/>
      <c r="U245" s="10" t="n"/>
      <c r="V245" s="9" t="n"/>
      <c r="W245" s="9" t="n"/>
      <c r="X245" s="9" t="n"/>
      <c r="Y245" s="9" t="n"/>
      <c r="Z245" s="11" t="n"/>
      <c r="AA245" s="11" t="n"/>
      <c r="AB245" s="11" t="n"/>
      <c r="AC245" s="11" t="n"/>
      <c r="AD245" s="11" t="n"/>
      <c r="AE245" s="11" t="n"/>
      <c r="AF245" s="9" t="n"/>
      <c r="AG245" s="9" t="n"/>
      <c r="AH245" s="9" t="n"/>
      <c r="AI245" s="9" t="n"/>
      <c r="AJ245" s="8" t="n"/>
      <c r="AK245" s="9" t="n"/>
      <c r="AL245" s="9" t="n"/>
      <c r="AM245" s="9" t="n"/>
      <c r="AN245" s="9" t="n"/>
      <c r="AO245" s="9" t="n"/>
      <c r="AP245" s="9" t="n"/>
      <c r="AQ245" s="9" t="n"/>
      <c r="AR245" s="9" t="n"/>
      <c r="AS245" s="9" t="n"/>
      <c r="AT245" s="8" t="n"/>
      <c r="AU245" s="8" t="n"/>
      <c r="AV245" s="9" t="n"/>
      <c r="AW245" s="8" t="n"/>
      <c r="AX245" s="9" t="n"/>
      <c r="AY245" s="9" t="n"/>
      <c r="AZ245" s="9" t="n"/>
      <c r="BA245" s="9" t="n"/>
      <c r="BB245" s="9" t="n"/>
      <c r="BC245" s="9" t="n"/>
      <c r="BD245" s="9" t="n"/>
      <c r="BE245" s="9" t="n"/>
      <c r="BF245" s="9" t="n"/>
      <c r="BG245" s="9" t="n"/>
      <c r="BH245" s="9" t="n"/>
      <c r="BI245" s="9" t="n"/>
      <c r="BJ245" s="9" t="n"/>
      <c r="BK245" s="9" t="n"/>
      <c r="BL245" s="9" t="n"/>
      <c r="BM245" s="9" t="n"/>
      <c r="BN245" s="9" t="n"/>
      <c r="BO245" s="8" t="n"/>
      <c r="BP245" s="9" t="n"/>
      <c r="BQ245" s="9" t="n"/>
      <c r="BR245" s="13">
        <f>IF(COUNTIF(AI245:BM245,"N")+COUNTBLANK(AI245:BM245)=0,"Y","N")</f>
        <v/>
      </c>
      <c r="BS245" s="13">
        <f>IF(AND(BR245="Y",OR(L245="Submitted",L245="Under Review")),"Y",IF(L245="Closed","Y","N"))</f>
        <v/>
      </c>
      <c r="BT245" s="10" t="n"/>
      <c r="BU245" s="13">
        <f>Rule_Flags!Q244</f>
        <v/>
      </c>
      <c r="BV245" s="13">
        <f>Rule_Flags!P244</f>
        <v/>
      </c>
      <c r="BW245" s="13">
        <f>IF(Rule_Flags!E244=1,"SITE_CONTROL",IF(Rule_Flags!F244=1,"APPROVALS",IF(Rule_Flags!G244=1,"REPORTS",IF(Rule_Flags!H244=1,"DEFICIENCY",IF(Rule_Flags!I244=1,"UNDERWRITING",IF(Rule_Flags!J244=1,"COMPLIANCE",""))))))</f>
        <v/>
      </c>
      <c r="BX245" s="13">
        <f>IF(BW245="SITE_CONTROL","Site control missing or invalid",IF(BW245="APPROVALS","Required approvals or resolutions incomplete",IF(BW245="REPORTS","Required third-party reports incomplete",IF(BW245="DEFICIENCY","Unresolved deficiency or material deficiency",IF(BW245="UNDERWRITING","Underwriting / feasibility not passed",IF(BW245="COMPLIANCE","Deconcentration, one-mile, LURA, or Chapter 12 issue","Ready under current engine rules"))))))</f>
        <v/>
      </c>
      <c r="BY245" s="13">
        <f>IF(BV245="Determination Notice","Streamlined + DN-ready assumptions satisfied",IF(BV245="Board","Board-required or board-ready assumptions satisfied",""))</f>
        <v/>
      </c>
      <c r="BZ245" s="13">
        <f>IF(AND(BP245="Y",BQ245&lt;&gt;"Y"),"Carryforward project retains queue priority",IF(BQ245="Y","New project enters behind carryforward projects",""))</f>
        <v/>
      </c>
      <c r="CA245" s="13">
        <f>_xludf.RANK.EQ(Rule_Flags!O244,Rule_Flags!$O$3:$O$402,0)</f>
        <v/>
      </c>
      <c r="CB245" s="13">
        <f>IF(OR(BU245="Determination Notice Issued",BU245="Board",BU245="Closed"),"Y","N")</f>
        <v/>
      </c>
      <c r="CC245" s="9" t="n"/>
      <c r="CD245" s="9" t="n"/>
      <c r="CE245" s="9" t="n"/>
      <c r="CF245" s="9" t="n"/>
      <c r="CG245" s="9" t="n"/>
      <c r="CH245" s="9" t="n"/>
    </row>
    <row r="246">
      <c r="A246" s="8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8" t="n"/>
      <c r="L246" s="9" t="n"/>
      <c r="M246" s="8" t="n"/>
      <c r="N246" s="8" t="n"/>
      <c r="O246" s="8" t="n"/>
      <c r="P246" s="8" t="n"/>
      <c r="Q246" s="8" t="n"/>
      <c r="R246" s="9" t="n"/>
      <c r="S246" s="9" t="n"/>
      <c r="T246" s="10" t="n"/>
      <c r="U246" s="10" t="n"/>
      <c r="V246" s="9" t="n"/>
      <c r="W246" s="9" t="n"/>
      <c r="X246" s="9" t="n"/>
      <c r="Y246" s="9" t="n"/>
      <c r="Z246" s="11" t="n"/>
      <c r="AA246" s="11" t="n"/>
      <c r="AB246" s="11" t="n"/>
      <c r="AC246" s="11" t="n"/>
      <c r="AD246" s="11" t="n"/>
      <c r="AE246" s="11" t="n"/>
      <c r="AF246" s="9" t="n"/>
      <c r="AG246" s="9" t="n"/>
      <c r="AH246" s="9" t="n"/>
      <c r="AI246" s="9" t="n"/>
      <c r="AJ246" s="8" t="n"/>
      <c r="AK246" s="9" t="n"/>
      <c r="AL246" s="9" t="n"/>
      <c r="AM246" s="9" t="n"/>
      <c r="AN246" s="9" t="n"/>
      <c r="AO246" s="9" t="n"/>
      <c r="AP246" s="9" t="n"/>
      <c r="AQ246" s="9" t="n"/>
      <c r="AR246" s="9" t="n"/>
      <c r="AS246" s="9" t="n"/>
      <c r="AT246" s="8" t="n"/>
      <c r="AU246" s="8" t="n"/>
      <c r="AV246" s="9" t="n"/>
      <c r="AW246" s="8" t="n"/>
      <c r="AX246" s="9" t="n"/>
      <c r="AY246" s="9" t="n"/>
      <c r="AZ246" s="9" t="n"/>
      <c r="BA246" s="9" t="n"/>
      <c r="BB246" s="9" t="n"/>
      <c r="BC246" s="9" t="n"/>
      <c r="BD246" s="9" t="n"/>
      <c r="BE246" s="9" t="n"/>
      <c r="BF246" s="9" t="n"/>
      <c r="BG246" s="9" t="n"/>
      <c r="BH246" s="9" t="n"/>
      <c r="BI246" s="9" t="n"/>
      <c r="BJ246" s="9" t="n"/>
      <c r="BK246" s="9" t="n"/>
      <c r="BL246" s="9" t="n"/>
      <c r="BM246" s="9" t="n"/>
      <c r="BN246" s="9" t="n"/>
      <c r="BO246" s="8" t="n"/>
      <c r="BP246" s="9" t="n"/>
      <c r="BQ246" s="9" t="n"/>
      <c r="BR246" s="13">
        <f>IF(COUNTIF(AI246:BM246,"N")+COUNTBLANK(AI246:BM246)=0,"Y","N")</f>
        <v/>
      </c>
      <c r="BS246" s="13">
        <f>IF(AND(BR246="Y",OR(L246="Submitted",L246="Under Review")),"Y",IF(L246="Closed","Y","N"))</f>
        <v/>
      </c>
      <c r="BT246" s="10" t="n"/>
      <c r="BU246" s="13">
        <f>Rule_Flags!Q245</f>
        <v/>
      </c>
      <c r="BV246" s="13">
        <f>Rule_Flags!P245</f>
        <v/>
      </c>
      <c r="BW246" s="13">
        <f>IF(Rule_Flags!E245=1,"SITE_CONTROL",IF(Rule_Flags!F245=1,"APPROVALS",IF(Rule_Flags!G245=1,"REPORTS",IF(Rule_Flags!H245=1,"DEFICIENCY",IF(Rule_Flags!I245=1,"UNDERWRITING",IF(Rule_Flags!J245=1,"COMPLIANCE",""))))))</f>
        <v/>
      </c>
      <c r="BX246" s="13">
        <f>IF(BW246="SITE_CONTROL","Site control missing or invalid",IF(BW246="APPROVALS","Required approvals or resolutions incomplete",IF(BW246="REPORTS","Required third-party reports incomplete",IF(BW246="DEFICIENCY","Unresolved deficiency or material deficiency",IF(BW246="UNDERWRITING","Underwriting / feasibility not passed",IF(BW246="COMPLIANCE","Deconcentration, one-mile, LURA, or Chapter 12 issue","Ready under current engine rules"))))))</f>
        <v/>
      </c>
      <c r="BY246" s="13">
        <f>IF(BV246="Determination Notice","Streamlined + DN-ready assumptions satisfied",IF(BV246="Board","Board-required or board-ready assumptions satisfied",""))</f>
        <v/>
      </c>
      <c r="BZ246" s="13">
        <f>IF(AND(BP246="Y",BQ246&lt;&gt;"Y"),"Carryforward project retains queue priority",IF(BQ246="Y","New project enters behind carryforward projects",""))</f>
        <v/>
      </c>
      <c r="CA246" s="13">
        <f>_xludf.RANK.EQ(Rule_Flags!O245,Rule_Flags!$O$3:$O$402,0)</f>
        <v/>
      </c>
      <c r="CB246" s="13">
        <f>IF(OR(BU246="Determination Notice Issued",BU246="Board",BU246="Closed"),"Y","N")</f>
        <v/>
      </c>
      <c r="CC246" s="9" t="n"/>
      <c r="CD246" s="9" t="n"/>
      <c r="CE246" s="9" t="n"/>
      <c r="CF246" s="9" t="n"/>
      <c r="CG246" s="9" t="n"/>
      <c r="CH246" s="9" t="n"/>
    </row>
    <row r="247">
      <c r="A247" s="8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8" t="n"/>
      <c r="L247" s="9" t="n"/>
      <c r="M247" s="8" t="n"/>
      <c r="N247" s="8" t="n"/>
      <c r="O247" s="8" t="n"/>
      <c r="P247" s="8" t="n"/>
      <c r="Q247" s="8" t="n"/>
      <c r="R247" s="9" t="n"/>
      <c r="S247" s="9" t="n"/>
      <c r="T247" s="10" t="n"/>
      <c r="U247" s="10" t="n"/>
      <c r="V247" s="9" t="n"/>
      <c r="W247" s="9" t="n"/>
      <c r="X247" s="9" t="n"/>
      <c r="Y247" s="9" t="n"/>
      <c r="Z247" s="11" t="n"/>
      <c r="AA247" s="11" t="n"/>
      <c r="AB247" s="11" t="n"/>
      <c r="AC247" s="11" t="n"/>
      <c r="AD247" s="11" t="n"/>
      <c r="AE247" s="11" t="n"/>
      <c r="AF247" s="9" t="n"/>
      <c r="AG247" s="9" t="n"/>
      <c r="AH247" s="9" t="n"/>
      <c r="AI247" s="9" t="n"/>
      <c r="AJ247" s="8" t="n"/>
      <c r="AK247" s="9" t="n"/>
      <c r="AL247" s="9" t="n"/>
      <c r="AM247" s="9" t="n"/>
      <c r="AN247" s="9" t="n"/>
      <c r="AO247" s="9" t="n"/>
      <c r="AP247" s="9" t="n"/>
      <c r="AQ247" s="9" t="n"/>
      <c r="AR247" s="9" t="n"/>
      <c r="AS247" s="9" t="n"/>
      <c r="AT247" s="8" t="n"/>
      <c r="AU247" s="8" t="n"/>
      <c r="AV247" s="9" t="n"/>
      <c r="AW247" s="8" t="n"/>
      <c r="AX247" s="9" t="n"/>
      <c r="AY247" s="9" t="n"/>
      <c r="AZ247" s="9" t="n"/>
      <c r="BA247" s="9" t="n"/>
      <c r="BB247" s="9" t="n"/>
      <c r="BC247" s="9" t="n"/>
      <c r="BD247" s="9" t="n"/>
      <c r="BE247" s="9" t="n"/>
      <c r="BF247" s="9" t="n"/>
      <c r="BG247" s="9" t="n"/>
      <c r="BH247" s="9" t="n"/>
      <c r="BI247" s="9" t="n"/>
      <c r="BJ247" s="9" t="n"/>
      <c r="BK247" s="9" t="n"/>
      <c r="BL247" s="9" t="n"/>
      <c r="BM247" s="9" t="n"/>
      <c r="BN247" s="9" t="n"/>
      <c r="BO247" s="8" t="n"/>
      <c r="BP247" s="9" t="n"/>
      <c r="BQ247" s="9" t="n"/>
      <c r="BR247" s="13">
        <f>IF(COUNTIF(AI247:BM247,"N")+COUNTBLANK(AI247:BM247)=0,"Y","N")</f>
        <v/>
      </c>
      <c r="BS247" s="13">
        <f>IF(AND(BR247="Y",OR(L247="Submitted",L247="Under Review")),"Y",IF(L247="Closed","Y","N"))</f>
        <v/>
      </c>
      <c r="BT247" s="10" t="n"/>
      <c r="BU247" s="13">
        <f>Rule_Flags!Q246</f>
        <v/>
      </c>
      <c r="BV247" s="13">
        <f>Rule_Flags!P246</f>
        <v/>
      </c>
      <c r="BW247" s="13">
        <f>IF(Rule_Flags!E246=1,"SITE_CONTROL",IF(Rule_Flags!F246=1,"APPROVALS",IF(Rule_Flags!G246=1,"REPORTS",IF(Rule_Flags!H246=1,"DEFICIENCY",IF(Rule_Flags!I246=1,"UNDERWRITING",IF(Rule_Flags!J246=1,"COMPLIANCE",""))))))</f>
        <v/>
      </c>
      <c r="BX247" s="13">
        <f>IF(BW247="SITE_CONTROL","Site control missing or invalid",IF(BW247="APPROVALS","Required approvals or resolutions incomplete",IF(BW247="REPORTS","Required third-party reports incomplete",IF(BW247="DEFICIENCY","Unresolved deficiency or material deficiency",IF(BW247="UNDERWRITING","Underwriting / feasibility not passed",IF(BW247="COMPLIANCE","Deconcentration, one-mile, LURA, or Chapter 12 issue","Ready under current engine rules"))))))</f>
        <v/>
      </c>
      <c r="BY247" s="13">
        <f>IF(BV247="Determination Notice","Streamlined + DN-ready assumptions satisfied",IF(BV247="Board","Board-required or board-ready assumptions satisfied",""))</f>
        <v/>
      </c>
      <c r="BZ247" s="13">
        <f>IF(AND(BP247="Y",BQ247&lt;&gt;"Y"),"Carryforward project retains queue priority",IF(BQ247="Y","New project enters behind carryforward projects",""))</f>
        <v/>
      </c>
      <c r="CA247" s="13">
        <f>_xludf.RANK.EQ(Rule_Flags!O246,Rule_Flags!$O$3:$O$402,0)</f>
        <v/>
      </c>
      <c r="CB247" s="13">
        <f>IF(OR(BU247="Determination Notice Issued",BU247="Board",BU247="Closed"),"Y","N")</f>
        <v/>
      </c>
      <c r="CC247" s="9" t="n"/>
      <c r="CD247" s="9" t="n"/>
      <c r="CE247" s="9" t="n"/>
      <c r="CF247" s="9" t="n"/>
      <c r="CG247" s="9" t="n"/>
      <c r="CH247" s="9" t="n"/>
    </row>
    <row r="248">
      <c r="A248" s="8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8" t="n"/>
      <c r="L248" s="9" t="n"/>
      <c r="M248" s="8" t="n"/>
      <c r="N248" s="8" t="n"/>
      <c r="O248" s="8" t="n"/>
      <c r="P248" s="8" t="n"/>
      <c r="Q248" s="8" t="n"/>
      <c r="R248" s="9" t="n"/>
      <c r="S248" s="9" t="n"/>
      <c r="T248" s="10" t="n"/>
      <c r="U248" s="10" t="n"/>
      <c r="V248" s="9" t="n"/>
      <c r="W248" s="9" t="n"/>
      <c r="X248" s="9" t="n"/>
      <c r="Y248" s="9" t="n"/>
      <c r="Z248" s="11" t="n"/>
      <c r="AA248" s="11" t="n"/>
      <c r="AB248" s="11" t="n"/>
      <c r="AC248" s="11" t="n"/>
      <c r="AD248" s="11" t="n"/>
      <c r="AE248" s="11" t="n"/>
      <c r="AF248" s="9" t="n"/>
      <c r="AG248" s="9" t="n"/>
      <c r="AH248" s="9" t="n"/>
      <c r="AI248" s="9" t="n"/>
      <c r="AJ248" s="8" t="n"/>
      <c r="AK248" s="9" t="n"/>
      <c r="AL248" s="9" t="n"/>
      <c r="AM248" s="9" t="n"/>
      <c r="AN248" s="9" t="n"/>
      <c r="AO248" s="9" t="n"/>
      <c r="AP248" s="9" t="n"/>
      <c r="AQ248" s="9" t="n"/>
      <c r="AR248" s="9" t="n"/>
      <c r="AS248" s="9" t="n"/>
      <c r="AT248" s="8" t="n"/>
      <c r="AU248" s="8" t="n"/>
      <c r="AV248" s="9" t="n"/>
      <c r="AW248" s="8" t="n"/>
      <c r="AX248" s="9" t="n"/>
      <c r="AY248" s="9" t="n"/>
      <c r="AZ248" s="9" t="n"/>
      <c r="BA248" s="9" t="n"/>
      <c r="BB248" s="9" t="n"/>
      <c r="BC248" s="9" t="n"/>
      <c r="BD248" s="9" t="n"/>
      <c r="BE248" s="9" t="n"/>
      <c r="BF248" s="9" t="n"/>
      <c r="BG248" s="9" t="n"/>
      <c r="BH248" s="9" t="n"/>
      <c r="BI248" s="9" t="n"/>
      <c r="BJ248" s="9" t="n"/>
      <c r="BK248" s="9" t="n"/>
      <c r="BL248" s="9" t="n"/>
      <c r="BM248" s="9" t="n"/>
      <c r="BN248" s="9" t="n"/>
      <c r="BO248" s="8" t="n"/>
      <c r="BP248" s="9" t="n"/>
      <c r="BQ248" s="9" t="n"/>
      <c r="BR248" s="13">
        <f>IF(COUNTIF(AI248:BM248,"N")+COUNTBLANK(AI248:BM248)=0,"Y","N")</f>
        <v/>
      </c>
      <c r="BS248" s="13">
        <f>IF(AND(BR248="Y",OR(L248="Submitted",L248="Under Review")),"Y",IF(L248="Closed","Y","N"))</f>
        <v/>
      </c>
      <c r="BT248" s="10" t="n"/>
      <c r="BU248" s="13">
        <f>Rule_Flags!Q247</f>
        <v/>
      </c>
      <c r="BV248" s="13">
        <f>Rule_Flags!P247</f>
        <v/>
      </c>
      <c r="BW248" s="13">
        <f>IF(Rule_Flags!E247=1,"SITE_CONTROL",IF(Rule_Flags!F247=1,"APPROVALS",IF(Rule_Flags!G247=1,"REPORTS",IF(Rule_Flags!H247=1,"DEFICIENCY",IF(Rule_Flags!I247=1,"UNDERWRITING",IF(Rule_Flags!J247=1,"COMPLIANCE",""))))))</f>
        <v/>
      </c>
      <c r="BX248" s="13">
        <f>IF(BW248="SITE_CONTROL","Site control missing or invalid",IF(BW248="APPROVALS","Required approvals or resolutions incomplete",IF(BW248="REPORTS","Required third-party reports incomplete",IF(BW248="DEFICIENCY","Unresolved deficiency or material deficiency",IF(BW248="UNDERWRITING","Underwriting / feasibility not passed",IF(BW248="COMPLIANCE","Deconcentration, one-mile, LURA, or Chapter 12 issue","Ready under current engine rules"))))))</f>
        <v/>
      </c>
      <c r="BY248" s="13">
        <f>IF(BV248="Determination Notice","Streamlined + DN-ready assumptions satisfied",IF(BV248="Board","Board-required or board-ready assumptions satisfied",""))</f>
        <v/>
      </c>
      <c r="BZ248" s="13">
        <f>IF(AND(BP248="Y",BQ248&lt;&gt;"Y"),"Carryforward project retains queue priority",IF(BQ248="Y","New project enters behind carryforward projects",""))</f>
        <v/>
      </c>
      <c r="CA248" s="13">
        <f>_xludf.RANK.EQ(Rule_Flags!O247,Rule_Flags!$O$3:$O$402,0)</f>
        <v/>
      </c>
      <c r="CB248" s="13">
        <f>IF(OR(BU248="Determination Notice Issued",BU248="Board",BU248="Closed"),"Y","N")</f>
        <v/>
      </c>
      <c r="CC248" s="9" t="n"/>
      <c r="CD248" s="9" t="n"/>
      <c r="CE248" s="9" t="n"/>
      <c r="CF248" s="9" t="n"/>
      <c r="CG248" s="9" t="n"/>
      <c r="CH248" s="9" t="n"/>
    </row>
    <row r="249">
      <c r="A249" s="8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8" t="n"/>
      <c r="L249" s="9" t="n"/>
      <c r="M249" s="8" t="n"/>
      <c r="N249" s="8" t="n"/>
      <c r="O249" s="8" t="n"/>
      <c r="P249" s="8" t="n"/>
      <c r="Q249" s="8" t="n"/>
      <c r="R249" s="9" t="n"/>
      <c r="S249" s="9" t="n"/>
      <c r="T249" s="10" t="n"/>
      <c r="U249" s="10" t="n"/>
      <c r="V249" s="9" t="n"/>
      <c r="W249" s="9" t="n"/>
      <c r="X249" s="9" t="n"/>
      <c r="Y249" s="9" t="n"/>
      <c r="Z249" s="11" t="n"/>
      <c r="AA249" s="11" t="n"/>
      <c r="AB249" s="11" t="n"/>
      <c r="AC249" s="11" t="n"/>
      <c r="AD249" s="11" t="n"/>
      <c r="AE249" s="11" t="n"/>
      <c r="AF249" s="9" t="n"/>
      <c r="AG249" s="9" t="n"/>
      <c r="AH249" s="9" t="n"/>
      <c r="AI249" s="9" t="n"/>
      <c r="AJ249" s="8" t="n"/>
      <c r="AK249" s="9" t="n"/>
      <c r="AL249" s="9" t="n"/>
      <c r="AM249" s="9" t="n"/>
      <c r="AN249" s="9" t="n"/>
      <c r="AO249" s="9" t="n"/>
      <c r="AP249" s="9" t="n"/>
      <c r="AQ249" s="9" t="n"/>
      <c r="AR249" s="9" t="n"/>
      <c r="AS249" s="9" t="n"/>
      <c r="AT249" s="8" t="n"/>
      <c r="AU249" s="8" t="n"/>
      <c r="AV249" s="9" t="n"/>
      <c r="AW249" s="8" t="n"/>
      <c r="AX249" s="9" t="n"/>
      <c r="AY249" s="9" t="n"/>
      <c r="AZ249" s="9" t="n"/>
      <c r="BA249" s="9" t="n"/>
      <c r="BB249" s="9" t="n"/>
      <c r="BC249" s="9" t="n"/>
      <c r="BD249" s="9" t="n"/>
      <c r="BE249" s="9" t="n"/>
      <c r="BF249" s="9" t="n"/>
      <c r="BG249" s="9" t="n"/>
      <c r="BH249" s="9" t="n"/>
      <c r="BI249" s="9" t="n"/>
      <c r="BJ249" s="9" t="n"/>
      <c r="BK249" s="9" t="n"/>
      <c r="BL249" s="9" t="n"/>
      <c r="BM249" s="9" t="n"/>
      <c r="BN249" s="9" t="n"/>
      <c r="BO249" s="8" t="n"/>
      <c r="BP249" s="9" t="n"/>
      <c r="BQ249" s="9" t="n"/>
      <c r="BR249" s="13">
        <f>IF(COUNTIF(AI249:BM249,"N")+COUNTBLANK(AI249:BM249)=0,"Y","N")</f>
        <v/>
      </c>
      <c r="BS249" s="13">
        <f>IF(AND(BR249="Y",OR(L249="Submitted",L249="Under Review")),"Y",IF(L249="Closed","Y","N"))</f>
        <v/>
      </c>
      <c r="BT249" s="10" t="n"/>
      <c r="BU249" s="13">
        <f>Rule_Flags!Q248</f>
        <v/>
      </c>
      <c r="BV249" s="13">
        <f>Rule_Flags!P248</f>
        <v/>
      </c>
      <c r="BW249" s="13">
        <f>IF(Rule_Flags!E248=1,"SITE_CONTROL",IF(Rule_Flags!F248=1,"APPROVALS",IF(Rule_Flags!G248=1,"REPORTS",IF(Rule_Flags!H248=1,"DEFICIENCY",IF(Rule_Flags!I248=1,"UNDERWRITING",IF(Rule_Flags!J248=1,"COMPLIANCE",""))))))</f>
        <v/>
      </c>
      <c r="BX249" s="13">
        <f>IF(BW249="SITE_CONTROL","Site control missing or invalid",IF(BW249="APPROVALS","Required approvals or resolutions incomplete",IF(BW249="REPORTS","Required third-party reports incomplete",IF(BW249="DEFICIENCY","Unresolved deficiency or material deficiency",IF(BW249="UNDERWRITING","Underwriting / feasibility not passed",IF(BW249="COMPLIANCE","Deconcentration, one-mile, LURA, or Chapter 12 issue","Ready under current engine rules"))))))</f>
        <v/>
      </c>
      <c r="BY249" s="13">
        <f>IF(BV249="Determination Notice","Streamlined + DN-ready assumptions satisfied",IF(BV249="Board","Board-required or board-ready assumptions satisfied",""))</f>
        <v/>
      </c>
      <c r="BZ249" s="13">
        <f>IF(AND(BP249="Y",BQ249&lt;&gt;"Y"),"Carryforward project retains queue priority",IF(BQ249="Y","New project enters behind carryforward projects",""))</f>
        <v/>
      </c>
      <c r="CA249" s="13">
        <f>_xludf.RANK.EQ(Rule_Flags!O248,Rule_Flags!$O$3:$O$402,0)</f>
        <v/>
      </c>
      <c r="CB249" s="13">
        <f>IF(OR(BU249="Determination Notice Issued",BU249="Board",BU249="Closed"),"Y","N")</f>
        <v/>
      </c>
      <c r="CC249" s="9" t="n"/>
      <c r="CD249" s="9" t="n"/>
      <c r="CE249" s="9" t="n"/>
      <c r="CF249" s="9" t="n"/>
      <c r="CG249" s="9" t="n"/>
      <c r="CH249" s="9" t="n"/>
    </row>
    <row r="250">
      <c r="A250" s="8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8" t="n"/>
      <c r="L250" s="9" t="n"/>
      <c r="M250" s="8" t="n"/>
      <c r="N250" s="8" t="n"/>
      <c r="O250" s="8" t="n"/>
      <c r="P250" s="8" t="n"/>
      <c r="Q250" s="8" t="n"/>
      <c r="R250" s="9" t="n"/>
      <c r="S250" s="9" t="n"/>
      <c r="T250" s="10" t="n"/>
      <c r="U250" s="10" t="n"/>
      <c r="V250" s="9" t="n"/>
      <c r="W250" s="9" t="n"/>
      <c r="X250" s="9" t="n"/>
      <c r="Y250" s="9" t="n"/>
      <c r="Z250" s="11" t="n"/>
      <c r="AA250" s="11" t="n"/>
      <c r="AB250" s="11" t="n"/>
      <c r="AC250" s="11" t="n"/>
      <c r="AD250" s="11" t="n"/>
      <c r="AE250" s="11" t="n"/>
      <c r="AF250" s="9" t="n"/>
      <c r="AG250" s="9" t="n"/>
      <c r="AH250" s="9" t="n"/>
      <c r="AI250" s="9" t="n"/>
      <c r="AJ250" s="8" t="n"/>
      <c r="AK250" s="9" t="n"/>
      <c r="AL250" s="9" t="n"/>
      <c r="AM250" s="9" t="n"/>
      <c r="AN250" s="9" t="n"/>
      <c r="AO250" s="9" t="n"/>
      <c r="AP250" s="9" t="n"/>
      <c r="AQ250" s="9" t="n"/>
      <c r="AR250" s="9" t="n"/>
      <c r="AS250" s="9" t="n"/>
      <c r="AT250" s="8" t="n"/>
      <c r="AU250" s="8" t="n"/>
      <c r="AV250" s="9" t="n"/>
      <c r="AW250" s="8" t="n"/>
      <c r="AX250" s="9" t="n"/>
      <c r="AY250" s="9" t="n"/>
      <c r="AZ250" s="9" t="n"/>
      <c r="BA250" s="9" t="n"/>
      <c r="BB250" s="9" t="n"/>
      <c r="BC250" s="9" t="n"/>
      <c r="BD250" s="9" t="n"/>
      <c r="BE250" s="9" t="n"/>
      <c r="BF250" s="9" t="n"/>
      <c r="BG250" s="9" t="n"/>
      <c r="BH250" s="9" t="n"/>
      <c r="BI250" s="9" t="n"/>
      <c r="BJ250" s="9" t="n"/>
      <c r="BK250" s="9" t="n"/>
      <c r="BL250" s="9" t="n"/>
      <c r="BM250" s="9" t="n"/>
      <c r="BN250" s="9" t="n"/>
      <c r="BO250" s="8" t="n"/>
      <c r="BP250" s="9" t="n"/>
      <c r="BQ250" s="9" t="n"/>
      <c r="BR250" s="13">
        <f>IF(COUNTIF(AI250:BM250,"N")+COUNTBLANK(AI250:BM250)=0,"Y","N")</f>
        <v/>
      </c>
      <c r="BS250" s="13">
        <f>IF(AND(BR250="Y",OR(L250="Submitted",L250="Under Review")),"Y",IF(L250="Closed","Y","N"))</f>
        <v/>
      </c>
      <c r="BT250" s="10" t="n"/>
      <c r="BU250" s="13">
        <f>Rule_Flags!Q249</f>
        <v/>
      </c>
      <c r="BV250" s="13">
        <f>Rule_Flags!P249</f>
        <v/>
      </c>
      <c r="BW250" s="13">
        <f>IF(Rule_Flags!E249=1,"SITE_CONTROL",IF(Rule_Flags!F249=1,"APPROVALS",IF(Rule_Flags!G249=1,"REPORTS",IF(Rule_Flags!H249=1,"DEFICIENCY",IF(Rule_Flags!I249=1,"UNDERWRITING",IF(Rule_Flags!J249=1,"COMPLIANCE",""))))))</f>
        <v/>
      </c>
      <c r="BX250" s="13">
        <f>IF(BW250="SITE_CONTROL","Site control missing or invalid",IF(BW250="APPROVALS","Required approvals or resolutions incomplete",IF(BW250="REPORTS","Required third-party reports incomplete",IF(BW250="DEFICIENCY","Unresolved deficiency or material deficiency",IF(BW250="UNDERWRITING","Underwriting / feasibility not passed",IF(BW250="COMPLIANCE","Deconcentration, one-mile, LURA, or Chapter 12 issue","Ready under current engine rules"))))))</f>
        <v/>
      </c>
      <c r="BY250" s="13">
        <f>IF(BV250="Determination Notice","Streamlined + DN-ready assumptions satisfied",IF(BV250="Board","Board-required or board-ready assumptions satisfied",""))</f>
        <v/>
      </c>
      <c r="BZ250" s="13">
        <f>IF(AND(BP250="Y",BQ250&lt;&gt;"Y"),"Carryforward project retains queue priority",IF(BQ250="Y","New project enters behind carryforward projects",""))</f>
        <v/>
      </c>
      <c r="CA250" s="13">
        <f>_xludf.RANK.EQ(Rule_Flags!O249,Rule_Flags!$O$3:$O$402,0)</f>
        <v/>
      </c>
      <c r="CB250" s="13">
        <f>IF(OR(BU250="Determination Notice Issued",BU250="Board",BU250="Closed"),"Y","N")</f>
        <v/>
      </c>
      <c r="CC250" s="9" t="n"/>
      <c r="CD250" s="9" t="n"/>
      <c r="CE250" s="9" t="n"/>
      <c r="CF250" s="9" t="n"/>
      <c r="CG250" s="9" t="n"/>
      <c r="CH250" s="9" t="n"/>
    </row>
    <row r="251">
      <c r="A251" s="8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8" t="n"/>
      <c r="L251" s="9" t="n"/>
      <c r="M251" s="8" t="n"/>
      <c r="N251" s="8" t="n"/>
      <c r="O251" s="8" t="n"/>
      <c r="P251" s="8" t="n"/>
      <c r="Q251" s="8" t="n"/>
      <c r="R251" s="9" t="n"/>
      <c r="S251" s="9" t="n"/>
      <c r="T251" s="10" t="n"/>
      <c r="U251" s="10" t="n"/>
      <c r="V251" s="9" t="n"/>
      <c r="W251" s="9" t="n"/>
      <c r="X251" s="9" t="n"/>
      <c r="Y251" s="9" t="n"/>
      <c r="Z251" s="11" t="n"/>
      <c r="AA251" s="11" t="n"/>
      <c r="AB251" s="11" t="n"/>
      <c r="AC251" s="11" t="n"/>
      <c r="AD251" s="11" t="n"/>
      <c r="AE251" s="11" t="n"/>
      <c r="AF251" s="9" t="n"/>
      <c r="AG251" s="9" t="n"/>
      <c r="AH251" s="9" t="n"/>
      <c r="AI251" s="9" t="n"/>
      <c r="AJ251" s="8" t="n"/>
      <c r="AK251" s="9" t="n"/>
      <c r="AL251" s="9" t="n"/>
      <c r="AM251" s="9" t="n"/>
      <c r="AN251" s="9" t="n"/>
      <c r="AO251" s="9" t="n"/>
      <c r="AP251" s="9" t="n"/>
      <c r="AQ251" s="9" t="n"/>
      <c r="AR251" s="9" t="n"/>
      <c r="AS251" s="9" t="n"/>
      <c r="AT251" s="8" t="n"/>
      <c r="AU251" s="8" t="n"/>
      <c r="AV251" s="9" t="n"/>
      <c r="AW251" s="8" t="n"/>
      <c r="AX251" s="9" t="n"/>
      <c r="AY251" s="9" t="n"/>
      <c r="AZ251" s="9" t="n"/>
      <c r="BA251" s="9" t="n"/>
      <c r="BB251" s="9" t="n"/>
      <c r="BC251" s="9" t="n"/>
      <c r="BD251" s="9" t="n"/>
      <c r="BE251" s="9" t="n"/>
      <c r="BF251" s="9" t="n"/>
      <c r="BG251" s="9" t="n"/>
      <c r="BH251" s="9" t="n"/>
      <c r="BI251" s="9" t="n"/>
      <c r="BJ251" s="9" t="n"/>
      <c r="BK251" s="9" t="n"/>
      <c r="BL251" s="9" t="n"/>
      <c r="BM251" s="9" t="n"/>
      <c r="BN251" s="9" t="n"/>
      <c r="BO251" s="8" t="n"/>
      <c r="BP251" s="9" t="n"/>
      <c r="BQ251" s="9" t="n"/>
      <c r="BR251" s="13">
        <f>IF(COUNTIF(AI251:BM251,"N")+COUNTBLANK(AI251:BM251)=0,"Y","N")</f>
        <v/>
      </c>
      <c r="BS251" s="13">
        <f>IF(AND(BR251="Y",OR(L251="Submitted",L251="Under Review")),"Y",IF(L251="Closed","Y","N"))</f>
        <v/>
      </c>
      <c r="BT251" s="10" t="n"/>
      <c r="BU251" s="13">
        <f>Rule_Flags!Q250</f>
        <v/>
      </c>
      <c r="BV251" s="13">
        <f>Rule_Flags!P250</f>
        <v/>
      </c>
      <c r="BW251" s="13">
        <f>IF(Rule_Flags!E250=1,"SITE_CONTROL",IF(Rule_Flags!F250=1,"APPROVALS",IF(Rule_Flags!G250=1,"REPORTS",IF(Rule_Flags!H250=1,"DEFICIENCY",IF(Rule_Flags!I250=1,"UNDERWRITING",IF(Rule_Flags!J250=1,"COMPLIANCE",""))))))</f>
        <v/>
      </c>
      <c r="BX251" s="13">
        <f>IF(BW251="SITE_CONTROL","Site control missing or invalid",IF(BW251="APPROVALS","Required approvals or resolutions incomplete",IF(BW251="REPORTS","Required third-party reports incomplete",IF(BW251="DEFICIENCY","Unresolved deficiency or material deficiency",IF(BW251="UNDERWRITING","Underwriting / feasibility not passed",IF(BW251="COMPLIANCE","Deconcentration, one-mile, LURA, or Chapter 12 issue","Ready under current engine rules"))))))</f>
        <v/>
      </c>
      <c r="BY251" s="13">
        <f>IF(BV251="Determination Notice","Streamlined + DN-ready assumptions satisfied",IF(BV251="Board","Board-required or board-ready assumptions satisfied",""))</f>
        <v/>
      </c>
      <c r="BZ251" s="13">
        <f>IF(AND(BP251="Y",BQ251&lt;&gt;"Y"),"Carryforward project retains queue priority",IF(BQ251="Y","New project enters behind carryforward projects",""))</f>
        <v/>
      </c>
      <c r="CA251" s="13">
        <f>_xludf.RANK.EQ(Rule_Flags!O250,Rule_Flags!$O$3:$O$402,0)</f>
        <v/>
      </c>
      <c r="CB251" s="13">
        <f>IF(OR(BU251="Determination Notice Issued",BU251="Board",BU251="Closed"),"Y","N")</f>
        <v/>
      </c>
      <c r="CC251" s="9" t="n"/>
      <c r="CD251" s="9" t="n"/>
      <c r="CE251" s="9" t="n"/>
      <c r="CF251" s="9" t="n"/>
      <c r="CG251" s="9" t="n"/>
      <c r="CH251" s="9" t="n"/>
    </row>
    <row r="252">
      <c r="A252" s="8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8" t="n"/>
      <c r="L252" s="9" t="n"/>
      <c r="M252" s="8" t="n"/>
      <c r="N252" s="8" t="n"/>
      <c r="O252" s="8" t="n"/>
      <c r="P252" s="8" t="n"/>
      <c r="Q252" s="8" t="n"/>
      <c r="R252" s="9" t="n"/>
      <c r="S252" s="9" t="n"/>
      <c r="T252" s="10" t="n"/>
      <c r="U252" s="10" t="n"/>
      <c r="V252" s="9" t="n"/>
      <c r="W252" s="9" t="n"/>
      <c r="X252" s="9" t="n"/>
      <c r="Y252" s="9" t="n"/>
      <c r="Z252" s="11" t="n"/>
      <c r="AA252" s="11" t="n"/>
      <c r="AB252" s="11" t="n"/>
      <c r="AC252" s="11" t="n"/>
      <c r="AD252" s="11" t="n"/>
      <c r="AE252" s="11" t="n"/>
      <c r="AF252" s="9" t="n"/>
      <c r="AG252" s="9" t="n"/>
      <c r="AH252" s="9" t="n"/>
      <c r="AI252" s="9" t="n"/>
      <c r="AJ252" s="8" t="n"/>
      <c r="AK252" s="9" t="n"/>
      <c r="AL252" s="9" t="n"/>
      <c r="AM252" s="9" t="n"/>
      <c r="AN252" s="9" t="n"/>
      <c r="AO252" s="9" t="n"/>
      <c r="AP252" s="9" t="n"/>
      <c r="AQ252" s="9" t="n"/>
      <c r="AR252" s="9" t="n"/>
      <c r="AS252" s="9" t="n"/>
      <c r="AT252" s="8" t="n"/>
      <c r="AU252" s="8" t="n"/>
      <c r="AV252" s="9" t="n"/>
      <c r="AW252" s="8" t="n"/>
      <c r="AX252" s="9" t="n"/>
      <c r="AY252" s="9" t="n"/>
      <c r="AZ252" s="9" t="n"/>
      <c r="BA252" s="9" t="n"/>
      <c r="BB252" s="9" t="n"/>
      <c r="BC252" s="9" t="n"/>
      <c r="BD252" s="9" t="n"/>
      <c r="BE252" s="9" t="n"/>
      <c r="BF252" s="9" t="n"/>
      <c r="BG252" s="9" t="n"/>
      <c r="BH252" s="9" t="n"/>
      <c r="BI252" s="9" t="n"/>
      <c r="BJ252" s="9" t="n"/>
      <c r="BK252" s="9" t="n"/>
      <c r="BL252" s="9" t="n"/>
      <c r="BM252" s="9" t="n"/>
      <c r="BN252" s="9" t="n"/>
      <c r="BO252" s="8" t="n"/>
      <c r="BP252" s="9" t="n"/>
      <c r="BQ252" s="9" t="n"/>
      <c r="BR252" s="13">
        <f>IF(COUNTIF(AI252:BM252,"N")+COUNTBLANK(AI252:BM252)=0,"Y","N")</f>
        <v/>
      </c>
      <c r="BS252" s="13">
        <f>IF(AND(BR252="Y",OR(L252="Submitted",L252="Under Review")),"Y",IF(L252="Closed","Y","N"))</f>
        <v/>
      </c>
      <c r="BT252" s="10" t="n"/>
      <c r="BU252" s="13">
        <f>Rule_Flags!Q251</f>
        <v/>
      </c>
      <c r="BV252" s="13">
        <f>Rule_Flags!P251</f>
        <v/>
      </c>
      <c r="BW252" s="13">
        <f>IF(Rule_Flags!E251=1,"SITE_CONTROL",IF(Rule_Flags!F251=1,"APPROVALS",IF(Rule_Flags!G251=1,"REPORTS",IF(Rule_Flags!H251=1,"DEFICIENCY",IF(Rule_Flags!I251=1,"UNDERWRITING",IF(Rule_Flags!J251=1,"COMPLIANCE",""))))))</f>
        <v/>
      </c>
      <c r="BX252" s="13">
        <f>IF(BW252="SITE_CONTROL","Site control missing or invalid",IF(BW252="APPROVALS","Required approvals or resolutions incomplete",IF(BW252="REPORTS","Required third-party reports incomplete",IF(BW252="DEFICIENCY","Unresolved deficiency or material deficiency",IF(BW252="UNDERWRITING","Underwriting / feasibility not passed",IF(BW252="COMPLIANCE","Deconcentration, one-mile, LURA, or Chapter 12 issue","Ready under current engine rules"))))))</f>
        <v/>
      </c>
      <c r="BY252" s="13">
        <f>IF(BV252="Determination Notice","Streamlined + DN-ready assumptions satisfied",IF(BV252="Board","Board-required or board-ready assumptions satisfied",""))</f>
        <v/>
      </c>
      <c r="BZ252" s="13">
        <f>IF(AND(BP252="Y",BQ252&lt;&gt;"Y"),"Carryforward project retains queue priority",IF(BQ252="Y","New project enters behind carryforward projects",""))</f>
        <v/>
      </c>
      <c r="CA252" s="13">
        <f>_xludf.RANK.EQ(Rule_Flags!O251,Rule_Flags!$O$3:$O$402,0)</f>
        <v/>
      </c>
      <c r="CB252" s="13">
        <f>IF(OR(BU252="Determination Notice Issued",BU252="Board",BU252="Closed"),"Y","N")</f>
        <v/>
      </c>
      <c r="CC252" s="9" t="n"/>
      <c r="CD252" s="9" t="n"/>
      <c r="CE252" s="9" t="n"/>
      <c r="CF252" s="9" t="n"/>
      <c r="CG252" s="9" t="n"/>
      <c r="CH252" s="9" t="n"/>
    </row>
    <row r="253">
      <c r="A253" s="8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8" t="n"/>
      <c r="L253" s="9" t="n"/>
      <c r="M253" s="8" t="n"/>
      <c r="N253" s="8" t="n"/>
      <c r="O253" s="8" t="n"/>
      <c r="P253" s="8" t="n"/>
      <c r="Q253" s="8" t="n"/>
      <c r="R253" s="9" t="n"/>
      <c r="S253" s="9" t="n"/>
      <c r="T253" s="10" t="n"/>
      <c r="U253" s="10" t="n"/>
      <c r="V253" s="9" t="n"/>
      <c r="W253" s="9" t="n"/>
      <c r="X253" s="9" t="n"/>
      <c r="Y253" s="9" t="n"/>
      <c r="Z253" s="11" t="n"/>
      <c r="AA253" s="11" t="n"/>
      <c r="AB253" s="11" t="n"/>
      <c r="AC253" s="11" t="n"/>
      <c r="AD253" s="11" t="n"/>
      <c r="AE253" s="11" t="n"/>
      <c r="AF253" s="9" t="n"/>
      <c r="AG253" s="9" t="n"/>
      <c r="AH253" s="9" t="n"/>
      <c r="AI253" s="9" t="n"/>
      <c r="AJ253" s="8" t="n"/>
      <c r="AK253" s="9" t="n"/>
      <c r="AL253" s="9" t="n"/>
      <c r="AM253" s="9" t="n"/>
      <c r="AN253" s="9" t="n"/>
      <c r="AO253" s="9" t="n"/>
      <c r="AP253" s="9" t="n"/>
      <c r="AQ253" s="9" t="n"/>
      <c r="AR253" s="9" t="n"/>
      <c r="AS253" s="9" t="n"/>
      <c r="AT253" s="8" t="n"/>
      <c r="AU253" s="8" t="n"/>
      <c r="AV253" s="9" t="n"/>
      <c r="AW253" s="8" t="n"/>
      <c r="AX253" s="9" t="n"/>
      <c r="AY253" s="9" t="n"/>
      <c r="AZ253" s="9" t="n"/>
      <c r="BA253" s="9" t="n"/>
      <c r="BB253" s="9" t="n"/>
      <c r="BC253" s="9" t="n"/>
      <c r="BD253" s="9" t="n"/>
      <c r="BE253" s="9" t="n"/>
      <c r="BF253" s="9" t="n"/>
      <c r="BG253" s="9" t="n"/>
      <c r="BH253" s="9" t="n"/>
      <c r="BI253" s="9" t="n"/>
      <c r="BJ253" s="9" t="n"/>
      <c r="BK253" s="9" t="n"/>
      <c r="BL253" s="9" t="n"/>
      <c r="BM253" s="9" t="n"/>
      <c r="BN253" s="9" t="n"/>
      <c r="BO253" s="8" t="n"/>
      <c r="BP253" s="9" t="n"/>
      <c r="BQ253" s="9" t="n"/>
      <c r="BR253" s="13">
        <f>IF(COUNTIF(AI253:BM253,"N")+COUNTBLANK(AI253:BM253)=0,"Y","N")</f>
        <v/>
      </c>
      <c r="BS253" s="13">
        <f>IF(AND(BR253="Y",OR(L253="Submitted",L253="Under Review")),"Y",IF(L253="Closed","Y","N"))</f>
        <v/>
      </c>
      <c r="BT253" s="10" t="n"/>
      <c r="BU253" s="13">
        <f>Rule_Flags!Q252</f>
        <v/>
      </c>
      <c r="BV253" s="13">
        <f>Rule_Flags!P252</f>
        <v/>
      </c>
      <c r="BW253" s="13">
        <f>IF(Rule_Flags!E252=1,"SITE_CONTROL",IF(Rule_Flags!F252=1,"APPROVALS",IF(Rule_Flags!G252=1,"REPORTS",IF(Rule_Flags!H252=1,"DEFICIENCY",IF(Rule_Flags!I252=1,"UNDERWRITING",IF(Rule_Flags!J252=1,"COMPLIANCE",""))))))</f>
        <v/>
      </c>
      <c r="BX253" s="13">
        <f>IF(BW253="SITE_CONTROL","Site control missing or invalid",IF(BW253="APPROVALS","Required approvals or resolutions incomplete",IF(BW253="REPORTS","Required third-party reports incomplete",IF(BW253="DEFICIENCY","Unresolved deficiency or material deficiency",IF(BW253="UNDERWRITING","Underwriting / feasibility not passed",IF(BW253="COMPLIANCE","Deconcentration, one-mile, LURA, or Chapter 12 issue","Ready under current engine rules"))))))</f>
        <v/>
      </c>
      <c r="BY253" s="13">
        <f>IF(BV253="Determination Notice","Streamlined + DN-ready assumptions satisfied",IF(BV253="Board","Board-required or board-ready assumptions satisfied",""))</f>
        <v/>
      </c>
      <c r="BZ253" s="13">
        <f>IF(AND(BP253="Y",BQ253&lt;&gt;"Y"),"Carryforward project retains queue priority",IF(BQ253="Y","New project enters behind carryforward projects",""))</f>
        <v/>
      </c>
      <c r="CA253" s="13">
        <f>_xludf.RANK.EQ(Rule_Flags!O252,Rule_Flags!$O$3:$O$402,0)</f>
        <v/>
      </c>
      <c r="CB253" s="13">
        <f>IF(OR(BU253="Determination Notice Issued",BU253="Board",BU253="Closed"),"Y","N")</f>
        <v/>
      </c>
      <c r="CC253" s="9" t="n"/>
      <c r="CD253" s="9" t="n"/>
      <c r="CE253" s="9" t="n"/>
      <c r="CF253" s="9" t="n"/>
      <c r="CG253" s="9" t="n"/>
      <c r="CH253" s="9" t="n"/>
    </row>
    <row r="254">
      <c r="A254" s="8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8" t="n"/>
      <c r="L254" s="9" t="n"/>
      <c r="M254" s="8" t="n"/>
      <c r="N254" s="8" t="n"/>
      <c r="O254" s="8" t="n"/>
      <c r="P254" s="8" t="n"/>
      <c r="Q254" s="8" t="n"/>
      <c r="R254" s="9" t="n"/>
      <c r="S254" s="9" t="n"/>
      <c r="T254" s="10" t="n"/>
      <c r="U254" s="10" t="n"/>
      <c r="V254" s="9" t="n"/>
      <c r="W254" s="9" t="n"/>
      <c r="X254" s="9" t="n"/>
      <c r="Y254" s="9" t="n"/>
      <c r="Z254" s="11" t="n"/>
      <c r="AA254" s="11" t="n"/>
      <c r="AB254" s="11" t="n"/>
      <c r="AC254" s="11" t="n"/>
      <c r="AD254" s="11" t="n"/>
      <c r="AE254" s="11" t="n"/>
      <c r="AF254" s="9" t="n"/>
      <c r="AG254" s="9" t="n"/>
      <c r="AH254" s="9" t="n"/>
      <c r="AI254" s="9" t="n"/>
      <c r="AJ254" s="8" t="n"/>
      <c r="AK254" s="9" t="n"/>
      <c r="AL254" s="9" t="n"/>
      <c r="AM254" s="9" t="n"/>
      <c r="AN254" s="9" t="n"/>
      <c r="AO254" s="9" t="n"/>
      <c r="AP254" s="9" t="n"/>
      <c r="AQ254" s="9" t="n"/>
      <c r="AR254" s="9" t="n"/>
      <c r="AS254" s="9" t="n"/>
      <c r="AT254" s="8" t="n"/>
      <c r="AU254" s="8" t="n"/>
      <c r="AV254" s="9" t="n"/>
      <c r="AW254" s="8" t="n"/>
      <c r="AX254" s="9" t="n"/>
      <c r="AY254" s="9" t="n"/>
      <c r="AZ254" s="9" t="n"/>
      <c r="BA254" s="9" t="n"/>
      <c r="BB254" s="9" t="n"/>
      <c r="BC254" s="9" t="n"/>
      <c r="BD254" s="9" t="n"/>
      <c r="BE254" s="9" t="n"/>
      <c r="BF254" s="9" t="n"/>
      <c r="BG254" s="9" t="n"/>
      <c r="BH254" s="9" t="n"/>
      <c r="BI254" s="9" t="n"/>
      <c r="BJ254" s="9" t="n"/>
      <c r="BK254" s="9" t="n"/>
      <c r="BL254" s="9" t="n"/>
      <c r="BM254" s="9" t="n"/>
      <c r="BN254" s="9" t="n"/>
      <c r="BO254" s="8" t="n"/>
      <c r="BP254" s="9" t="n"/>
      <c r="BQ254" s="9" t="n"/>
      <c r="BR254" s="13">
        <f>IF(COUNTIF(AI254:BM254,"N")+COUNTBLANK(AI254:BM254)=0,"Y","N")</f>
        <v/>
      </c>
      <c r="BS254" s="13">
        <f>IF(AND(BR254="Y",OR(L254="Submitted",L254="Under Review")),"Y",IF(L254="Closed","Y","N"))</f>
        <v/>
      </c>
      <c r="BT254" s="10" t="n"/>
      <c r="BU254" s="13">
        <f>Rule_Flags!Q253</f>
        <v/>
      </c>
      <c r="BV254" s="13">
        <f>Rule_Flags!P253</f>
        <v/>
      </c>
      <c r="BW254" s="13">
        <f>IF(Rule_Flags!E253=1,"SITE_CONTROL",IF(Rule_Flags!F253=1,"APPROVALS",IF(Rule_Flags!G253=1,"REPORTS",IF(Rule_Flags!H253=1,"DEFICIENCY",IF(Rule_Flags!I253=1,"UNDERWRITING",IF(Rule_Flags!J253=1,"COMPLIANCE",""))))))</f>
        <v/>
      </c>
      <c r="BX254" s="13">
        <f>IF(BW254="SITE_CONTROL","Site control missing or invalid",IF(BW254="APPROVALS","Required approvals or resolutions incomplete",IF(BW254="REPORTS","Required third-party reports incomplete",IF(BW254="DEFICIENCY","Unresolved deficiency or material deficiency",IF(BW254="UNDERWRITING","Underwriting / feasibility not passed",IF(BW254="COMPLIANCE","Deconcentration, one-mile, LURA, or Chapter 12 issue","Ready under current engine rules"))))))</f>
        <v/>
      </c>
      <c r="BY254" s="13">
        <f>IF(BV254="Determination Notice","Streamlined + DN-ready assumptions satisfied",IF(BV254="Board","Board-required or board-ready assumptions satisfied",""))</f>
        <v/>
      </c>
      <c r="BZ254" s="13">
        <f>IF(AND(BP254="Y",BQ254&lt;&gt;"Y"),"Carryforward project retains queue priority",IF(BQ254="Y","New project enters behind carryforward projects",""))</f>
        <v/>
      </c>
      <c r="CA254" s="13">
        <f>_xludf.RANK.EQ(Rule_Flags!O253,Rule_Flags!$O$3:$O$402,0)</f>
        <v/>
      </c>
      <c r="CB254" s="13">
        <f>IF(OR(BU254="Determination Notice Issued",BU254="Board",BU254="Closed"),"Y","N")</f>
        <v/>
      </c>
      <c r="CC254" s="9" t="n"/>
      <c r="CD254" s="9" t="n"/>
      <c r="CE254" s="9" t="n"/>
      <c r="CF254" s="9" t="n"/>
      <c r="CG254" s="9" t="n"/>
      <c r="CH254" s="9" t="n"/>
    </row>
    <row r="255">
      <c r="A255" s="8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8" t="n"/>
      <c r="L255" s="9" t="n"/>
      <c r="M255" s="8" t="n"/>
      <c r="N255" s="8" t="n"/>
      <c r="O255" s="8" t="n"/>
      <c r="P255" s="8" t="n"/>
      <c r="Q255" s="8" t="n"/>
      <c r="R255" s="9" t="n"/>
      <c r="S255" s="9" t="n"/>
      <c r="T255" s="10" t="n"/>
      <c r="U255" s="10" t="n"/>
      <c r="V255" s="9" t="n"/>
      <c r="W255" s="9" t="n"/>
      <c r="X255" s="9" t="n"/>
      <c r="Y255" s="9" t="n"/>
      <c r="Z255" s="11" t="n"/>
      <c r="AA255" s="11" t="n"/>
      <c r="AB255" s="11" t="n"/>
      <c r="AC255" s="11" t="n"/>
      <c r="AD255" s="11" t="n"/>
      <c r="AE255" s="11" t="n"/>
      <c r="AF255" s="9" t="n"/>
      <c r="AG255" s="9" t="n"/>
      <c r="AH255" s="9" t="n"/>
      <c r="AI255" s="9" t="n"/>
      <c r="AJ255" s="8" t="n"/>
      <c r="AK255" s="9" t="n"/>
      <c r="AL255" s="9" t="n"/>
      <c r="AM255" s="9" t="n"/>
      <c r="AN255" s="9" t="n"/>
      <c r="AO255" s="9" t="n"/>
      <c r="AP255" s="9" t="n"/>
      <c r="AQ255" s="9" t="n"/>
      <c r="AR255" s="9" t="n"/>
      <c r="AS255" s="9" t="n"/>
      <c r="AT255" s="8" t="n"/>
      <c r="AU255" s="8" t="n"/>
      <c r="AV255" s="9" t="n"/>
      <c r="AW255" s="8" t="n"/>
      <c r="AX255" s="9" t="n"/>
      <c r="AY255" s="9" t="n"/>
      <c r="AZ255" s="9" t="n"/>
      <c r="BA255" s="9" t="n"/>
      <c r="BB255" s="9" t="n"/>
      <c r="BC255" s="9" t="n"/>
      <c r="BD255" s="9" t="n"/>
      <c r="BE255" s="9" t="n"/>
      <c r="BF255" s="9" t="n"/>
      <c r="BG255" s="9" t="n"/>
      <c r="BH255" s="9" t="n"/>
      <c r="BI255" s="9" t="n"/>
      <c r="BJ255" s="9" t="n"/>
      <c r="BK255" s="9" t="n"/>
      <c r="BL255" s="9" t="n"/>
      <c r="BM255" s="9" t="n"/>
      <c r="BN255" s="9" t="n"/>
      <c r="BO255" s="8" t="n"/>
      <c r="BP255" s="9" t="n"/>
      <c r="BQ255" s="9" t="n"/>
      <c r="BR255" s="13">
        <f>IF(COUNTIF(AI255:BM255,"N")+COUNTBLANK(AI255:BM255)=0,"Y","N")</f>
        <v/>
      </c>
      <c r="BS255" s="13">
        <f>IF(AND(BR255="Y",OR(L255="Submitted",L255="Under Review")),"Y",IF(L255="Closed","Y","N"))</f>
        <v/>
      </c>
      <c r="BT255" s="10" t="n"/>
      <c r="BU255" s="13">
        <f>Rule_Flags!Q254</f>
        <v/>
      </c>
      <c r="BV255" s="13">
        <f>Rule_Flags!P254</f>
        <v/>
      </c>
      <c r="BW255" s="13">
        <f>IF(Rule_Flags!E254=1,"SITE_CONTROL",IF(Rule_Flags!F254=1,"APPROVALS",IF(Rule_Flags!G254=1,"REPORTS",IF(Rule_Flags!H254=1,"DEFICIENCY",IF(Rule_Flags!I254=1,"UNDERWRITING",IF(Rule_Flags!J254=1,"COMPLIANCE",""))))))</f>
        <v/>
      </c>
      <c r="BX255" s="13">
        <f>IF(BW255="SITE_CONTROL","Site control missing or invalid",IF(BW255="APPROVALS","Required approvals or resolutions incomplete",IF(BW255="REPORTS","Required third-party reports incomplete",IF(BW255="DEFICIENCY","Unresolved deficiency or material deficiency",IF(BW255="UNDERWRITING","Underwriting / feasibility not passed",IF(BW255="COMPLIANCE","Deconcentration, one-mile, LURA, or Chapter 12 issue","Ready under current engine rules"))))))</f>
        <v/>
      </c>
      <c r="BY255" s="13">
        <f>IF(BV255="Determination Notice","Streamlined + DN-ready assumptions satisfied",IF(BV255="Board","Board-required or board-ready assumptions satisfied",""))</f>
        <v/>
      </c>
      <c r="BZ255" s="13">
        <f>IF(AND(BP255="Y",BQ255&lt;&gt;"Y"),"Carryforward project retains queue priority",IF(BQ255="Y","New project enters behind carryforward projects",""))</f>
        <v/>
      </c>
      <c r="CA255" s="13">
        <f>_xludf.RANK.EQ(Rule_Flags!O254,Rule_Flags!$O$3:$O$402,0)</f>
        <v/>
      </c>
      <c r="CB255" s="13">
        <f>IF(OR(BU255="Determination Notice Issued",BU255="Board",BU255="Closed"),"Y","N")</f>
        <v/>
      </c>
      <c r="CC255" s="9" t="n"/>
      <c r="CD255" s="9" t="n"/>
      <c r="CE255" s="9" t="n"/>
      <c r="CF255" s="9" t="n"/>
      <c r="CG255" s="9" t="n"/>
      <c r="CH255" s="9" t="n"/>
    </row>
    <row r="256">
      <c r="A256" s="8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8" t="n"/>
      <c r="L256" s="9" t="n"/>
      <c r="M256" s="8" t="n"/>
      <c r="N256" s="8" t="n"/>
      <c r="O256" s="8" t="n"/>
      <c r="P256" s="8" t="n"/>
      <c r="Q256" s="8" t="n"/>
      <c r="R256" s="9" t="n"/>
      <c r="S256" s="9" t="n"/>
      <c r="T256" s="10" t="n"/>
      <c r="U256" s="10" t="n"/>
      <c r="V256" s="9" t="n"/>
      <c r="W256" s="9" t="n"/>
      <c r="X256" s="9" t="n"/>
      <c r="Y256" s="9" t="n"/>
      <c r="Z256" s="11" t="n"/>
      <c r="AA256" s="11" t="n"/>
      <c r="AB256" s="11" t="n"/>
      <c r="AC256" s="11" t="n"/>
      <c r="AD256" s="11" t="n"/>
      <c r="AE256" s="11" t="n"/>
      <c r="AF256" s="9" t="n"/>
      <c r="AG256" s="9" t="n"/>
      <c r="AH256" s="9" t="n"/>
      <c r="AI256" s="9" t="n"/>
      <c r="AJ256" s="8" t="n"/>
      <c r="AK256" s="9" t="n"/>
      <c r="AL256" s="9" t="n"/>
      <c r="AM256" s="9" t="n"/>
      <c r="AN256" s="9" t="n"/>
      <c r="AO256" s="9" t="n"/>
      <c r="AP256" s="9" t="n"/>
      <c r="AQ256" s="9" t="n"/>
      <c r="AR256" s="9" t="n"/>
      <c r="AS256" s="9" t="n"/>
      <c r="AT256" s="8" t="n"/>
      <c r="AU256" s="8" t="n"/>
      <c r="AV256" s="9" t="n"/>
      <c r="AW256" s="8" t="n"/>
      <c r="AX256" s="9" t="n"/>
      <c r="AY256" s="9" t="n"/>
      <c r="AZ256" s="9" t="n"/>
      <c r="BA256" s="9" t="n"/>
      <c r="BB256" s="9" t="n"/>
      <c r="BC256" s="9" t="n"/>
      <c r="BD256" s="9" t="n"/>
      <c r="BE256" s="9" t="n"/>
      <c r="BF256" s="9" t="n"/>
      <c r="BG256" s="9" t="n"/>
      <c r="BH256" s="9" t="n"/>
      <c r="BI256" s="9" t="n"/>
      <c r="BJ256" s="9" t="n"/>
      <c r="BK256" s="9" t="n"/>
      <c r="BL256" s="9" t="n"/>
      <c r="BM256" s="9" t="n"/>
      <c r="BN256" s="9" t="n"/>
      <c r="BO256" s="8" t="n"/>
      <c r="BP256" s="9" t="n"/>
      <c r="BQ256" s="9" t="n"/>
      <c r="BR256" s="13">
        <f>IF(COUNTIF(AI256:BM256,"N")+COUNTBLANK(AI256:BM256)=0,"Y","N")</f>
        <v/>
      </c>
      <c r="BS256" s="13">
        <f>IF(AND(BR256="Y",OR(L256="Submitted",L256="Under Review")),"Y",IF(L256="Closed","Y","N"))</f>
        <v/>
      </c>
      <c r="BT256" s="10" t="n"/>
      <c r="BU256" s="13">
        <f>Rule_Flags!Q255</f>
        <v/>
      </c>
      <c r="BV256" s="13">
        <f>Rule_Flags!P255</f>
        <v/>
      </c>
      <c r="BW256" s="13">
        <f>IF(Rule_Flags!E255=1,"SITE_CONTROL",IF(Rule_Flags!F255=1,"APPROVALS",IF(Rule_Flags!G255=1,"REPORTS",IF(Rule_Flags!H255=1,"DEFICIENCY",IF(Rule_Flags!I255=1,"UNDERWRITING",IF(Rule_Flags!J255=1,"COMPLIANCE",""))))))</f>
        <v/>
      </c>
      <c r="BX256" s="13">
        <f>IF(BW256="SITE_CONTROL","Site control missing or invalid",IF(BW256="APPROVALS","Required approvals or resolutions incomplete",IF(BW256="REPORTS","Required third-party reports incomplete",IF(BW256="DEFICIENCY","Unresolved deficiency or material deficiency",IF(BW256="UNDERWRITING","Underwriting / feasibility not passed",IF(BW256="COMPLIANCE","Deconcentration, one-mile, LURA, or Chapter 12 issue","Ready under current engine rules"))))))</f>
        <v/>
      </c>
      <c r="BY256" s="13">
        <f>IF(BV256="Determination Notice","Streamlined + DN-ready assumptions satisfied",IF(BV256="Board","Board-required or board-ready assumptions satisfied",""))</f>
        <v/>
      </c>
      <c r="BZ256" s="13">
        <f>IF(AND(BP256="Y",BQ256&lt;&gt;"Y"),"Carryforward project retains queue priority",IF(BQ256="Y","New project enters behind carryforward projects",""))</f>
        <v/>
      </c>
      <c r="CA256" s="13">
        <f>_xludf.RANK.EQ(Rule_Flags!O255,Rule_Flags!$O$3:$O$402,0)</f>
        <v/>
      </c>
      <c r="CB256" s="13">
        <f>IF(OR(BU256="Determination Notice Issued",BU256="Board",BU256="Closed"),"Y","N")</f>
        <v/>
      </c>
      <c r="CC256" s="9" t="n"/>
      <c r="CD256" s="9" t="n"/>
      <c r="CE256" s="9" t="n"/>
      <c r="CF256" s="9" t="n"/>
      <c r="CG256" s="9" t="n"/>
      <c r="CH256" s="9" t="n"/>
    </row>
    <row r="257">
      <c r="A257" s="8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8" t="n"/>
      <c r="L257" s="9" t="n"/>
      <c r="M257" s="8" t="n"/>
      <c r="N257" s="8" t="n"/>
      <c r="O257" s="8" t="n"/>
      <c r="P257" s="8" t="n"/>
      <c r="Q257" s="8" t="n"/>
      <c r="R257" s="9" t="n"/>
      <c r="S257" s="9" t="n"/>
      <c r="T257" s="10" t="n"/>
      <c r="U257" s="10" t="n"/>
      <c r="V257" s="9" t="n"/>
      <c r="W257" s="9" t="n"/>
      <c r="X257" s="9" t="n"/>
      <c r="Y257" s="9" t="n"/>
      <c r="Z257" s="11" t="n"/>
      <c r="AA257" s="11" t="n"/>
      <c r="AB257" s="11" t="n"/>
      <c r="AC257" s="11" t="n"/>
      <c r="AD257" s="11" t="n"/>
      <c r="AE257" s="11" t="n"/>
      <c r="AF257" s="9" t="n"/>
      <c r="AG257" s="9" t="n"/>
      <c r="AH257" s="9" t="n"/>
      <c r="AI257" s="9" t="n"/>
      <c r="AJ257" s="8" t="n"/>
      <c r="AK257" s="9" t="n"/>
      <c r="AL257" s="9" t="n"/>
      <c r="AM257" s="9" t="n"/>
      <c r="AN257" s="9" t="n"/>
      <c r="AO257" s="9" t="n"/>
      <c r="AP257" s="9" t="n"/>
      <c r="AQ257" s="9" t="n"/>
      <c r="AR257" s="9" t="n"/>
      <c r="AS257" s="9" t="n"/>
      <c r="AT257" s="8" t="n"/>
      <c r="AU257" s="8" t="n"/>
      <c r="AV257" s="9" t="n"/>
      <c r="AW257" s="8" t="n"/>
      <c r="AX257" s="9" t="n"/>
      <c r="AY257" s="9" t="n"/>
      <c r="AZ257" s="9" t="n"/>
      <c r="BA257" s="9" t="n"/>
      <c r="BB257" s="9" t="n"/>
      <c r="BC257" s="9" t="n"/>
      <c r="BD257" s="9" t="n"/>
      <c r="BE257" s="9" t="n"/>
      <c r="BF257" s="9" t="n"/>
      <c r="BG257" s="9" t="n"/>
      <c r="BH257" s="9" t="n"/>
      <c r="BI257" s="9" t="n"/>
      <c r="BJ257" s="9" t="n"/>
      <c r="BK257" s="9" t="n"/>
      <c r="BL257" s="9" t="n"/>
      <c r="BM257" s="9" t="n"/>
      <c r="BN257" s="9" t="n"/>
      <c r="BO257" s="8" t="n"/>
      <c r="BP257" s="9" t="n"/>
      <c r="BQ257" s="9" t="n"/>
      <c r="BR257" s="13">
        <f>IF(COUNTIF(AI257:BM257,"N")+COUNTBLANK(AI257:BM257)=0,"Y","N")</f>
        <v/>
      </c>
      <c r="BS257" s="13">
        <f>IF(AND(BR257="Y",OR(L257="Submitted",L257="Under Review")),"Y",IF(L257="Closed","Y","N"))</f>
        <v/>
      </c>
      <c r="BT257" s="10" t="n"/>
      <c r="BU257" s="13">
        <f>Rule_Flags!Q256</f>
        <v/>
      </c>
      <c r="BV257" s="13">
        <f>Rule_Flags!P256</f>
        <v/>
      </c>
      <c r="BW257" s="13">
        <f>IF(Rule_Flags!E256=1,"SITE_CONTROL",IF(Rule_Flags!F256=1,"APPROVALS",IF(Rule_Flags!G256=1,"REPORTS",IF(Rule_Flags!H256=1,"DEFICIENCY",IF(Rule_Flags!I256=1,"UNDERWRITING",IF(Rule_Flags!J256=1,"COMPLIANCE",""))))))</f>
        <v/>
      </c>
      <c r="BX257" s="13">
        <f>IF(BW257="SITE_CONTROL","Site control missing or invalid",IF(BW257="APPROVALS","Required approvals or resolutions incomplete",IF(BW257="REPORTS","Required third-party reports incomplete",IF(BW257="DEFICIENCY","Unresolved deficiency or material deficiency",IF(BW257="UNDERWRITING","Underwriting / feasibility not passed",IF(BW257="COMPLIANCE","Deconcentration, one-mile, LURA, or Chapter 12 issue","Ready under current engine rules"))))))</f>
        <v/>
      </c>
      <c r="BY257" s="13">
        <f>IF(BV257="Determination Notice","Streamlined + DN-ready assumptions satisfied",IF(BV257="Board","Board-required or board-ready assumptions satisfied",""))</f>
        <v/>
      </c>
      <c r="BZ257" s="13">
        <f>IF(AND(BP257="Y",BQ257&lt;&gt;"Y"),"Carryforward project retains queue priority",IF(BQ257="Y","New project enters behind carryforward projects",""))</f>
        <v/>
      </c>
      <c r="CA257" s="13">
        <f>_xludf.RANK.EQ(Rule_Flags!O256,Rule_Flags!$O$3:$O$402,0)</f>
        <v/>
      </c>
      <c r="CB257" s="13">
        <f>IF(OR(BU257="Determination Notice Issued",BU257="Board",BU257="Closed"),"Y","N")</f>
        <v/>
      </c>
      <c r="CC257" s="9" t="n"/>
      <c r="CD257" s="9" t="n"/>
      <c r="CE257" s="9" t="n"/>
      <c r="CF257" s="9" t="n"/>
      <c r="CG257" s="9" t="n"/>
      <c r="CH257" s="9" t="n"/>
    </row>
    <row r="258">
      <c r="A258" s="8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8" t="n"/>
      <c r="L258" s="9" t="n"/>
      <c r="M258" s="8" t="n"/>
      <c r="N258" s="8" t="n"/>
      <c r="O258" s="8" t="n"/>
      <c r="P258" s="8" t="n"/>
      <c r="Q258" s="8" t="n"/>
      <c r="R258" s="9" t="n"/>
      <c r="S258" s="9" t="n"/>
      <c r="T258" s="10" t="n"/>
      <c r="U258" s="10" t="n"/>
      <c r="V258" s="9" t="n"/>
      <c r="W258" s="9" t="n"/>
      <c r="X258" s="9" t="n"/>
      <c r="Y258" s="9" t="n"/>
      <c r="Z258" s="11" t="n"/>
      <c r="AA258" s="11" t="n"/>
      <c r="AB258" s="11" t="n"/>
      <c r="AC258" s="11" t="n"/>
      <c r="AD258" s="11" t="n"/>
      <c r="AE258" s="11" t="n"/>
      <c r="AF258" s="9" t="n"/>
      <c r="AG258" s="9" t="n"/>
      <c r="AH258" s="9" t="n"/>
      <c r="AI258" s="9" t="n"/>
      <c r="AJ258" s="8" t="n"/>
      <c r="AK258" s="9" t="n"/>
      <c r="AL258" s="9" t="n"/>
      <c r="AM258" s="9" t="n"/>
      <c r="AN258" s="9" t="n"/>
      <c r="AO258" s="9" t="n"/>
      <c r="AP258" s="9" t="n"/>
      <c r="AQ258" s="9" t="n"/>
      <c r="AR258" s="9" t="n"/>
      <c r="AS258" s="9" t="n"/>
      <c r="AT258" s="8" t="n"/>
      <c r="AU258" s="8" t="n"/>
      <c r="AV258" s="9" t="n"/>
      <c r="AW258" s="8" t="n"/>
      <c r="AX258" s="9" t="n"/>
      <c r="AY258" s="9" t="n"/>
      <c r="AZ258" s="9" t="n"/>
      <c r="BA258" s="9" t="n"/>
      <c r="BB258" s="9" t="n"/>
      <c r="BC258" s="9" t="n"/>
      <c r="BD258" s="9" t="n"/>
      <c r="BE258" s="9" t="n"/>
      <c r="BF258" s="9" t="n"/>
      <c r="BG258" s="9" t="n"/>
      <c r="BH258" s="9" t="n"/>
      <c r="BI258" s="9" t="n"/>
      <c r="BJ258" s="9" t="n"/>
      <c r="BK258" s="9" t="n"/>
      <c r="BL258" s="9" t="n"/>
      <c r="BM258" s="9" t="n"/>
      <c r="BN258" s="9" t="n"/>
      <c r="BO258" s="8" t="n"/>
      <c r="BP258" s="9" t="n"/>
      <c r="BQ258" s="9" t="n"/>
      <c r="BR258" s="13">
        <f>IF(COUNTIF(AI258:BM258,"N")+COUNTBLANK(AI258:BM258)=0,"Y","N")</f>
        <v/>
      </c>
      <c r="BS258" s="13">
        <f>IF(AND(BR258="Y",OR(L258="Submitted",L258="Under Review")),"Y",IF(L258="Closed","Y","N"))</f>
        <v/>
      </c>
      <c r="BT258" s="10" t="n"/>
      <c r="BU258" s="13">
        <f>Rule_Flags!Q257</f>
        <v/>
      </c>
      <c r="BV258" s="13">
        <f>Rule_Flags!P257</f>
        <v/>
      </c>
      <c r="BW258" s="13">
        <f>IF(Rule_Flags!E257=1,"SITE_CONTROL",IF(Rule_Flags!F257=1,"APPROVALS",IF(Rule_Flags!G257=1,"REPORTS",IF(Rule_Flags!H257=1,"DEFICIENCY",IF(Rule_Flags!I257=1,"UNDERWRITING",IF(Rule_Flags!J257=1,"COMPLIANCE",""))))))</f>
        <v/>
      </c>
      <c r="BX258" s="13">
        <f>IF(BW258="SITE_CONTROL","Site control missing or invalid",IF(BW258="APPROVALS","Required approvals or resolutions incomplete",IF(BW258="REPORTS","Required third-party reports incomplete",IF(BW258="DEFICIENCY","Unresolved deficiency or material deficiency",IF(BW258="UNDERWRITING","Underwriting / feasibility not passed",IF(BW258="COMPLIANCE","Deconcentration, one-mile, LURA, or Chapter 12 issue","Ready under current engine rules"))))))</f>
        <v/>
      </c>
      <c r="BY258" s="13">
        <f>IF(BV258="Determination Notice","Streamlined + DN-ready assumptions satisfied",IF(BV258="Board","Board-required or board-ready assumptions satisfied",""))</f>
        <v/>
      </c>
      <c r="BZ258" s="13">
        <f>IF(AND(BP258="Y",BQ258&lt;&gt;"Y"),"Carryforward project retains queue priority",IF(BQ258="Y","New project enters behind carryforward projects",""))</f>
        <v/>
      </c>
      <c r="CA258" s="13">
        <f>_xludf.RANK.EQ(Rule_Flags!O257,Rule_Flags!$O$3:$O$402,0)</f>
        <v/>
      </c>
      <c r="CB258" s="13">
        <f>IF(OR(BU258="Determination Notice Issued",BU258="Board",BU258="Closed"),"Y","N")</f>
        <v/>
      </c>
      <c r="CC258" s="9" t="n"/>
      <c r="CD258" s="9" t="n"/>
      <c r="CE258" s="9" t="n"/>
      <c r="CF258" s="9" t="n"/>
      <c r="CG258" s="9" t="n"/>
      <c r="CH258" s="9" t="n"/>
    </row>
    <row r="259">
      <c r="A259" s="8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8" t="n"/>
      <c r="L259" s="9" t="n"/>
      <c r="M259" s="8" t="n"/>
      <c r="N259" s="8" t="n"/>
      <c r="O259" s="8" t="n"/>
      <c r="P259" s="8" t="n"/>
      <c r="Q259" s="8" t="n"/>
      <c r="R259" s="9" t="n"/>
      <c r="S259" s="9" t="n"/>
      <c r="T259" s="10" t="n"/>
      <c r="U259" s="10" t="n"/>
      <c r="V259" s="9" t="n"/>
      <c r="W259" s="9" t="n"/>
      <c r="X259" s="9" t="n"/>
      <c r="Y259" s="9" t="n"/>
      <c r="Z259" s="11" t="n"/>
      <c r="AA259" s="11" t="n"/>
      <c r="AB259" s="11" t="n"/>
      <c r="AC259" s="11" t="n"/>
      <c r="AD259" s="11" t="n"/>
      <c r="AE259" s="11" t="n"/>
      <c r="AF259" s="9" t="n"/>
      <c r="AG259" s="9" t="n"/>
      <c r="AH259" s="9" t="n"/>
      <c r="AI259" s="9" t="n"/>
      <c r="AJ259" s="8" t="n"/>
      <c r="AK259" s="9" t="n"/>
      <c r="AL259" s="9" t="n"/>
      <c r="AM259" s="9" t="n"/>
      <c r="AN259" s="9" t="n"/>
      <c r="AO259" s="9" t="n"/>
      <c r="AP259" s="9" t="n"/>
      <c r="AQ259" s="9" t="n"/>
      <c r="AR259" s="9" t="n"/>
      <c r="AS259" s="9" t="n"/>
      <c r="AT259" s="8" t="n"/>
      <c r="AU259" s="8" t="n"/>
      <c r="AV259" s="9" t="n"/>
      <c r="AW259" s="8" t="n"/>
      <c r="AX259" s="9" t="n"/>
      <c r="AY259" s="9" t="n"/>
      <c r="AZ259" s="9" t="n"/>
      <c r="BA259" s="9" t="n"/>
      <c r="BB259" s="9" t="n"/>
      <c r="BC259" s="9" t="n"/>
      <c r="BD259" s="9" t="n"/>
      <c r="BE259" s="9" t="n"/>
      <c r="BF259" s="9" t="n"/>
      <c r="BG259" s="9" t="n"/>
      <c r="BH259" s="9" t="n"/>
      <c r="BI259" s="9" t="n"/>
      <c r="BJ259" s="9" t="n"/>
      <c r="BK259" s="9" t="n"/>
      <c r="BL259" s="9" t="n"/>
      <c r="BM259" s="9" t="n"/>
      <c r="BN259" s="9" t="n"/>
      <c r="BO259" s="8" t="n"/>
      <c r="BP259" s="9" t="n"/>
      <c r="BQ259" s="9" t="n"/>
      <c r="BR259" s="13">
        <f>IF(COUNTIF(AI259:BM259,"N")+COUNTBLANK(AI259:BM259)=0,"Y","N")</f>
        <v/>
      </c>
      <c r="BS259" s="13">
        <f>IF(AND(BR259="Y",OR(L259="Submitted",L259="Under Review")),"Y",IF(L259="Closed","Y","N"))</f>
        <v/>
      </c>
      <c r="BT259" s="10" t="n"/>
      <c r="BU259" s="13">
        <f>Rule_Flags!Q258</f>
        <v/>
      </c>
      <c r="BV259" s="13">
        <f>Rule_Flags!P258</f>
        <v/>
      </c>
      <c r="BW259" s="13">
        <f>IF(Rule_Flags!E258=1,"SITE_CONTROL",IF(Rule_Flags!F258=1,"APPROVALS",IF(Rule_Flags!G258=1,"REPORTS",IF(Rule_Flags!H258=1,"DEFICIENCY",IF(Rule_Flags!I258=1,"UNDERWRITING",IF(Rule_Flags!J258=1,"COMPLIANCE",""))))))</f>
        <v/>
      </c>
      <c r="BX259" s="13">
        <f>IF(BW259="SITE_CONTROL","Site control missing or invalid",IF(BW259="APPROVALS","Required approvals or resolutions incomplete",IF(BW259="REPORTS","Required third-party reports incomplete",IF(BW259="DEFICIENCY","Unresolved deficiency or material deficiency",IF(BW259="UNDERWRITING","Underwriting / feasibility not passed",IF(BW259="COMPLIANCE","Deconcentration, one-mile, LURA, or Chapter 12 issue","Ready under current engine rules"))))))</f>
        <v/>
      </c>
      <c r="BY259" s="13">
        <f>IF(BV259="Determination Notice","Streamlined + DN-ready assumptions satisfied",IF(BV259="Board","Board-required or board-ready assumptions satisfied",""))</f>
        <v/>
      </c>
      <c r="BZ259" s="13">
        <f>IF(AND(BP259="Y",BQ259&lt;&gt;"Y"),"Carryforward project retains queue priority",IF(BQ259="Y","New project enters behind carryforward projects",""))</f>
        <v/>
      </c>
      <c r="CA259" s="13">
        <f>_xludf.RANK.EQ(Rule_Flags!O258,Rule_Flags!$O$3:$O$402,0)</f>
        <v/>
      </c>
      <c r="CB259" s="13">
        <f>IF(OR(BU259="Determination Notice Issued",BU259="Board",BU259="Closed"),"Y","N")</f>
        <v/>
      </c>
      <c r="CC259" s="9" t="n"/>
      <c r="CD259" s="9" t="n"/>
      <c r="CE259" s="9" t="n"/>
      <c r="CF259" s="9" t="n"/>
      <c r="CG259" s="9" t="n"/>
      <c r="CH259" s="9" t="n"/>
    </row>
    <row r="260">
      <c r="A260" s="8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8" t="n"/>
      <c r="L260" s="9" t="n"/>
      <c r="M260" s="8" t="n"/>
      <c r="N260" s="8" t="n"/>
      <c r="O260" s="8" t="n"/>
      <c r="P260" s="8" t="n"/>
      <c r="Q260" s="8" t="n"/>
      <c r="R260" s="9" t="n"/>
      <c r="S260" s="9" t="n"/>
      <c r="T260" s="10" t="n"/>
      <c r="U260" s="10" t="n"/>
      <c r="V260" s="9" t="n"/>
      <c r="W260" s="9" t="n"/>
      <c r="X260" s="9" t="n"/>
      <c r="Y260" s="9" t="n"/>
      <c r="Z260" s="11" t="n"/>
      <c r="AA260" s="11" t="n"/>
      <c r="AB260" s="11" t="n"/>
      <c r="AC260" s="11" t="n"/>
      <c r="AD260" s="11" t="n"/>
      <c r="AE260" s="11" t="n"/>
      <c r="AF260" s="9" t="n"/>
      <c r="AG260" s="9" t="n"/>
      <c r="AH260" s="9" t="n"/>
      <c r="AI260" s="9" t="n"/>
      <c r="AJ260" s="8" t="n"/>
      <c r="AK260" s="9" t="n"/>
      <c r="AL260" s="9" t="n"/>
      <c r="AM260" s="9" t="n"/>
      <c r="AN260" s="9" t="n"/>
      <c r="AO260" s="9" t="n"/>
      <c r="AP260" s="9" t="n"/>
      <c r="AQ260" s="9" t="n"/>
      <c r="AR260" s="9" t="n"/>
      <c r="AS260" s="9" t="n"/>
      <c r="AT260" s="8" t="n"/>
      <c r="AU260" s="8" t="n"/>
      <c r="AV260" s="9" t="n"/>
      <c r="AW260" s="8" t="n"/>
      <c r="AX260" s="9" t="n"/>
      <c r="AY260" s="9" t="n"/>
      <c r="AZ260" s="9" t="n"/>
      <c r="BA260" s="9" t="n"/>
      <c r="BB260" s="9" t="n"/>
      <c r="BC260" s="9" t="n"/>
      <c r="BD260" s="9" t="n"/>
      <c r="BE260" s="9" t="n"/>
      <c r="BF260" s="9" t="n"/>
      <c r="BG260" s="9" t="n"/>
      <c r="BH260" s="9" t="n"/>
      <c r="BI260" s="9" t="n"/>
      <c r="BJ260" s="9" t="n"/>
      <c r="BK260" s="9" t="n"/>
      <c r="BL260" s="9" t="n"/>
      <c r="BM260" s="9" t="n"/>
      <c r="BN260" s="9" t="n"/>
      <c r="BO260" s="8" t="n"/>
      <c r="BP260" s="9" t="n"/>
      <c r="BQ260" s="9" t="n"/>
      <c r="BR260" s="13">
        <f>IF(COUNTIF(AI260:BM260,"N")+COUNTBLANK(AI260:BM260)=0,"Y","N")</f>
        <v/>
      </c>
      <c r="BS260" s="13">
        <f>IF(AND(BR260="Y",OR(L260="Submitted",L260="Under Review")),"Y",IF(L260="Closed","Y","N"))</f>
        <v/>
      </c>
      <c r="BT260" s="10" t="n"/>
      <c r="BU260" s="13">
        <f>Rule_Flags!Q259</f>
        <v/>
      </c>
      <c r="BV260" s="13">
        <f>Rule_Flags!P259</f>
        <v/>
      </c>
      <c r="BW260" s="13">
        <f>IF(Rule_Flags!E259=1,"SITE_CONTROL",IF(Rule_Flags!F259=1,"APPROVALS",IF(Rule_Flags!G259=1,"REPORTS",IF(Rule_Flags!H259=1,"DEFICIENCY",IF(Rule_Flags!I259=1,"UNDERWRITING",IF(Rule_Flags!J259=1,"COMPLIANCE",""))))))</f>
        <v/>
      </c>
      <c r="BX260" s="13">
        <f>IF(BW260="SITE_CONTROL","Site control missing or invalid",IF(BW260="APPROVALS","Required approvals or resolutions incomplete",IF(BW260="REPORTS","Required third-party reports incomplete",IF(BW260="DEFICIENCY","Unresolved deficiency or material deficiency",IF(BW260="UNDERWRITING","Underwriting / feasibility not passed",IF(BW260="COMPLIANCE","Deconcentration, one-mile, LURA, or Chapter 12 issue","Ready under current engine rules"))))))</f>
        <v/>
      </c>
      <c r="BY260" s="13">
        <f>IF(BV260="Determination Notice","Streamlined + DN-ready assumptions satisfied",IF(BV260="Board","Board-required or board-ready assumptions satisfied",""))</f>
        <v/>
      </c>
      <c r="BZ260" s="13">
        <f>IF(AND(BP260="Y",BQ260&lt;&gt;"Y"),"Carryforward project retains queue priority",IF(BQ260="Y","New project enters behind carryforward projects",""))</f>
        <v/>
      </c>
      <c r="CA260" s="13">
        <f>_xludf.RANK.EQ(Rule_Flags!O259,Rule_Flags!$O$3:$O$402,0)</f>
        <v/>
      </c>
      <c r="CB260" s="13">
        <f>IF(OR(BU260="Determination Notice Issued",BU260="Board",BU260="Closed"),"Y","N")</f>
        <v/>
      </c>
      <c r="CC260" s="9" t="n"/>
      <c r="CD260" s="9" t="n"/>
      <c r="CE260" s="9" t="n"/>
      <c r="CF260" s="9" t="n"/>
      <c r="CG260" s="9" t="n"/>
      <c r="CH260" s="9" t="n"/>
    </row>
    <row r="261">
      <c r="A261" s="8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8" t="n"/>
      <c r="L261" s="9" t="n"/>
      <c r="M261" s="8" t="n"/>
      <c r="N261" s="8" t="n"/>
      <c r="O261" s="8" t="n"/>
      <c r="P261" s="8" t="n"/>
      <c r="Q261" s="8" t="n"/>
      <c r="R261" s="9" t="n"/>
      <c r="S261" s="9" t="n"/>
      <c r="T261" s="10" t="n"/>
      <c r="U261" s="10" t="n"/>
      <c r="V261" s="9" t="n"/>
      <c r="W261" s="9" t="n"/>
      <c r="X261" s="9" t="n"/>
      <c r="Y261" s="9" t="n"/>
      <c r="Z261" s="11" t="n"/>
      <c r="AA261" s="11" t="n"/>
      <c r="AB261" s="11" t="n"/>
      <c r="AC261" s="11" t="n"/>
      <c r="AD261" s="11" t="n"/>
      <c r="AE261" s="11" t="n"/>
      <c r="AF261" s="9" t="n"/>
      <c r="AG261" s="9" t="n"/>
      <c r="AH261" s="9" t="n"/>
      <c r="AI261" s="9" t="n"/>
      <c r="AJ261" s="8" t="n"/>
      <c r="AK261" s="9" t="n"/>
      <c r="AL261" s="9" t="n"/>
      <c r="AM261" s="9" t="n"/>
      <c r="AN261" s="9" t="n"/>
      <c r="AO261" s="9" t="n"/>
      <c r="AP261" s="9" t="n"/>
      <c r="AQ261" s="9" t="n"/>
      <c r="AR261" s="9" t="n"/>
      <c r="AS261" s="9" t="n"/>
      <c r="AT261" s="8" t="n"/>
      <c r="AU261" s="8" t="n"/>
      <c r="AV261" s="9" t="n"/>
      <c r="AW261" s="8" t="n"/>
      <c r="AX261" s="9" t="n"/>
      <c r="AY261" s="9" t="n"/>
      <c r="AZ261" s="9" t="n"/>
      <c r="BA261" s="9" t="n"/>
      <c r="BB261" s="9" t="n"/>
      <c r="BC261" s="9" t="n"/>
      <c r="BD261" s="9" t="n"/>
      <c r="BE261" s="9" t="n"/>
      <c r="BF261" s="9" t="n"/>
      <c r="BG261" s="9" t="n"/>
      <c r="BH261" s="9" t="n"/>
      <c r="BI261" s="9" t="n"/>
      <c r="BJ261" s="9" t="n"/>
      <c r="BK261" s="9" t="n"/>
      <c r="BL261" s="9" t="n"/>
      <c r="BM261" s="9" t="n"/>
      <c r="BN261" s="9" t="n"/>
      <c r="BO261" s="8" t="n"/>
      <c r="BP261" s="9" t="n"/>
      <c r="BQ261" s="9" t="n"/>
      <c r="BR261" s="13">
        <f>IF(COUNTIF(AI261:BM261,"N")+COUNTBLANK(AI261:BM261)=0,"Y","N")</f>
        <v/>
      </c>
      <c r="BS261" s="13">
        <f>IF(AND(BR261="Y",OR(L261="Submitted",L261="Under Review")),"Y",IF(L261="Closed","Y","N"))</f>
        <v/>
      </c>
      <c r="BT261" s="10" t="n"/>
      <c r="BU261" s="13">
        <f>Rule_Flags!Q260</f>
        <v/>
      </c>
      <c r="BV261" s="13">
        <f>Rule_Flags!P260</f>
        <v/>
      </c>
      <c r="BW261" s="13">
        <f>IF(Rule_Flags!E260=1,"SITE_CONTROL",IF(Rule_Flags!F260=1,"APPROVALS",IF(Rule_Flags!G260=1,"REPORTS",IF(Rule_Flags!H260=1,"DEFICIENCY",IF(Rule_Flags!I260=1,"UNDERWRITING",IF(Rule_Flags!J260=1,"COMPLIANCE",""))))))</f>
        <v/>
      </c>
      <c r="BX261" s="13">
        <f>IF(BW261="SITE_CONTROL","Site control missing or invalid",IF(BW261="APPROVALS","Required approvals or resolutions incomplete",IF(BW261="REPORTS","Required third-party reports incomplete",IF(BW261="DEFICIENCY","Unresolved deficiency or material deficiency",IF(BW261="UNDERWRITING","Underwriting / feasibility not passed",IF(BW261="COMPLIANCE","Deconcentration, one-mile, LURA, or Chapter 12 issue","Ready under current engine rules"))))))</f>
        <v/>
      </c>
      <c r="BY261" s="13">
        <f>IF(BV261="Determination Notice","Streamlined + DN-ready assumptions satisfied",IF(BV261="Board","Board-required or board-ready assumptions satisfied",""))</f>
        <v/>
      </c>
      <c r="BZ261" s="13">
        <f>IF(AND(BP261="Y",BQ261&lt;&gt;"Y"),"Carryforward project retains queue priority",IF(BQ261="Y","New project enters behind carryforward projects",""))</f>
        <v/>
      </c>
      <c r="CA261" s="13">
        <f>_xludf.RANK.EQ(Rule_Flags!O260,Rule_Flags!$O$3:$O$402,0)</f>
        <v/>
      </c>
      <c r="CB261" s="13">
        <f>IF(OR(BU261="Determination Notice Issued",BU261="Board",BU261="Closed"),"Y","N")</f>
        <v/>
      </c>
      <c r="CC261" s="9" t="n"/>
      <c r="CD261" s="9" t="n"/>
      <c r="CE261" s="9" t="n"/>
      <c r="CF261" s="9" t="n"/>
      <c r="CG261" s="9" t="n"/>
      <c r="CH261" s="9" t="n"/>
    </row>
    <row r="262">
      <c r="A262" s="8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8" t="n"/>
      <c r="L262" s="9" t="n"/>
      <c r="M262" s="8" t="n"/>
      <c r="N262" s="8" t="n"/>
      <c r="O262" s="8" t="n"/>
      <c r="P262" s="8" t="n"/>
      <c r="Q262" s="8" t="n"/>
      <c r="R262" s="9" t="n"/>
      <c r="S262" s="9" t="n"/>
      <c r="T262" s="10" t="n"/>
      <c r="U262" s="10" t="n"/>
      <c r="V262" s="9" t="n"/>
      <c r="W262" s="9" t="n"/>
      <c r="X262" s="9" t="n"/>
      <c r="Y262" s="9" t="n"/>
      <c r="Z262" s="11" t="n"/>
      <c r="AA262" s="11" t="n"/>
      <c r="AB262" s="11" t="n"/>
      <c r="AC262" s="11" t="n"/>
      <c r="AD262" s="11" t="n"/>
      <c r="AE262" s="11" t="n"/>
      <c r="AF262" s="9" t="n"/>
      <c r="AG262" s="9" t="n"/>
      <c r="AH262" s="9" t="n"/>
      <c r="AI262" s="9" t="n"/>
      <c r="AJ262" s="8" t="n"/>
      <c r="AK262" s="9" t="n"/>
      <c r="AL262" s="9" t="n"/>
      <c r="AM262" s="9" t="n"/>
      <c r="AN262" s="9" t="n"/>
      <c r="AO262" s="9" t="n"/>
      <c r="AP262" s="9" t="n"/>
      <c r="AQ262" s="9" t="n"/>
      <c r="AR262" s="9" t="n"/>
      <c r="AS262" s="9" t="n"/>
      <c r="AT262" s="8" t="n"/>
      <c r="AU262" s="8" t="n"/>
      <c r="AV262" s="9" t="n"/>
      <c r="AW262" s="8" t="n"/>
      <c r="AX262" s="9" t="n"/>
      <c r="AY262" s="9" t="n"/>
      <c r="AZ262" s="9" t="n"/>
      <c r="BA262" s="9" t="n"/>
      <c r="BB262" s="9" t="n"/>
      <c r="BC262" s="9" t="n"/>
      <c r="BD262" s="9" t="n"/>
      <c r="BE262" s="9" t="n"/>
      <c r="BF262" s="9" t="n"/>
      <c r="BG262" s="9" t="n"/>
      <c r="BH262" s="9" t="n"/>
      <c r="BI262" s="9" t="n"/>
      <c r="BJ262" s="9" t="n"/>
      <c r="BK262" s="9" t="n"/>
      <c r="BL262" s="9" t="n"/>
      <c r="BM262" s="9" t="n"/>
      <c r="BN262" s="9" t="n"/>
      <c r="BO262" s="8" t="n"/>
      <c r="BP262" s="9" t="n"/>
      <c r="BQ262" s="9" t="n"/>
      <c r="BR262" s="13">
        <f>IF(COUNTIF(AI262:BM262,"N")+COUNTBLANK(AI262:BM262)=0,"Y","N")</f>
        <v/>
      </c>
      <c r="BS262" s="13">
        <f>IF(AND(BR262="Y",OR(L262="Submitted",L262="Under Review")),"Y",IF(L262="Closed","Y","N"))</f>
        <v/>
      </c>
      <c r="BT262" s="10" t="n"/>
      <c r="BU262" s="13">
        <f>Rule_Flags!Q261</f>
        <v/>
      </c>
      <c r="BV262" s="13">
        <f>Rule_Flags!P261</f>
        <v/>
      </c>
      <c r="BW262" s="13">
        <f>IF(Rule_Flags!E261=1,"SITE_CONTROL",IF(Rule_Flags!F261=1,"APPROVALS",IF(Rule_Flags!G261=1,"REPORTS",IF(Rule_Flags!H261=1,"DEFICIENCY",IF(Rule_Flags!I261=1,"UNDERWRITING",IF(Rule_Flags!J261=1,"COMPLIANCE",""))))))</f>
        <v/>
      </c>
      <c r="BX262" s="13">
        <f>IF(BW262="SITE_CONTROL","Site control missing or invalid",IF(BW262="APPROVALS","Required approvals or resolutions incomplete",IF(BW262="REPORTS","Required third-party reports incomplete",IF(BW262="DEFICIENCY","Unresolved deficiency or material deficiency",IF(BW262="UNDERWRITING","Underwriting / feasibility not passed",IF(BW262="COMPLIANCE","Deconcentration, one-mile, LURA, or Chapter 12 issue","Ready under current engine rules"))))))</f>
        <v/>
      </c>
      <c r="BY262" s="13">
        <f>IF(BV262="Determination Notice","Streamlined + DN-ready assumptions satisfied",IF(BV262="Board","Board-required or board-ready assumptions satisfied",""))</f>
        <v/>
      </c>
      <c r="BZ262" s="13">
        <f>IF(AND(BP262="Y",BQ262&lt;&gt;"Y"),"Carryforward project retains queue priority",IF(BQ262="Y","New project enters behind carryforward projects",""))</f>
        <v/>
      </c>
      <c r="CA262" s="13">
        <f>_xludf.RANK.EQ(Rule_Flags!O261,Rule_Flags!$O$3:$O$402,0)</f>
        <v/>
      </c>
      <c r="CB262" s="13">
        <f>IF(OR(BU262="Determination Notice Issued",BU262="Board",BU262="Closed"),"Y","N")</f>
        <v/>
      </c>
      <c r="CC262" s="9" t="n"/>
      <c r="CD262" s="9" t="n"/>
      <c r="CE262" s="9" t="n"/>
      <c r="CF262" s="9" t="n"/>
      <c r="CG262" s="9" t="n"/>
      <c r="CH262" s="9" t="n"/>
    </row>
    <row r="263">
      <c r="A263" s="8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8" t="n"/>
      <c r="L263" s="9" t="n"/>
      <c r="M263" s="8" t="n"/>
      <c r="N263" s="8" t="n"/>
      <c r="O263" s="8" t="n"/>
      <c r="P263" s="8" t="n"/>
      <c r="Q263" s="8" t="n"/>
      <c r="R263" s="9" t="n"/>
      <c r="S263" s="9" t="n"/>
      <c r="T263" s="10" t="n"/>
      <c r="U263" s="10" t="n"/>
      <c r="V263" s="9" t="n"/>
      <c r="W263" s="9" t="n"/>
      <c r="X263" s="9" t="n"/>
      <c r="Y263" s="9" t="n"/>
      <c r="Z263" s="11" t="n"/>
      <c r="AA263" s="11" t="n"/>
      <c r="AB263" s="11" t="n"/>
      <c r="AC263" s="11" t="n"/>
      <c r="AD263" s="11" t="n"/>
      <c r="AE263" s="11" t="n"/>
      <c r="AF263" s="9" t="n"/>
      <c r="AG263" s="9" t="n"/>
      <c r="AH263" s="9" t="n"/>
      <c r="AI263" s="9" t="n"/>
      <c r="AJ263" s="8" t="n"/>
      <c r="AK263" s="9" t="n"/>
      <c r="AL263" s="9" t="n"/>
      <c r="AM263" s="9" t="n"/>
      <c r="AN263" s="9" t="n"/>
      <c r="AO263" s="9" t="n"/>
      <c r="AP263" s="9" t="n"/>
      <c r="AQ263" s="9" t="n"/>
      <c r="AR263" s="9" t="n"/>
      <c r="AS263" s="9" t="n"/>
      <c r="AT263" s="8" t="n"/>
      <c r="AU263" s="8" t="n"/>
      <c r="AV263" s="9" t="n"/>
      <c r="AW263" s="8" t="n"/>
      <c r="AX263" s="9" t="n"/>
      <c r="AY263" s="9" t="n"/>
      <c r="AZ263" s="9" t="n"/>
      <c r="BA263" s="9" t="n"/>
      <c r="BB263" s="9" t="n"/>
      <c r="BC263" s="9" t="n"/>
      <c r="BD263" s="9" t="n"/>
      <c r="BE263" s="9" t="n"/>
      <c r="BF263" s="9" t="n"/>
      <c r="BG263" s="9" t="n"/>
      <c r="BH263" s="9" t="n"/>
      <c r="BI263" s="9" t="n"/>
      <c r="BJ263" s="9" t="n"/>
      <c r="BK263" s="9" t="n"/>
      <c r="BL263" s="9" t="n"/>
      <c r="BM263" s="9" t="n"/>
      <c r="BN263" s="9" t="n"/>
      <c r="BO263" s="8" t="n"/>
      <c r="BP263" s="9" t="n"/>
      <c r="BQ263" s="9" t="n"/>
      <c r="BR263" s="13">
        <f>IF(COUNTIF(AI263:BM263,"N")+COUNTBLANK(AI263:BM263)=0,"Y","N")</f>
        <v/>
      </c>
      <c r="BS263" s="13">
        <f>IF(AND(BR263="Y",OR(L263="Submitted",L263="Under Review")),"Y",IF(L263="Closed","Y","N"))</f>
        <v/>
      </c>
      <c r="BT263" s="10" t="n"/>
      <c r="BU263" s="13">
        <f>Rule_Flags!Q262</f>
        <v/>
      </c>
      <c r="BV263" s="13">
        <f>Rule_Flags!P262</f>
        <v/>
      </c>
      <c r="BW263" s="13">
        <f>IF(Rule_Flags!E262=1,"SITE_CONTROL",IF(Rule_Flags!F262=1,"APPROVALS",IF(Rule_Flags!G262=1,"REPORTS",IF(Rule_Flags!H262=1,"DEFICIENCY",IF(Rule_Flags!I262=1,"UNDERWRITING",IF(Rule_Flags!J262=1,"COMPLIANCE",""))))))</f>
        <v/>
      </c>
      <c r="BX263" s="13">
        <f>IF(BW263="SITE_CONTROL","Site control missing or invalid",IF(BW263="APPROVALS","Required approvals or resolutions incomplete",IF(BW263="REPORTS","Required third-party reports incomplete",IF(BW263="DEFICIENCY","Unresolved deficiency or material deficiency",IF(BW263="UNDERWRITING","Underwriting / feasibility not passed",IF(BW263="COMPLIANCE","Deconcentration, one-mile, LURA, or Chapter 12 issue","Ready under current engine rules"))))))</f>
        <v/>
      </c>
      <c r="BY263" s="13">
        <f>IF(BV263="Determination Notice","Streamlined + DN-ready assumptions satisfied",IF(BV263="Board","Board-required or board-ready assumptions satisfied",""))</f>
        <v/>
      </c>
      <c r="BZ263" s="13">
        <f>IF(AND(BP263="Y",BQ263&lt;&gt;"Y"),"Carryforward project retains queue priority",IF(BQ263="Y","New project enters behind carryforward projects",""))</f>
        <v/>
      </c>
      <c r="CA263" s="13">
        <f>_xludf.RANK.EQ(Rule_Flags!O262,Rule_Flags!$O$3:$O$402,0)</f>
        <v/>
      </c>
      <c r="CB263" s="13">
        <f>IF(OR(BU263="Determination Notice Issued",BU263="Board",BU263="Closed"),"Y","N")</f>
        <v/>
      </c>
      <c r="CC263" s="9" t="n"/>
      <c r="CD263" s="9" t="n"/>
      <c r="CE263" s="9" t="n"/>
      <c r="CF263" s="9" t="n"/>
      <c r="CG263" s="9" t="n"/>
      <c r="CH263" s="9" t="n"/>
    </row>
    <row r="264">
      <c r="A264" s="8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8" t="n"/>
      <c r="L264" s="9" t="n"/>
      <c r="M264" s="8" t="n"/>
      <c r="N264" s="8" t="n"/>
      <c r="O264" s="8" t="n"/>
      <c r="P264" s="8" t="n"/>
      <c r="Q264" s="8" t="n"/>
      <c r="R264" s="9" t="n"/>
      <c r="S264" s="9" t="n"/>
      <c r="T264" s="10" t="n"/>
      <c r="U264" s="10" t="n"/>
      <c r="V264" s="9" t="n"/>
      <c r="W264" s="9" t="n"/>
      <c r="X264" s="9" t="n"/>
      <c r="Y264" s="9" t="n"/>
      <c r="Z264" s="11" t="n"/>
      <c r="AA264" s="11" t="n"/>
      <c r="AB264" s="11" t="n"/>
      <c r="AC264" s="11" t="n"/>
      <c r="AD264" s="11" t="n"/>
      <c r="AE264" s="11" t="n"/>
      <c r="AF264" s="9" t="n"/>
      <c r="AG264" s="9" t="n"/>
      <c r="AH264" s="9" t="n"/>
      <c r="AI264" s="9" t="n"/>
      <c r="AJ264" s="8" t="n"/>
      <c r="AK264" s="9" t="n"/>
      <c r="AL264" s="9" t="n"/>
      <c r="AM264" s="9" t="n"/>
      <c r="AN264" s="9" t="n"/>
      <c r="AO264" s="9" t="n"/>
      <c r="AP264" s="9" t="n"/>
      <c r="AQ264" s="9" t="n"/>
      <c r="AR264" s="9" t="n"/>
      <c r="AS264" s="9" t="n"/>
      <c r="AT264" s="8" t="n"/>
      <c r="AU264" s="8" t="n"/>
      <c r="AV264" s="9" t="n"/>
      <c r="AW264" s="8" t="n"/>
      <c r="AX264" s="9" t="n"/>
      <c r="AY264" s="9" t="n"/>
      <c r="AZ264" s="9" t="n"/>
      <c r="BA264" s="9" t="n"/>
      <c r="BB264" s="9" t="n"/>
      <c r="BC264" s="9" t="n"/>
      <c r="BD264" s="9" t="n"/>
      <c r="BE264" s="9" t="n"/>
      <c r="BF264" s="9" t="n"/>
      <c r="BG264" s="9" t="n"/>
      <c r="BH264" s="9" t="n"/>
      <c r="BI264" s="9" t="n"/>
      <c r="BJ264" s="9" t="n"/>
      <c r="BK264" s="9" t="n"/>
      <c r="BL264" s="9" t="n"/>
      <c r="BM264" s="9" t="n"/>
      <c r="BN264" s="9" t="n"/>
      <c r="BO264" s="8" t="n"/>
      <c r="BP264" s="9" t="n"/>
      <c r="BQ264" s="9" t="n"/>
      <c r="BR264" s="13">
        <f>IF(COUNTIF(AI264:BM264,"N")+COUNTBLANK(AI264:BM264)=0,"Y","N")</f>
        <v/>
      </c>
      <c r="BS264" s="13">
        <f>IF(AND(BR264="Y",OR(L264="Submitted",L264="Under Review")),"Y",IF(L264="Closed","Y","N"))</f>
        <v/>
      </c>
      <c r="BT264" s="10" t="n"/>
      <c r="BU264" s="13">
        <f>Rule_Flags!Q263</f>
        <v/>
      </c>
      <c r="BV264" s="13">
        <f>Rule_Flags!P263</f>
        <v/>
      </c>
      <c r="BW264" s="13">
        <f>IF(Rule_Flags!E263=1,"SITE_CONTROL",IF(Rule_Flags!F263=1,"APPROVALS",IF(Rule_Flags!G263=1,"REPORTS",IF(Rule_Flags!H263=1,"DEFICIENCY",IF(Rule_Flags!I263=1,"UNDERWRITING",IF(Rule_Flags!J263=1,"COMPLIANCE",""))))))</f>
        <v/>
      </c>
      <c r="BX264" s="13">
        <f>IF(BW264="SITE_CONTROL","Site control missing or invalid",IF(BW264="APPROVALS","Required approvals or resolutions incomplete",IF(BW264="REPORTS","Required third-party reports incomplete",IF(BW264="DEFICIENCY","Unresolved deficiency or material deficiency",IF(BW264="UNDERWRITING","Underwriting / feasibility not passed",IF(BW264="COMPLIANCE","Deconcentration, one-mile, LURA, or Chapter 12 issue","Ready under current engine rules"))))))</f>
        <v/>
      </c>
      <c r="BY264" s="13">
        <f>IF(BV264="Determination Notice","Streamlined + DN-ready assumptions satisfied",IF(BV264="Board","Board-required or board-ready assumptions satisfied",""))</f>
        <v/>
      </c>
      <c r="BZ264" s="13">
        <f>IF(AND(BP264="Y",BQ264&lt;&gt;"Y"),"Carryforward project retains queue priority",IF(BQ264="Y","New project enters behind carryforward projects",""))</f>
        <v/>
      </c>
      <c r="CA264" s="13">
        <f>_xludf.RANK.EQ(Rule_Flags!O263,Rule_Flags!$O$3:$O$402,0)</f>
        <v/>
      </c>
      <c r="CB264" s="13">
        <f>IF(OR(BU264="Determination Notice Issued",BU264="Board",BU264="Closed"),"Y","N")</f>
        <v/>
      </c>
      <c r="CC264" s="9" t="n"/>
      <c r="CD264" s="9" t="n"/>
      <c r="CE264" s="9" t="n"/>
      <c r="CF264" s="9" t="n"/>
      <c r="CG264" s="9" t="n"/>
      <c r="CH264" s="9" t="n"/>
    </row>
    <row r="265">
      <c r="A265" s="8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8" t="n"/>
      <c r="L265" s="9" t="n"/>
      <c r="M265" s="8" t="n"/>
      <c r="N265" s="8" t="n"/>
      <c r="O265" s="8" t="n"/>
      <c r="P265" s="8" t="n"/>
      <c r="Q265" s="8" t="n"/>
      <c r="R265" s="9" t="n"/>
      <c r="S265" s="9" t="n"/>
      <c r="T265" s="10" t="n"/>
      <c r="U265" s="10" t="n"/>
      <c r="V265" s="9" t="n"/>
      <c r="W265" s="9" t="n"/>
      <c r="X265" s="9" t="n"/>
      <c r="Y265" s="9" t="n"/>
      <c r="Z265" s="11" t="n"/>
      <c r="AA265" s="11" t="n"/>
      <c r="AB265" s="11" t="n"/>
      <c r="AC265" s="11" t="n"/>
      <c r="AD265" s="11" t="n"/>
      <c r="AE265" s="11" t="n"/>
      <c r="AF265" s="9" t="n"/>
      <c r="AG265" s="9" t="n"/>
      <c r="AH265" s="9" t="n"/>
      <c r="AI265" s="9" t="n"/>
      <c r="AJ265" s="8" t="n"/>
      <c r="AK265" s="9" t="n"/>
      <c r="AL265" s="9" t="n"/>
      <c r="AM265" s="9" t="n"/>
      <c r="AN265" s="9" t="n"/>
      <c r="AO265" s="9" t="n"/>
      <c r="AP265" s="9" t="n"/>
      <c r="AQ265" s="9" t="n"/>
      <c r="AR265" s="9" t="n"/>
      <c r="AS265" s="9" t="n"/>
      <c r="AT265" s="8" t="n"/>
      <c r="AU265" s="8" t="n"/>
      <c r="AV265" s="9" t="n"/>
      <c r="AW265" s="8" t="n"/>
      <c r="AX265" s="9" t="n"/>
      <c r="AY265" s="9" t="n"/>
      <c r="AZ265" s="9" t="n"/>
      <c r="BA265" s="9" t="n"/>
      <c r="BB265" s="9" t="n"/>
      <c r="BC265" s="9" t="n"/>
      <c r="BD265" s="9" t="n"/>
      <c r="BE265" s="9" t="n"/>
      <c r="BF265" s="9" t="n"/>
      <c r="BG265" s="9" t="n"/>
      <c r="BH265" s="9" t="n"/>
      <c r="BI265" s="9" t="n"/>
      <c r="BJ265" s="9" t="n"/>
      <c r="BK265" s="9" t="n"/>
      <c r="BL265" s="9" t="n"/>
      <c r="BM265" s="9" t="n"/>
      <c r="BN265" s="9" t="n"/>
      <c r="BO265" s="8" t="n"/>
      <c r="BP265" s="9" t="n"/>
      <c r="BQ265" s="9" t="n"/>
      <c r="BR265" s="13">
        <f>IF(COUNTIF(AI265:BM265,"N")+COUNTBLANK(AI265:BM265)=0,"Y","N")</f>
        <v/>
      </c>
      <c r="BS265" s="13">
        <f>IF(AND(BR265="Y",OR(L265="Submitted",L265="Under Review")),"Y",IF(L265="Closed","Y","N"))</f>
        <v/>
      </c>
      <c r="BT265" s="10" t="n"/>
      <c r="BU265" s="13">
        <f>Rule_Flags!Q264</f>
        <v/>
      </c>
      <c r="BV265" s="13">
        <f>Rule_Flags!P264</f>
        <v/>
      </c>
      <c r="BW265" s="13">
        <f>IF(Rule_Flags!E264=1,"SITE_CONTROL",IF(Rule_Flags!F264=1,"APPROVALS",IF(Rule_Flags!G264=1,"REPORTS",IF(Rule_Flags!H264=1,"DEFICIENCY",IF(Rule_Flags!I264=1,"UNDERWRITING",IF(Rule_Flags!J264=1,"COMPLIANCE",""))))))</f>
        <v/>
      </c>
      <c r="BX265" s="13">
        <f>IF(BW265="SITE_CONTROL","Site control missing or invalid",IF(BW265="APPROVALS","Required approvals or resolutions incomplete",IF(BW265="REPORTS","Required third-party reports incomplete",IF(BW265="DEFICIENCY","Unresolved deficiency or material deficiency",IF(BW265="UNDERWRITING","Underwriting / feasibility not passed",IF(BW265="COMPLIANCE","Deconcentration, one-mile, LURA, or Chapter 12 issue","Ready under current engine rules"))))))</f>
        <v/>
      </c>
      <c r="BY265" s="13">
        <f>IF(BV265="Determination Notice","Streamlined + DN-ready assumptions satisfied",IF(BV265="Board","Board-required or board-ready assumptions satisfied",""))</f>
        <v/>
      </c>
      <c r="BZ265" s="13">
        <f>IF(AND(BP265="Y",BQ265&lt;&gt;"Y"),"Carryforward project retains queue priority",IF(BQ265="Y","New project enters behind carryforward projects",""))</f>
        <v/>
      </c>
      <c r="CA265" s="13">
        <f>_xludf.RANK.EQ(Rule_Flags!O264,Rule_Flags!$O$3:$O$402,0)</f>
        <v/>
      </c>
      <c r="CB265" s="13">
        <f>IF(OR(BU265="Determination Notice Issued",BU265="Board",BU265="Closed"),"Y","N")</f>
        <v/>
      </c>
      <c r="CC265" s="9" t="n"/>
      <c r="CD265" s="9" t="n"/>
      <c r="CE265" s="9" t="n"/>
      <c r="CF265" s="9" t="n"/>
      <c r="CG265" s="9" t="n"/>
      <c r="CH265" s="9" t="n"/>
    </row>
    <row r="266">
      <c r="A266" s="8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8" t="n"/>
      <c r="L266" s="9" t="n"/>
      <c r="M266" s="8" t="n"/>
      <c r="N266" s="8" t="n"/>
      <c r="O266" s="8" t="n"/>
      <c r="P266" s="8" t="n"/>
      <c r="Q266" s="8" t="n"/>
      <c r="R266" s="9" t="n"/>
      <c r="S266" s="9" t="n"/>
      <c r="T266" s="10" t="n"/>
      <c r="U266" s="10" t="n"/>
      <c r="V266" s="9" t="n"/>
      <c r="W266" s="9" t="n"/>
      <c r="X266" s="9" t="n"/>
      <c r="Y266" s="9" t="n"/>
      <c r="Z266" s="11" t="n"/>
      <c r="AA266" s="11" t="n"/>
      <c r="AB266" s="11" t="n"/>
      <c r="AC266" s="11" t="n"/>
      <c r="AD266" s="11" t="n"/>
      <c r="AE266" s="11" t="n"/>
      <c r="AF266" s="9" t="n"/>
      <c r="AG266" s="9" t="n"/>
      <c r="AH266" s="9" t="n"/>
      <c r="AI266" s="9" t="n"/>
      <c r="AJ266" s="8" t="n"/>
      <c r="AK266" s="9" t="n"/>
      <c r="AL266" s="9" t="n"/>
      <c r="AM266" s="9" t="n"/>
      <c r="AN266" s="9" t="n"/>
      <c r="AO266" s="9" t="n"/>
      <c r="AP266" s="9" t="n"/>
      <c r="AQ266" s="9" t="n"/>
      <c r="AR266" s="9" t="n"/>
      <c r="AS266" s="9" t="n"/>
      <c r="AT266" s="8" t="n"/>
      <c r="AU266" s="8" t="n"/>
      <c r="AV266" s="9" t="n"/>
      <c r="AW266" s="8" t="n"/>
      <c r="AX266" s="9" t="n"/>
      <c r="AY266" s="9" t="n"/>
      <c r="AZ266" s="9" t="n"/>
      <c r="BA266" s="9" t="n"/>
      <c r="BB266" s="9" t="n"/>
      <c r="BC266" s="9" t="n"/>
      <c r="BD266" s="9" t="n"/>
      <c r="BE266" s="9" t="n"/>
      <c r="BF266" s="9" t="n"/>
      <c r="BG266" s="9" t="n"/>
      <c r="BH266" s="9" t="n"/>
      <c r="BI266" s="9" t="n"/>
      <c r="BJ266" s="9" t="n"/>
      <c r="BK266" s="9" t="n"/>
      <c r="BL266" s="9" t="n"/>
      <c r="BM266" s="9" t="n"/>
      <c r="BN266" s="9" t="n"/>
      <c r="BO266" s="8" t="n"/>
      <c r="BP266" s="9" t="n"/>
      <c r="BQ266" s="9" t="n"/>
      <c r="BR266" s="13">
        <f>IF(COUNTIF(AI266:BM266,"N")+COUNTBLANK(AI266:BM266)=0,"Y","N")</f>
        <v/>
      </c>
      <c r="BS266" s="13">
        <f>IF(AND(BR266="Y",OR(L266="Submitted",L266="Under Review")),"Y",IF(L266="Closed","Y","N"))</f>
        <v/>
      </c>
      <c r="BT266" s="10" t="n"/>
      <c r="BU266" s="13">
        <f>Rule_Flags!Q265</f>
        <v/>
      </c>
      <c r="BV266" s="13">
        <f>Rule_Flags!P265</f>
        <v/>
      </c>
      <c r="BW266" s="13">
        <f>IF(Rule_Flags!E265=1,"SITE_CONTROL",IF(Rule_Flags!F265=1,"APPROVALS",IF(Rule_Flags!G265=1,"REPORTS",IF(Rule_Flags!H265=1,"DEFICIENCY",IF(Rule_Flags!I265=1,"UNDERWRITING",IF(Rule_Flags!J265=1,"COMPLIANCE",""))))))</f>
        <v/>
      </c>
      <c r="BX266" s="13">
        <f>IF(BW266="SITE_CONTROL","Site control missing or invalid",IF(BW266="APPROVALS","Required approvals or resolutions incomplete",IF(BW266="REPORTS","Required third-party reports incomplete",IF(BW266="DEFICIENCY","Unresolved deficiency or material deficiency",IF(BW266="UNDERWRITING","Underwriting / feasibility not passed",IF(BW266="COMPLIANCE","Deconcentration, one-mile, LURA, or Chapter 12 issue","Ready under current engine rules"))))))</f>
        <v/>
      </c>
      <c r="BY266" s="13">
        <f>IF(BV266="Determination Notice","Streamlined + DN-ready assumptions satisfied",IF(BV266="Board","Board-required or board-ready assumptions satisfied",""))</f>
        <v/>
      </c>
      <c r="BZ266" s="13">
        <f>IF(AND(BP266="Y",BQ266&lt;&gt;"Y"),"Carryforward project retains queue priority",IF(BQ266="Y","New project enters behind carryforward projects",""))</f>
        <v/>
      </c>
      <c r="CA266" s="13">
        <f>_xludf.RANK.EQ(Rule_Flags!O265,Rule_Flags!$O$3:$O$402,0)</f>
        <v/>
      </c>
      <c r="CB266" s="13">
        <f>IF(OR(BU266="Determination Notice Issued",BU266="Board",BU266="Closed"),"Y","N")</f>
        <v/>
      </c>
      <c r="CC266" s="9" t="n"/>
      <c r="CD266" s="9" t="n"/>
      <c r="CE266" s="9" t="n"/>
      <c r="CF266" s="9" t="n"/>
      <c r="CG266" s="9" t="n"/>
      <c r="CH266" s="9" t="n"/>
    </row>
    <row r="267">
      <c r="A267" s="8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8" t="n"/>
      <c r="L267" s="9" t="n"/>
      <c r="M267" s="8" t="n"/>
      <c r="N267" s="8" t="n"/>
      <c r="O267" s="8" t="n"/>
      <c r="P267" s="8" t="n"/>
      <c r="Q267" s="8" t="n"/>
      <c r="R267" s="9" t="n"/>
      <c r="S267" s="9" t="n"/>
      <c r="T267" s="10" t="n"/>
      <c r="U267" s="10" t="n"/>
      <c r="V267" s="9" t="n"/>
      <c r="W267" s="9" t="n"/>
      <c r="X267" s="9" t="n"/>
      <c r="Y267" s="9" t="n"/>
      <c r="Z267" s="11" t="n"/>
      <c r="AA267" s="11" t="n"/>
      <c r="AB267" s="11" t="n"/>
      <c r="AC267" s="11" t="n"/>
      <c r="AD267" s="11" t="n"/>
      <c r="AE267" s="11" t="n"/>
      <c r="AF267" s="9" t="n"/>
      <c r="AG267" s="9" t="n"/>
      <c r="AH267" s="9" t="n"/>
      <c r="AI267" s="9" t="n"/>
      <c r="AJ267" s="8" t="n"/>
      <c r="AK267" s="9" t="n"/>
      <c r="AL267" s="9" t="n"/>
      <c r="AM267" s="9" t="n"/>
      <c r="AN267" s="9" t="n"/>
      <c r="AO267" s="9" t="n"/>
      <c r="AP267" s="9" t="n"/>
      <c r="AQ267" s="9" t="n"/>
      <c r="AR267" s="9" t="n"/>
      <c r="AS267" s="9" t="n"/>
      <c r="AT267" s="8" t="n"/>
      <c r="AU267" s="8" t="n"/>
      <c r="AV267" s="9" t="n"/>
      <c r="AW267" s="8" t="n"/>
      <c r="AX267" s="9" t="n"/>
      <c r="AY267" s="9" t="n"/>
      <c r="AZ267" s="9" t="n"/>
      <c r="BA267" s="9" t="n"/>
      <c r="BB267" s="9" t="n"/>
      <c r="BC267" s="9" t="n"/>
      <c r="BD267" s="9" t="n"/>
      <c r="BE267" s="9" t="n"/>
      <c r="BF267" s="9" t="n"/>
      <c r="BG267" s="9" t="n"/>
      <c r="BH267" s="9" t="n"/>
      <c r="BI267" s="9" t="n"/>
      <c r="BJ267" s="9" t="n"/>
      <c r="BK267" s="9" t="n"/>
      <c r="BL267" s="9" t="n"/>
      <c r="BM267" s="9" t="n"/>
      <c r="BN267" s="9" t="n"/>
      <c r="BO267" s="8" t="n"/>
      <c r="BP267" s="9" t="n"/>
      <c r="BQ267" s="9" t="n"/>
      <c r="BR267" s="13">
        <f>IF(COUNTIF(AI267:BM267,"N")+COUNTBLANK(AI267:BM267)=0,"Y","N")</f>
        <v/>
      </c>
      <c r="BS267" s="13">
        <f>IF(AND(BR267="Y",OR(L267="Submitted",L267="Under Review")),"Y",IF(L267="Closed","Y","N"))</f>
        <v/>
      </c>
      <c r="BT267" s="10" t="n"/>
      <c r="BU267" s="13">
        <f>Rule_Flags!Q266</f>
        <v/>
      </c>
      <c r="BV267" s="13">
        <f>Rule_Flags!P266</f>
        <v/>
      </c>
      <c r="BW267" s="13">
        <f>IF(Rule_Flags!E266=1,"SITE_CONTROL",IF(Rule_Flags!F266=1,"APPROVALS",IF(Rule_Flags!G266=1,"REPORTS",IF(Rule_Flags!H266=1,"DEFICIENCY",IF(Rule_Flags!I266=1,"UNDERWRITING",IF(Rule_Flags!J266=1,"COMPLIANCE",""))))))</f>
        <v/>
      </c>
      <c r="BX267" s="13">
        <f>IF(BW267="SITE_CONTROL","Site control missing or invalid",IF(BW267="APPROVALS","Required approvals or resolutions incomplete",IF(BW267="REPORTS","Required third-party reports incomplete",IF(BW267="DEFICIENCY","Unresolved deficiency or material deficiency",IF(BW267="UNDERWRITING","Underwriting / feasibility not passed",IF(BW267="COMPLIANCE","Deconcentration, one-mile, LURA, or Chapter 12 issue","Ready under current engine rules"))))))</f>
        <v/>
      </c>
      <c r="BY267" s="13">
        <f>IF(BV267="Determination Notice","Streamlined + DN-ready assumptions satisfied",IF(BV267="Board","Board-required or board-ready assumptions satisfied",""))</f>
        <v/>
      </c>
      <c r="BZ267" s="13">
        <f>IF(AND(BP267="Y",BQ267&lt;&gt;"Y"),"Carryforward project retains queue priority",IF(BQ267="Y","New project enters behind carryforward projects",""))</f>
        <v/>
      </c>
      <c r="CA267" s="13">
        <f>_xludf.RANK.EQ(Rule_Flags!O266,Rule_Flags!$O$3:$O$402,0)</f>
        <v/>
      </c>
      <c r="CB267" s="13">
        <f>IF(OR(BU267="Determination Notice Issued",BU267="Board",BU267="Closed"),"Y","N")</f>
        <v/>
      </c>
      <c r="CC267" s="9" t="n"/>
      <c r="CD267" s="9" t="n"/>
      <c r="CE267" s="9" t="n"/>
      <c r="CF267" s="9" t="n"/>
      <c r="CG267" s="9" t="n"/>
      <c r="CH267" s="9" t="n"/>
    </row>
    <row r="268">
      <c r="A268" s="8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8" t="n"/>
      <c r="L268" s="9" t="n"/>
      <c r="M268" s="8" t="n"/>
      <c r="N268" s="8" t="n"/>
      <c r="O268" s="8" t="n"/>
      <c r="P268" s="8" t="n"/>
      <c r="Q268" s="8" t="n"/>
      <c r="R268" s="9" t="n"/>
      <c r="S268" s="9" t="n"/>
      <c r="T268" s="10" t="n"/>
      <c r="U268" s="10" t="n"/>
      <c r="V268" s="9" t="n"/>
      <c r="W268" s="9" t="n"/>
      <c r="X268" s="9" t="n"/>
      <c r="Y268" s="9" t="n"/>
      <c r="Z268" s="11" t="n"/>
      <c r="AA268" s="11" t="n"/>
      <c r="AB268" s="11" t="n"/>
      <c r="AC268" s="11" t="n"/>
      <c r="AD268" s="11" t="n"/>
      <c r="AE268" s="11" t="n"/>
      <c r="AF268" s="9" t="n"/>
      <c r="AG268" s="9" t="n"/>
      <c r="AH268" s="9" t="n"/>
      <c r="AI268" s="9" t="n"/>
      <c r="AJ268" s="8" t="n"/>
      <c r="AK268" s="9" t="n"/>
      <c r="AL268" s="9" t="n"/>
      <c r="AM268" s="9" t="n"/>
      <c r="AN268" s="9" t="n"/>
      <c r="AO268" s="9" t="n"/>
      <c r="AP268" s="9" t="n"/>
      <c r="AQ268" s="9" t="n"/>
      <c r="AR268" s="9" t="n"/>
      <c r="AS268" s="9" t="n"/>
      <c r="AT268" s="8" t="n"/>
      <c r="AU268" s="8" t="n"/>
      <c r="AV268" s="9" t="n"/>
      <c r="AW268" s="8" t="n"/>
      <c r="AX268" s="9" t="n"/>
      <c r="AY268" s="9" t="n"/>
      <c r="AZ268" s="9" t="n"/>
      <c r="BA268" s="9" t="n"/>
      <c r="BB268" s="9" t="n"/>
      <c r="BC268" s="9" t="n"/>
      <c r="BD268" s="9" t="n"/>
      <c r="BE268" s="9" t="n"/>
      <c r="BF268" s="9" t="n"/>
      <c r="BG268" s="9" t="n"/>
      <c r="BH268" s="9" t="n"/>
      <c r="BI268" s="9" t="n"/>
      <c r="BJ268" s="9" t="n"/>
      <c r="BK268" s="9" t="n"/>
      <c r="BL268" s="9" t="n"/>
      <c r="BM268" s="9" t="n"/>
      <c r="BN268" s="9" t="n"/>
      <c r="BO268" s="8" t="n"/>
      <c r="BP268" s="9" t="n"/>
      <c r="BQ268" s="9" t="n"/>
      <c r="BR268" s="13">
        <f>IF(COUNTIF(AI268:BM268,"N")+COUNTBLANK(AI268:BM268)=0,"Y","N")</f>
        <v/>
      </c>
      <c r="BS268" s="13">
        <f>IF(AND(BR268="Y",OR(L268="Submitted",L268="Under Review")),"Y",IF(L268="Closed","Y","N"))</f>
        <v/>
      </c>
      <c r="BT268" s="10" t="n"/>
      <c r="BU268" s="13">
        <f>Rule_Flags!Q267</f>
        <v/>
      </c>
      <c r="BV268" s="13">
        <f>Rule_Flags!P267</f>
        <v/>
      </c>
      <c r="BW268" s="13">
        <f>IF(Rule_Flags!E267=1,"SITE_CONTROL",IF(Rule_Flags!F267=1,"APPROVALS",IF(Rule_Flags!G267=1,"REPORTS",IF(Rule_Flags!H267=1,"DEFICIENCY",IF(Rule_Flags!I267=1,"UNDERWRITING",IF(Rule_Flags!J267=1,"COMPLIANCE",""))))))</f>
        <v/>
      </c>
      <c r="BX268" s="13">
        <f>IF(BW268="SITE_CONTROL","Site control missing or invalid",IF(BW268="APPROVALS","Required approvals or resolutions incomplete",IF(BW268="REPORTS","Required third-party reports incomplete",IF(BW268="DEFICIENCY","Unresolved deficiency or material deficiency",IF(BW268="UNDERWRITING","Underwriting / feasibility not passed",IF(BW268="COMPLIANCE","Deconcentration, one-mile, LURA, or Chapter 12 issue","Ready under current engine rules"))))))</f>
        <v/>
      </c>
      <c r="BY268" s="13">
        <f>IF(BV268="Determination Notice","Streamlined + DN-ready assumptions satisfied",IF(BV268="Board","Board-required or board-ready assumptions satisfied",""))</f>
        <v/>
      </c>
      <c r="BZ268" s="13">
        <f>IF(AND(BP268="Y",BQ268&lt;&gt;"Y"),"Carryforward project retains queue priority",IF(BQ268="Y","New project enters behind carryforward projects",""))</f>
        <v/>
      </c>
      <c r="CA268" s="13">
        <f>_xludf.RANK.EQ(Rule_Flags!O267,Rule_Flags!$O$3:$O$402,0)</f>
        <v/>
      </c>
      <c r="CB268" s="13">
        <f>IF(OR(BU268="Determination Notice Issued",BU268="Board",BU268="Closed"),"Y","N")</f>
        <v/>
      </c>
      <c r="CC268" s="9" t="n"/>
      <c r="CD268" s="9" t="n"/>
      <c r="CE268" s="9" t="n"/>
      <c r="CF268" s="9" t="n"/>
      <c r="CG268" s="9" t="n"/>
      <c r="CH268" s="9" t="n"/>
    </row>
    <row r="269">
      <c r="A269" s="8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8" t="n"/>
      <c r="L269" s="9" t="n"/>
      <c r="M269" s="8" t="n"/>
      <c r="N269" s="8" t="n"/>
      <c r="O269" s="8" t="n"/>
      <c r="P269" s="8" t="n"/>
      <c r="Q269" s="8" t="n"/>
      <c r="R269" s="9" t="n"/>
      <c r="S269" s="9" t="n"/>
      <c r="T269" s="10" t="n"/>
      <c r="U269" s="10" t="n"/>
      <c r="V269" s="9" t="n"/>
      <c r="W269" s="9" t="n"/>
      <c r="X269" s="9" t="n"/>
      <c r="Y269" s="9" t="n"/>
      <c r="Z269" s="11" t="n"/>
      <c r="AA269" s="11" t="n"/>
      <c r="AB269" s="11" t="n"/>
      <c r="AC269" s="11" t="n"/>
      <c r="AD269" s="11" t="n"/>
      <c r="AE269" s="11" t="n"/>
      <c r="AF269" s="9" t="n"/>
      <c r="AG269" s="9" t="n"/>
      <c r="AH269" s="9" t="n"/>
      <c r="AI269" s="9" t="n"/>
      <c r="AJ269" s="8" t="n"/>
      <c r="AK269" s="9" t="n"/>
      <c r="AL269" s="9" t="n"/>
      <c r="AM269" s="9" t="n"/>
      <c r="AN269" s="9" t="n"/>
      <c r="AO269" s="9" t="n"/>
      <c r="AP269" s="9" t="n"/>
      <c r="AQ269" s="9" t="n"/>
      <c r="AR269" s="9" t="n"/>
      <c r="AS269" s="9" t="n"/>
      <c r="AT269" s="8" t="n"/>
      <c r="AU269" s="8" t="n"/>
      <c r="AV269" s="9" t="n"/>
      <c r="AW269" s="8" t="n"/>
      <c r="AX269" s="9" t="n"/>
      <c r="AY269" s="9" t="n"/>
      <c r="AZ269" s="9" t="n"/>
      <c r="BA269" s="9" t="n"/>
      <c r="BB269" s="9" t="n"/>
      <c r="BC269" s="9" t="n"/>
      <c r="BD269" s="9" t="n"/>
      <c r="BE269" s="9" t="n"/>
      <c r="BF269" s="9" t="n"/>
      <c r="BG269" s="9" t="n"/>
      <c r="BH269" s="9" t="n"/>
      <c r="BI269" s="9" t="n"/>
      <c r="BJ269" s="9" t="n"/>
      <c r="BK269" s="9" t="n"/>
      <c r="BL269" s="9" t="n"/>
      <c r="BM269" s="9" t="n"/>
      <c r="BN269" s="9" t="n"/>
      <c r="BO269" s="8" t="n"/>
      <c r="BP269" s="9" t="n"/>
      <c r="BQ269" s="9" t="n"/>
      <c r="BR269" s="13">
        <f>IF(COUNTIF(AI269:BM269,"N")+COUNTBLANK(AI269:BM269)=0,"Y","N")</f>
        <v/>
      </c>
      <c r="BS269" s="13">
        <f>IF(AND(BR269="Y",OR(L269="Submitted",L269="Under Review")),"Y",IF(L269="Closed","Y","N"))</f>
        <v/>
      </c>
      <c r="BT269" s="10" t="n"/>
      <c r="BU269" s="13">
        <f>Rule_Flags!Q268</f>
        <v/>
      </c>
      <c r="BV269" s="13">
        <f>Rule_Flags!P268</f>
        <v/>
      </c>
      <c r="BW269" s="13">
        <f>IF(Rule_Flags!E268=1,"SITE_CONTROL",IF(Rule_Flags!F268=1,"APPROVALS",IF(Rule_Flags!G268=1,"REPORTS",IF(Rule_Flags!H268=1,"DEFICIENCY",IF(Rule_Flags!I268=1,"UNDERWRITING",IF(Rule_Flags!J268=1,"COMPLIANCE",""))))))</f>
        <v/>
      </c>
      <c r="BX269" s="13">
        <f>IF(BW269="SITE_CONTROL","Site control missing or invalid",IF(BW269="APPROVALS","Required approvals or resolutions incomplete",IF(BW269="REPORTS","Required third-party reports incomplete",IF(BW269="DEFICIENCY","Unresolved deficiency or material deficiency",IF(BW269="UNDERWRITING","Underwriting / feasibility not passed",IF(BW269="COMPLIANCE","Deconcentration, one-mile, LURA, or Chapter 12 issue","Ready under current engine rules"))))))</f>
        <v/>
      </c>
      <c r="BY269" s="13">
        <f>IF(BV269="Determination Notice","Streamlined + DN-ready assumptions satisfied",IF(BV269="Board","Board-required or board-ready assumptions satisfied",""))</f>
        <v/>
      </c>
      <c r="BZ269" s="13">
        <f>IF(AND(BP269="Y",BQ269&lt;&gt;"Y"),"Carryforward project retains queue priority",IF(BQ269="Y","New project enters behind carryforward projects",""))</f>
        <v/>
      </c>
      <c r="CA269" s="13">
        <f>_xludf.RANK.EQ(Rule_Flags!O268,Rule_Flags!$O$3:$O$402,0)</f>
        <v/>
      </c>
      <c r="CB269" s="13">
        <f>IF(OR(BU269="Determination Notice Issued",BU269="Board",BU269="Closed"),"Y","N")</f>
        <v/>
      </c>
      <c r="CC269" s="9" t="n"/>
      <c r="CD269" s="9" t="n"/>
      <c r="CE269" s="9" t="n"/>
      <c r="CF269" s="9" t="n"/>
      <c r="CG269" s="9" t="n"/>
      <c r="CH269" s="9" t="n"/>
    </row>
    <row r="270">
      <c r="A270" s="8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8" t="n"/>
      <c r="L270" s="9" t="n"/>
      <c r="M270" s="8" t="n"/>
      <c r="N270" s="8" t="n"/>
      <c r="O270" s="8" t="n"/>
      <c r="P270" s="8" t="n"/>
      <c r="Q270" s="8" t="n"/>
      <c r="R270" s="9" t="n"/>
      <c r="S270" s="9" t="n"/>
      <c r="T270" s="10" t="n"/>
      <c r="U270" s="10" t="n"/>
      <c r="V270" s="9" t="n"/>
      <c r="W270" s="9" t="n"/>
      <c r="X270" s="9" t="n"/>
      <c r="Y270" s="9" t="n"/>
      <c r="Z270" s="11" t="n"/>
      <c r="AA270" s="11" t="n"/>
      <c r="AB270" s="11" t="n"/>
      <c r="AC270" s="11" t="n"/>
      <c r="AD270" s="11" t="n"/>
      <c r="AE270" s="11" t="n"/>
      <c r="AF270" s="9" t="n"/>
      <c r="AG270" s="9" t="n"/>
      <c r="AH270" s="9" t="n"/>
      <c r="AI270" s="9" t="n"/>
      <c r="AJ270" s="8" t="n"/>
      <c r="AK270" s="9" t="n"/>
      <c r="AL270" s="9" t="n"/>
      <c r="AM270" s="9" t="n"/>
      <c r="AN270" s="9" t="n"/>
      <c r="AO270" s="9" t="n"/>
      <c r="AP270" s="9" t="n"/>
      <c r="AQ270" s="9" t="n"/>
      <c r="AR270" s="9" t="n"/>
      <c r="AS270" s="9" t="n"/>
      <c r="AT270" s="8" t="n"/>
      <c r="AU270" s="8" t="n"/>
      <c r="AV270" s="9" t="n"/>
      <c r="AW270" s="8" t="n"/>
      <c r="AX270" s="9" t="n"/>
      <c r="AY270" s="9" t="n"/>
      <c r="AZ270" s="9" t="n"/>
      <c r="BA270" s="9" t="n"/>
      <c r="BB270" s="9" t="n"/>
      <c r="BC270" s="9" t="n"/>
      <c r="BD270" s="9" t="n"/>
      <c r="BE270" s="9" t="n"/>
      <c r="BF270" s="9" t="n"/>
      <c r="BG270" s="9" t="n"/>
      <c r="BH270" s="9" t="n"/>
      <c r="BI270" s="9" t="n"/>
      <c r="BJ270" s="9" t="n"/>
      <c r="BK270" s="9" t="n"/>
      <c r="BL270" s="9" t="n"/>
      <c r="BM270" s="9" t="n"/>
      <c r="BN270" s="9" t="n"/>
      <c r="BO270" s="8" t="n"/>
      <c r="BP270" s="9" t="n"/>
      <c r="BQ270" s="9" t="n"/>
      <c r="BR270" s="13">
        <f>IF(COUNTIF(AI270:BM270,"N")+COUNTBLANK(AI270:BM270)=0,"Y","N")</f>
        <v/>
      </c>
      <c r="BS270" s="13">
        <f>IF(AND(BR270="Y",OR(L270="Submitted",L270="Under Review")),"Y",IF(L270="Closed","Y","N"))</f>
        <v/>
      </c>
      <c r="BT270" s="10" t="n"/>
      <c r="BU270" s="13">
        <f>Rule_Flags!Q269</f>
        <v/>
      </c>
      <c r="BV270" s="13">
        <f>Rule_Flags!P269</f>
        <v/>
      </c>
      <c r="BW270" s="13">
        <f>IF(Rule_Flags!E269=1,"SITE_CONTROL",IF(Rule_Flags!F269=1,"APPROVALS",IF(Rule_Flags!G269=1,"REPORTS",IF(Rule_Flags!H269=1,"DEFICIENCY",IF(Rule_Flags!I269=1,"UNDERWRITING",IF(Rule_Flags!J269=1,"COMPLIANCE",""))))))</f>
        <v/>
      </c>
      <c r="BX270" s="13">
        <f>IF(BW270="SITE_CONTROL","Site control missing or invalid",IF(BW270="APPROVALS","Required approvals or resolutions incomplete",IF(BW270="REPORTS","Required third-party reports incomplete",IF(BW270="DEFICIENCY","Unresolved deficiency or material deficiency",IF(BW270="UNDERWRITING","Underwriting / feasibility not passed",IF(BW270="COMPLIANCE","Deconcentration, one-mile, LURA, or Chapter 12 issue","Ready under current engine rules"))))))</f>
        <v/>
      </c>
      <c r="BY270" s="13">
        <f>IF(BV270="Determination Notice","Streamlined + DN-ready assumptions satisfied",IF(BV270="Board","Board-required or board-ready assumptions satisfied",""))</f>
        <v/>
      </c>
      <c r="BZ270" s="13">
        <f>IF(AND(BP270="Y",BQ270&lt;&gt;"Y"),"Carryforward project retains queue priority",IF(BQ270="Y","New project enters behind carryforward projects",""))</f>
        <v/>
      </c>
      <c r="CA270" s="13">
        <f>_xludf.RANK.EQ(Rule_Flags!O269,Rule_Flags!$O$3:$O$402,0)</f>
        <v/>
      </c>
      <c r="CB270" s="13">
        <f>IF(OR(BU270="Determination Notice Issued",BU270="Board",BU270="Closed"),"Y","N")</f>
        <v/>
      </c>
      <c r="CC270" s="9" t="n"/>
      <c r="CD270" s="9" t="n"/>
      <c r="CE270" s="9" t="n"/>
      <c r="CF270" s="9" t="n"/>
      <c r="CG270" s="9" t="n"/>
      <c r="CH270" s="9" t="n"/>
    </row>
    <row r="271">
      <c r="A271" s="8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8" t="n"/>
      <c r="L271" s="9" t="n"/>
      <c r="M271" s="8" t="n"/>
      <c r="N271" s="8" t="n"/>
      <c r="O271" s="8" t="n"/>
      <c r="P271" s="8" t="n"/>
      <c r="Q271" s="8" t="n"/>
      <c r="R271" s="9" t="n"/>
      <c r="S271" s="9" t="n"/>
      <c r="T271" s="10" t="n"/>
      <c r="U271" s="10" t="n"/>
      <c r="V271" s="9" t="n"/>
      <c r="W271" s="9" t="n"/>
      <c r="X271" s="9" t="n"/>
      <c r="Y271" s="9" t="n"/>
      <c r="Z271" s="11" t="n"/>
      <c r="AA271" s="11" t="n"/>
      <c r="AB271" s="11" t="n"/>
      <c r="AC271" s="11" t="n"/>
      <c r="AD271" s="11" t="n"/>
      <c r="AE271" s="11" t="n"/>
      <c r="AF271" s="9" t="n"/>
      <c r="AG271" s="9" t="n"/>
      <c r="AH271" s="9" t="n"/>
      <c r="AI271" s="9" t="n"/>
      <c r="AJ271" s="8" t="n"/>
      <c r="AK271" s="9" t="n"/>
      <c r="AL271" s="9" t="n"/>
      <c r="AM271" s="9" t="n"/>
      <c r="AN271" s="9" t="n"/>
      <c r="AO271" s="9" t="n"/>
      <c r="AP271" s="9" t="n"/>
      <c r="AQ271" s="9" t="n"/>
      <c r="AR271" s="9" t="n"/>
      <c r="AS271" s="9" t="n"/>
      <c r="AT271" s="8" t="n"/>
      <c r="AU271" s="8" t="n"/>
      <c r="AV271" s="9" t="n"/>
      <c r="AW271" s="8" t="n"/>
      <c r="AX271" s="9" t="n"/>
      <c r="AY271" s="9" t="n"/>
      <c r="AZ271" s="9" t="n"/>
      <c r="BA271" s="9" t="n"/>
      <c r="BB271" s="9" t="n"/>
      <c r="BC271" s="9" t="n"/>
      <c r="BD271" s="9" t="n"/>
      <c r="BE271" s="9" t="n"/>
      <c r="BF271" s="9" t="n"/>
      <c r="BG271" s="9" t="n"/>
      <c r="BH271" s="9" t="n"/>
      <c r="BI271" s="9" t="n"/>
      <c r="BJ271" s="9" t="n"/>
      <c r="BK271" s="9" t="n"/>
      <c r="BL271" s="9" t="n"/>
      <c r="BM271" s="9" t="n"/>
      <c r="BN271" s="9" t="n"/>
      <c r="BO271" s="8" t="n"/>
      <c r="BP271" s="9" t="n"/>
      <c r="BQ271" s="9" t="n"/>
      <c r="BR271" s="13">
        <f>IF(COUNTIF(AI271:BM271,"N")+COUNTBLANK(AI271:BM271)=0,"Y","N")</f>
        <v/>
      </c>
      <c r="BS271" s="13">
        <f>IF(AND(BR271="Y",OR(L271="Submitted",L271="Under Review")),"Y",IF(L271="Closed","Y","N"))</f>
        <v/>
      </c>
      <c r="BT271" s="10" t="n"/>
      <c r="BU271" s="13">
        <f>Rule_Flags!Q270</f>
        <v/>
      </c>
      <c r="BV271" s="13">
        <f>Rule_Flags!P270</f>
        <v/>
      </c>
      <c r="BW271" s="13">
        <f>IF(Rule_Flags!E270=1,"SITE_CONTROL",IF(Rule_Flags!F270=1,"APPROVALS",IF(Rule_Flags!G270=1,"REPORTS",IF(Rule_Flags!H270=1,"DEFICIENCY",IF(Rule_Flags!I270=1,"UNDERWRITING",IF(Rule_Flags!J270=1,"COMPLIANCE",""))))))</f>
        <v/>
      </c>
      <c r="BX271" s="13">
        <f>IF(BW271="SITE_CONTROL","Site control missing or invalid",IF(BW271="APPROVALS","Required approvals or resolutions incomplete",IF(BW271="REPORTS","Required third-party reports incomplete",IF(BW271="DEFICIENCY","Unresolved deficiency or material deficiency",IF(BW271="UNDERWRITING","Underwriting / feasibility not passed",IF(BW271="COMPLIANCE","Deconcentration, one-mile, LURA, or Chapter 12 issue","Ready under current engine rules"))))))</f>
        <v/>
      </c>
      <c r="BY271" s="13">
        <f>IF(BV271="Determination Notice","Streamlined + DN-ready assumptions satisfied",IF(BV271="Board","Board-required or board-ready assumptions satisfied",""))</f>
        <v/>
      </c>
      <c r="BZ271" s="13">
        <f>IF(AND(BP271="Y",BQ271&lt;&gt;"Y"),"Carryforward project retains queue priority",IF(BQ271="Y","New project enters behind carryforward projects",""))</f>
        <v/>
      </c>
      <c r="CA271" s="13">
        <f>_xludf.RANK.EQ(Rule_Flags!O270,Rule_Flags!$O$3:$O$402,0)</f>
        <v/>
      </c>
      <c r="CB271" s="13">
        <f>IF(OR(BU271="Determination Notice Issued",BU271="Board",BU271="Closed"),"Y","N")</f>
        <v/>
      </c>
      <c r="CC271" s="9" t="n"/>
      <c r="CD271" s="9" t="n"/>
      <c r="CE271" s="9" t="n"/>
      <c r="CF271" s="9" t="n"/>
      <c r="CG271" s="9" t="n"/>
      <c r="CH271" s="9" t="n"/>
    </row>
    <row r="272">
      <c r="A272" s="8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8" t="n"/>
      <c r="L272" s="9" t="n"/>
      <c r="M272" s="8" t="n"/>
      <c r="N272" s="8" t="n"/>
      <c r="O272" s="8" t="n"/>
      <c r="P272" s="8" t="n"/>
      <c r="Q272" s="8" t="n"/>
      <c r="R272" s="9" t="n"/>
      <c r="S272" s="9" t="n"/>
      <c r="T272" s="10" t="n"/>
      <c r="U272" s="10" t="n"/>
      <c r="V272" s="9" t="n"/>
      <c r="W272" s="9" t="n"/>
      <c r="X272" s="9" t="n"/>
      <c r="Y272" s="9" t="n"/>
      <c r="Z272" s="11" t="n"/>
      <c r="AA272" s="11" t="n"/>
      <c r="AB272" s="11" t="n"/>
      <c r="AC272" s="11" t="n"/>
      <c r="AD272" s="11" t="n"/>
      <c r="AE272" s="11" t="n"/>
      <c r="AF272" s="9" t="n"/>
      <c r="AG272" s="9" t="n"/>
      <c r="AH272" s="9" t="n"/>
      <c r="AI272" s="9" t="n"/>
      <c r="AJ272" s="8" t="n"/>
      <c r="AK272" s="9" t="n"/>
      <c r="AL272" s="9" t="n"/>
      <c r="AM272" s="9" t="n"/>
      <c r="AN272" s="9" t="n"/>
      <c r="AO272" s="9" t="n"/>
      <c r="AP272" s="9" t="n"/>
      <c r="AQ272" s="9" t="n"/>
      <c r="AR272" s="9" t="n"/>
      <c r="AS272" s="9" t="n"/>
      <c r="AT272" s="8" t="n"/>
      <c r="AU272" s="8" t="n"/>
      <c r="AV272" s="9" t="n"/>
      <c r="AW272" s="8" t="n"/>
      <c r="AX272" s="9" t="n"/>
      <c r="AY272" s="9" t="n"/>
      <c r="AZ272" s="9" t="n"/>
      <c r="BA272" s="9" t="n"/>
      <c r="BB272" s="9" t="n"/>
      <c r="BC272" s="9" t="n"/>
      <c r="BD272" s="9" t="n"/>
      <c r="BE272" s="9" t="n"/>
      <c r="BF272" s="9" t="n"/>
      <c r="BG272" s="9" t="n"/>
      <c r="BH272" s="9" t="n"/>
      <c r="BI272" s="9" t="n"/>
      <c r="BJ272" s="9" t="n"/>
      <c r="BK272" s="9" t="n"/>
      <c r="BL272" s="9" t="n"/>
      <c r="BM272" s="9" t="n"/>
      <c r="BN272" s="9" t="n"/>
      <c r="BO272" s="8" t="n"/>
      <c r="BP272" s="9" t="n"/>
      <c r="BQ272" s="9" t="n"/>
      <c r="BR272" s="13">
        <f>IF(COUNTIF(AI272:BM272,"N")+COUNTBLANK(AI272:BM272)=0,"Y","N")</f>
        <v/>
      </c>
      <c r="BS272" s="13">
        <f>IF(AND(BR272="Y",OR(L272="Submitted",L272="Under Review")),"Y",IF(L272="Closed","Y","N"))</f>
        <v/>
      </c>
      <c r="BT272" s="10" t="n"/>
      <c r="BU272" s="13">
        <f>Rule_Flags!Q271</f>
        <v/>
      </c>
      <c r="BV272" s="13">
        <f>Rule_Flags!P271</f>
        <v/>
      </c>
      <c r="BW272" s="13">
        <f>IF(Rule_Flags!E271=1,"SITE_CONTROL",IF(Rule_Flags!F271=1,"APPROVALS",IF(Rule_Flags!G271=1,"REPORTS",IF(Rule_Flags!H271=1,"DEFICIENCY",IF(Rule_Flags!I271=1,"UNDERWRITING",IF(Rule_Flags!J271=1,"COMPLIANCE",""))))))</f>
        <v/>
      </c>
      <c r="BX272" s="13">
        <f>IF(BW272="SITE_CONTROL","Site control missing or invalid",IF(BW272="APPROVALS","Required approvals or resolutions incomplete",IF(BW272="REPORTS","Required third-party reports incomplete",IF(BW272="DEFICIENCY","Unresolved deficiency or material deficiency",IF(BW272="UNDERWRITING","Underwriting / feasibility not passed",IF(BW272="COMPLIANCE","Deconcentration, one-mile, LURA, or Chapter 12 issue","Ready under current engine rules"))))))</f>
        <v/>
      </c>
      <c r="BY272" s="13">
        <f>IF(BV272="Determination Notice","Streamlined + DN-ready assumptions satisfied",IF(BV272="Board","Board-required or board-ready assumptions satisfied",""))</f>
        <v/>
      </c>
      <c r="BZ272" s="13">
        <f>IF(AND(BP272="Y",BQ272&lt;&gt;"Y"),"Carryforward project retains queue priority",IF(BQ272="Y","New project enters behind carryforward projects",""))</f>
        <v/>
      </c>
      <c r="CA272" s="13">
        <f>_xludf.RANK.EQ(Rule_Flags!O271,Rule_Flags!$O$3:$O$402,0)</f>
        <v/>
      </c>
      <c r="CB272" s="13">
        <f>IF(OR(BU272="Determination Notice Issued",BU272="Board",BU272="Closed"),"Y","N")</f>
        <v/>
      </c>
      <c r="CC272" s="9" t="n"/>
      <c r="CD272" s="9" t="n"/>
      <c r="CE272" s="9" t="n"/>
      <c r="CF272" s="9" t="n"/>
      <c r="CG272" s="9" t="n"/>
      <c r="CH272" s="9" t="n"/>
    </row>
    <row r="273">
      <c r="A273" s="8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8" t="n"/>
      <c r="L273" s="9" t="n"/>
      <c r="M273" s="8" t="n"/>
      <c r="N273" s="8" t="n"/>
      <c r="O273" s="8" t="n"/>
      <c r="P273" s="8" t="n"/>
      <c r="Q273" s="8" t="n"/>
      <c r="R273" s="9" t="n"/>
      <c r="S273" s="9" t="n"/>
      <c r="T273" s="10" t="n"/>
      <c r="U273" s="10" t="n"/>
      <c r="V273" s="9" t="n"/>
      <c r="W273" s="9" t="n"/>
      <c r="X273" s="9" t="n"/>
      <c r="Y273" s="9" t="n"/>
      <c r="Z273" s="11" t="n"/>
      <c r="AA273" s="11" t="n"/>
      <c r="AB273" s="11" t="n"/>
      <c r="AC273" s="11" t="n"/>
      <c r="AD273" s="11" t="n"/>
      <c r="AE273" s="11" t="n"/>
      <c r="AF273" s="9" t="n"/>
      <c r="AG273" s="9" t="n"/>
      <c r="AH273" s="9" t="n"/>
      <c r="AI273" s="9" t="n"/>
      <c r="AJ273" s="8" t="n"/>
      <c r="AK273" s="9" t="n"/>
      <c r="AL273" s="9" t="n"/>
      <c r="AM273" s="9" t="n"/>
      <c r="AN273" s="9" t="n"/>
      <c r="AO273" s="9" t="n"/>
      <c r="AP273" s="9" t="n"/>
      <c r="AQ273" s="9" t="n"/>
      <c r="AR273" s="9" t="n"/>
      <c r="AS273" s="9" t="n"/>
      <c r="AT273" s="8" t="n"/>
      <c r="AU273" s="8" t="n"/>
      <c r="AV273" s="9" t="n"/>
      <c r="AW273" s="8" t="n"/>
      <c r="AX273" s="9" t="n"/>
      <c r="AY273" s="9" t="n"/>
      <c r="AZ273" s="9" t="n"/>
      <c r="BA273" s="9" t="n"/>
      <c r="BB273" s="9" t="n"/>
      <c r="BC273" s="9" t="n"/>
      <c r="BD273" s="9" t="n"/>
      <c r="BE273" s="9" t="n"/>
      <c r="BF273" s="9" t="n"/>
      <c r="BG273" s="9" t="n"/>
      <c r="BH273" s="9" t="n"/>
      <c r="BI273" s="9" t="n"/>
      <c r="BJ273" s="9" t="n"/>
      <c r="BK273" s="9" t="n"/>
      <c r="BL273" s="9" t="n"/>
      <c r="BM273" s="9" t="n"/>
      <c r="BN273" s="9" t="n"/>
      <c r="BO273" s="8" t="n"/>
      <c r="BP273" s="9" t="n"/>
      <c r="BQ273" s="9" t="n"/>
      <c r="BR273" s="13">
        <f>IF(COUNTIF(AI273:BM273,"N")+COUNTBLANK(AI273:BM273)=0,"Y","N")</f>
        <v/>
      </c>
      <c r="BS273" s="13">
        <f>IF(AND(BR273="Y",OR(L273="Submitted",L273="Under Review")),"Y",IF(L273="Closed","Y","N"))</f>
        <v/>
      </c>
      <c r="BT273" s="10" t="n"/>
      <c r="BU273" s="13">
        <f>Rule_Flags!Q272</f>
        <v/>
      </c>
      <c r="BV273" s="13">
        <f>Rule_Flags!P272</f>
        <v/>
      </c>
      <c r="BW273" s="13">
        <f>IF(Rule_Flags!E272=1,"SITE_CONTROL",IF(Rule_Flags!F272=1,"APPROVALS",IF(Rule_Flags!G272=1,"REPORTS",IF(Rule_Flags!H272=1,"DEFICIENCY",IF(Rule_Flags!I272=1,"UNDERWRITING",IF(Rule_Flags!J272=1,"COMPLIANCE",""))))))</f>
        <v/>
      </c>
      <c r="BX273" s="13">
        <f>IF(BW273="SITE_CONTROL","Site control missing or invalid",IF(BW273="APPROVALS","Required approvals or resolutions incomplete",IF(BW273="REPORTS","Required third-party reports incomplete",IF(BW273="DEFICIENCY","Unresolved deficiency or material deficiency",IF(BW273="UNDERWRITING","Underwriting / feasibility not passed",IF(BW273="COMPLIANCE","Deconcentration, one-mile, LURA, or Chapter 12 issue","Ready under current engine rules"))))))</f>
        <v/>
      </c>
      <c r="BY273" s="13">
        <f>IF(BV273="Determination Notice","Streamlined + DN-ready assumptions satisfied",IF(BV273="Board","Board-required or board-ready assumptions satisfied",""))</f>
        <v/>
      </c>
      <c r="BZ273" s="13">
        <f>IF(AND(BP273="Y",BQ273&lt;&gt;"Y"),"Carryforward project retains queue priority",IF(BQ273="Y","New project enters behind carryforward projects",""))</f>
        <v/>
      </c>
      <c r="CA273" s="13">
        <f>_xludf.RANK.EQ(Rule_Flags!O272,Rule_Flags!$O$3:$O$402,0)</f>
        <v/>
      </c>
      <c r="CB273" s="13">
        <f>IF(OR(BU273="Determination Notice Issued",BU273="Board",BU273="Closed"),"Y","N")</f>
        <v/>
      </c>
      <c r="CC273" s="9" t="n"/>
      <c r="CD273" s="9" t="n"/>
      <c r="CE273" s="9" t="n"/>
      <c r="CF273" s="9" t="n"/>
      <c r="CG273" s="9" t="n"/>
      <c r="CH273" s="9" t="n"/>
    </row>
    <row r="274">
      <c r="A274" s="8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8" t="n"/>
      <c r="L274" s="9" t="n"/>
      <c r="M274" s="8" t="n"/>
      <c r="N274" s="8" t="n"/>
      <c r="O274" s="8" t="n"/>
      <c r="P274" s="8" t="n"/>
      <c r="Q274" s="8" t="n"/>
      <c r="R274" s="9" t="n"/>
      <c r="S274" s="9" t="n"/>
      <c r="T274" s="10" t="n"/>
      <c r="U274" s="10" t="n"/>
      <c r="V274" s="9" t="n"/>
      <c r="W274" s="9" t="n"/>
      <c r="X274" s="9" t="n"/>
      <c r="Y274" s="9" t="n"/>
      <c r="Z274" s="11" t="n"/>
      <c r="AA274" s="11" t="n"/>
      <c r="AB274" s="11" t="n"/>
      <c r="AC274" s="11" t="n"/>
      <c r="AD274" s="11" t="n"/>
      <c r="AE274" s="11" t="n"/>
      <c r="AF274" s="9" t="n"/>
      <c r="AG274" s="9" t="n"/>
      <c r="AH274" s="9" t="n"/>
      <c r="AI274" s="9" t="n"/>
      <c r="AJ274" s="8" t="n"/>
      <c r="AK274" s="9" t="n"/>
      <c r="AL274" s="9" t="n"/>
      <c r="AM274" s="9" t="n"/>
      <c r="AN274" s="9" t="n"/>
      <c r="AO274" s="9" t="n"/>
      <c r="AP274" s="9" t="n"/>
      <c r="AQ274" s="9" t="n"/>
      <c r="AR274" s="9" t="n"/>
      <c r="AS274" s="9" t="n"/>
      <c r="AT274" s="8" t="n"/>
      <c r="AU274" s="8" t="n"/>
      <c r="AV274" s="9" t="n"/>
      <c r="AW274" s="8" t="n"/>
      <c r="AX274" s="9" t="n"/>
      <c r="AY274" s="9" t="n"/>
      <c r="AZ274" s="9" t="n"/>
      <c r="BA274" s="9" t="n"/>
      <c r="BB274" s="9" t="n"/>
      <c r="BC274" s="9" t="n"/>
      <c r="BD274" s="9" t="n"/>
      <c r="BE274" s="9" t="n"/>
      <c r="BF274" s="9" t="n"/>
      <c r="BG274" s="9" t="n"/>
      <c r="BH274" s="9" t="n"/>
      <c r="BI274" s="9" t="n"/>
      <c r="BJ274" s="9" t="n"/>
      <c r="BK274" s="9" t="n"/>
      <c r="BL274" s="9" t="n"/>
      <c r="BM274" s="9" t="n"/>
      <c r="BN274" s="9" t="n"/>
      <c r="BO274" s="8" t="n"/>
      <c r="BP274" s="9" t="n"/>
      <c r="BQ274" s="9" t="n"/>
      <c r="BR274" s="13">
        <f>IF(COUNTIF(AI274:BM274,"N")+COUNTBLANK(AI274:BM274)=0,"Y","N")</f>
        <v/>
      </c>
      <c r="BS274" s="13">
        <f>IF(AND(BR274="Y",OR(L274="Submitted",L274="Under Review")),"Y",IF(L274="Closed","Y","N"))</f>
        <v/>
      </c>
      <c r="BT274" s="10" t="n"/>
      <c r="BU274" s="13">
        <f>Rule_Flags!Q273</f>
        <v/>
      </c>
      <c r="BV274" s="13">
        <f>Rule_Flags!P273</f>
        <v/>
      </c>
      <c r="BW274" s="13">
        <f>IF(Rule_Flags!E273=1,"SITE_CONTROL",IF(Rule_Flags!F273=1,"APPROVALS",IF(Rule_Flags!G273=1,"REPORTS",IF(Rule_Flags!H273=1,"DEFICIENCY",IF(Rule_Flags!I273=1,"UNDERWRITING",IF(Rule_Flags!J273=1,"COMPLIANCE",""))))))</f>
        <v/>
      </c>
      <c r="BX274" s="13">
        <f>IF(BW274="SITE_CONTROL","Site control missing or invalid",IF(BW274="APPROVALS","Required approvals or resolutions incomplete",IF(BW274="REPORTS","Required third-party reports incomplete",IF(BW274="DEFICIENCY","Unresolved deficiency or material deficiency",IF(BW274="UNDERWRITING","Underwriting / feasibility not passed",IF(BW274="COMPLIANCE","Deconcentration, one-mile, LURA, or Chapter 12 issue","Ready under current engine rules"))))))</f>
        <v/>
      </c>
      <c r="BY274" s="13">
        <f>IF(BV274="Determination Notice","Streamlined + DN-ready assumptions satisfied",IF(BV274="Board","Board-required or board-ready assumptions satisfied",""))</f>
        <v/>
      </c>
      <c r="BZ274" s="13">
        <f>IF(AND(BP274="Y",BQ274&lt;&gt;"Y"),"Carryforward project retains queue priority",IF(BQ274="Y","New project enters behind carryforward projects",""))</f>
        <v/>
      </c>
      <c r="CA274" s="13">
        <f>_xludf.RANK.EQ(Rule_Flags!O273,Rule_Flags!$O$3:$O$402,0)</f>
        <v/>
      </c>
      <c r="CB274" s="13">
        <f>IF(OR(BU274="Determination Notice Issued",BU274="Board",BU274="Closed"),"Y","N")</f>
        <v/>
      </c>
      <c r="CC274" s="9" t="n"/>
      <c r="CD274" s="9" t="n"/>
      <c r="CE274" s="9" t="n"/>
      <c r="CF274" s="9" t="n"/>
      <c r="CG274" s="9" t="n"/>
      <c r="CH274" s="9" t="n"/>
    </row>
    <row r="275">
      <c r="A275" s="8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8" t="n"/>
      <c r="L275" s="9" t="n"/>
      <c r="M275" s="8" t="n"/>
      <c r="N275" s="8" t="n"/>
      <c r="O275" s="8" t="n"/>
      <c r="P275" s="8" t="n"/>
      <c r="Q275" s="8" t="n"/>
      <c r="R275" s="9" t="n"/>
      <c r="S275" s="9" t="n"/>
      <c r="T275" s="10" t="n"/>
      <c r="U275" s="10" t="n"/>
      <c r="V275" s="9" t="n"/>
      <c r="W275" s="9" t="n"/>
      <c r="X275" s="9" t="n"/>
      <c r="Y275" s="9" t="n"/>
      <c r="Z275" s="11" t="n"/>
      <c r="AA275" s="11" t="n"/>
      <c r="AB275" s="11" t="n"/>
      <c r="AC275" s="11" t="n"/>
      <c r="AD275" s="11" t="n"/>
      <c r="AE275" s="11" t="n"/>
      <c r="AF275" s="9" t="n"/>
      <c r="AG275" s="9" t="n"/>
      <c r="AH275" s="9" t="n"/>
      <c r="AI275" s="9" t="n"/>
      <c r="AJ275" s="8" t="n"/>
      <c r="AK275" s="9" t="n"/>
      <c r="AL275" s="9" t="n"/>
      <c r="AM275" s="9" t="n"/>
      <c r="AN275" s="9" t="n"/>
      <c r="AO275" s="9" t="n"/>
      <c r="AP275" s="9" t="n"/>
      <c r="AQ275" s="9" t="n"/>
      <c r="AR275" s="9" t="n"/>
      <c r="AS275" s="9" t="n"/>
      <c r="AT275" s="8" t="n"/>
      <c r="AU275" s="8" t="n"/>
      <c r="AV275" s="9" t="n"/>
      <c r="AW275" s="8" t="n"/>
      <c r="AX275" s="9" t="n"/>
      <c r="AY275" s="9" t="n"/>
      <c r="AZ275" s="9" t="n"/>
      <c r="BA275" s="9" t="n"/>
      <c r="BB275" s="9" t="n"/>
      <c r="BC275" s="9" t="n"/>
      <c r="BD275" s="9" t="n"/>
      <c r="BE275" s="9" t="n"/>
      <c r="BF275" s="9" t="n"/>
      <c r="BG275" s="9" t="n"/>
      <c r="BH275" s="9" t="n"/>
      <c r="BI275" s="9" t="n"/>
      <c r="BJ275" s="9" t="n"/>
      <c r="BK275" s="9" t="n"/>
      <c r="BL275" s="9" t="n"/>
      <c r="BM275" s="9" t="n"/>
      <c r="BN275" s="9" t="n"/>
      <c r="BO275" s="8" t="n"/>
      <c r="BP275" s="9" t="n"/>
      <c r="BQ275" s="9" t="n"/>
      <c r="BR275" s="13">
        <f>IF(COUNTIF(AI275:BM275,"N")+COUNTBLANK(AI275:BM275)=0,"Y","N")</f>
        <v/>
      </c>
      <c r="BS275" s="13">
        <f>IF(AND(BR275="Y",OR(L275="Submitted",L275="Under Review")),"Y",IF(L275="Closed","Y","N"))</f>
        <v/>
      </c>
      <c r="BT275" s="10" t="n"/>
      <c r="BU275" s="13">
        <f>Rule_Flags!Q274</f>
        <v/>
      </c>
      <c r="BV275" s="13">
        <f>Rule_Flags!P274</f>
        <v/>
      </c>
      <c r="BW275" s="13">
        <f>IF(Rule_Flags!E274=1,"SITE_CONTROL",IF(Rule_Flags!F274=1,"APPROVALS",IF(Rule_Flags!G274=1,"REPORTS",IF(Rule_Flags!H274=1,"DEFICIENCY",IF(Rule_Flags!I274=1,"UNDERWRITING",IF(Rule_Flags!J274=1,"COMPLIANCE",""))))))</f>
        <v/>
      </c>
      <c r="BX275" s="13">
        <f>IF(BW275="SITE_CONTROL","Site control missing or invalid",IF(BW275="APPROVALS","Required approvals or resolutions incomplete",IF(BW275="REPORTS","Required third-party reports incomplete",IF(BW275="DEFICIENCY","Unresolved deficiency or material deficiency",IF(BW275="UNDERWRITING","Underwriting / feasibility not passed",IF(BW275="COMPLIANCE","Deconcentration, one-mile, LURA, or Chapter 12 issue","Ready under current engine rules"))))))</f>
        <v/>
      </c>
      <c r="BY275" s="13">
        <f>IF(BV275="Determination Notice","Streamlined + DN-ready assumptions satisfied",IF(BV275="Board","Board-required or board-ready assumptions satisfied",""))</f>
        <v/>
      </c>
      <c r="BZ275" s="13">
        <f>IF(AND(BP275="Y",BQ275&lt;&gt;"Y"),"Carryforward project retains queue priority",IF(BQ275="Y","New project enters behind carryforward projects",""))</f>
        <v/>
      </c>
      <c r="CA275" s="13">
        <f>_xludf.RANK.EQ(Rule_Flags!O274,Rule_Flags!$O$3:$O$402,0)</f>
        <v/>
      </c>
      <c r="CB275" s="13">
        <f>IF(OR(BU275="Determination Notice Issued",BU275="Board",BU275="Closed"),"Y","N")</f>
        <v/>
      </c>
      <c r="CC275" s="9" t="n"/>
      <c r="CD275" s="9" t="n"/>
      <c r="CE275" s="9" t="n"/>
      <c r="CF275" s="9" t="n"/>
      <c r="CG275" s="9" t="n"/>
      <c r="CH275" s="9" t="n"/>
    </row>
    <row r="276">
      <c r="A276" s="8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8" t="n"/>
      <c r="L276" s="9" t="n"/>
      <c r="M276" s="8" t="n"/>
      <c r="N276" s="8" t="n"/>
      <c r="O276" s="8" t="n"/>
      <c r="P276" s="8" t="n"/>
      <c r="Q276" s="8" t="n"/>
      <c r="R276" s="9" t="n"/>
      <c r="S276" s="9" t="n"/>
      <c r="T276" s="10" t="n"/>
      <c r="U276" s="10" t="n"/>
      <c r="V276" s="9" t="n"/>
      <c r="W276" s="9" t="n"/>
      <c r="X276" s="9" t="n"/>
      <c r="Y276" s="9" t="n"/>
      <c r="Z276" s="11" t="n"/>
      <c r="AA276" s="11" t="n"/>
      <c r="AB276" s="11" t="n"/>
      <c r="AC276" s="11" t="n"/>
      <c r="AD276" s="11" t="n"/>
      <c r="AE276" s="11" t="n"/>
      <c r="AF276" s="9" t="n"/>
      <c r="AG276" s="9" t="n"/>
      <c r="AH276" s="9" t="n"/>
      <c r="AI276" s="9" t="n"/>
      <c r="AJ276" s="8" t="n"/>
      <c r="AK276" s="9" t="n"/>
      <c r="AL276" s="9" t="n"/>
      <c r="AM276" s="9" t="n"/>
      <c r="AN276" s="9" t="n"/>
      <c r="AO276" s="9" t="n"/>
      <c r="AP276" s="9" t="n"/>
      <c r="AQ276" s="9" t="n"/>
      <c r="AR276" s="9" t="n"/>
      <c r="AS276" s="9" t="n"/>
      <c r="AT276" s="8" t="n"/>
      <c r="AU276" s="8" t="n"/>
      <c r="AV276" s="9" t="n"/>
      <c r="AW276" s="8" t="n"/>
      <c r="AX276" s="9" t="n"/>
      <c r="AY276" s="9" t="n"/>
      <c r="AZ276" s="9" t="n"/>
      <c r="BA276" s="9" t="n"/>
      <c r="BB276" s="9" t="n"/>
      <c r="BC276" s="9" t="n"/>
      <c r="BD276" s="9" t="n"/>
      <c r="BE276" s="9" t="n"/>
      <c r="BF276" s="9" t="n"/>
      <c r="BG276" s="9" t="n"/>
      <c r="BH276" s="9" t="n"/>
      <c r="BI276" s="9" t="n"/>
      <c r="BJ276" s="9" t="n"/>
      <c r="BK276" s="9" t="n"/>
      <c r="BL276" s="9" t="n"/>
      <c r="BM276" s="9" t="n"/>
      <c r="BN276" s="9" t="n"/>
      <c r="BO276" s="8" t="n"/>
      <c r="BP276" s="9" t="n"/>
      <c r="BQ276" s="9" t="n"/>
      <c r="BR276" s="13">
        <f>IF(COUNTIF(AI276:BM276,"N")+COUNTBLANK(AI276:BM276)=0,"Y","N")</f>
        <v/>
      </c>
      <c r="BS276" s="13">
        <f>IF(AND(BR276="Y",OR(L276="Submitted",L276="Under Review")),"Y",IF(L276="Closed","Y","N"))</f>
        <v/>
      </c>
      <c r="BT276" s="10" t="n"/>
      <c r="BU276" s="13">
        <f>Rule_Flags!Q275</f>
        <v/>
      </c>
      <c r="BV276" s="13">
        <f>Rule_Flags!P275</f>
        <v/>
      </c>
      <c r="BW276" s="13">
        <f>IF(Rule_Flags!E275=1,"SITE_CONTROL",IF(Rule_Flags!F275=1,"APPROVALS",IF(Rule_Flags!G275=1,"REPORTS",IF(Rule_Flags!H275=1,"DEFICIENCY",IF(Rule_Flags!I275=1,"UNDERWRITING",IF(Rule_Flags!J275=1,"COMPLIANCE",""))))))</f>
        <v/>
      </c>
      <c r="BX276" s="13">
        <f>IF(BW276="SITE_CONTROL","Site control missing or invalid",IF(BW276="APPROVALS","Required approvals or resolutions incomplete",IF(BW276="REPORTS","Required third-party reports incomplete",IF(BW276="DEFICIENCY","Unresolved deficiency or material deficiency",IF(BW276="UNDERWRITING","Underwriting / feasibility not passed",IF(BW276="COMPLIANCE","Deconcentration, one-mile, LURA, or Chapter 12 issue","Ready under current engine rules"))))))</f>
        <v/>
      </c>
      <c r="BY276" s="13">
        <f>IF(BV276="Determination Notice","Streamlined + DN-ready assumptions satisfied",IF(BV276="Board","Board-required or board-ready assumptions satisfied",""))</f>
        <v/>
      </c>
      <c r="BZ276" s="13">
        <f>IF(AND(BP276="Y",BQ276&lt;&gt;"Y"),"Carryforward project retains queue priority",IF(BQ276="Y","New project enters behind carryforward projects",""))</f>
        <v/>
      </c>
      <c r="CA276" s="13">
        <f>_xludf.RANK.EQ(Rule_Flags!O275,Rule_Flags!$O$3:$O$402,0)</f>
        <v/>
      </c>
      <c r="CB276" s="13">
        <f>IF(OR(BU276="Determination Notice Issued",BU276="Board",BU276="Closed"),"Y","N")</f>
        <v/>
      </c>
      <c r="CC276" s="9" t="n"/>
      <c r="CD276" s="9" t="n"/>
      <c r="CE276" s="9" t="n"/>
      <c r="CF276" s="9" t="n"/>
      <c r="CG276" s="9" t="n"/>
      <c r="CH276" s="9" t="n"/>
    </row>
    <row r="277">
      <c r="A277" s="8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8" t="n"/>
      <c r="L277" s="9" t="n"/>
      <c r="M277" s="8" t="n"/>
      <c r="N277" s="8" t="n"/>
      <c r="O277" s="8" t="n"/>
      <c r="P277" s="8" t="n"/>
      <c r="Q277" s="8" t="n"/>
      <c r="R277" s="9" t="n"/>
      <c r="S277" s="9" t="n"/>
      <c r="T277" s="10" t="n"/>
      <c r="U277" s="10" t="n"/>
      <c r="V277" s="9" t="n"/>
      <c r="W277" s="9" t="n"/>
      <c r="X277" s="9" t="n"/>
      <c r="Y277" s="9" t="n"/>
      <c r="Z277" s="11" t="n"/>
      <c r="AA277" s="11" t="n"/>
      <c r="AB277" s="11" t="n"/>
      <c r="AC277" s="11" t="n"/>
      <c r="AD277" s="11" t="n"/>
      <c r="AE277" s="11" t="n"/>
      <c r="AF277" s="9" t="n"/>
      <c r="AG277" s="9" t="n"/>
      <c r="AH277" s="9" t="n"/>
      <c r="AI277" s="9" t="n"/>
      <c r="AJ277" s="8" t="n"/>
      <c r="AK277" s="9" t="n"/>
      <c r="AL277" s="9" t="n"/>
      <c r="AM277" s="9" t="n"/>
      <c r="AN277" s="9" t="n"/>
      <c r="AO277" s="9" t="n"/>
      <c r="AP277" s="9" t="n"/>
      <c r="AQ277" s="9" t="n"/>
      <c r="AR277" s="9" t="n"/>
      <c r="AS277" s="9" t="n"/>
      <c r="AT277" s="8" t="n"/>
      <c r="AU277" s="8" t="n"/>
      <c r="AV277" s="9" t="n"/>
      <c r="AW277" s="8" t="n"/>
      <c r="AX277" s="9" t="n"/>
      <c r="AY277" s="9" t="n"/>
      <c r="AZ277" s="9" t="n"/>
      <c r="BA277" s="9" t="n"/>
      <c r="BB277" s="9" t="n"/>
      <c r="BC277" s="9" t="n"/>
      <c r="BD277" s="9" t="n"/>
      <c r="BE277" s="9" t="n"/>
      <c r="BF277" s="9" t="n"/>
      <c r="BG277" s="9" t="n"/>
      <c r="BH277" s="9" t="n"/>
      <c r="BI277" s="9" t="n"/>
      <c r="BJ277" s="9" t="n"/>
      <c r="BK277" s="9" t="n"/>
      <c r="BL277" s="9" t="n"/>
      <c r="BM277" s="9" t="n"/>
      <c r="BN277" s="9" t="n"/>
      <c r="BO277" s="8" t="n"/>
      <c r="BP277" s="9" t="n"/>
      <c r="BQ277" s="9" t="n"/>
      <c r="BR277" s="13">
        <f>IF(COUNTIF(AI277:BM277,"N")+COUNTBLANK(AI277:BM277)=0,"Y","N")</f>
        <v/>
      </c>
      <c r="BS277" s="13">
        <f>IF(AND(BR277="Y",OR(L277="Submitted",L277="Under Review")),"Y",IF(L277="Closed","Y","N"))</f>
        <v/>
      </c>
      <c r="BT277" s="10" t="n"/>
      <c r="BU277" s="13">
        <f>Rule_Flags!Q276</f>
        <v/>
      </c>
      <c r="BV277" s="13">
        <f>Rule_Flags!P276</f>
        <v/>
      </c>
      <c r="BW277" s="13">
        <f>IF(Rule_Flags!E276=1,"SITE_CONTROL",IF(Rule_Flags!F276=1,"APPROVALS",IF(Rule_Flags!G276=1,"REPORTS",IF(Rule_Flags!H276=1,"DEFICIENCY",IF(Rule_Flags!I276=1,"UNDERWRITING",IF(Rule_Flags!J276=1,"COMPLIANCE",""))))))</f>
        <v/>
      </c>
      <c r="BX277" s="13">
        <f>IF(BW277="SITE_CONTROL","Site control missing or invalid",IF(BW277="APPROVALS","Required approvals or resolutions incomplete",IF(BW277="REPORTS","Required third-party reports incomplete",IF(BW277="DEFICIENCY","Unresolved deficiency or material deficiency",IF(BW277="UNDERWRITING","Underwriting / feasibility not passed",IF(BW277="COMPLIANCE","Deconcentration, one-mile, LURA, or Chapter 12 issue","Ready under current engine rules"))))))</f>
        <v/>
      </c>
      <c r="BY277" s="13">
        <f>IF(BV277="Determination Notice","Streamlined + DN-ready assumptions satisfied",IF(BV277="Board","Board-required or board-ready assumptions satisfied",""))</f>
        <v/>
      </c>
      <c r="BZ277" s="13">
        <f>IF(AND(BP277="Y",BQ277&lt;&gt;"Y"),"Carryforward project retains queue priority",IF(BQ277="Y","New project enters behind carryforward projects",""))</f>
        <v/>
      </c>
      <c r="CA277" s="13">
        <f>_xludf.RANK.EQ(Rule_Flags!O276,Rule_Flags!$O$3:$O$402,0)</f>
        <v/>
      </c>
      <c r="CB277" s="13">
        <f>IF(OR(BU277="Determination Notice Issued",BU277="Board",BU277="Closed"),"Y","N")</f>
        <v/>
      </c>
      <c r="CC277" s="9" t="n"/>
      <c r="CD277" s="9" t="n"/>
      <c r="CE277" s="9" t="n"/>
      <c r="CF277" s="9" t="n"/>
      <c r="CG277" s="9" t="n"/>
      <c r="CH277" s="9" t="n"/>
    </row>
    <row r="278">
      <c r="A278" s="8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8" t="n"/>
      <c r="L278" s="9" t="n"/>
      <c r="M278" s="8" t="n"/>
      <c r="N278" s="8" t="n"/>
      <c r="O278" s="8" t="n"/>
      <c r="P278" s="8" t="n"/>
      <c r="Q278" s="8" t="n"/>
      <c r="R278" s="9" t="n"/>
      <c r="S278" s="9" t="n"/>
      <c r="T278" s="10" t="n"/>
      <c r="U278" s="10" t="n"/>
      <c r="V278" s="9" t="n"/>
      <c r="W278" s="9" t="n"/>
      <c r="X278" s="9" t="n"/>
      <c r="Y278" s="9" t="n"/>
      <c r="Z278" s="11" t="n"/>
      <c r="AA278" s="11" t="n"/>
      <c r="AB278" s="11" t="n"/>
      <c r="AC278" s="11" t="n"/>
      <c r="AD278" s="11" t="n"/>
      <c r="AE278" s="11" t="n"/>
      <c r="AF278" s="9" t="n"/>
      <c r="AG278" s="9" t="n"/>
      <c r="AH278" s="9" t="n"/>
      <c r="AI278" s="9" t="n"/>
      <c r="AJ278" s="8" t="n"/>
      <c r="AK278" s="9" t="n"/>
      <c r="AL278" s="9" t="n"/>
      <c r="AM278" s="9" t="n"/>
      <c r="AN278" s="9" t="n"/>
      <c r="AO278" s="9" t="n"/>
      <c r="AP278" s="9" t="n"/>
      <c r="AQ278" s="9" t="n"/>
      <c r="AR278" s="9" t="n"/>
      <c r="AS278" s="9" t="n"/>
      <c r="AT278" s="8" t="n"/>
      <c r="AU278" s="8" t="n"/>
      <c r="AV278" s="9" t="n"/>
      <c r="AW278" s="8" t="n"/>
      <c r="AX278" s="9" t="n"/>
      <c r="AY278" s="9" t="n"/>
      <c r="AZ278" s="9" t="n"/>
      <c r="BA278" s="9" t="n"/>
      <c r="BB278" s="9" t="n"/>
      <c r="BC278" s="9" t="n"/>
      <c r="BD278" s="9" t="n"/>
      <c r="BE278" s="9" t="n"/>
      <c r="BF278" s="9" t="n"/>
      <c r="BG278" s="9" t="n"/>
      <c r="BH278" s="9" t="n"/>
      <c r="BI278" s="9" t="n"/>
      <c r="BJ278" s="9" t="n"/>
      <c r="BK278" s="9" t="n"/>
      <c r="BL278" s="9" t="n"/>
      <c r="BM278" s="9" t="n"/>
      <c r="BN278" s="9" t="n"/>
      <c r="BO278" s="8" t="n"/>
      <c r="BP278" s="9" t="n"/>
      <c r="BQ278" s="9" t="n"/>
      <c r="BR278" s="13">
        <f>IF(COUNTIF(AI278:BM278,"N")+COUNTBLANK(AI278:BM278)=0,"Y","N")</f>
        <v/>
      </c>
      <c r="BS278" s="13">
        <f>IF(AND(BR278="Y",OR(L278="Submitted",L278="Under Review")),"Y",IF(L278="Closed","Y","N"))</f>
        <v/>
      </c>
      <c r="BT278" s="10" t="n"/>
      <c r="BU278" s="13">
        <f>Rule_Flags!Q277</f>
        <v/>
      </c>
      <c r="BV278" s="13">
        <f>Rule_Flags!P277</f>
        <v/>
      </c>
      <c r="BW278" s="13">
        <f>IF(Rule_Flags!E277=1,"SITE_CONTROL",IF(Rule_Flags!F277=1,"APPROVALS",IF(Rule_Flags!G277=1,"REPORTS",IF(Rule_Flags!H277=1,"DEFICIENCY",IF(Rule_Flags!I277=1,"UNDERWRITING",IF(Rule_Flags!J277=1,"COMPLIANCE",""))))))</f>
        <v/>
      </c>
      <c r="BX278" s="13">
        <f>IF(BW278="SITE_CONTROL","Site control missing or invalid",IF(BW278="APPROVALS","Required approvals or resolutions incomplete",IF(BW278="REPORTS","Required third-party reports incomplete",IF(BW278="DEFICIENCY","Unresolved deficiency or material deficiency",IF(BW278="UNDERWRITING","Underwriting / feasibility not passed",IF(BW278="COMPLIANCE","Deconcentration, one-mile, LURA, or Chapter 12 issue","Ready under current engine rules"))))))</f>
        <v/>
      </c>
      <c r="BY278" s="13">
        <f>IF(BV278="Determination Notice","Streamlined + DN-ready assumptions satisfied",IF(BV278="Board","Board-required or board-ready assumptions satisfied",""))</f>
        <v/>
      </c>
      <c r="BZ278" s="13">
        <f>IF(AND(BP278="Y",BQ278&lt;&gt;"Y"),"Carryforward project retains queue priority",IF(BQ278="Y","New project enters behind carryforward projects",""))</f>
        <v/>
      </c>
      <c r="CA278" s="13">
        <f>_xludf.RANK.EQ(Rule_Flags!O277,Rule_Flags!$O$3:$O$402,0)</f>
        <v/>
      </c>
      <c r="CB278" s="13">
        <f>IF(OR(BU278="Determination Notice Issued",BU278="Board",BU278="Closed"),"Y","N")</f>
        <v/>
      </c>
      <c r="CC278" s="9" t="n"/>
      <c r="CD278" s="9" t="n"/>
      <c r="CE278" s="9" t="n"/>
      <c r="CF278" s="9" t="n"/>
      <c r="CG278" s="9" t="n"/>
      <c r="CH278" s="9" t="n"/>
    </row>
    <row r="279">
      <c r="A279" s="8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8" t="n"/>
      <c r="L279" s="9" t="n"/>
      <c r="M279" s="8" t="n"/>
      <c r="N279" s="8" t="n"/>
      <c r="O279" s="8" t="n"/>
      <c r="P279" s="8" t="n"/>
      <c r="Q279" s="8" t="n"/>
      <c r="R279" s="9" t="n"/>
      <c r="S279" s="9" t="n"/>
      <c r="T279" s="10" t="n"/>
      <c r="U279" s="10" t="n"/>
      <c r="V279" s="9" t="n"/>
      <c r="W279" s="9" t="n"/>
      <c r="X279" s="9" t="n"/>
      <c r="Y279" s="9" t="n"/>
      <c r="Z279" s="11" t="n"/>
      <c r="AA279" s="11" t="n"/>
      <c r="AB279" s="11" t="n"/>
      <c r="AC279" s="11" t="n"/>
      <c r="AD279" s="11" t="n"/>
      <c r="AE279" s="11" t="n"/>
      <c r="AF279" s="9" t="n"/>
      <c r="AG279" s="9" t="n"/>
      <c r="AH279" s="9" t="n"/>
      <c r="AI279" s="9" t="n"/>
      <c r="AJ279" s="8" t="n"/>
      <c r="AK279" s="9" t="n"/>
      <c r="AL279" s="9" t="n"/>
      <c r="AM279" s="9" t="n"/>
      <c r="AN279" s="9" t="n"/>
      <c r="AO279" s="9" t="n"/>
      <c r="AP279" s="9" t="n"/>
      <c r="AQ279" s="9" t="n"/>
      <c r="AR279" s="9" t="n"/>
      <c r="AS279" s="9" t="n"/>
      <c r="AT279" s="8" t="n"/>
      <c r="AU279" s="8" t="n"/>
      <c r="AV279" s="9" t="n"/>
      <c r="AW279" s="8" t="n"/>
      <c r="AX279" s="9" t="n"/>
      <c r="AY279" s="9" t="n"/>
      <c r="AZ279" s="9" t="n"/>
      <c r="BA279" s="9" t="n"/>
      <c r="BB279" s="9" t="n"/>
      <c r="BC279" s="9" t="n"/>
      <c r="BD279" s="9" t="n"/>
      <c r="BE279" s="9" t="n"/>
      <c r="BF279" s="9" t="n"/>
      <c r="BG279" s="9" t="n"/>
      <c r="BH279" s="9" t="n"/>
      <c r="BI279" s="9" t="n"/>
      <c r="BJ279" s="9" t="n"/>
      <c r="BK279" s="9" t="n"/>
      <c r="BL279" s="9" t="n"/>
      <c r="BM279" s="9" t="n"/>
      <c r="BN279" s="9" t="n"/>
      <c r="BO279" s="8" t="n"/>
      <c r="BP279" s="9" t="n"/>
      <c r="BQ279" s="9" t="n"/>
      <c r="BR279" s="13">
        <f>IF(COUNTIF(AI279:BM279,"N")+COUNTBLANK(AI279:BM279)=0,"Y","N")</f>
        <v/>
      </c>
      <c r="BS279" s="13">
        <f>IF(AND(BR279="Y",OR(L279="Submitted",L279="Under Review")),"Y",IF(L279="Closed","Y","N"))</f>
        <v/>
      </c>
      <c r="BT279" s="10" t="n"/>
      <c r="BU279" s="13">
        <f>Rule_Flags!Q278</f>
        <v/>
      </c>
      <c r="BV279" s="13">
        <f>Rule_Flags!P278</f>
        <v/>
      </c>
      <c r="BW279" s="13">
        <f>IF(Rule_Flags!E278=1,"SITE_CONTROL",IF(Rule_Flags!F278=1,"APPROVALS",IF(Rule_Flags!G278=1,"REPORTS",IF(Rule_Flags!H278=1,"DEFICIENCY",IF(Rule_Flags!I278=1,"UNDERWRITING",IF(Rule_Flags!J278=1,"COMPLIANCE",""))))))</f>
        <v/>
      </c>
      <c r="BX279" s="13">
        <f>IF(BW279="SITE_CONTROL","Site control missing or invalid",IF(BW279="APPROVALS","Required approvals or resolutions incomplete",IF(BW279="REPORTS","Required third-party reports incomplete",IF(BW279="DEFICIENCY","Unresolved deficiency or material deficiency",IF(BW279="UNDERWRITING","Underwriting / feasibility not passed",IF(BW279="COMPLIANCE","Deconcentration, one-mile, LURA, or Chapter 12 issue","Ready under current engine rules"))))))</f>
        <v/>
      </c>
      <c r="BY279" s="13">
        <f>IF(BV279="Determination Notice","Streamlined + DN-ready assumptions satisfied",IF(BV279="Board","Board-required or board-ready assumptions satisfied",""))</f>
        <v/>
      </c>
      <c r="BZ279" s="13">
        <f>IF(AND(BP279="Y",BQ279&lt;&gt;"Y"),"Carryforward project retains queue priority",IF(BQ279="Y","New project enters behind carryforward projects",""))</f>
        <v/>
      </c>
      <c r="CA279" s="13">
        <f>_xludf.RANK.EQ(Rule_Flags!O278,Rule_Flags!$O$3:$O$402,0)</f>
        <v/>
      </c>
      <c r="CB279" s="13">
        <f>IF(OR(BU279="Determination Notice Issued",BU279="Board",BU279="Closed"),"Y","N")</f>
        <v/>
      </c>
      <c r="CC279" s="9" t="n"/>
      <c r="CD279" s="9" t="n"/>
      <c r="CE279" s="9" t="n"/>
      <c r="CF279" s="9" t="n"/>
      <c r="CG279" s="9" t="n"/>
      <c r="CH279" s="9" t="n"/>
    </row>
    <row r="280">
      <c r="A280" s="8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8" t="n"/>
      <c r="L280" s="9" t="n"/>
      <c r="M280" s="8" t="n"/>
      <c r="N280" s="8" t="n"/>
      <c r="O280" s="8" t="n"/>
      <c r="P280" s="8" t="n"/>
      <c r="Q280" s="8" t="n"/>
      <c r="R280" s="9" t="n"/>
      <c r="S280" s="9" t="n"/>
      <c r="T280" s="10" t="n"/>
      <c r="U280" s="10" t="n"/>
      <c r="V280" s="9" t="n"/>
      <c r="W280" s="9" t="n"/>
      <c r="X280" s="9" t="n"/>
      <c r="Y280" s="9" t="n"/>
      <c r="Z280" s="11" t="n"/>
      <c r="AA280" s="11" t="n"/>
      <c r="AB280" s="11" t="n"/>
      <c r="AC280" s="11" t="n"/>
      <c r="AD280" s="11" t="n"/>
      <c r="AE280" s="11" t="n"/>
      <c r="AF280" s="9" t="n"/>
      <c r="AG280" s="9" t="n"/>
      <c r="AH280" s="9" t="n"/>
      <c r="AI280" s="9" t="n"/>
      <c r="AJ280" s="8" t="n"/>
      <c r="AK280" s="9" t="n"/>
      <c r="AL280" s="9" t="n"/>
      <c r="AM280" s="9" t="n"/>
      <c r="AN280" s="9" t="n"/>
      <c r="AO280" s="9" t="n"/>
      <c r="AP280" s="9" t="n"/>
      <c r="AQ280" s="9" t="n"/>
      <c r="AR280" s="9" t="n"/>
      <c r="AS280" s="9" t="n"/>
      <c r="AT280" s="8" t="n"/>
      <c r="AU280" s="8" t="n"/>
      <c r="AV280" s="9" t="n"/>
      <c r="AW280" s="8" t="n"/>
      <c r="AX280" s="9" t="n"/>
      <c r="AY280" s="9" t="n"/>
      <c r="AZ280" s="9" t="n"/>
      <c r="BA280" s="9" t="n"/>
      <c r="BB280" s="9" t="n"/>
      <c r="BC280" s="9" t="n"/>
      <c r="BD280" s="9" t="n"/>
      <c r="BE280" s="9" t="n"/>
      <c r="BF280" s="9" t="n"/>
      <c r="BG280" s="9" t="n"/>
      <c r="BH280" s="9" t="n"/>
      <c r="BI280" s="9" t="n"/>
      <c r="BJ280" s="9" t="n"/>
      <c r="BK280" s="9" t="n"/>
      <c r="BL280" s="9" t="n"/>
      <c r="BM280" s="9" t="n"/>
      <c r="BN280" s="9" t="n"/>
      <c r="BO280" s="8" t="n"/>
      <c r="BP280" s="9" t="n"/>
      <c r="BQ280" s="9" t="n"/>
      <c r="BR280" s="13">
        <f>IF(COUNTIF(AI280:BM280,"N")+COUNTBLANK(AI280:BM280)=0,"Y","N")</f>
        <v/>
      </c>
      <c r="BS280" s="13">
        <f>IF(AND(BR280="Y",OR(L280="Submitted",L280="Under Review")),"Y",IF(L280="Closed","Y","N"))</f>
        <v/>
      </c>
      <c r="BT280" s="10" t="n"/>
      <c r="BU280" s="13">
        <f>Rule_Flags!Q279</f>
        <v/>
      </c>
      <c r="BV280" s="13">
        <f>Rule_Flags!P279</f>
        <v/>
      </c>
      <c r="BW280" s="13">
        <f>IF(Rule_Flags!E279=1,"SITE_CONTROL",IF(Rule_Flags!F279=1,"APPROVALS",IF(Rule_Flags!G279=1,"REPORTS",IF(Rule_Flags!H279=1,"DEFICIENCY",IF(Rule_Flags!I279=1,"UNDERWRITING",IF(Rule_Flags!J279=1,"COMPLIANCE",""))))))</f>
        <v/>
      </c>
      <c r="BX280" s="13">
        <f>IF(BW280="SITE_CONTROL","Site control missing or invalid",IF(BW280="APPROVALS","Required approvals or resolutions incomplete",IF(BW280="REPORTS","Required third-party reports incomplete",IF(BW280="DEFICIENCY","Unresolved deficiency or material deficiency",IF(BW280="UNDERWRITING","Underwriting / feasibility not passed",IF(BW280="COMPLIANCE","Deconcentration, one-mile, LURA, or Chapter 12 issue","Ready under current engine rules"))))))</f>
        <v/>
      </c>
      <c r="BY280" s="13">
        <f>IF(BV280="Determination Notice","Streamlined + DN-ready assumptions satisfied",IF(BV280="Board","Board-required or board-ready assumptions satisfied",""))</f>
        <v/>
      </c>
      <c r="BZ280" s="13">
        <f>IF(AND(BP280="Y",BQ280&lt;&gt;"Y"),"Carryforward project retains queue priority",IF(BQ280="Y","New project enters behind carryforward projects",""))</f>
        <v/>
      </c>
      <c r="CA280" s="13">
        <f>_xludf.RANK.EQ(Rule_Flags!O279,Rule_Flags!$O$3:$O$402,0)</f>
        <v/>
      </c>
      <c r="CB280" s="13">
        <f>IF(OR(BU280="Determination Notice Issued",BU280="Board",BU280="Closed"),"Y","N")</f>
        <v/>
      </c>
      <c r="CC280" s="9" t="n"/>
      <c r="CD280" s="9" t="n"/>
      <c r="CE280" s="9" t="n"/>
      <c r="CF280" s="9" t="n"/>
      <c r="CG280" s="9" t="n"/>
      <c r="CH280" s="9" t="n"/>
    </row>
    <row r="281">
      <c r="A281" s="8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8" t="n"/>
      <c r="L281" s="9" t="n"/>
      <c r="M281" s="8" t="n"/>
      <c r="N281" s="8" t="n"/>
      <c r="O281" s="8" t="n"/>
      <c r="P281" s="8" t="n"/>
      <c r="Q281" s="8" t="n"/>
      <c r="R281" s="9" t="n"/>
      <c r="S281" s="9" t="n"/>
      <c r="T281" s="10" t="n"/>
      <c r="U281" s="10" t="n"/>
      <c r="V281" s="9" t="n"/>
      <c r="W281" s="9" t="n"/>
      <c r="X281" s="9" t="n"/>
      <c r="Y281" s="9" t="n"/>
      <c r="Z281" s="11" t="n"/>
      <c r="AA281" s="11" t="n"/>
      <c r="AB281" s="11" t="n"/>
      <c r="AC281" s="11" t="n"/>
      <c r="AD281" s="11" t="n"/>
      <c r="AE281" s="11" t="n"/>
      <c r="AF281" s="9" t="n"/>
      <c r="AG281" s="9" t="n"/>
      <c r="AH281" s="9" t="n"/>
      <c r="AI281" s="9" t="n"/>
      <c r="AJ281" s="8" t="n"/>
      <c r="AK281" s="9" t="n"/>
      <c r="AL281" s="9" t="n"/>
      <c r="AM281" s="9" t="n"/>
      <c r="AN281" s="9" t="n"/>
      <c r="AO281" s="9" t="n"/>
      <c r="AP281" s="9" t="n"/>
      <c r="AQ281" s="9" t="n"/>
      <c r="AR281" s="9" t="n"/>
      <c r="AS281" s="9" t="n"/>
      <c r="AT281" s="8" t="n"/>
      <c r="AU281" s="8" t="n"/>
      <c r="AV281" s="9" t="n"/>
      <c r="AW281" s="8" t="n"/>
      <c r="AX281" s="9" t="n"/>
      <c r="AY281" s="9" t="n"/>
      <c r="AZ281" s="9" t="n"/>
      <c r="BA281" s="9" t="n"/>
      <c r="BB281" s="9" t="n"/>
      <c r="BC281" s="9" t="n"/>
      <c r="BD281" s="9" t="n"/>
      <c r="BE281" s="9" t="n"/>
      <c r="BF281" s="9" t="n"/>
      <c r="BG281" s="9" t="n"/>
      <c r="BH281" s="9" t="n"/>
      <c r="BI281" s="9" t="n"/>
      <c r="BJ281" s="9" t="n"/>
      <c r="BK281" s="9" t="n"/>
      <c r="BL281" s="9" t="n"/>
      <c r="BM281" s="9" t="n"/>
      <c r="BN281" s="9" t="n"/>
      <c r="BO281" s="8" t="n"/>
      <c r="BP281" s="9" t="n"/>
      <c r="BQ281" s="9" t="n"/>
      <c r="BR281" s="13">
        <f>IF(COUNTIF(AI281:BM281,"N")+COUNTBLANK(AI281:BM281)=0,"Y","N")</f>
        <v/>
      </c>
      <c r="BS281" s="13">
        <f>IF(AND(BR281="Y",OR(L281="Submitted",L281="Under Review")),"Y",IF(L281="Closed","Y","N"))</f>
        <v/>
      </c>
      <c r="BT281" s="10" t="n"/>
      <c r="BU281" s="13">
        <f>Rule_Flags!Q280</f>
        <v/>
      </c>
      <c r="BV281" s="13">
        <f>Rule_Flags!P280</f>
        <v/>
      </c>
      <c r="BW281" s="13">
        <f>IF(Rule_Flags!E280=1,"SITE_CONTROL",IF(Rule_Flags!F280=1,"APPROVALS",IF(Rule_Flags!G280=1,"REPORTS",IF(Rule_Flags!H280=1,"DEFICIENCY",IF(Rule_Flags!I280=1,"UNDERWRITING",IF(Rule_Flags!J280=1,"COMPLIANCE",""))))))</f>
        <v/>
      </c>
      <c r="BX281" s="13">
        <f>IF(BW281="SITE_CONTROL","Site control missing or invalid",IF(BW281="APPROVALS","Required approvals or resolutions incomplete",IF(BW281="REPORTS","Required third-party reports incomplete",IF(BW281="DEFICIENCY","Unresolved deficiency or material deficiency",IF(BW281="UNDERWRITING","Underwriting / feasibility not passed",IF(BW281="COMPLIANCE","Deconcentration, one-mile, LURA, or Chapter 12 issue","Ready under current engine rules"))))))</f>
        <v/>
      </c>
      <c r="BY281" s="13">
        <f>IF(BV281="Determination Notice","Streamlined + DN-ready assumptions satisfied",IF(BV281="Board","Board-required or board-ready assumptions satisfied",""))</f>
        <v/>
      </c>
      <c r="BZ281" s="13">
        <f>IF(AND(BP281="Y",BQ281&lt;&gt;"Y"),"Carryforward project retains queue priority",IF(BQ281="Y","New project enters behind carryforward projects",""))</f>
        <v/>
      </c>
      <c r="CA281" s="13">
        <f>_xludf.RANK.EQ(Rule_Flags!O280,Rule_Flags!$O$3:$O$402,0)</f>
        <v/>
      </c>
      <c r="CB281" s="13">
        <f>IF(OR(BU281="Determination Notice Issued",BU281="Board",BU281="Closed"),"Y","N")</f>
        <v/>
      </c>
      <c r="CC281" s="9" t="n"/>
      <c r="CD281" s="9" t="n"/>
      <c r="CE281" s="9" t="n"/>
      <c r="CF281" s="9" t="n"/>
      <c r="CG281" s="9" t="n"/>
      <c r="CH281" s="9" t="n"/>
    </row>
    <row r="282">
      <c r="A282" s="8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8" t="n"/>
      <c r="L282" s="9" t="n"/>
      <c r="M282" s="8" t="n"/>
      <c r="N282" s="8" t="n"/>
      <c r="O282" s="8" t="n"/>
      <c r="P282" s="8" t="n"/>
      <c r="Q282" s="8" t="n"/>
      <c r="R282" s="9" t="n"/>
      <c r="S282" s="9" t="n"/>
      <c r="T282" s="10" t="n"/>
      <c r="U282" s="10" t="n"/>
      <c r="V282" s="9" t="n"/>
      <c r="W282" s="9" t="n"/>
      <c r="X282" s="9" t="n"/>
      <c r="Y282" s="9" t="n"/>
      <c r="Z282" s="11" t="n"/>
      <c r="AA282" s="11" t="n"/>
      <c r="AB282" s="11" t="n"/>
      <c r="AC282" s="11" t="n"/>
      <c r="AD282" s="11" t="n"/>
      <c r="AE282" s="11" t="n"/>
      <c r="AF282" s="9" t="n"/>
      <c r="AG282" s="9" t="n"/>
      <c r="AH282" s="9" t="n"/>
      <c r="AI282" s="9" t="n"/>
      <c r="AJ282" s="8" t="n"/>
      <c r="AK282" s="9" t="n"/>
      <c r="AL282" s="9" t="n"/>
      <c r="AM282" s="9" t="n"/>
      <c r="AN282" s="9" t="n"/>
      <c r="AO282" s="9" t="n"/>
      <c r="AP282" s="9" t="n"/>
      <c r="AQ282" s="9" t="n"/>
      <c r="AR282" s="9" t="n"/>
      <c r="AS282" s="9" t="n"/>
      <c r="AT282" s="8" t="n"/>
      <c r="AU282" s="8" t="n"/>
      <c r="AV282" s="9" t="n"/>
      <c r="AW282" s="8" t="n"/>
      <c r="AX282" s="9" t="n"/>
      <c r="AY282" s="9" t="n"/>
      <c r="AZ282" s="9" t="n"/>
      <c r="BA282" s="9" t="n"/>
      <c r="BB282" s="9" t="n"/>
      <c r="BC282" s="9" t="n"/>
      <c r="BD282" s="9" t="n"/>
      <c r="BE282" s="9" t="n"/>
      <c r="BF282" s="9" t="n"/>
      <c r="BG282" s="9" t="n"/>
      <c r="BH282" s="9" t="n"/>
      <c r="BI282" s="9" t="n"/>
      <c r="BJ282" s="9" t="n"/>
      <c r="BK282" s="9" t="n"/>
      <c r="BL282" s="9" t="n"/>
      <c r="BM282" s="9" t="n"/>
      <c r="BN282" s="9" t="n"/>
      <c r="BO282" s="8" t="n"/>
      <c r="BP282" s="9" t="n"/>
      <c r="BQ282" s="9" t="n"/>
      <c r="BR282" s="13">
        <f>IF(COUNTIF(AI282:BM282,"N")+COUNTBLANK(AI282:BM282)=0,"Y","N")</f>
        <v/>
      </c>
      <c r="BS282" s="13">
        <f>IF(AND(BR282="Y",OR(L282="Submitted",L282="Under Review")),"Y",IF(L282="Closed","Y","N"))</f>
        <v/>
      </c>
      <c r="BT282" s="10" t="n"/>
      <c r="BU282" s="13">
        <f>Rule_Flags!Q281</f>
        <v/>
      </c>
      <c r="BV282" s="13">
        <f>Rule_Flags!P281</f>
        <v/>
      </c>
      <c r="BW282" s="13">
        <f>IF(Rule_Flags!E281=1,"SITE_CONTROL",IF(Rule_Flags!F281=1,"APPROVALS",IF(Rule_Flags!G281=1,"REPORTS",IF(Rule_Flags!H281=1,"DEFICIENCY",IF(Rule_Flags!I281=1,"UNDERWRITING",IF(Rule_Flags!J281=1,"COMPLIANCE",""))))))</f>
        <v/>
      </c>
      <c r="BX282" s="13">
        <f>IF(BW282="SITE_CONTROL","Site control missing or invalid",IF(BW282="APPROVALS","Required approvals or resolutions incomplete",IF(BW282="REPORTS","Required third-party reports incomplete",IF(BW282="DEFICIENCY","Unresolved deficiency or material deficiency",IF(BW282="UNDERWRITING","Underwriting / feasibility not passed",IF(BW282="COMPLIANCE","Deconcentration, one-mile, LURA, or Chapter 12 issue","Ready under current engine rules"))))))</f>
        <v/>
      </c>
      <c r="BY282" s="13">
        <f>IF(BV282="Determination Notice","Streamlined + DN-ready assumptions satisfied",IF(BV282="Board","Board-required or board-ready assumptions satisfied",""))</f>
        <v/>
      </c>
      <c r="BZ282" s="13">
        <f>IF(AND(BP282="Y",BQ282&lt;&gt;"Y"),"Carryforward project retains queue priority",IF(BQ282="Y","New project enters behind carryforward projects",""))</f>
        <v/>
      </c>
      <c r="CA282" s="13">
        <f>_xludf.RANK.EQ(Rule_Flags!O281,Rule_Flags!$O$3:$O$402,0)</f>
        <v/>
      </c>
      <c r="CB282" s="13">
        <f>IF(OR(BU282="Determination Notice Issued",BU282="Board",BU282="Closed"),"Y","N")</f>
        <v/>
      </c>
      <c r="CC282" s="9" t="n"/>
      <c r="CD282" s="9" t="n"/>
      <c r="CE282" s="9" t="n"/>
      <c r="CF282" s="9" t="n"/>
      <c r="CG282" s="9" t="n"/>
      <c r="CH282" s="9" t="n"/>
    </row>
    <row r="283">
      <c r="A283" s="8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8" t="n"/>
      <c r="L283" s="9" t="n"/>
      <c r="M283" s="8" t="n"/>
      <c r="N283" s="8" t="n"/>
      <c r="O283" s="8" t="n"/>
      <c r="P283" s="8" t="n"/>
      <c r="Q283" s="8" t="n"/>
      <c r="R283" s="9" t="n"/>
      <c r="S283" s="9" t="n"/>
      <c r="T283" s="10" t="n"/>
      <c r="U283" s="10" t="n"/>
      <c r="V283" s="9" t="n"/>
      <c r="W283" s="9" t="n"/>
      <c r="X283" s="9" t="n"/>
      <c r="Y283" s="9" t="n"/>
      <c r="Z283" s="11" t="n"/>
      <c r="AA283" s="11" t="n"/>
      <c r="AB283" s="11" t="n"/>
      <c r="AC283" s="11" t="n"/>
      <c r="AD283" s="11" t="n"/>
      <c r="AE283" s="11" t="n"/>
      <c r="AF283" s="9" t="n"/>
      <c r="AG283" s="9" t="n"/>
      <c r="AH283" s="9" t="n"/>
      <c r="AI283" s="9" t="n"/>
      <c r="AJ283" s="8" t="n"/>
      <c r="AK283" s="9" t="n"/>
      <c r="AL283" s="9" t="n"/>
      <c r="AM283" s="9" t="n"/>
      <c r="AN283" s="9" t="n"/>
      <c r="AO283" s="9" t="n"/>
      <c r="AP283" s="9" t="n"/>
      <c r="AQ283" s="9" t="n"/>
      <c r="AR283" s="9" t="n"/>
      <c r="AS283" s="9" t="n"/>
      <c r="AT283" s="8" t="n"/>
      <c r="AU283" s="8" t="n"/>
      <c r="AV283" s="9" t="n"/>
      <c r="AW283" s="8" t="n"/>
      <c r="AX283" s="9" t="n"/>
      <c r="AY283" s="9" t="n"/>
      <c r="AZ283" s="9" t="n"/>
      <c r="BA283" s="9" t="n"/>
      <c r="BB283" s="9" t="n"/>
      <c r="BC283" s="9" t="n"/>
      <c r="BD283" s="9" t="n"/>
      <c r="BE283" s="9" t="n"/>
      <c r="BF283" s="9" t="n"/>
      <c r="BG283" s="9" t="n"/>
      <c r="BH283" s="9" t="n"/>
      <c r="BI283" s="9" t="n"/>
      <c r="BJ283" s="9" t="n"/>
      <c r="BK283" s="9" t="n"/>
      <c r="BL283" s="9" t="n"/>
      <c r="BM283" s="9" t="n"/>
      <c r="BN283" s="9" t="n"/>
      <c r="BO283" s="8" t="n"/>
      <c r="BP283" s="9" t="n"/>
      <c r="BQ283" s="9" t="n"/>
      <c r="BR283" s="13">
        <f>IF(COUNTIF(AI283:BM283,"N")+COUNTBLANK(AI283:BM283)=0,"Y","N")</f>
        <v/>
      </c>
      <c r="BS283" s="13">
        <f>IF(AND(BR283="Y",OR(L283="Submitted",L283="Under Review")),"Y",IF(L283="Closed","Y","N"))</f>
        <v/>
      </c>
      <c r="BT283" s="10" t="n"/>
      <c r="BU283" s="13">
        <f>Rule_Flags!Q282</f>
        <v/>
      </c>
      <c r="BV283" s="13">
        <f>Rule_Flags!P282</f>
        <v/>
      </c>
      <c r="BW283" s="13">
        <f>IF(Rule_Flags!E282=1,"SITE_CONTROL",IF(Rule_Flags!F282=1,"APPROVALS",IF(Rule_Flags!G282=1,"REPORTS",IF(Rule_Flags!H282=1,"DEFICIENCY",IF(Rule_Flags!I282=1,"UNDERWRITING",IF(Rule_Flags!J282=1,"COMPLIANCE",""))))))</f>
        <v/>
      </c>
      <c r="BX283" s="13">
        <f>IF(BW283="SITE_CONTROL","Site control missing or invalid",IF(BW283="APPROVALS","Required approvals or resolutions incomplete",IF(BW283="REPORTS","Required third-party reports incomplete",IF(BW283="DEFICIENCY","Unresolved deficiency or material deficiency",IF(BW283="UNDERWRITING","Underwriting / feasibility not passed",IF(BW283="COMPLIANCE","Deconcentration, one-mile, LURA, or Chapter 12 issue","Ready under current engine rules"))))))</f>
        <v/>
      </c>
      <c r="BY283" s="13">
        <f>IF(BV283="Determination Notice","Streamlined + DN-ready assumptions satisfied",IF(BV283="Board","Board-required or board-ready assumptions satisfied",""))</f>
        <v/>
      </c>
      <c r="BZ283" s="13">
        <f>IF(AND(BP283="Y",BQ283&lt;&gt;"Y"),"Carryforward project retains queue priority",IF(BQ283="Y","New project enters behind carryforward projects",""))</f>
        <v/>
      </c>
      <c r="CA283" s="13">
        <f>_xludf.RANK.EQ(Rule_Flags!O282,Rule_Flags!$O$3:$O$402,0)</f>
        <v/>
      </c>
      <c r="CB283" s="13">
        <f>IF(OR(BU283="Determination Notice Issued",BU283="Board",BU283="Closed"),"Y","N")</f>
        <v/>
      </c>
      <c r="CC283" s="9" t="n"/>
      <c r="CD283" s="9" t="n"/>
      <c r="CE283" s="9" t="n"/>
      <c r="CF283" s="9" t="n"/>
      <c r="CG283" s="9" t="n"/>
      <c r="CH283" s="9" t="n"/>
    </row>
    <row r="284">
      <c r="A284" s="8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8" t="n"/>
      <c r="L284" s="9" t="n"/>
      <c r="M284" s="8" t="n"/>
      <c r="N284" s="8" t="n"/>
      <c r="O284" s="8" t="n"/>
      <c r="P284" s="8" t="n"/>
      <c r="Q284" s="8" t="n"/>
      <c r="R284" s="9" t="n"/>
      <c r="S284" s="9" t="n"/>
      <c r="T284" s="10" t="n"/>
      <c r="U284" s="10" t="n"/>
      <c r="V284" s="9" t="n"/>
      <c r="W284" s="9" t="n"/>
      <c r="X284" s="9" t="n"/>
      <c r="Y284" s="9" t="n"/>
      <c r="Z284" s="11" t="n"/>
      <c r="AA284" s="11" t="n"/>
      <c r="AB284" s="11" t="n"/>
      <c r="AC284" s="11" t="n"/>
      <c r="AD284" s="11" t="n"/>
      <c r="AE284" s="11" t="n"/>
      <c r="AF284" s="9" t="n"/>
      <c r="AG284" s="9" t="n"/>
      <c r="AH284" s="9" t="n"/>
      <c r="AI284" s="9" t="n"/>
      <c r="AJ284" s="8" t="n"/>
      <c r="AK284" s="9" t="n"/>
      <c r="AL284" s="9" t="n"/>
      <c r="AM284" s="9" t="n"/>
      <c r="AN284" s="9" t="n"/>
      <c r="AO284" s="9" t="n"/>
      <c r="AP284" s="9" t="n"/>
      <c r="AQ284" s="9" t="n"/>
      <c r="AR284" s="9" t="n"/>
      <c r="AS284" s="9" t="n"/>
      <c r="AT284" s="8" t="n"/>
      <c r="AU284" s="8" t="n"/>
      <c r="AV284" s="9" t="n"/>
      <c r="AW284" s="8" t="n"/>
      <c r="AX284" s="9" t="n"/>
      <c r="AY284" s="9" t="n"/>
      <c r="AZ284" s="9" t="n"/>
      <c r="BA284" s="9" t="n"/>
      <c r="BB284" s="9" t="n"/>
      <c r="BC284" s="9" t="n"/>
      <c r="BD284" s="9" t="n"/>
      <c r="BE284" s="9" t="n"/>
      <c r="BF284" s="9" t="n"/>
      <c r="BG284" s="9" t="n"/>
      <c r="BH284" s="9" t="n"/>
      <c r="BI284" s="9" t="n"/>
      <c r="BJ284" s="9" t="n"/>
      <c r="BK284" s="9" t="n"/>
      <c r="BL284" s="9" t="n"/>
      <c r="BM284" s="9" t="n"/>
      <c r="BN284" s="9" t="n"/>
      <c r="BO284" s="8" t="n"/>
      <c r="BP284" s="9" t="n"/>
      <c r="BQ284" s="9" t="n"/>
      <c r="BR284" s="13">
        <f>IF(COUNTIF(AI284:BM284,"N")+COUNTBLANK(AI284:BM284)=0,"Y","N")</f>
        <v/>
      </c>
      <c r="BS284" s="13">
        <f>IF(AND(BR284="Y",OR(L284="Submitted",L284="Under Review")),"Y",IF(L284="Closed","Y","N"))</f>
        <v/>
      </c>
      <c r="BT284" s="10" t="n"/>
      <c r="BU284" s="13">
        <f>Rule_Flags!Q283</f>
        <v/>
      </c>
      <c r="BV284" s="13">
        <f>Rule_Flags!P283</f>
        <v/>
      </c>
      <c r="BW284" s="13">
        <f>IF(Rule_Flags!E283=1,"SITE_CONTROL",IF(Rule_Flags!F283=1,"APPROVALS",IF(Rule_Flags!G283=1,"REPORTS",IF(Rule_Flags!H283=1,"DEFICIENCY",IF(Rule_Flags!I283=1,"UNDERWRITING",IF(Rule_Flags!J283=1,"COMPLIANCE",""))))))</f>
        <v/>
      </c>
      <c r="BX284" s="13">
        <f>IF(BW284="SITE_CONTROL","Site control missing or invalid",IF(BW284="APPROVALS","Required approvals or resolutions incomplete",IF(BW284="REPORTS","Required third-party reports incomplete",IF(BW284="DEFICIENCY","Unresolved deficiency or material deficiency",IF(BW284="UNDERWRITING","Underwriting / feasibility not passed",IF(BW284="COMPLIANCE","Deconcentration, one-mile, LURA, or Chapter 12 issue","Ready under current engine rules"))))))</f>
        <v/>
      </c>
      <c r="BY284" s="13">
        <f>IF(BV284="Determination Notice","Streamlined + DN-ready assumptions satisfied",IF(BV284="Board","Board-required or board-ready assumptions satisfied",""))</f>
        <v/>
      </c>
      <c r="BZ284" s="13">
        <f>IF(AND(BP284="Y",BQ284&lt;&gt;"Y"),"Carryforward project retains queue priority",IF(BQ284="Y","New project enters behind carryforward projects",""))</f>
        <v/>
      </c>
      <c r="CA284" s="13">
        <f>_xludf.RANK.EQ(Rule_Flags!O283,Rule_Flags!$O$3:$O$402,0)</f>
        <v/>
      </c>
      <c r="CB284" s="13">
        <f>IF(OR(BU284="Determination Notice Issued",BU284="Board",BU284="Closed"),"Y","N")</f>
        <v/>
      </c>
      <c r="CC284" s="9" t="n"/>
      <c r="CD284" s="9" t="n"/>
      <c r="CE284" s="9" t="n"/>
      <c r="CF284" s="9" t="n"/>
      <c r="CG284" s="9" t="n"/>
      <c r="CH284" s="9" t="n"/>
    </row>
    <row r="285">
      <c r="A285" s="8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8" t="n"/>
      <c r="L285" s="9" t="n"/>
      <c r="M285" s="8" t="n"/>
      <c r="N285" s="8" t="n"/>
      <c r="O285" s="8" t="n"/>
      <c r="P285" s="8" t="n"/>
      <c r="Q285" s="8" t="n"/>
      <c r="R285" s="9" t="n"/>
      <c r="S285" s="9" t="n"/>
      <c r="T285" s="10" t="n"/>
      <c r="U285" s="10" t="n"/>
      <c r="V285" s="9" t="n"/>
      <c r="W285" s="9" t="n"/>
      <c r="X285" s="9" t="n"/>
      <c r="Y285" s="9" t="n"/>
      <c r="Z285" s="11" t="n"/>
      <c r="AA285" s="11" t="n"/>
      <c r="AB285" s="11" t="n"/>
      <c r="AC285" s="11" t="n"/>
      <c r="AD285" s="11" t="n"/>
      <c r="AE285" s="11" t="n"/>
      <c r="AF285" s="9" t="n"/>
      <c r="AG285" s="9" t="n"/>
      <c r="AH285" s="9" t="n"/>
      <c r="AI285" s="9" t="n"/>
      <c r="AJ285" s="8" t="n"/>
      <c r="AK285" s="9" t="n"/>
      <c r="AL285" s="9" t="n"/>
      <c r="AM285" s="9" t="n"/>
      <c r="AN285" s="9" t="n"/>
      <c r="AO285" s="9" t="n"/>
      <c r="AP285" s="9" t="n"/>
      <c r="AQ285" s="9" t="n"/>
      <c r="AR285" s="9" t="n"/>
      <c r="AS285" s="9" t="n"/>
      <c r="AT285" s="8" t="n"/>
      <c r="AU285" s="8" t="n"/>
      <c r="AV285" s="9" t="n"/>
      <c r="AW285" s="8" t="n"/>
      <c r="AX285" s="9" t="n"/>
      <c r="AY285" s="9" t="n"/>
      <c r="AZ285" s="9" t="n"/>
      <c r="BA285" s="9" t="n"/>
      <c r="BB285" s="9" t="n"/>
      <c r="BC285" s="9" t="n"/>
      <c r="BD285" s="9" t="n"/>
      <c r="BE285" s="9" t="n"/>
      <c r="BF285" s="9" t="n"/>
      <c r="BG285" s="9" t="n"/>
      <c r="BH285" s="9" t="n"/>
      <c r="BI285" s="9" t="n"/>
      <c r="BJ285" s="9" t="n"/>
      <c r="BK285" s="9" t="n"/>
      <c r="BL285" s="9" t="n"/>
      <c r="BM285" s="9" t="n"/>
      <c r="BN285" s="9" t="n"/>
      <c r="BO285" s="8" t="n"/>
      <c r="BP285" s="9" t="n"/>
      <c r="BQ285" s="9" t="n"/>
      <c r="BR285" s="13">
        <f>IF(COUNTIF(AI285:BM285,"N")+COUNTBLANK(AI285:BM285)=0,"Y","N")</f>
        <v/>
      </c>
      <c r="BS285" s="13">
        <f>IF(AND(BR285="Y",OR(L285="Submitted",L285="Under Review")),"Y",IF(L285="Closed","Y","N"))</f>
        <v/>
      </c>
      <c r="BT285" s="10" t="n"/>
      <c r="BU285" s="13">
        <f>Rule_Flags!Q284</f>
        <v/>
      </c>
      <c r="BV285" s="13">
        <f>Rule_Flags!P284</f>
        <v/>
      </c>
      <c r="BW285" s="13">
        <f>IF(Rule_Flags!E284=1,"SITE_CONTROL",IF(Rule_Flags!F284=1,"APPROVALS",IF(Rule_Flags!G284=1,"REPORTS",IF(Rule_Flags!H284=1,"DEFICIENCY",IF(Rule_Flags!I284=1,"UNDERWRITING",IF(Rule_Flags!J284=1,"COMPLIANCE",""))))))</f>
        <v/>
      </c>
      <c r="BX285" s="13">
        <f>IF(BW285="SITE_CONTROL","Site control missing or invalid",IF(BW285="APPROVALS","Required approvals or resolutions incomplete",IF(BW285="REPORTS","Required third-party reports incomplete",IF(BW285="DEFICIENCY","Unresolved deficiency or material deficiency",IF(BW285="UNDERWRITING","Underwriting / feasibility not passed",IF(BW285="COMPLIANCE","Deconcentration, one-mile, LURA, or Chapter 12 issue","Ready under current engine rules"))))))</f>
        <v/>
      </c>
      <c r="BY285" s="13">
        <f>IF(BV285="Determination Notice","Streamlined + DN-ready assumptions satisfied",IF(BV285="Board","Board-required or board-ready assumptions satisfied",""))</f>
        <v/>
      </c>
      <c r="BZ285" s="13">
        <f>IF(AND(BP285="Y",BQ285&lt;&gt;"Y"),"Carryforward project retains queue priority",IF(BQ285="Y","New project enters behind carryforward projects",""))</f>
        <v/>
      </c>
      <c r="CA285" s="13">
        <f>_xludf.RANK.EQ(Rule_Flags!O284,Rule_Flags!$O$3:$O$402,0)</f>
        <v/>
      </c>
      <c r="CB285" s="13">
        <f>IF(OR(BU285="Determination Notice Issued",BU285="Board",BU285="Closed"),"Y","N")</f>
        <v/>
      </c>
      <c r="CC285" s="9" t="n"/>
      <c r="CD285" s="9" t="n"/>
      <c r="CE285" s="9" t="n"/>
      <c r="CF285" s="9" t="n"/>
      <c r="CG285" s="9" t="n"/>
      <c r="CH285" s="9" t="n"/>
    </row>
    <row r="286">
      <c r="A286" s="8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8" t="n"/>
      <c r="L286" s="9" t="n"/>
      <c r="M286" s="8" t="n"/>
      <c r="N286" s="8" t="n"/>
      <c r="O286" s="8" t="n"/>
      <c r="P286" s="8" t="n"/>
      <c r="Q286" s="8" t="n"/>
      <c r="R286" s="9" t="n"/>
      <c r="S286" s="9" t="n"/>
      <c r="T286" s="10" t="n"/>
      <c r="U286" s="10" t="n"/>
      <c r="V286" s="9" t="n"/>
      <c r="W286" s="9" t="n"/>
      <c r="X286" s="9" t="n"/>
      <c r="Y286" s="9" t="n"/>
      <c r="Z286" s="11" t="n"/>
      <c r="AA286" s="11" t="n"/>
      <c r="AB286" s="11" t="n"/>
      <c r="AC286" s="11" t="n"/>
      <c r="AD286" s="11" t="n"/>
      <c r="AE286" s="11" t="n"/>
      <c r="AF286" s="9" t="n"/>
      <c r="AG286" s="9" t="n"/>
      <c r="AH286" s="9" t="n"/>
      <c r="AI286" s="9" t="n"/>
      <c r="AJ286" s="8" t="n"/>
      <c r="AK286" s="9" t="n"/>
      <c r="AL286" s="9" t="n"/>
      <c r="AM286" s="9" t="n"/>
      <c r="AN286" s="9" t="n"/>
      <c r="AO286" s="9" t="n"/>
      <c r="AP286" s="9" t="n"/>
      <c r="AQ286" s="9" t="n"/>
      <c r="AR286" s="9" t="n"/>
      <c r="AS286" s="9" t="n"/>
      <c r="AT286" s="8" t="n"/>
      <c r="AU286" s="8" t="n"/>
      <c r="AV286" s="9" t="n"/>
      <c r="AW286" s="8" t="n"/>
      <c r="AX286" s="9" t="n"/>
      <c r="AY286" s="9" t="n"/>
      <c r="AZ286" s="9" t="n"/>
      <c r="BA286" s="9" t="n"/>
      <c r="BB286" s="9" t="n"/>
      <c r="BC286" s="9" t="n"/>
      <c r="BD286" s="9" t="n"/>
      <c r="BE286" s="9" t="n"/>
      <c r="BF286" s="9" t="n"/>
      <c r="BG286" s="9" t="n"/>
      <c r="BH286" s="9" t="n"/>
      <c r="BI286" s="9" t="n"/>
      <c r="BJ286" s="9" t="n"/>
      <c r="BK286" s="9" t="n"/>
      <c r="BL286" s="9" t="n"/>
      <c r="BM286" s="9" t="n"/>
      <c r="BN286" s="9" t="n"/>
      <c r="BO286" s="8" t="n"/>
      <c r="BP286" s="9" t="n"/>
      <c r="BQ286" s="9" t="n"/>
      <c r="BR286" s="13">
        <f>IF(COUNTIF(AI286:BM286,"N")+COUNTBLANK(AI286:BM286)=0,"Y","N")</f>
        <v/>
      </c>
      <c r="BS286" s="13">
        <f>IF(AND(BR286="Y",OR(L286="Submitted",L286="Under Review")),"Y",IF(L286="Closed","Y","N"))</f>
        <v/>
      </c>
      <c r="BT286" s="10" t="n"/>
      <c r="BU286" s="13">
        <f>Rule_Flags!Q285</f>
        <v/>
      </c>
      <c r="BV286" s="13">
        <f>Rule_Flags!P285</f>
        <v/>
      </c>
      <c r="BW286" s="13">
        <f>IF(Rule_Flags!E285=1,"SITE_CONTROL",IF(Rule_Flags!F285=1,"APPROVALS",IF(Rule_Flags!G285=1,"REPORTS",IF(Rule_Flags!H285=1,"DEFICIENCY",IF(Rule_Flags!I285=1,"UNDERWRITING",IF(Rule_Flags!J285=1,"COMPLIANCE",""))))))</f>
        <v/>
      </c>
      <c r="BX286" s="13">
        <f>IF(BW286="SITE_CONTROL","Site control missing or invalid",IF(BW286="APPROVALS","Required approvals or resolutions incomplete",IF(BW286="REPORTS","Required third-party reports incomplete",IF(BW286="DEFICIENCY","Unresolved deficiency or material deficiency",IF(BW286="UNDERWRITING","Underwriting / feasibility not passed",IF(BW286="COMPLIANCE","Deconcentration, one-mile, LURA, or Chapter 12 issue","Ready under current engine rules"))))))</f>
        <v/>
      </c>
      <c r="BY286" s="13">
        <f>IF(BV286="Determination Notice","Streamlined + DN-ready assumptions satisfied",IF(BV286="Board","Board-required or board-ready assumptions satisfied",""))</f>
        <v/>
      </c>
      <c r="BZ286" s="13">
        <f>IF(AND(BP286="Y",BQ286&lt;&gt;"Y"),"Carryforward project retains queue priority",IF(BQ286="Y","New project enters behind carryforward projects",""))</f>
        <v/>
      </c>
      <c r="CA286" s="13">
        <f>_xludf.RANK.EQ(Rule_Flags!O285,Rule_Flags!$O$3:$O$402,0)</f>
        <v/>
      </c>
      <c r="CB286" s="13">
        <f>IF(OR(BU286="Determination Notice Issued",BU286="Board",BU286="Closed"),"Y","N")</f>
        <v/>
      </c>
      <c r="CC286" s="9" t="n"/>
      <c r="CD286" s="9" t="n"/>
      <c r="CE286" s="9" t="n"/>
      <c r="CF286" s="9" t="n"/>
      <c r="CG286" s="9" t="n"/>
      <c r="CH286" s="9" t="n"/>
    </row>
    <row r="287">
      <c r="A287" s="8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8" t="n"/>
      <c r="L287" s="9" t="n"/>
      <c r="M287" s="8" t="n"/>
      <c r="N287" s="8" t="n"/>
      <c r="O287" s="8" t="n"/>
      <c r="P287" s="8" t="n"/>
      <c r="Q287" s="8" t="n"/>
      <c r="R287" s="9" t="n"/>
      <c r="S287" s="9" t="n"/>
      <c r="T287" s="10" t="n"/>
      <c r="U287" s="10" t="n"/>
      <c r="V287" s="9" t="n"/>
      <c r="W287" s="9" t="n"/>
      <c r="X287" s="9" t="n"/>
      <c r="Y287" s="9" t="n"/>
      <c r="Z287" s="11" t="n"/>
      <c r="AA287" s="11" t="n"/>
      <c r="AB287" s="11" t="n"/>
      <c r="AC287" s="11" t="n"/>
      <c r="AD287" s="11" t="n"/>
      <c r="AE287" s="11" t="n"/>
      <c r="AF287" s="9" t="n"/>
      <c r="AG287" s="9" t="n"/>
      <c r="AH287" s="9" t="n"/>
      <c r="AI287" s="9" t="n"/>
      <c r="AJ287" s="8" t="n"/>
      <c r="AK287" s="9" t="n"/>
      <c r="AL287" s="9" t="n"/>
      <c r="AM287" s="9" t="n"/>
      <c r="AN287" s="9" t="n"/>
      <c r="AO287" s="9" t="n"/>
      <c r="AP287" s="9" t="n"/>
      <c r="AQ287" s="9" t="n"/>
      <c r="AR287" s="9" t="n"/>
      <c r="AS287" s="9" t="n"/>
      <c r="AT287" s="8" t="n"/>
      <c r="AU287" s="8" t="n"/>
      <c r="AV287" s="9" t="n"/>
      <c r="AW287" s="8" t="n"/>
      <c r="AX287" s="9" t="n"/>
      <c r="AY287" s="9" t="n"/>
      <c r="AZ287" s="9" t="n"/>
      <c r="BA287" s="9" t="n"/>
      <c r="BB287" s="9" t="n"/>
      <c r="BC287" s="9" t="n"/>
      <c r="BD287" s="9" t="n"/>
      <c r="BE287" s="9" t="n"/>
      <c r="BF287" s="9" t="n"/>
      <c r="BG287" s="9" t="n"/>
      <c r="BH287" s="9" t="n"/>
      <c r="BI287" s="9" t="n"/>
      <c r="BJ287" s="9" t="n"/>
      <c r="BK287" s="9" t="n"/>
      <c r="BL287" s="9" t="n"/>
      <c r="BM287" s="9" t="n"/>
      <c r="BN287" s="9" t="n"/>
      <c r="BO287" s="8" t="n"/>
      <c r="BP287" s="9" t="n"/>
      <c r="BQ287" s="9" t="n"/>
      <c r="BR287" s="13">
        <f>IF(COUNTIF(AI287:BM287,"N")+COUNTBLANK(AI287:BM287)=0,"Y","N")</f>
        <v/>
      </c>
      <c r="BS287" s="13">
        <f>IF(AND(BR287="Y",OR(L287="Submitted",L287="Under Review")),"Y",IF(L287="Closed","Y","N"))</f>
        <v/>
      </c>
      <c r="BT287" s="10" t="n"/>
      <c r="BU287" s="13">
        <f>Rule_Flags!Q286</f>
        <v/>
      </c>
      <c r="BV287" s="13">
        <f>Rule_Flags!P286</f>
        <v/>
      </c>
      <c r="BW287" s="13">
        <f>IF(Rule_Flags!E286=1,"SITE_CONTROL",IF(Rule_Flags!F286=1,"APPROVALS",IF(Rule_Flags!G286=1,"REPORTS",IF(Rule_Flags!H286=1,"DEFICIENCY",IF(Rule_Flags!I286=1,"UNDERWRITING",IF(Rule_Flags!J286=1,"COMPLIANCE",""))))))</f>
        <v/>
      </c>
      <c r="BX287" s="13">
        <f>IF(BW287="SITE_CONTROL","Site control missing or invalid",IF(BW287="APPROVALS","Required approvals or resolutions incomplete",IF(BW287="REPORTS","Required third-party reports incomplete",IF(BW287="DEFICIENCY","Unresolved deficiency or material deficiency",IF(BW287="UNDERWRITING","Underwriting / feasibility not passed",IF(BW287="COMPLIANCE","Deconcentration, one-mile, LURA, or Chapter 12 issue","Ready under current engine rules"))))))</f>
        <v/>
      </c>
      <c r="BY287" s="13">
        <f>IF(BV287="Determination Notice","Streamlined + DN-ready assumptions satisfied",IF(BV287="Board","Board-required or board-ready assumptions satisfied",""))</f>
        <v/>
      </c>
      <c r="BZ287" s="13">
        <f>IF(AND(BP287="Y",BQ287&lt;&gt;"Y"),"Carryforward project retains queue priority",IF(BQ287="Y","New project enters behind carryforward projects",""))</f>
        <v/>
      </c>
      <c r="CA287" s="13">
        <f>_xludf.RANK.EQ(Rule_Flags!O286,Rule_Flags!$O$3:$O$402,0)</f>
        <v/>
      </c>
      <c r="CB287" s="13">
        <f>IF(OR(BU287="Determination Notice Issued",BU287="Board",BU287="Closed"),"Y","N")</f>
        <v/>
      </c>
      <c r="CC287" s="9" t="n"/>
      <c r="CD287" s="9" t="n"/>
      <c r="CE287" s="9" t="n"/>
      <c r="CF287" s="9" t="n"/>
      <c r="CG287" s="9" t="n"/>
      <c r="CH287" s="9" t="n"/>
    </row>
    <row r="288">
      <c r="A288" s="8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8" t="n"/>
      <c r="L288" s="9" t="n"/>
      <c r="M288" s="8" t="n"/>
      <c r="N288" s="8" t="n"/>
      <c r="O288" s="8" t="n"/>
      <c r="P288" s="8" t="n"/>
      <c r="Q288" s="8" t="n"/>
      <c r="R288" s="9" t="n"/>
      <c r="S288" s="9" t="n"/>
      <c r="T288" s="10" t="n"/>
      <c r="U288" s="10" t="n"/>
      <c r="V288" s="9" t="n"/>
      <c r="W288" s="9" t="n"/>
      <c r="X288" s="9" t="n"/>
      <c r="Y288" s="9" t="n"/>
      <c r="Z288" s="11" t="n"/>
      <c r="AA288" s="11" t="n"/>
      <c r="AB288" s="11" t="n"/>
      <c r="AC288" s="11" t="n"/>
      <c r="AD288" s="11" t="n"/>
      <c r="AE288" s="11" t="n"/>
      <c r="AF288" s="9" t="n"/>
      <c r="AG288" s="9" t="n"/>
      <c r="AH288" s="9" t="n"/>
      <c r="AI288" s="9" t="n"/>
      <c r="AJ288" s="8" t="n"/>
      <c r="AK288" s="9" t="n"/>
      <c r="AL288" s="9" t="n"/>
      <c r="AM288" s="9" t="n"/>
      <c r="AN288" s="9" t="n"/>
      <c r="AO288" s="9" t="n"/>
      <c r="AP288" s="9" t="n"/>
      <c r="AQ288" s="9" t="n"/>
      <c r="AR288" s="9" t="n"/>
      <c r="AS288" s="9" t="n"/>
      <c r="AT288" s="8" t="n"/>
      <c r="AU288" s="8" t="n"/>
      <c r="AV288" s="9" t="n"/>
      <c r="AW288" s="8" t="n"/>
      <c r="AX288" s="9" t="n"/>
      <c r="AY288" s="9" t="n"/>
      <c r="AZ288" s="9" t="n"/>
      <c r="BA288" s="9" t="n"/>
      <c r="BB288" s="9" t="n"/>
      <c r="BC288" s="9" t="n"/>
      <c r="BD288" s="9" t="n"/>
      <c r="BE288" s="9" t="n"/>
      <c r="BF288" s="9" t="n"/>
      <c r="BG288" s="9" t="n"/>
      <c r="BH288" s="9" t="n"/>
      <c r="BI288" s="9" t="n"/>
      <c r="BJ288" s="9" t="n"/>
      <c r="BK288" s="9" t="n"/>
      <c r="BL288" s="9" t="n"/>
      <c r="BM288" s="9" t="n"/>
      <c r="BN288" s="9" t="n"/>
      <c r="BO288" s="8" t="n"/>
      <c r="BP288" s="9" t="n"/>
      <c r="BQ288" s="9" t="n"/>
      <c r="BR288" s="13">
        <f>IF(COUNTIF(AI288:BM288,"N")+COUNTBLANK(AI288:BM288)=0,"Y","N")</f>
        <v/>
      </c>
      <c r="BS288" s="13">
        <f>IF(AND(BR288="Y",OR(L288="Submitted",L288="Under Review")),"Y",IF(L288="Closed","Y","N"))</f>
        <v/>
      </c>
      <c r="BT288" s="10" t="n"/>
      <c r="BU288" s="13">
        <f>Rule_Flags!Q287</f>
        <v/>
      </c>
      <c r="BV288" s="13">
        <f>Rule_Flags!P287</f>
        <v/>
      </c>
      <c r="BW288" s="13">
        <f>IF(Rule_Flags!E287=1,"SITE_CONTROL",IF(Rule_Flags!F287=1,"APPROVALS",IF(Rule_Flags!G287=1,"REPORTS",IF(Rule_Flags!H287=1,"DEFICIENCY",IF(Rule_Flags!I287=1,"UNDERWRITING",IF(Rule_Flags!J287=1,"COMPLIANCE",""))))))</f>
        <v/>
      </c>
      <c r="BX288" s="13">
        <f>IF(BW288="SITE_CONTROL","Site control missing or invalid",IF(BW288="APPROVALS","Required approvals or resolutions incomplete",IF(BW288="REPORTS","Required third-party reports incomplete",IF(BW288="DEFICIENCY","Unresolved deficiency or material deficiency",IF(BW288="UNDERWRITING","Underwriting / feasibility not passed",IF(BW288="COMPLIANCE","Deconcentration, one-mile, LURA, or Chapter 12 issue","Ready under current engine rules"))))))</f>
        <v/>
      </c>
      <c r="BY288" s="13">
        <f>IF(BV288="Determination Notice","Streamlined + DN-ready assumptions satisfied",IF(BV288="Board","Board-required or board-ready assumptions satisfied",""))</f>
        <v/>
      </c>
      <c r="BZ288" s="13">
        <f>IF(AND(BP288="Y",BQ288&lt;&gt;"Y"),"Carryforward project retains queue priority",IF(BQ288="Y","New project enters behind carryforward projects",""))</f>
        <v/>
      </c>
      <c r="CA288" s="13">
        <f>_xludf.RANK.EQ(Rule_Flags!O287,Rule_Flags!$O$3:$O$402,0)</f>
        <v/>
      </c>
      <c r="CB288" s="13">
        <f>IF(OR(BU288="Determination Notice Issued",BU288="Board",BU288="Closed"),"Y","N")</f>
        <v/>
      </c>
      <c r="CC288" s="9" t="n"/>
      <c r="CD288" s="9" t="n"/>
      <c r="CE288" s="9" t="n"/>
      <c r="CF288" s="9" t="n"/>
      <c r="CG288" s="9" t="n"/>
      <c r="CH288" s="9" t="n"/>
    </row>
    <row r="289">
      <c r="A289" s="8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8" t="n"/>
      <c r="L289" s="9" t="n"/>
      <c r="M289" s="8" t="n"/>
      <c r="N289" s="8" t="n"/>
      <c r="O289" s="8" t="n"/>
      <c r="P289" s="8" t="n"/>
      <c r="Q289" s="8" t="n"/>
      <c r="R289" s="9" t="n"/>
      <c r="S289" s="9" t="n"/>
      <c r="T289" s="10" t="n"/>
      <c r="U289" s="10" t="n"/>
      <c r="V289" s="9" t="n"/>
      <c r="W289" s="9" t="n"/>
      <c r="X289" s="9" t="n"/>
      <c r="Y289" s="9" t="n"/>
      <c r="Z289" s="11" t="n"/>
      <c r="AA289" s="11" t="n"/>
      <c r="AB289" s="11" t="n"/>
      <c r="AC289" s="11" t="n"/>
      <c r="AD289" s="11" t="n"/>
      <c r="AE289" s="11" t="n"/>
      <c r="AF289" s="9" t="n"/>
      <c r="AG289" s="9" t="n"/>
      <c r="AH289" s="9" t="n"/>
      <c r="AI289" s="9" t="n"/>
      <c r="AJ289" s="8" t="n"/>
      <c r="AK289" s="9" t="n"/>
      <c r="AL289" s="9" t="n"/>
      <c r="AM289" s="9" t="n"/>
      <c r="AN289" s="9" t="n"/>
      <c r="AO289" s="9" t="n"/>
      <c r="AP289" s="9" t="n"/>
      <c r="AQ289" s="9" t="n"/>
      <c r="AR289" s="9" t="n"/>
      <c r="AS289" s="9" t="n"/>
      <c r="AT289" s="8" t="n"/>
      <c r="AU289" s="8" t="n"/>
      <c r="AV289" s="9" t="n"/>
      <c r="AW289" s="8" t="n"/>
      <c r="AX289" s="9" t="n"/>
      <c r="AY289" s="9" t="n"/>
      <c r="AZ289" s="9" t="n"/>
      <c r="BA289" s="9" t="n"/>
      <c r="BB289" s="9" t="n"/>
      <c r="BC289" s="9" t="n"/>
      <c r="BD289" s="9" t="n"/>
      <c r="BE289" s="9" t="n"/>
      <c r="BF289" s="9" t="n"/>
      <c r="BG289" s="9" t="n"/>
      <c r="BH289" s="9" t="n"/>
      <c r="BI289" s="9" t="n"/>
      <c r="BJ289" s="9" t="n"/>
      <c r="BK289" s="9" t="n"/>
      <c r="BL289" s="9" t="n"/>
      <c r="BM289" s="9" t="n"/>
      <c r="BN289" s="9" t="n"/>
      <c r="BO289" s="8" t="n"/>
      <c r="BP289" s="9" t="n"/>
      <c r="BQ289" s="9" t="n"/>
      <c r="BR289" s="13">
        <f>IF(COUNTIF(AI289:BM289,"N")+COUNTBLANK(AI289:BM289)=0,"Y","N")</f>
        <v/>
      </c>
      <c r="BS289" s="13">
        <f>IF(AND(BR289="Y",OR(L289="Submitted",L289="Under Review")),"Y",IF(L289="Closed","Y","N"))</f>
        <v/>
      </c>
      <c r="BT289" s="10" t="n"/>
      <c r="BU289" s="13">
        <f>Rule_Flags!Q288</f>
        <v/>
      </c>
      <c r="BV289" s="13">
        <f>Rule_Flags!P288</f>
        <v/>
      </c>
      <c r="BW289" s="13">
        <f>IF(Rule_Flags!E288=1,"SITE_CONTROL",IF(Rule_Flags!F288=1,"APPROVALS",IF(Rule_Flags!G288=1,"REPORTS",IF(Rule_Flags!H288=1,"DEFICIENCY",IF(Rule_Flags!I288=1,"UNDERWRITING",IF(Rule_Flags!J288=1,"COMPLIANCE",""))))))</f>
        <v/>
      </c>
      <c r="BX289" s="13">
        <f>IF(BW289="SITE_CONTROL","Site control missing or invalid",IF(BW289="APPROVALS","Required approvals or resolutions incomplete",IF(BW289="REPORTS","Required third-party reports incomplete",IF(BW289="DEFICIENCY","Unresolved deficiency or material deficiency",IF(BW289="UNDERWRITING","Underwriting / feasibility not passed",IF(BW289="COMPLIANCE","Deconcentration, one-mile, LURA, or Chapter 12 issue","Ready under current engine rules"))))))</f>
        <v/>
      </c>
      <c r="BY289" s="13">
        <f>IF(BV289="Determination Notice","Streamlined + DN-ready assumptions satisfied",IF(BV289="Board","Board-required or board-ready assumptions satisfied",""))</f>
        <v/>
      </c>
      <c r="BZ289" s="13">
        <f>IF(AND(BP289="Y",BQ289&lt;&gt;"Y"),"Carryforward project retains queue priority",IF(BQ289="Y","New project enters behind carryforward projects",""))</f>
        <v/>
      </c>
      <c r="CA289" s="13">
        <f>_xludf.RANK.EQ(Rule_Flags!O288,Rule_Flags!$O$3:$O$402,0)</f>
        <v/>
      </c>
      <c r="CB289" s="13">
        <f>IF(OR(BU289="Determination Notice Issued",BU289="Board",BU289="Closed"),"Y","N")</f>
        <v/>
      </c>
      <c r="CC289" s="9" t="n"/>
      <c r="CD289" s="9" t="n"/>
      <c r="CE289" s="9" t="n"/>
      <c r="CF289" s="9" t="n"/>
      <c r="CG289" s="9" t="n"/>
      <c r="CH289" s="9" t="n"/>
    </row>
    <row r="290">
      <c r="A290" s="8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8" t="n"/>
      <c r="L290" s="9" t="n"/>
      <c r="M290" s="8" t="n"/>
      <c r="N290" s="8" t="n"/>
      <c r="O290" s="8" t="n"/>
      <c r="P290" s="8" t="n"/>
      <c r="Q290" s="8" t="n"/>
      <c r="R290" s="9" t="n"/>
      <c r="S290" s="9" t="n"/>
      <c r="T290" s="10" t="n"/>
      <c r="U290" s="10" t="n"/>
      <c r="V290" s="9" t="n"/>
      <c r="W290" s="9" t="n"/>
      <c r="X290" s="9" t="n"/>
      <c r="Y290" s="9" t="n"/>
      <c r="Z290" s="11" t="n"/>
      <c r="AA290" s="11" t="n"/>
      <c r="AB290" s="11" t="n"/>
      <c r="AC290" s="11" t="n"/>
      <c r="AD290" s="11" t="n"/>
      <c r="AE290" s="11" t="n"/>
      <c r="AF290" s="9" t="n"/>
      <c r="AG290" s="9" t="n"/>
      <c r="AH290" s="9" t="n"/>
      <c r="AI290" s="9" t="n"/>
      <c r="AJ290" s="8" t="n"/>
      <c r="AK290" s="9" t="n"/>
      <c r="AL290" s="9" t="n"/>
      <c r="AM290" s="9" t="n"/>
      <c r="AN290" s="9" t="n"/>
      <c r="AO290" s="9" t="n"/>
      <c r="AP290" s="9" t="n"/>
      <c r="AQ290" s="9" t="n"/>
      <c r="AR290" s="9" t="n"/>
      <c r="AS290" s="9" t="n"/>
      <c r="AT290" s="8" t="n"/>
      <c r="AU290" s="8" t="n"/>
      <c r="AV290" s="9" t="n"/>
      <c r="AW290" s="8" t="n"/>
      <c r="AX290" s="9" t="n"/>
      <c r="AY290" s="9" t="n"/>
      <c r="AZ290" s="9" t="n"/>
      <c r="BA290" s="9" t="n"/>
      <c r="BB290" s="9" t="n"/>
      <c r="BC290" s="9" t="n"/>
      <c r="BD290" s="9" t="n"/>
      <c r="BE290" s="9" t="n"/>
      <c r="BF290" s="9" t="n"/>
      <c r="BG290" s="9" t="n"/>
      <c r="BH290" s="9" t="n"/>
      <c r="BI290" s="9" t="n"/>
      <c r="BJ290" s="9" t="n"/>
      <c r="BK290" s="9" t="n"/>
      <c r="BL290" s="9" t="n"/>
      <c r="BM290" s="9" t="n"/>
      <c r="BN290" s="9" t="n"/>
      <c r="BO290" s="8" t="n"/>
      <c r="BP290" s="9" t="n"/>
      <c r="BQ290" s="9" t="n"/>
      <c r="BR290" s="13">
        <f>IF(COUNTIF(AI290:BM290,"N")+COUNTBLANK(AI290:BM290)=0,"Y","N")</f>
        <v/>
      </c>
      <c r="BS290" s="13">
        <f>IF(AND(BR290="Y",OR(L290="Submitted",L290="Under Review")),"Y",IF(L290="Closed","Y","N"))</f>
        <v/>
      </c>
      <c r="BT290" s="10" t="n"/>
      <c r="BU290" s="13">
        <f>Rule_Flags!Q289</f>
        <v/>
      </c>
      <c r="BV290" s="13">
        <f>Rule_Flags!P289</f>
        <v/>
      </c>
      <c r="BW290" s="13">
        <f>IF(Rule_Flags!E289=1,"SITE_CONTROL",IF(Rule_Flags!F289=1,"APPROVALS",IF(Rule_Flags!G289=1,"REPORTS",IF(Rule_Flags!H289=1,"DEFICIENCY",IF(Rule_Flags!I289=1,"UNDERWRITING",IF(Rule_Flags!J289=1,"COMPLIANCE",""))))))</f>
        <v/>
      </c>
      <c r="BX290" s="13">
        <f>IF(BW290="SITE_CONTROL","Site control missing or invalid",IF(BW290="APPROVALS","Required approvals or resolutions incomplete",IF(BW290="REPORTS","Required third-party reports incomplete",IF(BW290="DEFICIENCY","Unresolved deficiency or material deficiency",IF(BW290="UNDERWRITING","Underwriting / feasibility not passed",IF(BW290="COMPLIANCE","Deconcentration, one-mile, LURA, or Chapter 12 issue","Ready under current engine rules"))))))</f>
        <v/>
      </c>
      <c r="BY290" s="13">
        <f>IF(BV290="Determination Notice","Streamlined + DN-ready assumptions satisfied",IF(BV290="Board","Board-required or board-ready assumptions satisfied",""))</f>
        <v/>
      </c>
      <c r="BZ290" s="13">
        <f>IF(AND(BP290="Y",BQ290&lt;&gt;"Y"),"Carryforward project retains queue priority",IF(BQ290="Y","New project enters behind carryforward projects",""))</f>
        <v/>
      </c>
      <c r="CA290" s="13">
        <f>_xludf.RANK.EQ(Rule_Flags!O289,Rule_Flags!$O$3:$O$402,0)</f>
        <v/>
      </c>
      <c r="CB290" s="13">
        <f>IF(OR(BU290="Determination Notice Issued",BU290="Board",BU290="Closed"),"Y","N")</f>
        <v/>
      </c>
      <c r="CC290" s="9" t="n"/>
      <c r="CD290" s="9" t="n"/>
      <c r="CE290" s="9" t="n"/>
      <c r="CF290" s="9" t="n"/>
      <c r="CG290" s="9" t="n"/>
      <c r="CH290" s="9" t="n"/>
    </row>
    <row r="291">
      <c r="A291" s="8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8" t="n"/>
      <c r="L291" s="9" t="n"/>
      <c r="M291" s="8" t="n"/>
      <c r="N291" s="8" t="n"/>
      <c r="O291" s="8" t="n"/>
      <c r="P291" s="8" t="n"/>
      <c r="Q291" s="8" t="n"/>
      <c r="R291" s="9" t="n"/>
      <c r="S291" s="9" t="n"/>
      <c r="T291" s="10" t="n"/>
      <c r="U291" s="10" t="n"/>
      <c r="V291" s="9" t="n"/>
      <c r="W291" s="9" t="n"/>
      <c r="X291" s="9" t="n"/>
      <c r="Y291" s="9" t="n"/>
      <c r="Z291" s="11" t="n"/>
      <c r="AA291" s="11" t="n"/>
      <c r="AB291" s="11" t="n"/>
      <c r="AC291" s="11" t="n"/>
      <c r="AD291" s="11" t="n"/>
      <c r="AE291" s="11" t="n"/>
      <c r="AF291" s="9" t="n"/>
      <c r="AG291" s="9" t="n"/>
      <c r="AH291" s="9" t="n"/>
      <c r="AI291" s="9" t="n"/>
      <c r="AJ291" s="8" t="n"/>
      <c r="AK291" s="9" t="n"/>
      <c r="AL291" s="9" t="n"/>
      <c r="AM291" s="9" t="n"/>
      <c r="AN291" s="9" t="n"/>
      <c r="AO291" s="9" t="n"/>
      <c r="AP291" s="9" t="n"/>
      <c r="AQ291" s="9" t="n"/>
      <c r="AR291" s="9" t="n"/>
      <c r="AS291" s="9" t="n"/>
      <c r="AT291" s="8" t="n"/>
      <c r="AU291" s="8" t="n"/>
      <c r="AV291" s="9" t="n"/>
      <c r="AW291" s="8" t="n"/>
      <c r="AX291" s="9" t="n"/>
      <c r="AY291" s="9" t="n"/>
      <c r="AZ291" s="9" t="n"/>
      <c r="BA291" s="9" t="n"/>
      <c r="BB291" s="9" t="n"/>
      <c r="BC291" s="9" t="n"/>
      <c r="BD291" s="9" t="n"/>
      <c r="BE291" s="9" t="n"/>
      <c r="BF291" s="9" t="n"/>
      <c r="BG291" s="9" t="n"/>
      <c r="BH291" s="9" t="n"/>
      <c r="BI291" s="9" t="n"/>
      <c r="BJ291" s="9" t="n"/>
      <c r="BK291" s="9" t="n"/>
      <c r="BL291" s="9" t="n"/>
      <c r="BM291" s="9" t="n"/>
      <c r="BN291" s="9" t="n"/>
      <c r="BO291" s="8" t="n"/>
      <c r="BP291" s="9" t="n"/>
      <c r="BQ291" s="9" t="n"/>
      <c r="BR291" s="13">
        <f>IF(COUNTIF(AI291:BM291,"N")+COUNTBLANK(AI291:BM291)=0,"Y","N")</f>
        <v/>
      </c>
      <c r="BS291" s="13">
        <f>IF(AND(BR291="Y",OR(L291="Submitted",L291="Under Review")),"Y",IF(L291="Closed","Y","N"))</f>
        <v/>
      </c>
      <c r="BT291" s="10" t="n"/>
      <c r="BU291" s="13">
        <f>Rule_Flags!Q290</f>
        <v/>
      </c>
      <c r="BV291" s="13">
        <f>Rule_Flags!P290</f>
        <v/>
      </c>
      <c r="BW291" s="13">
        <f>IF(Rule_Flags!E290=1,"SITE_CONTROL",IF(Rule_Flags!F290=1,"APPROVALS",IF(Rule_Flags!G290=1,"REPORTS",IF(Rule_Flags!H290=1,"DEFICIENCY",IF(Rule_Flags!I290=1,"UNDERWRITING",IF(Rule_Flags!J290=1,"COMPLIANCE",""))))))</f>
        <v/>
      </c>
      <c r="BX291" s="13">
        <f>IF(BW291="SITE_CONTROL","Site control missing or invalid",IF(BW291="APPROVALS","Required approvals or resolutions incomplete",IF(BW291="REPORTS","Required third-party reports incomplete",IF(BW291="DEFICIENCY","Unresolved deficiency or material deficiency",IF(BW291="UNDERWRITING","Underwriting / feasibility not passed",IF(BW291="COMPLIANCE","Deconcentration, one-mile, LURA, or Chapter 12 issue","Ready under current engine rules"))))))</f>
        <v/>
      </c>
      <c r="BY291" s="13">
        <f>IF(BV291="Determination Notice","Streamlined + DN-ready assumptions satisfied",IF(BV291="Board","Board-required or board-ready assumptions satisfied",""))</f>
        <v/>
      </c>
      <c r="BZ291" s="13">
        <f>IF(AND(BP291="Y",BQ291&lt;&gt;"Y"),"Carryforward project retains queue priority",IF(BQ291="Y","New project enters behind carryforward projects",""))</f>
        <v/>
      </c>
      <c r="CA291" s="13">
        <f>_xludf.RANK.EQ(Rule_Flags!O290,Rule_Flags!$O$3:$O$402,0)</f>
        <v/>
      </c>
      <c r="CB291" s="13">
        <f>IF(OR(BU291="Determination Notice Issued",BU291="Board",BU291="Closed"),"Y","N")</f>
        <v/>
      </c>
      <c r="CC291" s="9" t="n"/>
      <c r="CD291" s="9" t="n"/>
      <c r="CE291" s="9" t="n"/>
      <c r="CF291" s="9" t="n"/>
      <c r="CG291" s="9" t="n"/>
      <c r="CH291" s="9" t="n"/>
    </row>
    <row r="292">
      <c r="A292" s="8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8" t="n"/>
      <c r="L292" s="9" t="n"/>
      <c r="M292" s="8" t="n"/>
      <c r="N292" s="8" t="n"/>
      <c r="O292" s="8" t="n"/>
      <c r="P292" s="8" t="n"/>
      <c r="Q292" s="8" t="n"/>
      <c r="R292" s="9" t="n"/>
      <c r="S292" s="9" t="n"/>
      <c r="T292" s="10" t="n"/>
      <c r="U292" s="10" t="n"/>
      <c r="V292" s="9" t="n"/>
      <c r="W292" s="9" t="n"/>
      <c r="X292" s="9" t="n"/>
      <c r="Y292" s="9" t="n"/>
      <c r="Z292" s="11" t="n"/>
      <c r="AA292" s="11" t="n"/>
      <c r="AB292" s="11" t="n"/>
      <c r="AC292" s="11" t="n"/>
      <c r="AD292" s="11" t="n"/>
      <c r="AE292" s="11" t="n"/>
      <c r="AF292" s="9" t="n"/>
      <c r="AG292" s="9" t="n"/>
      <c r="AH292" s="9" t="n"/>
      <c r="AI292" s="9" t="n"/>
      <c r="AJ292" s="8" t="n"/>
      <c r="AK292" s="9" t="n"/>
      <c r="AL292" s="9" t="n"/>
      <c r="AM292" s="9" t="n"/>
      <c r="AN292" s="9" t="n"/>
      <c r="AO292" s="9" t="n"/>
      <c r="AP292" s="9" t="n"/>
      <c r="AQ292" s="9" t="n"/>
      <c r="AR292" s="9" t="n"/>
      <c r="AS292" s="9" t="n"/>
      <c r="AT292" s="8" t="n"/>
      <c r="AU292" s="8" t="n"/>
      <c r="AV292" s="9" t="n"/>
      <c r="AW292" s="8" t="n"/>
      <c r="AX292" s="9" t="n"/>
      <c r="AY292" s="9" t="n"/>
      <c r="AZ292" s="9" t="n"/>
      <c r="BA292" s="9" t="n"/>
      <c r="BB292" s="9" t="n"/>
      <c r="BC292" s="9" t="n"/>
      <c r="BD292" s="9" t="n"/>
      <c r="BE292" s="9" t="n"/>
      <c r="BF292" s="9" t="n"/>
      <c r="BG292" s="9" t="n"/>
      <c r="BH292" s="9" t="n"/>
      <c r="BI292" s="9" t="n"/>
      <c r="BJ292" s="9" t="n"/>
      <c r="BK292" s="9" t="n"/>
      <c r="BL292" s="9" t="n"/>
      <c r="BM292" s="9" t="n"/>
      <c r="BN292" s="9" t="n"/>
      <c r="BO292" s="8" t="n"/>
      <c r="BP292" s="9" t="n"/>
      <c r="BQ292" s="9" t="n"/>
      <c r="BR292" s="13">
        <f>IF(COUNTIF(AI292:BM292,"N")+COUNTBLANK(AI292:BM292)=0,"Y","N")</f>
        <v/>
      </c>
      <c r="BS292" s="13">
        <f>IF(AND(BR292="Y",OR(L292="Submitted",L292="Under Review")),"Y",IF(L292="Closed","Y","N"))</f>
        <v/>
      </c>
      <c r="BT292" s="10" t="n"/>
      <c r="BU292" s="13">
        <f>Rule_Flags!Q291</f>
        <v/>
      </c>
      <c r="BV292" s="13">
        <f>Rule_Flags!P291</f>
        <v/>
      </c>
      <c r="BW292" s="13">
        <f>IF(Rule_Flags!E291=1,"SITE_CONTROL",IF(Rule_Flags!F291=1,"APPROVALS",IF(Rule_Flags!G291=1,"REPORTS",IF(Rule_Flags!H291=1,"DEFICIENCY",IF(Rule_Flags!I291=1,"UNDERWRITING",IF(Rule_Flags!J291=1,"COMPLIANCE",""))))))</f>
        <v/>
      </c>
      <c r="BX292" s="13">
        <f>IF(BW292="SITE_CONTROL","Site control missing or invalid",IF(BW292="APPROVALS","Required approvals or resolutions incomplete",IF(BW292="REPORTS","Required third-party reports incomplete",IF(BW292="DEFICIENCY","Unresolved deficiency or material deficiency",IF(BW292="UNDERWRITING","Underwriting / feasibility not passed",IF(BW292="COMPLIANCE","Deconcentration, one-mile, LURA, or Chapter 12 issue","Ready under current engine rules"))))))</f>
        <v/>
      </c>
      <c r="BY292" s="13">
        <f>IF(BV292="Determination Notice","Streamlined + DN-ready assumptions satisfied",IF(BV292="Board","Board-required or board-ready assumptions satisfied",""))</f>
        <v/>
      </c>
      <c r="BZ292" s="13">
        <f>IF(AND(BP292="Y",BQ292&lt;&gt;"Y"),"Carryforward project retains queue priority",IF(BQ292="Y","New project enters behind carryforward projects",""))</f>
        <v/>
      </c>
      <c r="CA292" s="13">
        <f>_xludf.RANK.EQ(Rule_Flags!O291,Rule_Flags!$O$3:$O$402,0)</f>
        <v/>
      </c>
      <c r="CB292" s="13">
        <f>IF(OR(BU292="Determination Notice Issued",BU292="Board",BU292="Closed"),"Y","N")</f>
        <v/>
      </c>
      <c r="CC292" s="9" t="n"/>
      <c r="CD292" s="9" t="n"/>
      <c r="CE292" s="9" t="n"/>
      <c r="CF292" s="9" t="n"/>
      <c r="CG292" s="9" t="n"/>
      <c r="CH292" s="9" t="n"/>
    </row>
    <row r="293">
      <c r="A293" s="8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8" t="n"/>
      <c r="L293" s="9" t="n"/>
      <c r="M293" s="8" t="n"/>
      <c r="N293" s="8" t="n"/>
      <c r="O293" s="8" t="n"/>
      <c r="P293" s="8" t="n"/>
      <c r="Q293" s="8" t="n"/>
      <c r="R293" s="9" t="n"/>
      <c r="S293" s="9" t="n"/>
      <c r="T293" s="10" t="n"/>
      <c r="U293" s="10" t="n"/>
      <c r="V293" s="9" t="n"/>
      <c r="W293" s="9" t="n"/>
      <c r="X293" s="9" t="n"/>
      <c r="Y293" s="9" t="n"/>
      <c r="Z293" s="11" t="n"/>
      <c r="AA293" s="11" t="n"/>
      <c r="AB293" s="11" t="n"/>
      <c r="AC293" s="11" t="n"/>
      <c r="AD293" s="11" t="n"/>
      <c r="AE293" s="11" t="n"/>
      <c r="AF293" s="9" t="n"/>
      <c r="AG293" s="9" t="n"/>
      <c r="AH293" s="9" t="n"/>
      <c r="AI293" s="9" t="n"/>
      <c r="AJ293" s="8" t="n"/>
      <c r="AK293" s="9" t="n"/>
      <c r="AL293" s="9" t="n"/>
      <c r="AM293" s="9" t="n"/>
      <c r="AN293" s="9" t="n"/>
      <c r="AO293" s="9" t="n"/>
      <c r="AP293" s="9" t="n"/>
      <c r="AQ293" s="9" t="n"/>
      <c r="AR293" s="9" t="n"/>
      <c r="AS293" s="9" t="n"/>
      <c r="AT293" s="8" t="n"/>
      <c r="AU293" s="8" t="n"/>
      <c r="AV293" s="9" t="n"/>
      <c r="AW293" s="8" t="n"/>
      <c r="AX293" s="9" t="n"/>
      <c r="AY293" s="9" t="n"/>
      <c r="AZ293" s="9" t="n"/>
      <c r="BA293" s="9" t="n"/>
      <c r="BB293" s="9" t="n"/>
      <c r="BC293" s="9" t="n"/>
      <c r="BD293" s="9" t="n"/>
      <c r="BE293" s="9" t="n"/>
      <c r="BF293" s="9" t="n"/>
      <c r="BG293" s="9" t="n"/>
      <c r="BH293" s="9" t="n"/>
      <c r="BI293" s="9" t="n"/>
      <c r="BJ293" s="9" t="n"/>
      <c r="BK293" s="9" t="n"/>
      <c r="BL293" s="9" t="n"/>
      <c r="BM293" s="9" t="n"/>
      <c r="BN293" s="9" t="n"/>
      <c r="BO293" s="8" t="n"/>
      <c r="BP293" s="9" t="n"/>
      <c r="BQ293" s="9" t="n"/>
      <c r="BR293" s="13">
        <f>IF(COUNTIF(AI293:BM293,"N")+COUNTBLANK(AI293:BM293)=0,"Y","N")</f>
        <v/>
      </c>
      <c r="BS293" s="13">
        <f>IF(AND(BR293="Y",OR(L293="Submitted",L293="Under Review")),"Y",IF(L293="Closed","Y","N"))</f>
        <v/>
      </c>
      <c r="BT293" s="10" t="n"/>
      <c r="BU293" s="13">
        <f>Rule_Flags!Q292</f>
        <v/>
      </c>
      <c r="BV293" s="13">
        <f>Rule_Flags!P292</f>
        <v/>
      </c>
      <c r="BW293" s="13">
        <f>IF(Rule_Flags!E292=1,"SITE_CONTROL",IF(Rule_Flags!F292=1,"APPROVALS",IF(Rule_Flags!G292=1,"REPORTS",IF(Rule_Flags!H292=1,"DEFICIENCY",IF(Rule_Flags!I292=1,"UNDERWRITING",IF(Rule_Flags!J292=1,"COMPLIANCE",""))))))</f>
        <v/>
      </c>
      <c r="BX293" s="13">
        <f>IF(BW293="SITE_CONTROL","Site control missing or invalid",IF(BW293="APPROVALS","Required approvals or resolutions incomplete",IF(BW293="REPORTS","Required third-party reports incomplete",IF(BW293="DEFICIENCY","Unresolved deficiency or material deficiency",IF(BW293="UNDERWRITING","Underwriting / feasibility not passed",IF(BW293="COMPLIANCE","Deconcentration, one-mile, LURA, or Chapter 12 issue","Ready under current engine rules"))))))</f>
        <v/>
      </c>
      <c r="BY293" s="13">
        <f>IF(BV293="Determination Notice","Streamlined + DN-ready assumptions satisfied",IF(BV293="Board","Board-required or board-ready assumptions satisfied",""))</f>
        <v/>
      </c>
      <c r="BZ293" s="13">
        <f>IF(AND(BP293="Y",BQ293&lt;&gt;"Y"),"Carryforward project retains queue priority",IF(BQ293="Y","New project enters behind carryforward projects",""))</f>
        <v/>
      </c>
      <c r="CA293" s="13">
        <f>_xludf.RANK.EQ(Rule_Flags!O292,Rule_Flags!$O$3:$O$402,0)</f>
        <v/>
      </c>
      <c r="CB293" s="13">
        <f>IF(OR(BU293="Determination Notice Issued",BU293="Board",BU293="Closed"),"Y","N")</f>
        <v/>
      </c>
      <c r="CC293" s="9" t="n"/>
      <c r="CD293" s="9" t="n"/>
      <c r="CE293" s="9" t="n"/>
      <c r="CF293" s="9" t="n"/>
      <c r="CG293" s="9" t="n"/>
      <c r="CH293" s="9" t="n"/>
    </row>
    <row r="294">
      <c r="A294" s="8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8" t="n"/>
      <c r="L294" s="9" t="n"/>
      <c r="M294" s="8" t="n"/>
      <c r="N294" s="8" t="n"/>
      <c r="O294" s="8" t="n"/>
      <c r="P294" s="8" t="n"/>
      <c r="Q294" s="8" t="n"/>
      <c r="R294" s="9" t="n"/>
      <c r="S294" s="9" t="n"/>
      <c r="T294" s="10" t="n"/>
      <c r="U294" s="10" t="n"/>
      <c r="V294" s="9" t="n"/>
      <c r="W294" s="9" t="n"/>
      <c r="X294" s="9" t="n"/>
      <c r="Y294" s="9" t="n"/>
      <c r="Z294" s="11" t="n"/>
      <c r="AA294" s="11" t="n"/>
      <c r="AB294" s="11" t="n"/>
      <c r="AC294" s="11" t="n"/>
      <c r="AD294" s="11" t="n"/>
      <c r="AE294" s="11" t="n"/>
      <c r="AF294" s="9" t="n"/>
      <c r="AG294" s="9" t="n"/>
      <c r="AH294" s="9" t="n"/>
      <c r="AI294" s="9" t="n"/>
      <c r="AJ294" s="8" t="n"/>
      <c r="AK294" s="9" t="n"/>
      <c r="AL294" s="9" t="n"/>
      <c r="AM294" s="9" t="n"/>
      <c r="AN294" s="9" t="n"/>
      <c r="AO294" s="9" t="n"/>
      <c r="AP294" s="9" t="n"/>
      <c r="AQ294" s="9" t="n"/>
      <c r="AR294" s="9" t="n"/>
      <c r="AS294" s="9" t="n"/>
      <c r="AT294" s="8" t="n"/>
      <c r="AU294" s="8" t="n"/>
      <c r="AV294" s="9" t="n"/>
      <c r="AW294" s="8" t="n"/>
      <c r="AX294" s="9" t="n"/>
      <c r="AY294" s="9" t="n"/>
      <c r="AZ294" s="9" t="n"/>
      <c r="BA294" s="9" t="n"/>
      <c r="BB294" s="9" t="n"/>
      <c r="BC294" s="9" t="n"/>
      <c r="BD294" s="9" t="n"/>
      <c r="BE294" s="9" t="n"/>
      <c r="BF294" s="9" t="n"/>
      <c r="BG294" s="9" t="n"/>
      <c r="BH294" s="9" t="n"/>
      <c r="BI294" s="9" t="n"/>
      <c r="BJ294" s="9" t="n"/>
      <c r="BK294" s="9" t="n"/>
      <c r="BL294" s="9" t="n"/>
      <c r="BM294" s="9" t="n"/>
      <c r="BN294" s="9" t="n"/>
      <c r="BO294" s="8" t="n"/>
      <c r="BP294" s="9" t="n"/>
      <c r="BQ294" s="9" t="n"/>
      <c r="BR294" s="13">
        <f>IF(COUNTIF(AI294:BM294,"N")+COUNTBLANK(AI294:BM294)=0,"Y","N")</f>
        <v/>
      </c>
      <c r="BS294" s="13">
        <f>IF(AND(BR294="Y",OR(L294="Submitted",L294="Under Review")),"Y",IF(L294="Closed","Y","N"))</f>
        <v/>
      </c>
      <c r="BT294" s="10" t="n"/>
      <c r="BU294" s="13">
        <f>Rule_Flags!Q293</f>
        <v/>
      </c>
      <c r="BV294" s="13">
        <f>Rule_Flags!P293</f>
        <v/>
      </c>
      <c r="BW294" s="13">
        <f>IF(Rule_Flags!E293=1,"SITE_CONTROL",IF(Rule_Flags!F293=1,"APPROVALS",IF(Rule_Flags!G293=1,"REPORTS",IF(Rule_Flags!H293=1,"DEFICIENCY",IF(Rule_Flags!I293=1,"UNDERWRITING",IF(Rule_Flags!J293=1,"COMPLIANCE",""))))))</f>
        <v/>
      </c>
      <c r="BX294" s="13">
        <f>IF(BW294="SITE_CONTROL","Site control missing or invalid",IF(BW294="APPROVALS","Required approvals or resolutions incomplete",IF(BW294="REPORTS","Required third-party reports incomplete",IF(BW294="DEFICIENCY","Unresolved deficiency or material deficiency",IF(BW294="UNDERWRITING","Underwriting / feasibility not passed",IF(BW294="COMPLIANCE","Deconcentration, one-mile, LURA, or Chapter 12 issue","Ready under current engine rules"))))))</f>
        <v/>
      </c>
      <c r="BY294" s="13">
        <f>IF(BV294="Determination Notice","Streamlined + DN-ready assumptions satisfied",IF(BV294="Board","Board-required or board-ready assumptions satisfied",""))</f>
        <v/>
      </c>
      <c r="BZ294" s="13">
        <f>IF(AND(BP294="Y",BQ294&lt;&gt;"Y"),"Carryforward project retains queue priority",IF(BQ294="Y","New project enters behind carryforward projects",""))</f>
        <v/>
      </c>
      <c r="CA294" s="13">
        <f>_xludf.RANK.EQ(Rule_Flags!O293,Rule_Flags!$O$3:$O$402,0)</f>
        <v/>
      </c>
      <c r="CB294" s="13">
        <f>IF(OR(BU294="Determination Notice Issued",BU294="Board",BU294="Closed"),"Y","N")</f>
        <v/>
      </c>
      <c r="CC294" s="9" t="n"/>
      <c r="CD294" s="9" t="n"/>
      <c r="CE294" s="9" t="n"/>
      <c r="CF294" s="9" t="n"/>
      <c r="CG294" s="9" t="n"/>
      <c r="CH294" s="9" t="n"/>
    </row>
    <row r="295">
      <c r="A295" s="8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8" t="n"/>
      <c r="L295" s="9" t="n"/>
      <c r="M295" s="8" t="n"/>
      <c r="N295" s="8" t="n"/>
      <c r="O295" s="8" t="n"/>
      <c r="P295" s="8" t="n"/>
      <c r="Q295" s="8" t="n"/>
      <c r="R295" s="9" t="n"/>
      <c r="S295" s="9" t="n"/>
      <c r="T295" s="10" t="n"/>
      <c r="U295" s="10" t="n"/>
      <c r="V295" s="9" t="n"/>
      <c r="W295" s="9" t="n"/>
      <c r="X295" s="9" t="n"/>
      <c r="Y295" s="9" t="n"/>
      <c r="Z295" s="11" t="n"/>
      <c r="AA295" s="11" t="n"/>
      <c r="AB295" s="11" t="n"/>
      <c r="AC295" s="11" t="n"/>
      <c r="AD295" s="11" t="n"/>
      <c r="AE295" s="11" t="n"/>
      <c r="AF295" s="9" t="n"/>
      <c r="AG295" s="9" t="n"/>
      <c r="AH295" s="9" t="n"/>
      <c r="AI295" s="9" t="n"/>
      <c r="AJ295" s="8" t="n"/>
      <c r="AK295" s="9" t="n"/>
      <c r="AL295" s="9" t="n"/>
      <c r="AM295" s="9" t="n"/>
      <c r="AN295" s="9" t="n"/>
      <c r="AO295" s="9" t="n"/>
      <c r="AP295" s="9" t="n"/>
      <c r="AQ295" s="9" t="n"/>
      <c r="AR295" s="9" t="n"/>
      <c r="AS295" s="9" t="n"/>
      <c r="AT295" s="8" t="n"/>
      <c r="AU295" s="8" t="n"/>
      <c r="AV295" s="9" t="n"/>
      <c r="AW295" s="8" t="n"/>
      <c r="AX295" s="9" t="n"/>
      <c r="AY295" s="9" t="n"/>
      <c r="AZ295" s="9" t="n"/>
      <c r="BA295" s="9" t="n"/>
      <c r="BB295" s="9" t="n"/>
      <c r="BC295" s="9" t="n"/>
      <c r="BD295" s="9" t="n"/>
      <c r="BE295" s="9" t="n"/>
      <c r="BF295" s="9" t="n"/>
      <c r="BG295" s="9" t="n"/>
      <c r="BH295" s="9" t="n"/>
      <c r="BI295" s="9" t="n"/>
      <c r="BJ295" s="9" t="n"/>
      <c r="BK295" s="9" t="n"/>
      <c r="BL295" s="9" t="n"/>
      <c r="BM295" s="9" t="n"/>
      <c r="BN295" s="9" t="n"/>
      <c r="BO295" s="8" t="n"/>
      <c r="BP295" s="9" t="n"/>
      <c r="BQ295" s="9" t="n"/>
      <c r="BR295" s="13">
        <f>IF(COUNTIF(AI295:BM295,"N")+COUNTBLANK(AI295:BM295)=0,"Y","N")</f>
        <v/>
      </c>
      <c r="BS295" s="13">
        <f>IF(AND(BR295="Y",OR(L295="Submitted",L295="Under Review")),"Y",IF(L295="Closed","Y","N"))</f>
        <v/>
      </c>
      <c r="BT295" s="10" t="n"/>
      <c r="BU295" s="13">
        <f>Rule_Flags!Q294</f>
        <v/>
      </c>
      <c r="BV295" s="13">
        <f>Rule_Flags!P294</f>
        <v/>
      </c>
      <c r="BW295" s="13">
        <f>IF(Rule_Flags!E294=1,"SITE_CONTROL",IF(Rule_Flags!F294=1,"APPROVALS",IF(Rule_Flags!G294=1,"REPORTS",IF(Rule_Flags!H294=1,"DEFICIENCY",IF(Rule_Flags!I294=1,"UNDERWRITING",IF(Rule_Flags!J294=1,"COMPLIANCE",""))))))</f>
        <v/>
      </c>
      <c r="BX295" s="13">
        <f>IF(BW295="SITE_CONTROL","Site control missing or invalid",IF(BW295="APPROVALS","Required approvals or resolutions incomplete",IF(BW295="REPORTS","Required third-party reports incomplete",IF(BW295="DEFICIENCY","Unresolved deficiency or material deficiency",IF(BW295="UNDERWRITING","Underwriting / feasibility not passed",IF(BW295="COMPLIANCE","Deconcentration, one-mile, LURA, or Chapter 12 issue","Ready under current engine rules"))))))</f>
        <v/>
      </c>
      <c r="BY295" s="13">
        <f>IF(BV295="Determination Notice","Streamlined + DN-ready assumptions satisfied",IF(BV295="Board","Board-required or board-ready assumptions satisfied",""))</f>
        <v/>
      </c>
      <c r="BZ295" s="13">
        <f>IF(AND(BP295="Y",BQ295&lt;&gt;"Y"),"Carryforward project retains queue priority",IF(BQ295="Y","New project enters behind carryforward projects",""))</f>
        <v/>
      </c>
      <c r="CA295" s="13">
        <f>_xludf.RANK.EQ(Rule_Flags!O294,Rule_Flags!$O$3:$O$402,0)</f>
        <v/>
      </c>
      <c r="CB295" s="13">
        <f>IF(OR(BU295="Determination Notice Issued",BU295="Board",BU295="Closed"),"Y","N")</f>
        <v/>
      </c>
      <c r="CC295" s="9" t="n"/>
      <c r="CD295" s="9" t="n"/>
      <c r="CE295" s="9" t="n"/>
      <c r="CF295" s="9" t="n"/>
      <c r="CG295" s="9" t="n"/>
      <c r="CH295" s="9" t="n"/>
    </row>
    <row r="296">
      <c r="A296" s="8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8" t="n"/>
      <c r="L296" s="9" t="n"/>
      <c r="M296" s="8" t="n"/>
      <c r="N296" s="8" t="n"/>
      <c r="O296" s="8" t="n"/>
      <c r="P296" s="8" t="n"/>
      <c r="Q296" s="8" t="n"/>
      <c r="R296" s="9" t="n"/>
      <c r="S296" s="9" t="n"/>
      <c r="T296" s="10" t="n"/>
      <c r="U296" s="10" t="n"/>
      <c r="V296" s="9" t="n"/>
      <c r="W296" s="9" t="n"/>
      <c r="X296" s="9" t="n"/>
      <c r="Y296" s="9" t="n"/>
      <c r="Z296" s="11" t="n"/>
      <c r="AA296" s="11" t="n"/>
      <c r="AB296" s="11" t="n"/>
      <c r="AC296" s="11" t="n"/>
      <c r="AD296" s="11" t="n"/>
      <c r="AE296" s="11" t="n"/>
      <c r="AF296" s="9" t="n"/>
      <c r="AG296" s="9" t="n"/>
      <c r="AH296" s="9" t="n"/>
      <c r="AI296" s="9" t="n"/>
      <c r="AJ296" s="8" t="n"/>
      <c r="AK296" s="9" t="n"/>
      <c r="AL296" s="9" t="n"/>
      <c r="AM296" s="9" t="n"/>
      <c r="AN296" s="9" t="n"/>
      <c r="AO296" s="9" t="n"/>
      <c r="AP296" s="9" t="n"/>
      <c r="AQ296" s="9" t="n"/>
      <c r="AR296" s="9" t="n"/>
      <c r="AS296" s="9" t="n"/>
      <c r="AT296" s="8" t="n"/>
      <c r="AU296" s="8" t="n"/>
      <c r="AV296" s="9" t="n"/>
      <c r="AW296" s="8" t="n"/>
      <c r="AX296" s="9" t="n"/>
      <c r="AY296" s="9" t="n"/>
      <c r="AZ296" s="9" t="n"/>
      <c r="BA296" s="9" t="n"/>
      <c r="BB296" s="9" t="n"/>
      <c r="BC296" s="9" t="n"/>
      <c r="BD296" s="9" t="n"/>
      <c r="BE296" s="9" t="n"/>
      <c r="BF296" s="9" t="n"/>
      <c r="BG296" s="9" t="n"/>
      <c r="BH296" s="9" t="n"/>
      <c r="BI296" s="9" t="n"/>
      <c r="BJ296" s="9" t="n"/>
      <c r="BK296" s="9" t="n"/>
      <c r="BL296" s="9" t="n"/>
      <c r="BM296" s="9" t="n"/>
      <c r="BN296" s="9" t="n"/>
      <c r="BO296" s="8" t="n"/>
      <c r="BP296" s="9" t="n"/>
      <c r="BQ296" s="9" t="n"/>
      <c r="BR296" s="13">
        <f>IF(COUNTIF(AI296:BM296,"N")+COUNTBLANK(AI296:BM296)=0,"Y","N")</f>
        <v/>
      </c>
      <c r="BS296" s="13">
        <f>IF(AND(BR296="Y",OR(L296="Submitted",L296="Under Review")),"Y",IF(L296="Closed","Y","N"))</f>
        <v/>
      </c>
      <c r="BT296" s="10" t="n"/>
      <c r="BU296" s="13">
        <f>Rule_Flags!Q295</f>
        <v/>
      </c>
      <c r="BV296" s="13">
        <f>Rule_Flags!P295</f>
        <v/>
      </c>
      <c r="BW296" s="13">
        <f>IF(Rule_Flags!E295=1,"SITE_CONTROL",IF(Rule_Flags!F295=1,"APPROVALS",IF(Rule_Flags!G295=1,"REPORTS",IF(Rule_Flags!H295=1,"DEFICIENCY",IF(Rule_Flags!I295=1,"UNDERWRITING",IF(Rule_Flags!J295=1,"COMPLIANCE",""))))))</f>
        <v/>
      </c>
      <c r="BX296" s="13">
        <f>IF(BW296="SITE_CONTROL","Site control missing or invalid",IF(BW296="APPROVALS","Required approvals or resolutions incomplete",IF(BW296="REPORTS","Required third-party reports incomplete",IF(BW296="DEFICIENCY","Unresolved deficiency or material deficiency",IF(BW296="UNDERWRITING","Underwriting / feasibility not passed",IF(BW296="COMPLIANCE","Deconcentration, one-mile, LURA, or Chapter 12 issue","Ready under current engine rules"))))))</f>
        <v/>
      </c>
      <c r="BY296" s="13">
        <f>IF(BV296="Determination Notice","Streamlined + DN-ready assumptions satisfied",IF(BV296="Board","Board-required or board-ready assumptions satisfied",""))</f>
        <v/>
      </c>
      <c r="BZ296" s="13">
        <f>IF(AND(BP296="Y",BQ296&lt;&gt;"Y"),"Carryforward project retains queue priority",IF(BQ296="Y","New project enters behind carryforward projects",""))</f>
        <v/>
      </c>
      <c r="CA296" s="13">
        <f>_xludf.RANK.EQ(Rule_Flags!O295,Rule_Flags!$O$3:$O$402,0)</f>
        <v/>
      </c>
      <c r="CB296" s="13">
        <f>IF(OR(BU296="Determination Notice Issued",BU296="Board",BU296="Closed"),"Y","N")</f>
        <v/>
      </c>
      <c r="CC296" s="9" t="n"/>
      <c r="CD296" s="9" t="n"/>
      <c r="CE296" s="9" t="n"/>
      <c r="CF296" s="9" t="n"/>
      <c r="CG296" s="9" t="n"/>
      <c r="CH296" s="9" t="n"/>
    </row>
    <row r="297">
      <c r="A297" s="8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8" t="n"/>
      <c r="L297" s="9" t="n"/>
      <c r="M297" s="8" t="n"/>
      <c r="N297" s="8" t="n"/>
      <c r="O297" s="8" t="n"/>
      <c r="P297" s="8" t="n"/>
      <c r="Q297" s="8" t="n"/>
      <c r="R297" s="9" t="n"/>
      <c r="S297" s="9" t="n"/>
      <c r="T297" s="10" t="n"/>
      <c r="U297" s="10" t="n"/>
      <c r="V297" s="9" t="n"/>
      <c r="W297" s="9" t="n"/>
      <c r="X297" s="9" t="n"/>
      <c r="Y297" s="9" t="n"/>
      <c r="Z297" s="11" t="n"/>
      <c r="AA297" s="11" t="n"/>
      <c r="AB297" s="11" t="n"/>
      <c r="AC297" s="11" t="n"/>
      <c r="AD297" s="11" t="n"/>
      <c r="AE297" s="11" t="n"/>
      <c r="AF297" s="9" t="n"/>
      <c r="AG297" s="9" t="n"/>
      <c r="AH297" s="9" t="n"/>
      <c r="AI297" s="9" t="n"/>
      <c r="AJ297" s="8" t="n"/>
      <c r="AK297" s="9" t="n"/>
      <c r="AL297" s="9" t="n"/>
      <c r="AM297" s="9" t="n"/>
      <c r="AN297" s="9" t="n"/>
      <c r="AO297" s="9" t="n"/>
      <c r="AP297" s="9" t="n"/>
      <c r="AQ297" s="9" t="n"/>
      <c r="AR297" s="9" t="n"/>
      <c r="AS297" s="9" t="n"/>
      <c r="AT297" s="8" t="n"/>
      <c r="AU297" s="8" t="n"/>
      <c r="AV297" s="9" t="n"/>
      <c r="AW297" s="8" t="n"/>
      <c r="AX297" s="9" t="n"/>
      <c r="AY297" s="9" t="n"/>
      <c r="AZ297" s="9" t="n"/>
      <c r="BA297" s="9" t="n"/>
      <c r="BB297" s="9" t="n"/>
      <c r="BC297" s="9" t="n"/>
      <c r="BD297" s="9" t="n"/>
      <c r="BE297" s="9" t="n"/>
      <c r="BF297" s="9" t="n"/>
      <c r="BG297" s="9" t="n"/>
      <c r="BH297" s="9" t="n"/>
      <c r="BI297" s="9" t="n"/>
      <c r="BJ297" s="9" t="n"/>
      <c r="BK297" s="9" t="n"/>
      <c r="BL297" s="9" t="n"/>
      <c r="BM297" s="9" t="n"/>
      <c r="BN297" s="9" t="n"/>
      <c r="BO297" s="8" t="n"/>
      <c r="BP297" s="9" t="n"/>
      <c r="BQ297" s="9" t="n"/>
      <c r="BR297" s="13">
        <f>IF(COUNTIF(AI297:BM297,"N")+COUNTBLANK(AI297:BM297)=0,"Y","N")</f>
        <v/>
      </c>
      <c r="BS297" s="13">
        <f>IF(AND(BR297="Y",OR(L297="Submitted",L297="Under Review")),"Y",IF(L297="Closed","Y","N"))</f>
        <v/>
      </c>
      <c r="BT297" s="10" t="n"/>
      <c r="BU297" s="13">
        <f>Rule_Flags!Q296</f>
        <v/>
      </c>
      <c r="BV297" s="13">
        <f>Rule_Flags!P296</f>
        <v/>
      </c>
      <c r="BW297" s="13">
        <f>IF(Rule_Flags!E296=1,"SITE_CONTROL",IF(Rule_Flags!F296=1,"APPROVALS",IF(Rule_Flags!G296=1,"REPORTS",IF(Rule_Flags!H296=1,"DEFICIENCY",IF(Rule_Flags!I296=1,"UNDERWRITING",IF(Rule_Flags!J296=1,"COMPLIANCE",""))))))</f>
        <v/>
      </c>
      <c r="BX297" s="13">
        <f>IF(BW297="SITE_CONTROL","Site control missing or invalid",IF(BW297="APPROVALS","Required approvals or resolutions incomplete",IF(BW297="REPORTS","Required third-party reports incomplete",IF(BW297="DEFICIENCY","Unresolved deficiency or material deficiency",IF(BW297="UNDERWRITING","Underwriting / feasibility not passed",IF(BW297="COMPLIANCE","Deconcentration, one-mile, LURA, or Chapter 12 issue","Ready under current engine rules"))))))</f>
        <v/>
      </c>
      <c r="BY297" s="13">
        <f>IF(BV297="Determination Notice","Streamlined + DN-ready assumptions satisfied",IF(BV297="Board","Board-required or board-ready assumptions satisfied",""))</f>
        <v/>
      </c>
      <c r="BZ297" s="13">
        <f>IF(AND(BP297="Y",BQ297&lt;&gt;"Y"),"Carryforward project retains queue priority",IF(BQ297="Y","New project enters behind carryforward projects",""))</f>
        <v/>
      </c>
      <c r="CA297" s="13">
        <f>_xludf.RANK.EQ(Rule_Flags!O296,Rule_Flags!$O$3:$O$402,0)</f>
        <v/>
      </c>
      <c r="CB297" s="13">
        <f>IF(OR(BU297="Determination Notice Issued",BU297="Board",BU297="Closed"),"Y","N")</f>
        <v/>
      </c>
      <c r="CC297" s="9" t="n"/>
      <c r="CD297" s="9" t="n"/>
      <c r="CE297" s="9" t="n"/>
      <c r="CF297" s="9" t="n"/>
      <c r="CG297" s="9" t="n"/>
      <c r="CH297" s="9" t="n"/>
    </row>
    <row r="298">
      <c r="A298" s="8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8" t="n"/>
      <c r="L298" s="9" t="n"/>
      <c r="M298" s="8" t="n"/>
      <c r="N298" s="8" t="n"/>
      <c r="O298" s="8" t="n"/>
      <c r="P298" s="8" t="n"/>
      <c r="Q298" s="8" t="n"/>
      <c r="R298" s="9" t="n"/>
      <c r="S298" s="9" t="n"/>
      <c r="T298" s="10" t="n"/>
      <c r="U298" s="10" t="n"/>
      <c r="V298" s="9" t="n"/>
      <c r="W298" s="9" t="n"/>
      <c r="X298" s="9" t="n"/>
      <c r="Y298" s="9" t="n"/>
      <c r="Z298" s="11" t="n"/>
      <c r="AA298" s="11" t="n"/>
      <c r="AB298" s="11" t="n"/>
      <c r="AC298" s="11" t="n"/>
      <c r="AD298" s="11" t="n"/>
      <c r="AE298" s="11" t="n"/>
      <c r="AF298" s="9" t="n"/>
      <c r="AG298" s="9" t="n"/>
      <c r="AH298" s="9" t="n"/>
      <c r="AI298" s="9" t="n"/>
      <c r="AJ298" s="8" t="n"/>
      <c r="AK298" s="9" t="n"/>
      <c r="AL298" s="9" t="n"/>
      <c r="AM298" s="9" t="n"/>
      <c r="AN298" s="9" t="n"/>
      <c r="AO298" s="9" t="n"/>
      <c r="AP298" s="9" t="n"/>
      <c r="AQ298" s="9" t="n"/>
      <c r="AR298" s="9" t="n"/>
      <c r="AS298" s="9" t="n"/>
      <c r="AT298" s="8" t="n"/>
      <c r="AU298" s="8" t="n"/>
      <c r="AV298" s="9" t="n"/>
      <c r="AW298" s="8" t="n"/>
      <c r="AX298" s="9" t="n"/>
      <c r="AY298" s="9" t="n"/>
      <c r="AZ298" s="9" t="n"/>
      <c r="BA298" s="9" t="n"/>
      <c r="BB298" s="9" t="n"/>
      <c r="BC298" s="9" t="n"/>
      <c r="BD298" s="9" t="n"/>
      <c r="BE298" s="9" t="n"/>
      <c r="BF298" s="9" t="n"/>
      <c r="BG298" s="9" t="n"/>
      <c r="BH298" s="9" t="n"/>
      <c r="BI298" s="9" t="n"/>
      <c r="BJ298" s="9" t="n"/>
      <c r="BK298" s="9" t="n"/>
      <c r="BL298" s="9" t="n"/>
      <c r="BM298" s="9" t="n"/>
      <c r="BN298" s="9" t="n"/>
      <c r="BO298" s="8" t="n"/>
      <c r="BP298" s="9" t="n"/>
      <c r="BQ298" s="9" t="n"/>
      <c r="BR298" s="13">
        <f>IF(COUNTIF(AI298:BM298,"N")+COUNTBLANK(AI298:BM298)=0,"Y","N")</f>
        <v/>
      </c>
      <c r="BS298" s="13">
        <f>IF(AND(BR298="Y",OR(L298="Submitted",L298="Under Review")),"Y",IF(L298="Closed","Y","N"))</f>
        <v/>
      </c>
      <c r="BT298" s="10" t="n"/>
      <c r="BU298" s="13">
        <f>Rule_Flags!Q297</f>
        <v/>
      </c>
      <c r="BV298" s="13">
        <f>Rule_Flags!P297</f>
        <v/>
      </c>
      <c r="BW298" s="13">
        <f>IF(Rule_Flags!E297=1,"SITE_CONTROL",IF(Rule_Flags!F297=1,"APPROVALS",IF(Rule_Flags!G297=1,"REPORTS",IF(Rule_Flags!H297=1,"DEFICIENCY",IF(Rule_Flags!I297=1,"UNDERWRITING",IF(Rule_Flags!J297=1,"COMPLIANCE",""))))))</f>
        <v/>
      </c>
      <c r="BX298" s="13">
        <f>IF(BW298="SITE_CONTROL","Site control missing or invalid",IF(BW298="APPROVALS","Required approvals or resolutions incomplete",IF(BW298="REPORTS","Required third-party reports incomplete",IF(BW298="DEFICIENCY","Unresolved deficiency or material deficiency",IF(BW298="UNDERWRITING","Underwriting / feasibility not passed",IF(BW298="COMPLIANCE","Deconcentration, one-mile, LURA, or Chapter 12 issue","Ready under current engine rules"))))))</f>
        <v/>
      </c>
      <c r="BY298" s="13">
        <f>IF(BV298="Determination Notice","Streamlined + DN-ready assumptions satisfied",IF(BV298="Board","Board-required or board-ready assumptions satisfied",""))</f>
        <v/>
      </c>
      <c r="BZ298" s="13">
        <f>IF(AND(BP298="Y",BQ298&lt;&gt;"Y"),"Carryforward project retains queue priority",IF(BQ298="Y","New project enters behind carryforward projects",""))</f>
        <v/>
      </c>
      <c r="CA298" s="13">
        <f>_xludf.RANK.EQ(Rule_Flags!O297,Rule_Flags!$O$3:$O$402,0)</f>
        <v/>
      </c>
      <c r="CB298" s="13">
        <f>IF(OR(BU298="Determination Notice Issued",BU298="Board",BU298="Closed"),"Y","N")</f>
        <v/>
      </c>
      <c r="CC298" s="9" t="n"/>
      <c r="CD298" s="9" t="n"/>
      <c r="CE298" s="9" t="n"/>
      <c r="CF298" s="9" t="n"/>
      <c r="CG298" s="9" t="n"/>
      <c r="CH298" s="9" t="n"/>
    </row>
    <row r="299">
      <c r="A299" s="8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8" t="n"/>
      <c r="L299" s="9" t="n"/>
      <c r="M299" s="8" t="n"/>
      <c r="N299" s="8" t="n"/>
      <c r="O299" s="8" t="n"/>
      <c r="P299" s="8" t="n"/>
      <c r="Q299" s="8" t="n"/>
      <c r="R299" s="9" t="n"/>
      <c r="S299" s="9" t="n"/>
      <c r="T299" s="10" t="n"/>
      <c r="U299" s="10" t="n"/>
      <c r="V299" s="9" t="n"/>
      <c r="W299" s="9" t="n"/>
      <c r="X299" s="9" t="n"/>
      <c r="Y299" s="9" t="n"/>
      <c r="Z299" s="11" t="n"/>
      <c r="AA299" s="11" t="n"/>
      <c r="AB299" s="11" t="n"/>
      <c r="AC299" s="11" t="n"/>
      <c r="AD299" s="11" t="n"/>
      <c r="AE299" s="11" t="n"/>
      <c r="AF299" s="9" t="n"/>
      <c r="AG299" s="9" t="n"/>
      <c r="AH299" s="9" t="n"/>
      <c r="AI299" s="9" t="n"/>
      <c r="AJ299" s="8" t="n"/>
      <c r="AK299" s="9" t="n"/>
      <c r="AL299" s="9" t="n"/>
      <c r="AM299" s="9" t="n"/>
      <c r="AN299" s="9" t="n"/>
      <c r="AO299" s="9" t="n"/>
      <c r="AP299" s="9" t="n"/>
      <c r="AQ299" s="9" t="n"/>
      <c r="AR299" s="9" t="n"/>
      <c r="AS299" s="9" t="n"/>
      <c r="AT299" s="8" t="n"/>
      <c r="AU299" s="8" t="n"/>
      <c r="AV299" s="9" t="n"/>
      <c r="AW299" s="8" t="n"/>
      <c r="AX299" s="9" t="n"/>
      <c r="AY299" s="9" t="n"/>
      <c r="AZ299" s="9" t="n"/>
      <c r="BA299" s="9" t="n"/>
      <c r="BB299" s="9" t="n"/>
      <c r="BC299" s="9" t="n"/>
      <c r="BD299" s="9" t="n"/>
      <c r="BE299" s="9" t="n"/>
      <c r="BF299" s="9" t="n"/>
      <c r="BG299" s="9" t="n"/>
      <c r="BH299" s="9" t="n"/>
      <c r="BI299" s="9" t="n"/>
      <c r="BJ299" s="9" t="n"/>
      <c r="BK299" s="9" t="n"/>
      <c r="BL299" s="9" t="n"/>
      <c r="BM299" s="9" t="n"/>
      <c r="BN299" s="9" t="n"/>
      <c r="BO299" s="8" t="n"/>
      <c r="BP299" s="9" t="n"/>
      <c r="BQ299" s="9" t="n"/>
      <c r="BR299" s="13">
        <f>IF(COUNTIF(AI299:BM299,"N")+COUNTBLANK(AI299:BM299)=0,"Y","N")</f>
        <v/>
      </c>
      <c r="BS299" s="13">
        <f>IF(AND(BR299="Y",OR(L299="Submitted",L299="Under Review")),"Y",IF(L299="Closed","Y","N"))</f>
        <v/>
      </c>
      <c r="BT299" s="10" t="n"/>
      <c r="BU299" s="13">
        <f>Rule_Flags!Q298</f>
        <v/>
      </c>
      <c r="BV299" s="13">
        <f>Rule_Flags!P298</f>
        <v/>
      </c>
      <c r="BW299" s="13">
        <f>IF(Rule_Flags!E298=1,"SITE_CONTROL",IF(Rule_Flags!F298=1,"APPROVALS",IF(Rule_Flags!G298=1,"REPORTS",IF(Rule_Flags!H298=1,"DEFICIENCY",IF(Rule_Flags!I298=1,"UNDERWRITING",IF(Rule_Flags!J298=1,"COMPLIANCE",""))))))</f>
        <v/>
      </c>
      <c r="BX299" s="13">
        <f>IF(BW299="SITE_CONTROL","Site control missing or invalid",IF(BW299="APPROVALS","Required approvals or resolutions incomplete",IF(BW299="REPORTS","Required third-party reports incomplete",IF(BW299="DEFICIENCY","Unresolved deficiency or material deficiency",IF(BW299="UNDERWRITING","Underwriting / feasibility not passed",IF(BW299="COMPLIANCE","Deconcentration, one-mile, LURA, or Chapter 12 issue","Ready under current engine rules"))))))</f>
        <v/>
      </c>
      <c r="BY299" s="13">
        <f>IF(BV299="Determination Notice","Streamlined + DN-ready assumptions satisfied",IF(BV299="Board","Board-required or board-ready assumptions satisfied",""))</f>
        <v/>
      </c>
      <c r="BZ299" s="13">
        <f>IF(AND(BP299="Y",BQ299&lt;&gt;"Y"),"Carryforward project retains queue priority",IF(BQ299="Y","New project enters behind carryforward projects",""))</f>
        <v/>
      </c>
      <c r="CA299" s="13">
        <f>_xludf.RANK.EQ(Rule_Flags!O298,Rule_Flags!$O$3:$O$402,0)</f>
        <v/>
      </c>
      <c r="CB299" s="13">
        <f>IF(OR(BU299="Determination Notice Issued",BU299="Board",BU299="Closed"),"Y","N")</f>
        <v/>
      </c>
      <c r="CC299" s="9" t="n"/>
      <c r="CD299" s="9" t="n"/>
      <c r="CE299" s="9" t="n"/>
      <c r="CF299" s="9" t="n"/>
      <c r="CG299" s="9" t="n"/>
      <c r="CH299" s="9" t="n"/>
    </row>
    <row r="300">
      <c r="A300" s="8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8" t="n"/>
      <c r="L300" s="9" t="n"/>
      <c r="M300" s="8" t="n"/>
      <c r="N300" s="8" t="n"/>
      <c r="O300" s="8" t="n"/>
      <c r="P300" s="8" t="n"/>
      <c r="Q300" s="8" t="n"/>
      <c r="R300" s="9" t="n"/>
      <c r="S300" s="9" t="n"/>
      <c r="T300" s="10" t="n"/>
      <c r="U300" s="10" t="n"/>
      <c r="V300" s="9" t="n"/>
      <c r="W300" s="9" t="n"/>
      <c r="X300" s="9" t="n"/>
      <c r="Y300" s="9" t="n"/>
      <c r="Z300" s="11" t="n"/>
      <c r="AA300" s="11" t="n"/>
      <c r="AB300" s="11" t="n"/>
      <c r="AC300" s="11" t="n"/>
      <c r="AD300" s="11" t="n"/>
      <c r="AE300" s="11" t="n"/>
      <c r="AF300" s="9" t="n"/>
      <c r="AG300" s="9" t="n"/>
      <c r="AH300" s="9" t="n"/>
      <c r="AI300" s="9" t="n"/>
      <c r="AJ300" s="8" t="n"/>
      <c r="AK300" s="9" t="n"/>
      <c r="AL300" s="9" t="n"/>
      <c r="AM300" s="9" t="n"/>
      <c r="AN300" s="9" t="n"/>
      <c r="AO300" s="9" t="n"/>
      <c r="AP300" s="9" t="n"/>
      <c r="AQ300" s="9" t="n"/>
      <c r="AR300" s="9" t="n"/>
      <c r="AS300" s="9" t="n"/>
      <c r="AT300" s="8" t="n"/>
      <c r="AU300" s="8" t="n"/>
      <c r="AV300" s="9" t="n"/>
      <c r="AW300" s="8" t="n"/>
      <c r="AX300" s="9" t="n"/>
      <c r="AY300" s="9" t="n"/>
      <c r="AZ300" s="9" t="n"/>
      <c r="BA300" s="9" t="n"/>
      <c r="BB300" s="9" t="n"/>
      <c r="BC300" s="9" t="n"/>
      <c r="BD300" s="9" t="n"/>
      <c r="BE300" s="9" t="n"/>
      <c r="BF300" s="9" t="n"/>
      <c r="BG300" s="9" t="n"/>
      <c r="BH300" s="9" t="n"/>
      <c r="BI300" s="9" t="n"/>
      <c r="BJ300" s="9" t="n"/>
      <c r="BK300" s="9" t="n"/>
      <c r="BL300" s="9" t="n"/>
      <c r="BM300" s="9" t="n"/>
      <c r="BN300" s="9" t="n"/>
      <c r="BO300" s="8" t="n"/>
      <c r="BP300" s="9" t="n"/>
      <c r="BQ300" s="9" t="n"/>
      <c r="BR300" s="13">
        <f>IF(COUNTIF(AI300:BM300,"N")+COUNTBLANK(AI300:BM300)=0,"Y","N")</f>
        <v/>
      </c>
      <c r="BS300" s="13">
        <f>IF(AND(BR300="Y",OR(L300="Submitted",L300="Under Review")),"Y",IF(L300="Closed","Y","N"))</f>
        <v/>
      </c>
      <c r="BT300" s="10" t="n"/>
      <c r="BU300" s="13">
        <f>Rule_Flags!Q299</f>
        <v/>
      </c>
      <c r="BV300" s="13">
        <f>Rule_Flags!P299</f>
        <v/>
      </c>
      <c r="BW300" s="13">
        <f>IF(Rule_Flags!E299=1,"SITE_CONTROL",IF(Rule_Flags!F299=1,"APPROVALS",IF(Rule_Flags!G299=1,"REPORTS",IF(Rule_Flags!H299=1,"DEFICIENCY",IF(Rule_Flags!I299=1,"UNDERWRITING",IF(Rule_Flags!J299=1,"COMPLIANCE",""))))))</f>
        <v/>
      </c>
      <c r="BX300" s="13">
        <f>IF(BW300="SITE_CONTROL","Site control missing or invalid",IF(BW300="APPROVALS","Required approvals or resolutions incomplete",IF(BW300="REPORTS","Required third-party reports incomplete",IF(BW300="DEFICIENCY","Unresolved deficiency or material deficiency",IF(BW300="UNDERWRITING","Underwriting / feasibility not passed",IF(BW300="COMPLIANCE","Deconcentration, one-mile, LURA, or Chapter 12 issue","Ready under current engine rules"))))))</f>
        <v/>
      </c>
      <c r="BY300" s="13">
        <f>IF(BV300="Determination Notice","Streamlined + DN-ready assumptions satisfied",IF(BV300="Board","Board-required or board-ready assumptions satisfied",""))</f>
        <v/>
      </c>
      <c r="BZ300" s="13">
        <f>IF(AND(BP300="Y",BQ300&lt;&gt;"Y"),"Carryforward project retains queue priority",IF(BQ300="Y","New project enters behind carryforward projects",""))</f>
        <v/>
      </c>
      <c r="CA300" s="13">
        <f>_xludf.RANK.EQ(Rule_Flags!O299,Rule_Flags!$O$3:$O$402,0)</f>
        <v/>
      </c>
      <c r="CB300" s="13">
        <f>IF(OR(BU300="Determination Notice Issued",BU300="Board",BU300="Closed"),"Y","N")</f>
        <v/>
      </c>
      <c r="CC300" s="9" t="n"/>
      <c r="CD300" s="9" t="n"/>
      <c r="CE300" s="9" t="n"/>
      <c r="CF300" s="9" t="n"/>
      <c r="CG300" s="9" t="n"/>
      <c r="CH300" s="9" t="n"/>
    </row>
    <row r="301">
      <c r="A301" s="8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8" t="n"/>
      <c r="L301" s="9" t="n"/>
      <c r="M301" s="8" t="n"/>
      <c r="N301" s="8" t="n"/>
      <c r="O301" s="8" t="n"/>
      <c r="P301" s="8" t="n"/>
      <c r="Q301" s="8" t="n"/>
      <c r="R301" s="9" t="n"/>
      <c r="S301" s="9" t="n"/>
      <c r="T301" s="10" t="n"/>
      <c r="U301" s="10" t="n"/>
      <c r="V301" s="9" t="n"/>
      <c r="W301" s="9" t="n"/>
      <c r="X301" s="9" t="n"/>
      <c r="Y301" s="9" t="n"/>
      <c r="Z301" s="11" t="n"/>
      <c r="AA301" s="11" t="n"/>
      <c r="AB301" s="11" t="n"/>
      <c r="AC301" s="11" t="n"/>
      <c r="AD301" s="11" t="n"/>
      <c r="AE301" s="11" t="n"/>
      <c r="AF301" s="9" t="n"/>
      <c r="AG301" s="9" t="n"/>
      <c r="AH301" s="9" t="n"/>
      <c r="AI301" s="9" t="n"/>
      <c r="AJ301" s="8" t="n"/>
      <c r="AK301" s="9" t="n"/>
      <c r="AL301" s="9" t="n"/>
      <c r="AM301" s="9" t="n"/>
      <c r="AN301" s="9" t="n"/>
      <c r="AO301" s="9" t="n"/>
      <c r="AP301" s="9" t="n"/>
      <c r="AQ301" s="9" t="n"/>
      <c r="AR301" s="9" t="n"/>
      <c r="AS301" s="9" t="n"/>
      <c r="AT301" s="8" t="n"/>
      <c r="AU301" s="8" t="n"/>
      <c r="AV301" s="9" t="n"/>
      <c r="AW301" s="8" t="n"/>
      <c r="AX301" s="9" t="n"/>
      <c r="AY301" s="9" t="n"/>
      <c r="AZ301" s="9" t="n"/>
      <c r="BA301" s="9" t="n"/>
      <c r="BB301" s="9" t="n"/>
      <c r="BC301" s="9" t="n"/>
      <c r="BD301" s="9" t="n"/>
      <c r="BE301" s="9" t="n"/>
      <c r="BF301" s="9" t="n"/>
      <c r="BG301" s="9" t="n"/>
      <c r="BH301" s="9" t="n"/>
      <c r="BI301" s="9" t="n"/>
      <c r="BJ301" s="9" t="n"/>
      <c r="BK301" s="9" t="n"/>
      <c r="BL301" s="9" t="n"/>
      <c r="BM301" s="9" t="n"/>
      <c r="BN301" s="9" t="n"/>
      <c r="BO301" s="8" t="n"/>
      <c r="BP301" s="9" t="n"/>
      <c r="BQ301" s="9" t="n"/>
      <c r="BR301" s="13">
        <f>IF(COUNTIF(AI301:BM301,"N")+COUNTBLANK(AI301:BM301)=0,"Y","N")</f>
        <v/>
      </c>
      <c r="BS301" s="13">
        <f>IF(AND(BR301="Y",OR(L301="Submitted",L301="Under Review")),"Y",IF(L301="Closed","Y","N"))</f>
        <v/>
      </c>
      <c r="BT301" s="10" t="n"/>
      <c r="BU301" s="13">
        <f>Rule_Flags!Q300</f>
        <v/>
      </c>
      <c r="BV301" s="13">
        <f>Rule_Flags!P300</f>
        <v/>
      </c>
      <c r="BW301" s="13">
        <f>IF(Rule_Flags!E300=1,"SITE_CONTROL",IF(Rule_Flags!F300=1,"APPROVALS",IF(Rule_Flags!G300=1,"REPORTS",IF(Rule_Flags!H300=1,"DEFICIENCY",IF(Rule_Flags!I300=1,"UNDERWRITING",IF(Rule_Flags!J300=1,"COMPLIANCE",""))))))</f>
        <v/>
      </c>
      <c r="BX301" s="13">
        <f>IF(BW301="SITE_CONTROL","Site control missing or invalid",IF(BW301="APPROVALS","Required approvals or resolutions incomplete",IF(BW301="REPORTS","Required third-party reports incomplete",IF(BW301="DEFICIENCY","Unresolved deficiency or material deficiency",IF(BW301="UNDERWRITING","Underwriting / feasibility not passed",IF(BW301="COMPLIANCE","Deconcentration, one-mile, LURA, or Chapter 12 issue","Ready under current engine rules"))))))</f>
        <v/>
      </c>
      <c r="BY301" s="13">
        <f>IF(BV301="Determination Notice","Streamlined + DN-ready assumptions satisfied",IF(BV301="Board","Board-required or board-ready assumptions satisfied",""))</f>
        <v/>
      </c>
      <c r="BZ301" s="13">
        <f>IF(AND(BP301="Y",BQ301&lt;&gt;"Y"),"Carryforward project retains queue priority",IF(BQ301="Y","New project enters behind carryforward projects",""))</f>
        <v/>
      </c>
      <c r="CA301" s="13">
        <f>_xludf.RANK.EQ(Rule_Flags!O300,Rule_Flags!$O$3:$O$402,0)</f>
        <v/>
      </c>
      <c r="CB301" s="13">
        <f>IF(OR(BU301="Determination Notice Issued",BU301="Board",BU301="Closed"),"Y","N")</f>
        <v/>
      </c>
      <c r="CC301" s="9" t="n"/>
      <c r="CD301" s="9" t="n"/>
      <c r="CE301" s="9" t="n"/>
      <c r="CF301" s="9" t="n"/>
      <c r="CG301" s="9" t="n"/>
      <c r="CH301" s="9" t="n"/>
    </row>
    <row r="302">
      <c r="A302" s="8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8" t="n"/>
      <c r="L302" s="9" t="n"/>
      <c r="M302" s="8" t="n"/>
      <c r="N302" s="8" t="n"/>
      <c r="O302" s="8" t="n"/>
      <c r="P302" s="8" t="n"/>
      <c r="Q302" s="8" t="n"/>
      <c r="R302" s="9" t="n"/>
      <c r="S302" s="9" t="n"/>
      <c r="T302" s="10" t="n"/>
      <c r="U302" s="10" t="n"/>
      <c r="V302" s="9" t="n"/>
      <c r="W302" s="9" t="n"/>
      <c r="X302" s="9" t="n"/>
      <c r="Y302" s="9" t="n"/>
      <c r="Z302" s="11" t="n"/>
      <c r="AA302" s="11" t="n"/>
      <c r="AB302" s="11" t="n"/>
      <c r="AC302" s="11" t="n"/>
      <c r="AD302" s="11" t="n"/>
      <c r="AE302" s="11" t="n"/>
      <c r="AF302" s="9" t="n"/>
      <c r="AG302" s="9" t="n"/>
      <c r="AH302" s="9" t="n"/>
      <c r="AI302" s="9" t="n"/>
      <c r="AJ302" s="8" t="n"/>
      <c r="AK302" s="9" t="n"/>
      <c r="AL302" s="9" t="n"/>
      <c r="AM302" s="9" t="n"/>
      <c r="AN302" s="9" t="n"/>
      <c r="AO302" s="9" t="n"/>
      <c r="AP302" s="9" t="n"/>
      <c r="AQ302" s="9" t="n"/>
      <c r="AR302" s="9" t="n"/>
      <c r="AS302" s="9" t="n"/>
      <c r="AT302" s="8" t="n"/>
      <c r="AU302" s="8" t="n"/>
      <c r="AV302" s="9" t="n"/>
      <c r="AW302" s="8" t="n"/>
      <c r="AX302" s="9" t="n"/>
      <c r="AY302" s="9" t="n"/>
      <c r="AZ302" s="9" t="n"/>
      <c r="BA302" s="9" t="n"/>
      <c r="BB302" s="9" t="n"/>
      <c r="BC302" s="9" t="n"/>
      <c r="BD302" s="9" t="n"/>
      <c r="BE302" s="9" t="n"/>
      <c r="BF302" s="9" t="n"/>
      <c r="BG302" s="9" t="n"/>
      <c r="BH302" s="9" t="n"/>
      <c r="BI302" s="9" t="n"/>
      <c r="BJ302" s="9" t="n"/>
      <c r="BK302" s="9" t="n"/>
      <c r="BL302" s="9" t="n"/>
      <c r="BM302" s="9" t="n"/>
      <c r="BN302" s="9" t="n"/>
      <c r="BO302" s="8" t="n"/>
      <c r="BP302" s="9" t="n"/>
      <c r="BQ302" s="9" t="n"/>
      <c r="BR302" s="13">
        <f>IF(COUNTIF(AI302:BM302,"N")+COUNTBLANK(AI302:BM302)=0,"Y","N")</f>
        <v/>
      </c>
      <c r="BS302" s="13">
        <f>IF(AND(BR302="Y",OR(L302="Submitted",L302="Under Review")),"Y",IF(L302="Closed","Y","N"))</f>
        <v/>
      </c>
      <c r="BT302" s="10" t="n"/>
      <c r="BU302" s="13">
        <f>Rule_Flags!Q301</f>
        <v/>
      </c>
      <c r="BV302" s="13">
        <f>Rule_Flags!P301</f>
        <v/>
      </c>
      <c r="BW302" s="13">
        <f>IF(Rule_Flags!E301=1,"SITE_CONTROL",IF(Rule_Flags!F301=1,"APPROVALS",IF(Rule_Flags!G301=1,"REPORTS",IF(Rule_Flags!H301=1,"DEFICIENCY",IF(Rule_Flags!I301=1,"UNDERWRITING",IF(Rule_Flags!J301=1,"COMPLIANCE",""))))))</f>
        <v/>
      </c>
      <c r="BX302" s="13">
        <f>IF(BW302="SITE_CONTROL","Site control missing or invalid",IF(BW302="APPROVALS","Required approvals or resolutions incomplete",IF(BW302="REPORTS","Required third-party reports incomplete",IF(BW302="DEFICIENCY","Unresolved deficiency or material deficiency",IF(BW302="UNDERWRITING","Underwriting / feasibility not passed",IF(BW302="COMPLIANCE","Deconcentration, one-mile, LURA, or Chapter 12 issue","Ready under current engine rules"))))))</f>
        <v/>
      </c>
      <c r="BY302" s="13">
        <f>IF(BV302="Determination Notice","Streamlined + DN-ready assumptions satisfied",IF(BV302="Board","Board-required or board-ready assumptions satisfied",""))</f>
        <v/>
      </c>
      <c r="BZ302" s="13">
        <f>IF(AND(BP302="Y",BQ302&lt;&gt;"Y"),"Carryforward project retains queue priority",IF(BQ302="Y","New project enters behind carryforward projects",""))</f>
        <v/>
      </c>
      <c r="CA302" s="13">
        <f>_xludf.RANK.EQ(Rule_Flags!O301,Rule_Flags!$O$3:$O$402,0)</f>
        <v/>
      </c>
      <c r="CB302" s="13">
        <f>IF(OR(BU302="Determination Notice Issued",BU302="Board",BU302="Closed"),"Y","N")</f>
        <v/>
      </c>
      <c r="CC302" s="9" t="n"/>
      <c r="CD302" s="9" t="n"/>
      <c r="CE302" s="9" t="n"/>
      <c r="CF302" s="9" t="n"/>
      <c r="CG302" s="9" t="n"/>
      <c r="CH302" s="9" t="n"/>
    </row>
    <row r="303">
      <c r="A303" s="8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8" t="n"/>
      <c r="L303" s="9" t="n"/>
      <c r="M303" s="8" t="n"/>
      <c r="N303" s="8" t="n"/>
      <c r="O303" s="8" t="n"/>
      <c r="P303" s="8" t="n"/>
      <c r="Q303" s="8" t="n"/>
      <c r="R303" s="9" t="n"/>
      <c r="S303" s="9" t="n"/>
      <c r="T303" s="10" t="n"/>
      <c r="U303" s="10" t="n"/>
      <c r="V303" s="9" t="n"/>
      <c r="W303" s="9" t="n"/>
      <c r="X303" s="9" t="n"/>
      <c r="Y303" s="9" t="n"/>
      <c r="Z303" s="11" t="n"/>
      <c r="AA303" s="11" t="n"/>
      <c r="AB303" s="11" t="n"/>
      <c r="AC303" s="11" t="n"/>
      <c r="AD303" s="11" t="n"/>
      <c r="AE303" s="11" t="n"/>
      <c r="AF303" s="9" t="n"/>
      <c r="AG303" s="9" t="n"/>
      <c r="AH303" s="9" t="n"/>
      <c r="AI303" s="9" t="n"/>
      <c r="AJ303" s="8" t="n"/>
      <c r="AK303" s="9" t="n"/>
      <c r="AL303" s="9" t="n"/>
      <c r="AM303" s="9" t="n"/>
      <c r="AN303" s="9" t="n"/>
      <c r="AO303" s="9" t="n"/>
      <c r="AP303" s="9" t="n"/>
      <c r="AQ303" s="9" t="n"/>
      <c r="AR303" s="9" t="n"/>
      <c r="AS303" s="9" t="n"/>
      <c r="AT303" s="8" t="n"/>
      <c r="AU303" s="8" t="n"/>
      <c r="AV303" s="9" t="n"/>
      <c r="AW303" s="8" t="n"/>
      <c r="AX303" s="9" t="n"/>
      <c r="AY303" s="9" t="n"/>
      <c r="AZ303" s="9" t="n"/>
      <c r="BA303" s="9" t="n"/>
      <c r="BB303" s="9" t="n"/>
      <c r="BC303" s="9" t="n"/>
      <c r="BD303" s="9" t="n"/>
      <c r="BE303" s="9" t="n"/>
      <c r="BF303" s="9" t="n"/>
      <c r="BG303" s="9" t="n"/>
      <c r="BH303" s="9" t="n"/>
      <c r="BI303" s="9" t="n"/>
      <c r="BJ303" s="9" t="n"/>
      <c r="BK303" s="9" t="n"/>
      <c r="BL303" s="9" t="n"/>
      <c r="BM303" s="9" t="n"/>
      <c r="BN303" s="9" t="n"/>
      <c r="BO303" s="8" t="n"/>
      <c r="BP303" s="9" t="n"/>
      <c r="BQ303" s="9" t="n"/>
      <c r="BR303" s="13">
        <f>IF(COUNTIF(AI303:BM303,"N")+COUNTBLANK(AI303:BM303)=0,"Y","N")</f>
        <v/>
      </c>
      <c r="BS303" s="13">
        <f>IF(AND(BR303="Y",OR(L303="Submitted",L303="Under Review")),"Y",IF(L303="Closed","Y","N"))</f>
        <v/>
      </c>
      <c r="BT303" s="10" t="n"/>
      <c r="BU303" s="13">
        <f>Rule_Flags!Q302</f>
        <v/>
      </c>
      <c r="BV303" s="13">
        <f>Rule_Flags!P302</f>
        <v/>
      </c>
      <c r="BW303" s="13">
        <f>IF(Rule_Flags!E302=1,"SITE_CONTROL",IF(Rule_Flags!F302=1,"APPROVALS",IF(Rule_Flags!G302=1,"REPORTS",IF(Rule_Flags!H302=1,"DEFICIENCY",IF(Rule_Flags!I302=1,"UNDERWRITING",IF(Rule_Flags!J302=1,"COMPLIANCE",""))))))</f>
        <v/>
      </c>
      <c r="BX303" s="13">
        <f>IF(BW303="SITE_CONTROL","Site control missing or invalid",IF(BW303="APPROVALS","Required approvals or resolutions incomplete",IF(BW303="REPORTS","Required third-party reports incomplete",IF(BW303="DEFICIENCY","Unresolved deficiency or material deficiency",IF(BW303="UNDERWRITING","Underwriting / feasibility not passed",IF(BW303="COMPLIANCE","Deconcentration, one-mile, LURA, or Chapter 12 issue","Ready under current engine rules"))))))</f>
        <v/>
      </c>
      <c r="BY303" s="13">
        <f>IF(BV303="Determination Notice","Streamlined + DN-ready assumptions satisfied",IF(BV303="Board","Board-required or board-ready assumptions satisfied",""))</f>
        <v/>
      </c>
      <c r="BZ303" s="13">
        <f>IF(AND(BP303="Y",BQ303&lt;&gt;"Y"),"Carryforward project retains queue priority",IF(BQ303="Y","New project enters behind carryforward projects",""))</f>
        <v/>
      </c>
      <c r="CA303" s="13">
        <f>_xludf.RANK.EQ(Rule_Flags!O302,Rule_Flags!$O$3:$O$402,0)</f>
        <v/>
      </c>
      <c r="CB303" s="13">
        <f>IF(OR(BU303="Determination Notice Issued",BU303="Board",BU303="Closed"),"Y","N")</f>
        <v/>
      </c>
      <c r="CC303" s="9" t="n"/>
      <c r="CD303" s="9" t="n"/>
      <c r="CE303" s="9" t="n"/>
      <c r="CF303" s="9" t="n"/>
      <c r="CG303" s="9" t="n"/>
      <c r="CH303" s="9" t="n"/>
    </row>
    <row r="304">
      <c r="A304" s="8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8" t="n"/>
      <c r="L304" s="9" t="n"/>
      <c r="M304" s="8" t="n"/>
      <c r="N304" s="8" t="n"/>
      <c r="O304" s="8" t="n"/>
      <c r="P304" s="8" t="n"/>
      <c r="Q304" s="8" t="n"/>
      <c r="R304" s="9" t="n"/>
      <c r="S304" s="9" t="n"/>
      <c r="T304" s="10" t="n"/>
      <c r="U304" s="10" t="n"/>
      <c r="V304" s="9" t="n"/>
      <c r="W304" s="9" t="n"/>
      <c r="X304" s="9" t="n"/>
      <c r="Y304" s="9" t="n"/>
      <c r="Z304" s="11" t="n"/>
      <c r="AA304" s="11" t="n"/>
      <c r="AB304" s="11" t="n"/>
      <c r="AC304" s="11" t="n"/>
      <c r="AD304" s="11" t="n"/>
      <c r="AE304" s="11" t="n"/>
      <c r="AF304" s="9" t="n"/>
      <c r="AG304" s="9" t="n"/>
      <c r="AH304" s="9" t="n"/>
      <c r="AI304" s="9" t="n"/>
      <c r="AJ304" s="8" t="n"/>
      <c r="AK304" s="9" t="n"/>
      <c r="AL304" s="9" t="n"/>
      <c r="AM304" s="9" t="n"/>
      <c r="AN304" s="9" t="n"/>
      <c r="AO304" s="9" t="n"/>
      <c r="AP304" s="9" t="n"/>
      <c r="AQ304" s="9" t="n"/>
      <c r="AR304" s="9" t="n"/>
      <c r="AS304" s="9" t="n"/>
      <c r="AT304" s="8" t="n"/>
      <c r="AU304" s="8" t="n"/>
      <c r="AV304" s="9" t="n"/>
      <c r="AW304" s="8" t="n"/>
      <c r="AX304" s="9" t="n"/>
      <c r="AY304" s="9" t="n"/>
      <c r="AZ304" s="9" t="n"/>
      <c r="BA304" s="9" t="n"/>
      <c r="BB304" s="9" t="n"/>
      <c r="BC304" s="9" t="n"/>
      <c r="BD304" s="9" t="n"/>
      <c r="BE304" s="9" t="n"/>
      <c r="BF304" s="9" t="n"/>
      <c r="BG304" s="9" t="n"/>
      <c r="BH304" s="9" t="n"/>
      <c r="BI304" s="9" t="n"/>
      <c r="BJ304" s="9" t="n"/>
      <c r="BK304" s="9" t="n"/>
      <c r="BL304" s="9" t="n"/>
      <c r="BM304" s="9" t="n"/>
      <c r="BN304" s="9" t="n"/>
      <c r="BO304" s="8" t="n"/>
      <c r="BP304" s="9" t="n"/>
      <c r="BQ304" s="9" t="n"/>
      <c r="BR304" s="13">
        <f>IF(COUNTIF(AI304:BM304,"N")+COUNTBLANK(AI304:BM304)=0,"Y","N")</f>
        <v/>
      </c>
      <c r="BS304" s="13">
        <f>IF(AND(BR304="Y",OR(L304="Submitted",L304="Under Review")),"Y",IF(L304="Closed","Y","N"))</f>
        <v/>
      </c>
      <c r="BT304" s="10" t="n"/>
      <c r="BU304" s="13">
        <f>Rule_Flags!Q303</f>
        <v/>
      </c>
      <c r="BV304" s="13">
        <f>Rule_Flags!P303</f>
        <v/>
      </c>
      <c r="BW304" s="13">
        <f>IF(Rule_Flags!E303=1,"SITE_CONTROL",IF(Rule_Flags!F303=1,"APPROVALS",IF(Rule_Flags!G303=1,"REPORTS",IF(Rule_Flags!H303=1,"DEFICIENCY",IF(Rule_Flags!I303=1,"UNDERWRITING",IF(Rule_Flags!J303=1,"COMPLIANCE",""))))))</f>
        <v/>
      </c>
      <c r="BX304" s="13">
        <f>IF(BW304="SITE_CONTROL","Site control missing or invalid",IF(BW304="APPROVALS","Required approvals or resolutions incomplete",IF(BW304="REPORTS","Required third-party reports incomplete",IF(BW304="DEFICIENCY","Unresolved deficiency or material deficiency",IF(BW304="UNDERWRITING","Underwriting / feasibility not passed",IF(BW304="COMPLIANCE","Deconcentration, one-mile, LURA, or Chapter 12 issue","Ready under current engine rules"))))))</f>
        <v/>
      </c>
      <c r="BY304" s="13">
        <f>IF(BV304="Determination Notice","Streamlined + DN-ready assumptions satisfied",IF(BV304="Board","Board-required or board-ready assumptions satisfied",""))</f>
        <v/>
      </c>
      <c r="BZ304" s="13">
        <f>IF(AND(BP304="Y",BQ304&lt;&gt;"Y"),"Carryforward project retains queue priority",IF(BQ304="Y","New project enters behind carryforward projects",""))</f>
        <v/>
      </c>
      <c r="CA304" s="13">
        <f>_xludf.RANK.EQ(Rule_Flags!O303,Rule_Flags!$O$3:$O$402,0)</f>
        <v/>
      </c>
      <c r="CB304" s="13">
        <f>IF(OR(BU304="Determination Notice Issued",BU304="Board",BU304="Closed"),"Y","N")</f>
        <v/>
      </c>
      <c r="CC304" s="9" t="n"/>
      <c r="CD304" s="9" t="n"/>
      <c r="CE304" s="9" t="n"/>
      <c r="CF304" s="9" t="n"/>
      <c r="CG304" s="9" t="n"/>
      <c r="CH304" s="9" t="n"/>
    </row>
    <row r="305">
      <c r="A305" s="8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8" t="n"/>
      <c r="L305" s="9" t="n"/>
      <c r="M305" s="8" t="n"/>
      <c r="N305" s="8" t="n"/>
      <c r="O305" s="8" t="n"/>
      <c r="P305" s="8" t="n"/>
      <c r="Q305" s="8" t="n"/>
      <c r="R305" s="9" t="n"/>
      <c r="S305" s="9" t="n"/>
      <c r="T305" s="10" t="n"/>
      <c r="U305" s="10" t="n"/>
      <c r="V305" s="9" t="n"/>
      <c r="W305" s="9" t="n"/>
      <c r="X305" s="9" t="n"/>
      <c r="Y305" s="9" t="n"/>
      <c r="Z305" s="11" t="n"/>
      <c r="AA305" s="11" t="n"/>
      <c r="AB305" s="11" t="n"/>
      <c r="AC305" s="11" t="n"/>
      <c r="AD305" s="11" t="n"/>
      <c r="AE305" s="11" t="n"/>
      <c r="AF305" s="9" t="n"/>
      <c r="AG305" s="9" t="n"/>
      <c r="AH305" s="9" t="n"/>
      <c r="AI305" s="9" t="n"/>
      <c r="AJ305" s="8" t="n"/>
      <c r="AK305" s="9" t="n"/>
      <c r="AL305" s="9" t="n"/>
      <c r="AM305" s="9" t="n"/>
      <c r="AN305" s="9" t="n"/>
      <c r="AO305" s="9" t="n"/>
      <c r="AP305" s="9" t="n"/>
      <c r="AQ305" s="9" t="n"/>
      <c r="AR305" s="9" t="n"/>
      <c r="AS305" s="9" t="n"/>
      <c r="AT305" s="8" t="n"/>
      <c r="AU305" s="8" t="n"/>
      <c r="AV305" s="9" t="n"/>
      <c r="AW305" s="8" t="n"/>
      <c r="AX305" s="9" t="n"/>
      <c r="AY305" s="9" t="n"/>
      <c r="AZ305" s="9" t="n"/>
      <c r="BA305" s="9" t="n"/>
      <c r="BB305" s="9" t="n"/>
      <c r="BC305" s="9" t="n"/>
      <c r="BD305" s="9" t="n"/>
      <c r="BE305" s="9" t="n"/>
      <c r="BF305" s="9" t="n"/>
      <c r="BG305" s="9" t="n"/>
      <c r="BH305" s="9" t="n"/>
      <c r="BI305" s="9" t="n"/>
      <c r="BJ305" s="9" t="n"/>
      <c r="BK305" s="9" t="n"/>
      <c r="BL305" s="9" t="n"/>
      <c r="BM305" s="9" t="n"/>
      <c r="BN305" s="9" t="n"/>
      <c r="BO305" s="8" t="n"/>
      <c r="BP305" s="9" t="n"/>
      <c r="BQ305" s="9" t="n"/>
      <c r="BR305" s="13">
        <f>IF(COUNTIF(AI305:BM305,"N")+COUNTBLANK(AI305:BM305)=0,"Y","N")</f>
        <v/>
      </c>
      <c r="BS305" s="13">
        <f>IF(AND(BR305="Y",OR(L305="Submitted",L305="Under Review")),"Y",IF(L305="Closed","Y","N"))</f>
        <v/>
      </c>
      <c r="BT305" s="10" t="n"/>
      <c r="BU305" s="13">
        <f>Rule_Flags!Q304</f>
        <v/>
      </c>
      <c r="BV305" s="13">
        <f>Rule_Flags!P304</f>
        <v/>
      </c>
      <c r="BW305" s="13">
        <f>IF(Rule_Flags!E304=1,"SITE_CONTROL",IF(Rule_Flags!F304=1,"APPROVALS",IF(Rule_Flags!G304=1,"REPORTS",IF(Rule_Flags!H304=1,"DEFICIENCY",IF(Rule_Flags!I304=1,"UNDERWRITING",IF(Rule_Flags!J304=1,"COMPLIANCE",""))))))</f>
        <v/>
      </c>
      <c r="BX305" s="13">
        <f>IF(BW305="SITE_CONTROL","Site control missing or invalid",IF(BW305="APPROVALS","Required approvals or resolutions incomplete",IF(BW305="REPORTS","Required third-party reports incomplete",IF(BW305="DEFICIENCY","Unresolved deficiency or material deficiency",IF(BW305="UNDERWRITING","Underwriting / feasibility not passed",IF(BW305="COMPLIANCE","Deconcentration, one-mile, LURA, or Chapter 12 issue","Ready under current engine rules"))))))</f>
        <v/>
      </c>
      <c r="BY305" s="13">
        <f>IF(BV305="Determination Notice","Streamlined + DN-ready assumptions satisfied",IF(BV305="Board","Board-required or board-ready assumptions satisfied",""))</f>
        <v/>
      </c>
      <c r="BZ305" s="13">
        <f>IF(AND(BP305="Y",BQ305&lt;&gt;"Y"),"Carryforward project retains queue priority",IF(BQ305="Y","New project enters behind carryforward projects",""))</f>
        <v/>
      </c>
      <c r="CA305" s="13">
        <f>_xludf.RANK.EQ(Rule_Flags!O304,Rule_Flags!$O$3:$O$402,0)</f>
        <v/>
      </c>
      <c r="CB305" s="13">
        <f>IF(OR(BU305="Determination Notice Issued",BU305="Board",BU305="Closed"),"Y","N")</f>
        <v/>
      </c>
      <c r="CC305" s="9" t="n"/>
      <c r="CD305" s="9" t="n"/>
      <c r="CE305" s="9" t="n"/>
      <c r="CF305" s="9" t="n"/>
      <c r="CG305" s="9" t="n"/>
      <c r="CH305" s="9" t="n"/>
    </row>
    <row r="306">
      <c r="A306" s="8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8" t="n"/>
      <c r="L306" s="9" t="n"/>
      <c r="M306" s="8" t="n"/>
      <c r="N306" s="8" t="n"/>
      <c r="O306" s="8" t="n"/>
      <c r="P306" s="8" t="n"/>
      <c r="Q306" s="8" t="n"/>
      <c r="R306" s="9" t="n"/>
      <c r="S306" s="9" t="n"/>
      <c r="T306" s="10" t="n"/>
      <c r="U306" s="10" t="n"/>
      <c r="V306" s="9" t="n"/>
      <c r="W306" s="9" t="n"/>
      <c r="X306" s="9" t="n"/>
      <c r="Y306" s="9" t="n"/>
      <c r="Z306" s="11" t="n"/>
      <c r="AA306" s="11" t="n"/>
      <c r="AB306" s="11" t="n"/>
      <c r="AC306" s="11" t="n"/>
      <c r="AD306" s="11" t="n"/>
      <c r="AE306" s="11" t="n"/>
      <c r="AF306" s="9" t="n"/>
      <c r="AG306" s="9" t="n"/>
      <c r="AH306" s="9" t="n"/>
      <c r="AI306" s="9" t="n"/>
      <c r="AJ306" s="8" t="n"/>
      <c r="AK306" s="9" t="n"/>
      <c r="AL306" s="9" t="n"/>
      <c r="AM306" s="9" t="n"/>
      <c r="AN306" s="9" t="n"/>
      <c r="AO306" s="9" t="n"/>
      <c r="AP306" s="9" t="n"/>
      <c r="AQ306" s="9" t="n"/>
      <c r="AR306" s="9" t="n"/>
      <c r="AS306" s="9" t="n"/>
      <c r="AT306" s="8" t="n"/>
      <c r="AU306" s="8" t="n"/>
      <c r="AV306" s="9" t="n"/>
      <c r="AW306" s="8" t="n"/>
      <c r="AX306" s="9" t="n"/>
      <c r="AY306" s="9" t="n"/>
      <c r="AZ306" s="9" t="n"/>
      <c r="BA306" s="9" t="n"/>
      <c r="BB306" s="9" t="n"/>
      <c r="BC306" s="9" t="n"/>
      <c r="BD306" s="9" t="n"/>
      <c r="BE306" s="9" t="n"/>
      <c r="BF306" s="9" t="n"/>
      <c r="BG306" s="9" t="n"/>
      <c r="BH306" s="9" t="n"/>
      <c r="BI306" s="9" t="n"/>
      <c r="BJ306" s="9" t="n"/>
      <c r="BK306" s="9" t="n"/>
      <c r="BL306" s="9" t="n"/>
      <c r="BM306" s="9" t="n"/>
      <c r="BN306" s="9" t="n"/>
      <c r="BO306" s="8" t="n"/>
      <c r="BP306" s="9" t="n"/>
      <c r="BQ306" s="9" t="n"/>
      <c r="BR306" s="13">
        <f>IF(COUNTIF(AI306:BM306,"N")+COUNTBLANK(AI306:BM306)=0,"Y","N")</f>
        <v/>
      </c>
      <c r="BS306" s="13">
        <f>IF(AND(BR306="Y",OR(L306="Submitted",L306="Under Review")),"Y",IF(L306="Closed","Y","N"))</f>
        <v/>
      </c>
      <c r="BT306" s="10" t="n"/>
      <c r="BU306" s="13">
        <f>Rule_Flags!Q305</f>
        <v/>
      </c>
      <c r="BV306" s="13">
        <f>Rule_Flags!P305</f>
        <v/>
      </c>
      <c r="BW306" s="13">
        <f>IF(Rule_Flags!E305=1,"SITE_CONTROL",IF(Rule_Flags!F305=1,"APPROVALS",IF(Rule_Flags!G305=1,"REPORTS",IF(Rule_Flags!H305=1,"DEFICIENCY",IF(Rule_Flags!I305=1,"UNDERWRITING",IF(Rule_Flags!J305=1,"COMPLIANCE",""))))))</f>
        <v/>
      </c>
      <c r="BX306" s="13">
        <f>IF(BW306="SITE_CONTROL","Site control missing or invalid",IF(BW306="APPROVALS","Required approvals or resolutions incomplete",IF(BW306="REPORTS","Required third-party reports incomplete",IF(BW306="DEFICIENCY","Unresolved deficiency or material deficiency",IF(BW306="UNDERWRITING","Underwriting / feasibility not passed",IF(BW306="COMPLIANCE","Deconcentration, one-mile, LURA, or Chapter 12 issue","Ready under current engine rules"))))))</f>
        <v/>
      </c>
      <c r="BY306" s="13">
        <f>IF(BV306="Determination Notice","Streamlined + DN-ready assumptions satisfied",IF(BV306="Board","Board-required or board-ready assumptions satisfied",""))</f>
        <v/>
      </c>
      <c r="BZ306" s="13">
        <f>IF(AND(BP306="Y",BQ306&lt;&gt;"Y"),"Carryforward project retains queue priority",IF(BQ306="Y","New project enters behind carryforward projects",""))</f>
        <v/>
      </c>
      <c r="CA306" s="13">
        <f>_xludf.RANK.EQ(Rule_Flags!O305,Rule_Flags!$O$3:$O$402,0)</f>
        <v/>
      </c>
      <c r="CB306" s="13">
        <f>IF(OR(BU306="Determination Notice Issued",BU306="Board",BU306="Closed"),"Y","N")</f>
        <v/>
      </c>
      <c r="CC306" s="9" t="n"/>
      <c r="CD306" s="9" t="n"/>
      <c r="CE306" s="9" t="n"/>
      <c r="CF306" s="9" t="n"/>
      <c r="CG306" s="9" t="n"/>
      <c r="CH306" s="9" t="n"/>
    </row>
    <row r="307">
      <c r="A307" s="8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8" t="n"/>
      <c r="L307" s="9" t="n"/>
      <c r="M307" s="8" t="n"/>
      <c r="N307" s="8" t="n"/>
      <c r="O307" s="8" t="n"/>
      <c r="P307" s="8" t="n"/>
      <c r="Q307" s="8" t="n"/>
      <c r="R307" s="9" t="n"/>
      <c r="S307" s="9" t="n"/>
      <c r="T307" s="10" t="n"/>
      <c r="U307" s="10" t="n"/>
      <c r="V307" s="9" t="n"/>
      <c r="W307" s="9" t="n"/>
      <c r="X307" s="9" t="n"/>
      <c r="Y307" s="9" t="n"/>
      <c r="Z307" s="11" t="n"/>
      <c r="AA307" s="11" t="n"/>
      <c r="AB307" s="11" t="n"/>
      <c r="AC307" s="11" t="n"/>
      <c r="AD307" s="11" t="n"/>
      <c r="AE307" s="11" t="n"/>
      <c r="AF307" s="9" t="n"/>
      <c r="AG307" s="9" t="n"/>
      <c r="AH307" s="9" t="n"/>
      <c r="AI307" s="9" t="n"/>
      <c r="AJ307" s="8" t="n"/>
      <c r="AK307" s="9" t="n"/>
      <c r="AL307" s="9" t="n"/>
      <c r="AM307" s="9" t="n"/>
      <c r="AN307" s="9" t="n"/>
      <c r="AO307" s="9" t="n"/>
      <c r="AP307" s="9" t="n"/>
      <c r="AQ307" s="9" t="n"/>
      <c r="AR307" s="9" t="n"/>
      <c r="AS307" s="9" t="n"/>
      <c r="AT307" s="8" t="n"/>
      <c r="AU307" s="8" t="n"/>
      <c r="AV307" s="9" t="n"/>
      <c r="AW307" s="8" t="n"/>
      <c r="AX307" s="9" t="n"/>
      <c r="AY307" s="9" t="n"/>
      <c r="AZ307" s="9" t="n"/>
      <c r="BA307" s="9" t="n"/>
      <c r="BB307" s="9" t="n"/>
      <c r="BC307" s="9" t="n"/>
      <c r="BD307" s="9" t="n"/>
      <c r="BE307" s="9" t="n"/>
      <c r="BF307" s="9" t="n"/>
      <c r="BG307" s="9" t="n"/>
      <c r="BH307" s="9" t="n"/>
      <c r="BI307" s="9" t="n"/>
      <c r="BJ307" s="9" t="n"/>
      <c r="BK307" s="9" t="n"/>
      <c r="BL307" s="9" t="n"/>
      <c r="BM307" s="9" t="n"/>
      <c r="BN307" s="9" t="n"/>
      <c r="BO307" s="8" t="n"/>
      <c r="BP307" s="9" t="n"/>
      <c r="BQ307" s="9" t="n"/>
      <c r="BR307" s="13">
        <f>IF(COUNTIF(AI307:BM307,"N")+COUNTBLANK(AI307:BM307)=0,"Y","N")</f>
        <v/>
      </c>
      <c r="BS307" s="13">
        <f>IF(AND(BR307="Y",OR(L307="Submitted",L307="Under Review")),"Y",IF(L307="Closed","Y","N"))</f>
        <v/>
      </c>
      <c r="BT307" s="10" t="n"/>
      <c r="BU307" s="13">
        <f>Rule_Flags!Q306</f>
        <v/>
      </c>
      <c r="BV307" s="13">
        <f>Rule_Flags!P306</f>
        <v/>
      </c>
      <c r="BW307" s="13">
        <f>IF(Rule_Flags!E306=1,"SITE_CONTROL",IF(Rule_Flags!F306=1,"APPROVALS",IF(Rule_Flags!G306=1,"REPORTS",IF(Rule_Flags!H306=1,"DEFICIENCY",IF(Rule_Flags!I306=1,"UNDERWRITING",IF(Rule_Flags!J306=1,"COMPLIANCE",""))))))</f>
        <v/>
      </c>
      <c r="BX307" s="13">
        <f>IF(BW307="SITE_CONTROL","Site control missing or invalid",IF(BW307="APPROVALS","Required approvals or resolutions incomplete",IF(BW307="REPORTS","Required third-party reports incomplete",IF(BW307="DEFICIENCY","Unresolved deficiency or material deficiency",IF(BW307="UNDERWRITING","Underwriting / feasibility not passed",IF(BW307="COMPLIANCE","Deconcentration, one-mile, LURA, or Chapter 12 issue","Ready under current engine rules"))))))</f>
        <v/>
      </c>
      <c r="BY307" s="13">
        <f>IF(BV307="Determination Notice","Streamlined + DN-ready assumptions satisfied",IF(BV307="Board","Board-required or board-ready assumptions satisfied",""))</f>
        <v/>
      </c>
      <c r="BZ307" s="13">
        <f>IF(AND(BP307="Y",BQ307&lt;&gt;"Y"),"Carryforward project retains queue priority",IF(BQ307="Y","New project enters behind carryforward projects",""))</f>
        <v/>
      </c>
      <c r="CA307" s="13">
        <f>_xludf.RANK.EQ(Rule_Flags!O306,Rule_Flags!$O$3:$O$402,0)</f>
        <v/>
      </c>
      <c r="CB307" s="13">
        <f>IF(OR(BU307="Determination Notice Issued",BU307="Board",BU307="Closed"),"Y","N")</f>
        <v/>
      </c>
      <c r="CC307" s="9" t="n"/>
      <c r="CD307" s="9" t="n"/>
      <c r="CE307" s="9" t="n"/>
      <c r="CF307" s="9" t="n"/>
      <c r="CG307" s="9" t="n"/>
      <c r="CH307" s="9" t="n"/>
    </row>
    <row r="308">
      <c r="A308" s="8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8" t="n"/>
      <c r="L308" s="9" t="n"/>
      <c r="M308" s="8" t="n"/>
      <c r="N308" s="8" t="n"/>
      <c r="O308" s="8" t="n"/>
      <c r="P308" s="8" t="n"/>
      <c r="Q308" s="8" t="n"/>
      <c r="R308" s="9" t="n"/>
      <c r="S308" s="9" t="n"/>
      <c r="T308" s="10" t="n"/>
      <c r="U308" s="10" t="n"/>
      <c r="V308" s="9" t="n"/>
      <c r="W308" s="9" t="n"/>
      <c r="X308" s="9" t="n"/>
      <c r="Y308" s="9" t="n"/>
      <c r="Z308" s="11" t="n"/>
      <c r="AA308" s="11" t="n"/>
      <c r="AB308" s="11" t="n"/>
      <c r="AC308" s="11" t="n"/>
      <c r="AD308" s="11" t="n"/>
      <c r="AE308" s="11" t="n"/>
      <c r="AF308" s="9" t="n"/>
      <c r="AG308" s="9" t="n"/>
      <c r="AH308" s="9" t="n"/>
      <c r="AI308" s="9" t="n"/>
      <c r="AJ308" s="8" t="n"/>
      <c r="AK308" s="9" t="n"/>
      <c r="AL308" s="9" t="n"/>
      <c r="AM308" s="9" t="n"/>
      <c r="AN308" s="9" t="n"/>
      <c r="AO308" s="9" t="n"/>
      <c r="AP308" s="9" t="n"/>
      <c r="AQ308" s="9" t="n"/>
      <c r="AR308" s="9" t="n"/>
      <c r="AS308" s="9" t="n"/>
      <c r="AT308" s="8" t="n"/>
      <c r="AU308" s="8" t="n"/>
      <c r="AV308" s="9" t="n"/>
      <c r="AW308" s="8" t="n"/>
      <c r="AX308" s="9" t="n"/>
      <c r="AY308" s="9" t="n"/>
      <c r="AZ308" s="9" t="n"/>
      <c r="BA308" s="9" t="n"/>
      <c r="BB308" s="9" t="n"/>
      <c r="BC308" s="9" t="n"/>
      <c r="BD308" s="9" t="n"/>
      <c r="BE308" s="9" t="n"/>
      <c r="BF308" s="9" t="n"/>
      <c r="BG308" s="9" t="n"/>
      <c r="BH308" s="9" t="n"/>
      <c r="BI308" s="9" t="n"/>
      <c r="BJ308" s="9" t="n"/>
      <c r="BK308" s="9" t="n"/>
      <c r="BL308" s="9" t="n"/>
      <c r="BM308" s="9" t="n"/>
      <c r="BN308" s="9" t="n"/>
      <c r="BO308" s="8" t="n"/>
      <c r="BP308" s="9" t="n"/>
      <c r="BQ308" s="9" t="n"/>
      <c r="BR308" s="13">
        <f>IF(COUNTIF(AI308:BM308,"N")+COUNTBLANK(AI308:BM308)=0,"Y","N")</f>
        <v/>
      </c>
      <c r="BS308" s="13">
        <f>IF(AND(BR308="Y",OR(L308="Submitted",L308="Under Review")),"Y",IF(L308="Closed","Y","N"))</f>
        <v/>
      </c>
      <c r="BT308" s="10" t="n"/>
      <c r="BU308" s="13">
        <f>Rule_Flags!Q307</f>
        <v/>
      </c>
      <c r="BV308" s="13">
        <f>Rule_Flags!P307</f>
        <v/>
      </c>
      <c r="BW308" s="13">
        <f>IF(Rule_Flags!E307=1,"SITE_CONTROL",IF(Rule_Flags!F307=1,"APPROVALS",IF(Rule_Flags!G307=1,"REPORTS",IF(Rule_Flags!H307=1,"DEFICIENCY",IF(Rule_Flags!I307=1,"UNDERWRITING",IF(Rule_Flags!J307=1,"COMPLIANCE",""))))))</f>
        <v/>
      </c>
      <c r="BX308" s="13">
        <f>IF(BW308="SITE_CONTROL","Site control missing or invalid",IF(BW308="APPROVALS","Required approvals or resolutions incomplete",IF(BW308="REPORTS","Required third-party reports incomplete",IF(BW308="DEFICIENCY","Unresolved deficiency or material deficiency",IF(BW308="UNDERWRITING","Underwriting / feasibility not passed",IF(BW308="COMPLIANCE","Deconcentration, one-mile, LURA, or Chapter 12 issue","Ready under current engine rules"))))))</f>
        <v/>
      </c>
      <c r="BY308" s="13">
        <f>IF(BV308="Determination Notice","Streamlined + DN-ready assumptions satisfied",IF(BV308="Board","Board-required or board-ready assumptions satisfied",""))</f>
        <v/>
      </c>
      <c r="BZ308" s="13">
        <f>IF(AND(BP308="Y",BQ308&lt;&gt;"Y"),"Carryforward project retains queue priority",IF(BQ308="Y","New project enters behind carryforward projects",""))</f>
        <v/>
      </c>
      <c r="CA308" s="13">
        <f>_xludf.RANK.EQ(Rule_Flags!O307,Rule_Flags!$O$3:$O$402,0)</f>
        <v/>
      </c>
      <c r="CB308" s="13">
        <f>IF(OR(BU308="Determination Notice Issued",BU308="Board",BU308="Closed"),"Y","N")</f>
        <v/>
      </c>
      <c r="CC308" s="9" t="n"/>
      <c r="CD308" s="9" t="n"/>
      <c r="CE308" s="9" t="n"/>
      <c r="CF308" s="9" t="n"/>
      <c r="CG308" s="9" t="n"/>
      <c r="CH308" s="9" t="n"/>
    </row>
    <row r="309">
      <c r="A309" s="8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8" t="n"/>
      <c r="L309" s="9" t="n"/>
      <c r="M309" s="8" t="n"/>
      <c r="N309" s="8" t="n"/>
      <c r="O309" s="8" t="n"/>
      <c r="P309" s="8" t="n"/>
      <c r="Q309" s="8" t="n"/>
      <c r="R309" s="9" t="n"/>
      <c r="S309" s="9" t="n"/>
      <c r="T309" s="10" t="n"/>
      <c r="U309" s="10" t="n"/>
      <c r="V309" s="9" t="n"/>
      <c r="W309" s="9" t="n"/>
      <c r="X309" s="9" t="n"/>
      <c r="Y309" s="9" t="n"/>
      <c r="Z309" s="11" t="n"/>
      <c r="AA309" s="11" t="n"/>
      <c r="AB309" s="11" t="n"/>
      <c r="AC309" s="11" t="n"/>
      <c r="AD309" s="11" t="n"/>
      <c r="AE309" s="11" t="n"/>
      <c r="AF309" s="9" t="n"/>
      <c r="AG309" s="9" t="n"/>
      <c r="AH309" s="9" t="n"/>
      <c r="AI309" s="9" t="n"/>
      <c r="AJ309" s="8" t="n"/>
      <c r="AK309" s="9" t="n"/>
      <c r="AL309" s="9" t="n"/>
      <c r="AM309" s="9" t="n"/>
      <c r="AN309" s="9" t="n"/>
      <c r="AO309" s="9" t="n"/>
      <c r="AP309" s="9" t="n"/>
      <c r="AQ309" s="9" t="n"/>
      <c r="AR309" s="9" t="n"/>
      <c r="AS309" s="9" t="n"/>
      <c r="AT309" s="8" t="n"/>
      <c r="AU309" s="8" t="n"/>
      <c r="AV309" s="9" t="n"/>
      <c r="AW309" s="8" t="n"/>
      <c r="AX309" s="9" t="n"/>
      <c r="AY309" s="9" t="n"/>
      <c r="AZ309" s="9" t="n"/>
      <c r="BA309" s="9" t="n"/>
      <c r="BB309" s="9" t="n"/>
      <c r="BC309" s="9" t="n"/>
      <c r="BD309" s="9" t="n"/>
      <c r="BE309" s="9" t="n"/>
      <c r="BF309" s="9" t="n"/>
      <c r="BG309" s="9" t="n"/>
      <c r="BH309" s="9" t="n"/>
      <c r="BI309" s="9" t="n"/>
      <c r="BJ309" s="9" t="n"/>
      <c r="BK309" s="9" t="n"/>
      <c r="BL309" s="9" t="n"/>
      <c r="BM309" s="9" t="n"/>
      <c r="BN309" s="9" t="n"/>
      <c r="BO309" s="8" t="n"/>
      <c r="BP309" s="9" t="n"/>
      <c r="BQ309" s="9" t="n"/>
      <c r="BR309" s="13">
        <f>IF(COUNTIF(AI309:BM309,"N")+COUNTBLANK(AI309:BM309)=0,"Y","N")</f>
        <v/>
      </c>
      <c r="BS309" s="13">
        <f>IF(AND(BR309="Y",OR(L309="Submitted",L309="Under Review")),"Y",IF(L309="Closed","Y","N"))</f>
        <v/>
      </c>
      <c r="BT309" s="10" t="n"/>
      <c r="BU309" s="13">
        <f>Rule_Flags!Q308</f>
        <v/>
      </c>
      <c r="BV309" s="13">
        <f>Rule_Flags!P308</f>
        <v/>
      </c>
      <c r="BW309" s="13">
        <f>IF(Rule_Flags!E308=1,"SITE_CONTROL",IF(Rule_Flags!F308=1,"APPROVALS",IF(Rule_Flags!G308=1,"REPORTS",IF(Rule_Flags!H308=1,"DEFICIENCY",IF(Rule_Flags!I308=1,"UNDERWRITING",IF(Rule_Flags!J308=1,"COMPLIANCE",""))))))</f>
        <v/>
      </c>
      <c r="BX309" s="13">
        <f>IF(BW309="SITE_CONTROL","Site control missing or invalid",IF(BW309="APPROVALS","Required approvals or resolutions incomplete",IF(BW309="REPORTS","Required third-party reports incomplete",IF(BW309="DEFICIENCY","Unresolved deficiency or material deficiency",IF(BW309="UNDERWRITING","Underwriting / feasibility not passed",IF(BW309="COMPLIANCE","Deconcentration, one-mile, LURA, or Chapter 12 issue","Ready under current engine rules"))))))</f>
        <v/>
      </c>
      <c r="BY309" s="13">
        <f>IF(BV309="Determination Notice","Streamlined + DN-ready assumptions satisfied",IF(BV309="Board","Board-required or board-ready assumptions satisfied",""))</f>
        <v/>
      </c>
      <c r="BZ309" s="13">
        <f>IF(AND(BP309="Y",BQ309&lt;&gt;"Y"),"Carryforward project retains queue priority",IF(BQ309="Y","New project enters behind carryforward projects",""))</f>
        <v/>
      </c>
      <c r="CA309" s="13">
        <f>_xludf.RANK.EQ(Rule_Flags!O308,Rule_Flags!$O$3:$O$402,0)</f>
        <v/>
      </c>
      <c r="CB309" s="13">
        <f>IF(OR(BU309="Determination Notice Issued",BU309="Board",BU309="Closed"),"Y","N")</f>
        <v/>
      </c>
      <c r="CC309" s="9" t="n"/>
      <c r="CD309" s="9" t="n"/>
      <c r="CE309" s="9" t="n"/>
      <c r="CF309" s="9" t="n"/>
      <c r="CG309" s="9" t="n"/>
      <c r="CH309" s="9" t="n"/>
    </row>
    <row r="310">
      <c r="A310" s="8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8" t="n"/>
      <c r="L310" s="9" t="n"/>
      <c r="M310" s="8" t="n"/>
      <c r="N310" s="8" t="n"/>
      <c r="O310" s="8" t="n"/>
      <c r="P310" s="8" t="n"/>
      <c r="Q310" s="8" t="n"/>
      <c r="R310" s="9" t="n"/>
      <c r="S310" s="9" t="n"/>
      <c r="T310" s="10" t="n"/>
      <c r="U310" s="10" t="n"/>
      <c r="V310" s="9" t="n"/>
      <c r="W310" s="9" t="n"/>
      <c r="X310" s="9" t="n"/>
      <c r="Y310" s="9" t="n"/>
      <c r="Z310" s="11" t="n"/>
      <c r="AA310" s="11" t="n"/>
      <c r="AB310" s="11" t="n"/>
      <c r="AC310" s="11" t="n"/>
      <c r="AD310" s="11" t="n"/>
      <c r="AE310" s="11" t="n"/>
      <c r="AF310" s="9" t="n"/>
      <c r="AG310" s="9" t="n"/>
      <c r="AH310" s="9" t="n"/>
      <c r="AI310" s="9" t="n"/>
      <c r="AJ310" s="8" t="n"/>
      <c r="AK310" s="9" t="n"/>
      <c r="AL310" s="9" t="n"/>
      <c r="AM310" s="9" t="n"/>
      <c r="AN310" s="9" t="n"/>
      <c r="AO310" s="9" t="n"/>
      <c r="AP310" s="9" t="n"/>
      <c r="AQ310" s="9" t="n"/>
      <c r="AR310" s="9" t="n"/>
      <c r="AS310" s="9" t="n"/>
      <c r="AT310" s="8" t="n"/>
      <c r="AU310" s="8" t="n"/>
      <c r="AV310" s="9" t="n"/>
      <c r="AW310" s="8" t="n"/>
      <c r="AX310" s="9" t="n"/>
      <c r="AY310" s="9" t="n"/>
      <c r="AZ310" s="9" t="n"/>
      <c r="BA310" s="9" t="n"/>
      <c r="BB310" s="9" t="n"/>
      <c r="BC310" s="9" t="n"/>
      <c r="BD310" s="9" t="n"/>
      <c r="BE310" s="9" t="n"/>
      <c r="BF310" s="9" t="n"/>
      <c r="BG310" s="9" t="n"/>
      <c r="BH310" s="9" t="n"/>
      <c r="BI310" s="9" t="n"/>
      <c r="BJ310" s="9" t="n"/>
      <c r="BK310" s="9" t="n"/>
      <c r="BL310" s="9" t="n"/>
      <c r="BM310" s="9" t="n"/>
      <c r="BN310" s="9" t="n"/>
      <c r="BO310" s="8" t="n"/>
      <c r="BP310" s="9" t="n"/>
      <c r="BQ310" s="9" t="n"/>
      <c r="BR310" s="13">
        <f>IF(COUNTIF(AI310:BM310,"N")+COUNTBLANK(AI310:BM310)=0,"Y","N")</f>
        <v/>
      </c>
      <c r="BS310" s="13">
        <f>IF(AND(BR310="Y",OR(L310="Submitted",L310="Under Review")),"Y",IF(L310="Closed","Y","N"))</f>
        <v/>
      </c>
      <c r="BT310" s="10" t="n"/>
      <c r="BU310" s="13">
        <f>Rule_Flags!Q309</f>
        <v/>
      </c>
      <c r="BV310" s="13">
        <f>Rule_Flags!P309</f>
        <v/>
      </c>
      <c r="BW310" s="13">
        <f>IF(Rule_Flags!E309=1,"SITE_CONTROL",IF(Rule_Flags!F309=1,"APPROVALS",IF(Rule_Flags!G309=1,"REPORTS",IF(Rule_Flags!H309=1,"DEFICIENCY",IF(Rule_Flags!I309=1,"UNDERWRITING",IF(Rule_Flags!J309=1,"COMPLIANCE",""))))))</f>
        <v/>
      </c>
      <c r="BX310" s="13">
        <f>IF(BW310="SITE_CONTROL","Site control missing or invalid",IF(BW310="APPROVALS","Required approvals or resolutions incomplete",IF(BW310="REPORTS","Required third-party reports incomplete",IF(BW310="DEFICIENCY","Unresolved deficiency or material deficiency",IF(BW310="UNDERWRITING","Underwriting / feasibility not passed",IF(BW310="COMPLIANCE","Deconcentration, one-mile, LURA, or Chapter 12 issue","Ready under current engine rules"))))))</f>
        <v/>
      </c>
      <c r="BY310" s="13">
        <f>IF(BV310="Determination Notice","Streamlined + DN-ready assumptions satisfied",IF(BV310="Board","Board-required or board-ready assumptions satisfied",""))</f>
        <v/>
      </c>
      <c r="BZ310" s="13">
        <f>IF(AND(BP310="Y",BQ310&lt;&gt;"Y"),"Carryforward project retains queue priority",IF(BQ310="Y","New project enters behind carryforward projects",""))</f>
        <v/>
      </c>
      <c r="CA310" s="13">
        <f>_xludf.RANK.EQ(Rule_Flags!O309,Rule_Flags!$O$3:$O$402,0)</f>
        <v/>
      </c>
      <c r="CB310" s="13">
        <f>IF(OR(BU310="Determination Notice Issued",BU310="Board",BU310="Closed"),"Y","N")</f>
        <v/>
      </c>
      <c r="CC310" s="9" t="n"/>
      <c r="CD310" s="9" t="n"/>
      <c r="CE310" s="9" t="n"/>
      <c r="CF310" s="9" t="n"/>
      <c r="CG310" s="9" t="n"/>
      <c r="CH310" s="9" t="n"/>
    </row>
    <row r="311">
      <c r="A311" s="8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8" t="n"/>
      <c r="L311" s="9" t="n"/>
      <c r="M311" s="8" t="n"/>
      <c r="N311" s="8" t="n"/>
      <c r="O311" s="8" t="n"/>
      <c r="P311" s="8" t="n"/>
      <c r="Q311" s="8" t="n"/>
      <c r="R311" s="9" t="n"/>
      <c r="S311" s="9" t="n"/>
      <c r="T311" s="10" t="n"/>
      <c r="U311" s="10" t="n"/>
      <c r="V311" s="9" t="n"/>
      <c r="W311" s="9" t="n"/>
      <c r="X311" s="9" t="n"/>
      <c r="Y311" s="9" t="n"/>
      <c r="Z311" s="11" t="n"/>
      <c r="AA311" s="11" t="n"/>
      <c r="AB311" s="11" t="n"/>
      <c r="AC311" s="11" t="n"/>
      <c r="AD311" s="11" t="n"/>
      <c r="AE311" s="11" t="n"/>
      <c r="AF311" s="9" t="n"/>
      <c r="AG311" s="9" t="n"/>
      <c r="AH311" s="9" t="n"/>
      <c r="AI311" s="9" t="n"/>
      <c r="AJ311" s="8" t="n"/>
      <c r="AK311" s="9" t="n"/>
      <c r="AL311" s="9" t="n"/>
      <c r="AM311" s="9" t="n"/>
      <c r="AN311" s="9" t="n"/>
      <c r="AO311" s="9" t="n"/>
      <c r="AP311" s="9" t="n"/>
      <c r="AQ311" s="9" t="n"/>
      <c r="AR311" s="9" t="n"/>
      <c r="AS311" s="9" t="n"/>
      <c r="AT311" s="8" t="n"/>
      <c r="AU311" s="8" t="n"/>
      <c r="AV311" s="9" t="n"/>
      <c r="AW311" s="8" t="n"/>
      <c r="AX311" s="9" t="n"/>
      <c r="AY311" s="9" t="n"/>
      <c r="AZ311" s="9" t="n"/>
      <c r="BA311" s="9" t="n"/>
      <c r="BB311" s="9" t="n"/>
      <c r="BC311" s="9" t="n"/>
      <c r="BD311" s="9" t="n"/>
      <c r="BE311" s="9" t="n"/>
      <c r="BF311" s="9" t="n"/>
      <c r="BG311" s="9" t="n"/>
      <c r="BH311" s="9" t="n"/>
      <c r="BI311" s="9" t="n"/>
      <c r="BJ311" s="9" t="n"/>
      <c r="BK311" s="9" t="n"/>
      <c r="BL311" s="9" t="n"/>
      <c r="BM311" s="9" t="n"/>
      <c r="BN311" s="9" t="n"/>
      <c r="BO311" s="8" t="n"/>
      <c r="BP311" s="9" t="n"/>
      <c r="BQ311" s="9" t="n"/>
      <c r="BR311" s="13">
        <f>IF(COUNTIF(AI311:BM311,"N")+COUNTBLANK(AI311:BM311)=0,"Y","N")</f>
        <v/>
      </c>
      <c r="BS311" s="13">
        <f>IF(AND(BR311="Y",OR(L311="Submitted",L311="Under Review")),"Y",IF(L311="Closed","Y","N"))</f>
        <v/>
      </c>
      <c r="BT311" s="10" t="n"/>
      <c r="BU311" s="13">
        <f>Rule_Flags!Q310</f>
        <v/>
      </c>
      <c r="BV311" s="13">
        <f>Rule_Flags!P310</f>
        <v/>
      </c>
      <c r="BW311" s="13">
        <f>IF(Rule_Flags!E310=1,"SITE_CONTROL",IF(Rule_Flags!F310=1,"APPROVALS",IF(Rule_Flags!G310=1,"REPORTS",IF(Rule_Flags!H310=1,"DEFICIENCY",IF(Rule_Flags!I310=1,"UNDERWRITING",IF(Rule_Flags!J310=1,"COMPLIANCE",""))))))</f>
        <v/>
      </c>
      <c r="BX311" s="13">
        <f>IF(BW311="SITE_CONTROL","Site control missing or invalid",IF(BW311="APPROVALS","Required approvals or resolutions incomplete",IF(BW311="REPORTS","Required third-party reports incomplete",IF(BW311="DEFICIENCY","Unresolved deficiency or material deficiency",IF(BW311="UNDERWRITING","Underwriting / feasibility not passed",IF(BW311="COMPLIANCE","Deconcentration, one-mile, LURA, or Chapter 12 issue","Ready under current engine rules"))))))</f>
        <v/>
      </c>
      <c r="BY311" s="13">
        <f>IF(BV311="Determination Notice","Streamlined + DN-ready assumptions satisfied",IF(BV311="Board","Board-required or board-ready assumptions satisfied",""))</f>
        <v/>
      </c>
      <c r="BZ311" s="13">
        <f>IF(AND(BP311="Y",BQ311&lt;&gt;"Y"),"Carryforward project retains queue priority",IF(BQ311="Y","New project enters behind carryforward projects",""))</f>
        <v/>
      </c>
      <c r="CA311" s="13">
        <f>_xludf.RANK.EQ(Rule_Flags!O310,Rule_Flags!$O$3:$O$402,0)</f>
        <v/>
      </c>
      <c r="CB311" s="13">
        <f>IF(OR(BU311="Determination Notice Issued",BU311="Board",BU311="Closed"),"Y","N")</f>
        <v/>
      </c>
      <c r="CC311" s="9" t="n"/>
      <c r="CD311" s="9" t="n"/>
      <c r="CE311" s="9" t="n"/>
      <c r="CF311" s="9" t="n"/>
      <c r="CG311" s="9" t="n"/>
      <c r="CH311" s="9" t="n"/>
    </row>
    <row r="312">
      <c r="A312" s="8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8" t="n"/>
      <c r="L312" s="9" t="n"/>
      <c r="M312" s="8" t="n"/>
      <c r="N312" s="8" t="n"/>
      <c r="O312" s="8" t="n"/>
      <c r="P312" s="8" t="n"/>
      <c r="Q312" s="8" t="n"/>
      <c r="R312" s="9" t="n"/>
      <c r="S312" s="9" t="n"/>
      <c r="T312" s="10" t="n"/>
      <c r="U312" s="10" t="n"/>
      <c r="V312" s="9" t="n"/>
      <c r="W312" s="9" t="n"/>
      <c r="X312" s="9" t="n"/>
      <c r="Y312" s="9" t="n"/>
      <c r="Z312" s="11" t="n"/>
      <c r="AA312" s="11" t="n"/>
      <c r="AB312" s="11" t="n"/>
      <c r="AC312" s="11" t="n"/>
      <c r="AD312" s="11" t="n"/>
      <c r="AE312" s="11" t="n"/>
      <c r="AF312" s="9" t="n"/>
      <c r="AG312" s="9" t="n"/>
      <c r="AH312" s="9" t="n"/>
      <c r="AI312" s="9" t="n"/>
      <c r="AJ312" s="8" t="n"/>
      <c r="AK312" s="9" t="n"/>
      <c r="AL312" s="9" t="n"/>
      <c r="AM312" s="9" t="n"/>
      <c r="AN312" s="9" t="n"/>
      <c r="AO312" s="9" t="n"/>
      <c r="AP312" s="9" t="n"/>
      <c r="AQ312" s="9" t="n"/>
      <c r="AR312" s="9" t="n"/>
      <c r="AS312" s="9" t="n"/>
      <c r="AT312" s="8" t="n"/>
      <c r="AU312" s="8" t="n"/>
      <c r="AV312" s="9" t="n"/>
      <c r="AW312" s="8" t="n"/>
      <c r="AX312" s="9" t="n"/>
      <c r="AY312" s="9" t="n"/>
      <c r="AZ312" s="9" t="n"/>
      <c r="BA312" s="9" t="n"/>
      <c r="BB312" s="9" t="n"/>
      <c r="BC312" s="9" t="n"/>
      <c r="BD312" s="9" t="n"/>
      <c r="BE312" s="9" t="n"/>
      <c r="BF312" s="9" t="n"/>
      <c r="BG312" s="9" t="n"/>
      <c r="BH312" s="9" t="n"/>
      <c r="BI312" s="9" t="n"/>
      <c r="BJ312" s="9" t="n"/>
      <c r="BK312" s="9" t="n"/>
      <c r="BL312" s="9" t="n"/>
      <c r="BM312" s="9" t="n"/>
      <c r="BN312" s="9" t="n"/>
      <c r="BO312" s="8" t="n"/>
      <c r="BP312" s="9" t="n"/>
      <c r="BQ312" s="9" t="n"/>
      <c r="BR312" s="13">
        <f>IF(COUNTIF(AI312:BM312,"N")+COUNTBLANK(AI312:BM312)=0,"Y","N")</f>
        <v/>
      </c>
      <c r="BS312" s="13">
        <f>IF(AND(BR312="Y",OR(L312="Submitted",L312="Under Review")),"Y",IF(L312="Closed","Y","N"))</f>
        <v/>
      </c>
      <c r="BT312" s="10" t="n"/>
      <c r="BU312" s="13">
        <f>Rule_Flags!Q311</f>
        <v/>
      </c>
      <c r="BV312" s="13">
        <f>Rule_Flags!P311</f>
        <v/>
      </c>
      <c r="BW312" s="13">
        <f>IF(Rule_Flags!E311=1,"SITE_CONTROL",IF(Rule_Flags!F311=1,"APPROVALS",IF(Rule_Flags!G311=1,"REPORTS",IF(Rule_Flags!H311=1,"DEFICIENCY",IF(Rule_Flags!I311=1,"UNDERWRITING",IF(Rule_Flags!J311=1,"COMPLIANCE",""))))))</f>
        <v/>
      </c>
      <c r="BX312" s="13">
        <f>IF(BW312="SITE_CONTROL","Site control missing or invalid",IF(BW312="APPROVALS","Required approvals or resolutions incomplete",IF(BW312="REPORTS","Required third-party reports incomplete",IF(BW312="DEFICIENCY","Unresolved deficiency or material deficiency",IF(BW312="UNDERWRITING","Underwriting / feasibility not passed",IF(BW312="COMPLIANCE","Deconcentration, one-mile, LURA, or Chapter 12 issue","Ready under current engine rules"))))))</f>
        <v/>
      </c>
      <c r="BY312" s="13">
        <f>IF(BV312="Determination Notice","Streamlined + DN-ready assumptions satisfied",IF(BV312="Board","Board-required or board-ready assumptions satisfied",""))</f>
        <v/>
      </c>
      <c r="BZ312" s="13">
        <f>IF(AND(BP312="Y",BQ312&lt;&gt;"Y"),"Carryforward project retains queue priority",IF(BQ312="Y","New project enters behind carryforward projects",""))</f>
        <v/>
      </c>
      <c r="CA312" s="13">
        <f>_xludf.RANK.EQ(Rule_Flags!O311,Rule_Flags!$O$3:$O$402,0)</f>
        <v/>
      </c>
      <c r="CB312" s="13">
        <f>IF(OR(BU312="Determination Notice Issued",BU312="Board",BU312="Closed"),"Y","N")</f>
        <v/>
      </c>
      <c r="CC312" s="9" t="n"/>
      <c r="CD312" s="9" t="n"/>
      <c r="CE312" s="9" t="n"/>
      <c r="CF312" s="9" t="n"/>
      <c r="CG312" s="9" t="n"/>
      <c r="CH312" s="9" t="n"/>
    </row>
    <row r="313">
      <c r="A313" s="8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8" t="n"/>
      <c r="L313" s="9" t="n"/>
      <c r="M313" s="8" t="n"/>
      <c r="N313" s="8" t="n"/>
      <c r="O313" s="8" t="n"/>
      <c r="P313" s="8" t="n"/>
      <c r="Q313" s="8" t="n"/>
      <c r="R313" s="9" t="n"/>
      <c r="S313" s="9" t="n"/>
      <c r="T313" s="10" t="n"/>
      <c r="U313" s="10" t="n"/>
      <c r="V313" s="9" t="n"/>
      <c r="W313" s="9" t="n"/>
      <c r="X313" s="9" t="n"/>
      <c r="Y313" s="9" t="n"/>
      <c r="Z313" s="11" t="n"/>
      <c r="AA313" s="11" t="n"/>
      <c r="AB313" s="11" t="n"/>
      <c r="AC313" s="11" t="n"/>
      <c r="AD313" s="11" t="n"/>
      <c r="AE313" s="11" t="n"/>
      <c r="AF313" s="9" t="n"/>
      <c r="AG313" s="9" t="n"/>
      <c r="AH313" s="9" t="n"/>
      <c r="AI313" s="9" t="n"/>
      <c r="AJ313" s="8" t="n"/>
      <c r="AK313" s="9" t="n"/>
      <c r="AL313" s="9" t="n"/>
      <c r="AM313" s="9" t="n"/>
      <c r="AN313" s="9" t="n"/>
      <c r="AO313" s="9" t="n"/>
      <c r="AP313" s="9" t="n"/>
      <c r="AQ313" s="9" t="n"/>
      <c r="AR313" s="9" t="n"/>
      <c r="AS313" s="9" t="n"/>
      <c r="AT313" s="8" t="n"/>
      <c r="AU313" s="8" t="n"/>
      <c r="AV313" s="9" t="n"/>
      <c r="AW313" s="8" t="n"/>
      <c r="AX313" s="9" t="n"/>
      <c r="AY313" s="9" t="n"/>
      <c r="AZ313" s="9" t="n"/>
      <c r="BA313" s="9" t="n"/>
      <c r="BB313" s="9" t="n"/>
      <c r="BC313" s="9" t="n"/>
      <c r="BD313" s="9" t="n"/>
      <c r="BE313" s="9" t="n"/>
      <c r="BF313" s="9" t="n"/>
      <c r="BG313" s="9" t="n"/>
      <c r="BH313" s="9" t="n"/>
      <c r="BI313" s="9" t="n"/>
      <c r="BJ313" s="9" t="n"/>
      <c r="BK313" s="9" t="n"/>
      <c r="BL313" s="9" t="n"/>
      <c r="BM313" s="9" t="n"/>
      <c r="BN313" s="9" t="n"/>
      <c r="BO313" s="8" t="n"/>
      <c r="BP313" s="9" t="n"/>
      <c r="BQ313" s="9" t="n"/>
      <c r="BR313" s="13">
        <f>IF(COUNTIF(AI313:BM313,"N")+COUNTBLANK(AI313:BM313)=0,"Y","N")</f>
        <v/>
      </c>
      <c r="BS313" s="13">
        <f>IF(AND(BR313="Y",OR(L313="Submitted",L313="Under Review")),"Y",IF(L313="Closed","Y","N"))</f>
        <v/>
      </c>
      <c r="BT313" s="10" t="n"/>
      <c r="BU313" s="13">
        <f>Rule_Flags!Q312</f>
        <v/>
      </c>
      <c r="BV313" s="13">
        <f>Rule_Flags!P312</f>
        <v/>
      </c>
      <c r="BW313" s="13">
        <f>IF(Rule_Flags!E312=1,"SITE_CONTROL",IF(Rule_Flags!F312=1,"APPROVALS",IF(Rule_Flags!G312=1,"REPORTS",IF(Rule_Flags!H312=1,"DEFICIENCY",IF(Rule_Flags!I312=1,"UNDERWRITING",IF(Rule_Flags!J312=1,"COMPLIANCE",""))))))</f>
        <v/>
      </c>
      <c r="BX313" s="13">
        <f>IF(BW313="SITE_CONTROL","Site control missing or invalid",IF(BW313="APPROVALS","Required approvals or resolutions incomplete",IF(BW313="REPORTS","Required third-party reports incomplete",IF(BW313="DEFICIENCY","Unresolved deficiency or material deficiency",IF(BW313="UNDERWRITING","Underwriting / feasibility not passed",IF(BW313="COMPLIANCE","Deconcentration, one-mile, LURA, or Chapter 12 issue","Ready under current engine rules"))))))</f>
        <v/>
      </c>
      <c r="BY313" s="13">
        <f>IF(BV313="Determination Notice","Streamlined + DN-ready assumptions satisfied",IF(BV313="Board","Board-required or board-ready assumptions satisfied",""))</f>
        <v/>
      </c>
      <c r="BZ313" s="13">
        <f>IF(AND(BP313="Y",BQ313&lt;&gt;"Y"),"Carryforward project retains queue priority",IF(BQ313="Y","New project enters behind carryforward projects",""))</f>
        <v/>
      </c>
      <c r="CA313" s="13">
        <f>_xludf.RANK.EQ(Rule_Flags!O312,Rule_Flags!$O$3:$O$402,0)</f>
        <v/>
      </c>
      <c r="CB313" s="13">
        <f>IF(OR(BU313="Determination Notice Issued",BU313="Board",BU313="Closed"),"Y","N")</f>
        <v/>
      </c>
      <c r="CC313" s="9" t="n"/>
      <c r="CD313" s="9" t="n"/>
      <c r="CE313" s="9" t="n"/>
      <c r="CF313" s="9" t="n"/>
      <c r="CG313" s="9" t="n"/>
      <c r="CH313" s="9" t="n"/>
    </row>
    <row r="314">
      <c r="A314" s="8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8" t="n"/>
      <c r="L314" s="9" t="n"/>
      <c r="M314" s="8" t="n"/>
      <c r="N314" s="8" t="n"/>
      <c r="O314" s="8" t="n"/>
      <c r="P314" s="8" t="n"/>
      <c r="Q314" s="8" t="n"/>
      <c r="R314" s="9" t="n"/>
      <c r="S314" s="9" t="n"/>
      <c r="T314" s="10" t="n"/>
      <c r="U314" s="10" t="n"/>
      <c r="V314" s="9" t="n"/>
      <c r="W314" s="9" t="n"/>
      <c r="X314" s="9" t="n"/>
      <c r="Y314" s="9" t="n"/>
      <c r="Z314" s="11" t="n"/>
      <c r="AA314" s="11" t="n"/>
      <c r="AB314" s="11" t="n"/>
      <c r="AC314" s="11" t="n"/>
      <c r="AD314" s="11" t="n"/>
      <c r="AE314" s="11" t="n"/>
      <c r="AF314" s="9" t="n"/>
      <c r="AG314" s="9" t="n"/>
      <c r="AH314" s="9" t="n"/>
      <c r="AI314" s="9" t="n"/>
      <c r="AJ314" s="8" t="n"/>
      <c r="AK314" s="9" t="n"/>
      <c r="AL314" s="9" t="n"/>
      <c r="AM314" s="9" t="n"/>
      <c r="AN314" s="9" t="n"/>
      <c r="AO314" s="9" t="n"/>
      <c r="AP314" s="9" t="n"/>
      <c r="AQ314" s="9" t="n"/>
      <c r="AR314" s="9" t="n"/>
      <c r="AS314" s="9" t="n"/>
      <c r="AT314" s="8" t="n"/>
      <c r="AU314" s="8" t="n"/>
      <c r="AV314" s="9" t="n"/>
      <c r="AW314" s="8" t="n"/>
      <c r="AX314" s="9" t="n"/>
      <c r="AY314" s="9" t="n"/>
      <c r="AZ314" s="9" t="n"/>
      <c r="BA314" s="9" t="n"/>
      <c r="BB314" s="9" t="n"/>
      <c r="BC314" s="9" t="n"/>
      <c r="BD314" s="9" t="n"/>
      <c r="BE314" s="9" t="n"/>
      <c r="BF314" s="9" t="n"/>
      <c r="BG314" s="9" t="n"/>
      <c r="BH314" s="9" t="n"/>
      <c r="BI314" s="9" t="n"/>
      <c r="BJ314" s="9" t="n"/>
      <c r="BK314" s="9" t="n"/>
      <c r="BL314" s="9" t="n"/>
      <c r="BM314" s="9" t="n"/>
      <c r="BN314" s="9" t="n"/>
      <c r="BO314" s="8" t="n"/>
      <c r="BP314" s="9" t="n"/>
      <c r="BQ314" s="9" t="n"/>
      <c r="BR314" s="13">
        <f>IF(COUNTIF(AI314:BM314,"N")+COUNTBLANK(AI314:BM314)=0,"Y","N")</f>
        <v/>
      </c>
      <c r="BS314" s="13">
        <f>IF(AND(BR314="Y",OR(L314="Submitted",L314="Under Review")),"Y",IF(L314="Closed","Y","N"))</f>
        <v/>
      </c>
      <c r="BT314" s="10" t="n"/>
      <c r="BU314" s="13">
        <f>Rule_Flags!Q313</f>
        <v/>
      </c>
      <c r="BV314" s="13">
        <f>Rule_Flags!P313</f>
        <v/>
      </c>
      <c r="BW314" s="13">
        <f>IF(Rule_Flags!E313=1,"SITE_CONTROL",IF(Rule_Flags!F313=1,"APPROVALS",IF(Rule_Flags!G313=1,"REPORTS",IF(Rule_Flags!H313=1,"DEFICIENCY",IF(Rule_Flags!I313=1,"UNDERWRITING",IF(Rule_Flags!J313=1,"COMPLIANCE",""))))))</f>
        <v/>
      </c>
      <c r="BX314" s="13">
        <f>IF(BW314="SITE_CONTROL","Site control missing or invalid",IF(BW314="APPROVALS","Required approvals or resolutions incomplete",IF(BW314="REPORTS","Required third-party reports incomplete",IF(BW314="DEFICIENCY","Unresolved deficiency or material deficiency",IF(BW314="UNDERWRITING","Underwriting / feasibility not passed",IF(BW314="COMPLIANCE","Deconcentration, one-mile, LURA, or Chapter 12 issue","Ready under current engine rules"))))))</f>
        <v/>
      </c>
      <c r="BY314" s="13">
        <f>IF(BV314="Determination Notice","Streamlined + DN-ready assumptions satisfied",IF(BV314="Board","Board-required or board-ready assumptions satisfied",""))</f>
        <v/>
      </c>
      <c r="BZ314" s="13">
        <f>IF(AND(BP314="Y",BQ314&lt;&gt;"Y"),"Carryforward project retains queue priority",IF(BQ314="Y","New project enters behind carryforward projects",""))</f>
        <v/>
      </c>
      <c r="CA314" s="13">
        <f>_xludf.RANK.EQ(Rule_Flags!O313,Rule_Flags!$O$3:$O$402,0)</f>
        <v/>
      </c>
      <c r="CB314" s="13">
        <f>IF(OR(BU314="Determination Notice Issued",BU314="Board",BU314="Closed"),"Y","N")</f>
        <v/>
      </c>
      <c r="CC314" s="9" t="n"/>
      <c r="CD314" s="9" t="n"/>
      <c r="CE314" s="9" t="n"/>
      <c r="CF314" s="9" t="n"/>
      <c r="CG314" s="9" t="n"/>
      <c r="CH314" s="9" t="n"/>
    </row>
    <row r="315">
      <c r="A315" s="8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8" t="n"/>
      <c r="L315" s="9" t="n"/>
      <c r="M315" s="8" t="n"/>
      <c r="N315" s="8" t="n"/>
      <c r="O315" s="8" t="n"/>
      <c r="P315" s="8" t="n"/>
      <c r="Q315" s="8" t="n"/>
      <c r="R315" s="9" t="n"/>
      <c r="S315" s="9" t="n"/>
      <c r="T315" s="10" t="n"/>
      <c r="U315" s="10" t="n"/>
      <c r="V315" s="9" t="n"/>
      <c r="W315" s="9" t="n"/>
      <c r="X315" s="9" t="n"/>
      <c r="Y315" s="9" t="n"/>
      <c r="Z315" s="11" t="n"/>
      <c r="AA315" s="11" t="n"/>
      <c r="AB315" s="11" t="n"/>
      <c r="AC315" s="11" t="n"/>
      <c r="AD315" s="11" t="n"/>
      <c r="AE315" s="11" t="n"/>
      <c r="AF315" s="9" t="n"/>
      <c r="AG315" s="9" t="n"/>
      <c r="AH315" s="9" t="n"/>
      <c r="AI315" s="9" t="n"/>
      <c r="AJ315" s="8" t="n"/>
      <c r="AK315" s="9" t="n"/>
      <c r="AL315" s="9" t="n"/>
      <c r="AM315" s="9" t="n"/>
      <c r="AN315" s="9" t="n"/>
      <c r="AO315" s="9" t="n"/>
      <c r="AP315" s="9" t="n"/>
      <c r="AQ315" s="9" t="n"/>
      <c r="AR315" s="9" t="n"/>
      <c r="AS315" s="9" t="n"/>
      <c r="AT315" s="8" t="n"/>
      <c r="AU315" s="8" t="n"/>
      <c r="AV315" s="9" t="n"/>
      <c r="AW315" s="8" t="n"/>
      <c r="AX315" s="9" t="n"/>
      <c r="AY315" s="9" t="n"/>
      <c r="AZ315" s="9" t="n"/>
      <c r="BA315" s="9" t="n"/>
      <c r="BB315" s="9" t="n"/>
      <c r="BC315" s="9" t="n"/>
      <c r="BD315" s="9" t="n"/>
      <c r="BE315" s="9" t="n"/>
      <c r="BF315" s="9" t="n"/>
      <c r="BG315" s="9" t="n"/>
      <c r="BH315" s="9" t="n"/>
      <c r="BI315" s="9" t="n"/>
      <c r="BJ315" s="9" t="n"/>
      <c r="BK315" s="9" t="n"/>
      <c r="BL315" s="9" t="n"/>
      <c r="BM315" s="9" t="n"/>
      <c r="BN315" s="9" t="n"/>
      <c r="BO315" s="8" t="n"/>
      <c r="BP315" s="9" t="n"/>
      <c r="BQ315" s="9" t="n"/>
      <c r="BR315" s="13">
        <f>IF(COUNTIF(AI315:BM315,"N")+COUNTBLANK(AI315:BM315)=0,"Y","N")</f>
        <v/>
      </c>
      <c r="BS315" s="13">
        <f>IF(AND(BR315="Y",OR(L315="Submitted",L315="Under Review")),"Y",IF(L315="Closed","Y","N"))</f>
        <v/>
      </c>
      <c r="BT315" s="10" t="n"/>
      <c r="BU315" s="13">
        <f>Rule_Flags!Q314</f>
        <v/>
      </c>
      <c r="BV315" s="13">
        <f>Rule_Flags!P314</f>
        <v/>
      </c>
      <c r="BW315" s="13">
        <f>IF(Rule_Flags!E314=1,"SITE_CONTROL",IF(Rule_Flags!F314=1,"APPROVALS",IF(Rule_Flags!G314=1,"REPORTS",IF(Rule_Flags!H314=1,"DEFICIENCY",IF(Rule_Flags!I314=1,"UNDERWRITING",IF(Rule_Flags!J314=1,"COMPLIANCE",""))))))</f>
        <v/>
      </c>
      <c r="BX315" s="13">
        <f>IF(BW315="SITE_CONTROL","Site control missing or invalid",IF(BW315="APPROVALS","Required approvals or resolutions incomplete",IF(BW315="REPORTS","Required third-party reports incomplete",IF(BW315="DEFICIENCY","Unresolved deficiency or material deficiency",IF(BW315="UNDERWRITING","Underwriting / feasibility not passed",IF(BW315="COMPLIANCE","Deconcentration, one-mile, LURA, or Chapter 12 issue","Ready under current engine rules"))))))</f>
        <v/>
      </c>
      <c r="BY315" s="13">
        <f>IF(BV315="Determination Notice","Streamlined + DN-ready assumptions satisfied",IF(BV315="Board","Board-required or board-ready assumptions satisfied",""))</f>
        <v/>
      </c>
      <c r="BZ315" s="13">
        <f>IF(AND(BP315="Y",BQ315&lt;&gt;"Y"),"Carryforward project retains queue priority",IF(BQ315="Y","New project enters behind carryforward projects",""))</f>
        <v/>
      </c>
      <c r="CA315" s="13">
        <f>_xludf.RANK.EQ(Rule_Flags!O314,Rule_Flags!$O$3:$O$402,0)</f>
        <v/>
      </c>
      <c r="CB315" s="13">
        <f>IF(OR(BU315="Determination Notice Issued",BU315="Board",BU315="Closed"),"Y","N")</f>
        <v/>
      </c>
      <c r="CC315" s="9" t="n"/>
      <c r="CD315" s="9" t="n"/>
      <c r="CE315" s="9" t="n"/>
      <c r="CF315" s="9" t="n"/>
      <c r="CG315" s="9" t="n"/>
      <c r="CH315" s="9" t="n"/>
    </row>
    <row r="316">
      <c r="A316" s="8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8" t="n"/>
      <c r="L316" s="9" t="n"/>
      <c r="M316" s="8" t="n"/>
      <c r="N316" s="8" t="n"/>
      <c r="O316" s="8" t="n"/>
      <c r="P316" s="8" t="n"/>
      <c r="Q316" s="8" t="n"/>
      <c r="R316" s="9" t="n"/>
      <c r="S316" s="9" t="n"/>
      <c r="T316" s="10" t="n"/>
      <c r="U316" s="10" t="n"/>
      <c r="V316" s="9" t="n"/>
      <c r="W316" s="9" t="n"/>
      <c r="X316" s="9" t="n"/>
      <c r="Y316" s="9" t="n"/>
      <c r="Z316" s="11" t="n"/>
      <c r="AA316" s="11" t="n"/>
      <c r="AB316" s="11" t="n"/>
      <c r="AC316" s="11" t="n"/>
      <c r="AD316" s="11" t="n"/>
      <c r="AE316" s="11" t="n"/>
      <c r="AF316" s="9" t="n"/>
      <c r="AG316" s="9" t="n"/>
      <c r="AH316" s="9" t="n"/>
      <c r="AI316" s="9" t="n"/>
      <c r="AJ316" s="8" t="n"/>
      <c r="AK316" s="9" t="n"/>
      <c r="AL316" s="9" t="n"/>
      <c r="AM316" s="9" t="n"/>
      <c r="AN316" s="9" t="n"/>
      <c r="AO316" s="9" t="n"/>
      <c r="AP316" s="9" t="n"/>
      <c r="AQ316" s="9" t="n"/>
      <c r="AR316" s="9" t="n"/>
      <c r="AS316" s="9" t="n"/>
      <c r="AT316" s="8" t="n"/>
      <c r="AU316" s="8" t="n"/>
      <c r="AV316" s="9" t="n"/>
      <c r="AW316" s="8" t="n"/>
      <c r="AX316" s="9" t="n"/>
      <c r="AY316" s="9" t="n"/>
      <c r="AZ316" s="9" t="n"/>
      <c r="BA316" s="9" t="n"/>
      <c r="BB316" s="9" t="n"/>
      <c r="BC316" s="9" t="n"/>
      <c r="BD316" s="9" t="n"/>
      <c r="BE316" s="9" t="n"/>
      <c r="BF316" s="9" t="n"/>
      <c r="BG316" s="9" t="n"/>
      <c r="BH316" s="9" t="n"/>
      <c r="BI316" s="9" t="n"/>
      <c r="BJ316" s="9" t="n"/>
      <c r="BK316" s="9" t="n"/>
      <c r="BL316" s="9" t="n"/>
      <c r="BM316" s="9" t="n"/>
      <c r="BN316" s="9" t="n"/>
      <c r="BO316" s="8" t="n"/>
      <c r="BP316" s="9" t="n"/>
      <c r="BQ316" s="9" t="n"/>
      <c r="BR316" s="13">
        <f>IF(COUNTIF(AI316:BM316,"N")+COUNTBLANK(AI316:BM316)=0,"Y","N")</f>
        <v/>
      </c>
      <c r="BS316" s="13">
        <f>IF(AND(BR316="Y",OR(L316="Submitted",L316="Under Review")),"Y",IF(L316="Closed","Y","N"))</f>
        <v/>
      </c>
      <c r="BT316" s="10" t="n"/>
      <c r="BU316" s="13">
        <f>Rule_Flags!Q315</f>
        <v/>
      </c>
      <c r="BV316" s="13">
        <f>Rule_Flags!P315</f>
        <v/>
      </c>
      <c r="BW316" s="13">
        <f>IF(Rule_Flags!E315=1,"SITE_CONTROL",IF(Rule_Flags!F315=1,"APPROVALS",IF(Rule_Flags!G315=1,"REPORTS",IF(Rule_Flags!H315=1,"DEFICIENCY",IF(Rule_Flags!I315=1,"UNDERWRITING",IF(Rule_Flags!J315=1,"COMPLIANCE",""))))))</f>
        <v/>
      </c>
      <c r="BX316" s="13">
        <f>IF(BW316="SITE_CONTROL","Site control missing or invalid",IF(BW316="APPROVALS","Required approvals or resolutions incomplete",IF(BW316="REPORTS","Required third-party reports incomplete",IF(BW316="DEFICIENCY","Unresolved deficiency or material deficiency",IF(BW316="UNDERWRITING","Underwriting / feasibility not passed",IF(BW316="COMPLIANCE","Deconcentration, one-mile, LURA, or Chapter 12 issue","Ready under current engine rules"))))))</f>
        <v/>
      </c>
      <c r="BY316" s="13">
        <f>IF(BV316="Determination Notice","Streamlined + DN-ready assumptions satisfied",IF(BV316="Board","Board-required or board-ready assumptions satisfied",""))</f>
        <v/>
      </c>
      <c r="BZ316" s="13">
        <f>IF(AND(BP316="Y",BQ316&lt;&gt;"Y"),"Carryforward project retains queue priority",IF(BQ316="Y","New project enters behind carryforward projects",""))</f>
        <v/>
      </c>
      <c r="CA316" s="13">
        <f>_xludf.RANK.EQ(Rule_Flags!O315,Rule_Flags!$O$3:$O$402,0)</f>
        <v/>
      </c>
      <c r="CB316" s="13">
        <f>IF(OR(BU316="Determination Notice Issued",BU316="Board",BU316="Closed"),"Y","N")</f>
        <v/>
      </c>
      <c r="CC316" s="9" t="n"/>
      <c r="CD316" s="9" t="n"/>
      <c r="CE316" s="9" t="n"/>
      <c r="CF316" s="9" t="n"/>
      <c r="CG316" s="9" t="n"/>
      <c r="CH316" s="9" t="n"/>
    </row>
    <row r="317">
      <c r="A317" s="8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8" t="n"/>
      <c r="L317" s="9" t="n"/>
      <c r="M317" s="8" t="n"/>
      <c r="N317" s="8" t="n"/>
      <c r="O317" s="8" t="n"/>
      <c r="P317" s="8" t="n"/>
      <c r="Q317" s="8" t="n"/>
      <c r="R317" s="9" t="n"/>
      <c r="S317" s="9" t="n"/>
      <c r="T317" s="10" t="n"/>
      <c r="U317" s="10" t="n"/>
      <c r="V317" s="9" t="n"/>
      <c r="W317" s="9" t="n"/>
      <c r="X317" s="9" t="n"/>
      <c r="Y317" s="9" t="n"/>
      <c r="Z317" s="11" t="n"/>
      <c r="AA317" s="11" t="n"/>
      <c r="AB317" s="11" t="n"/>
      <c r="AC317" s="11" t="n"/>
      <c r="AD317" s="11" t="n"/>
      <c r="AE317" s="11" t="n"/>
      <c r="AF317" s="9" t="n"/>
      <c r="AG317" s="9" t="n"/>
      <c r="AH317" s="9" t="n"/>
      <c r="AI317" s="9" t="n"/>
      <c r="AJ317" s="8" t="n"/>
      <c r="AK317" s="9" t="n"/>
      <c r="AL317" s="9" t="n"/>
      <c r="AM317" s="9" t="n"/>
      <c r="AN317" s="9" t="n"/>
      <c r="AO317" s="9" t="n"/>
      <c r="AP317" s="9" t="n"/>
      <c r="AQ317" s="9" t="n"/>
      <c r="AR317" s="9" t="n"/>
      <c r="AS317" s="9" t="n"/>
      <c r="AT317" s="8" t="n"/>
      <c r="AU317" s="8" t="n"/>
      <c r="AV317" s="9" t="n"/>
      <c r="AW317" s="8" t="n"/>
      <c r="AX317" s="9" t="n"/>
      <c r="AY317" s="9" t="n"/>
      <c r="AZ317" s="9" t="n"/>
      <c r="BA317" s="9" t="n"/>
      <c r="BB317" s="9" t="n"/>
      <c r="BC317" s="9" t="n"/>
      <c r="BD317" s="9" t="n"/>
      <c r="BE317" s="9" t="n"/>
      <c r="BF317" s="9" t="n"/>
      <c r="BG317" s="9" t="n"/>
      <c r="BH317" s="9" t="n"/>
      <c r="BI317" s="9" t="n"/>
      <c r="BJ317" s="9" t="n"/>
      <c r="BK317" s="9" t="n"/>
      <c r="BL317" s="9" t="n"/>
      <c r="BM317" s="9" t="n"/>
      <c r="BN317" s="9" t="n"/>
      <c r="BO317" s="8" t="n"/>
      <c r="BP317" s="9" t="n"/>
      <c r="BQ317" s="9" t="n"/>
      <c r="BR317" s="13">
        <f>IF(COUNTIF(AI317:BM317,"N")+COUNTBLANK(AI317:BM317)=0,"Y","N")</f>
        <v/>
      </c>
      <c r="BS317" s="13">
        <f>IF(AND(BR317="Y",OR(L317="Submitted",L317="Under Review")),"Y",IF(L317="Closed","Y","N"))</f>
        <v/>
      </c>
      <c r="BT317" s="10" t="n"/>
      <c r="BU317" s="13">
        <f>Rule_Flags!Q316</f>
        <v/>
      </c>
      <c r="BV317" s="13">
        <f>Rule_Flags!P316</f>
        <v/>
      </c>
      <c r="BW317" s="13">
        <f>IF(Rule_Flags!E316=1,"SITE_CONTROL",IF(Rule_Flags!F316=1,"APPROVALS",IF(Rule_Flags!G316=1,"REPORTS",IF(Rule_Flags!H316=1,"DEFICIENCY",IF(Rule_Flags!I316=1,"UNDERWRITING",IF(Rule_Flags!J316=1,"COMPLIANCE",""))))))</f>
        <v/>
      </c>
      <c r="BX317" s="13">
        <f>IF(BW317="SITE_CONTROL","Site control missing or invalid",IF(BW317="APPROVALS","Required approvals or resolutions incomplete",IF(BW317="REPORTS","Required third-party reports incomplete",IF(BW317="DEFICIENCY","Unresolved deficiency or material deficiency",IF(BW317="UNDERWRITING","Underwriting / feasibility not passed",IF(BW317="COMPLIANCE","Deconcentration, one-mile, LURA, or Chapter 12 issue","Ready under current engine rules"))))))</f>
        <v/>
      </c>
      <c r="BY317" s="13">
        <f>IF(BV317="Determination Notice","Streamlined + DN-ready assumptions satisfied",IF(BV317="Board","Board-required or board-ready assumptions satisfied",""))</f>
        <v/>
      </c>
      <c r="BZ317" s="13">
        <f>IF(AND(BP317="Y",BQ317&lt;&gt;"Y"),"Carryforward project retains queue priority",IF(BQ317="Y","New project enters behind carryforward projects",""))</f>
        <v/>
      </c>
      <c r="CA317" s="13">
        <f>_xludf.RANK.EQ(Rule_Flags!O316,Rule_Flags!$O$3:$O$402,0)</f>
        <v/>
      </c>
      <c r="CB317" s="13">
        <f>IF(OR(BU317="Determination Notice Issued",BU317="Board",BU317="Closed"),"Y","N")</f>
        <v/>
      </c>
      <c r="CC317" s="9" t="n"/>
      <c r="CD317" s="9" t="n"/>
      <c r="CE317" s="9" t="n"/>
      <c r="CF317" s="9" t="n"/>
      <c r="CG317" s="9" t="n"/>
      <c r="CH317" s="9" t="n"/>
    </row>
    <row r="318">
      <c r="A318" s="8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8" t="n"/>
      <c r="L318" s="9" t="n"/>
      <c r="M318" s="8" t="n"/>
      <c r="N318" s="8" t="n"/>
      <c r="O318" s="8" t="n"/>
      <c r="P318" s="8" t="n"/>
      <c r="Q318" s="8" t="n"/>
      <c r="R318" s="9" t="n"/>
      <c r="S318" s="9" t="n"/>
      <c r="T318" s="10" t="n"/>
      <c r="U318" s="10" t="n"/>
      <c r="V318" s="9" t="n"/>
      <c r="W318" s="9" t="n"/>
      <c r="X318" s="9" t="n"/>
      <c r="Y318" s="9" t="n"/>
      <c r="Z318" s="11" t="n"/>
      <c r="AA318" s="11" t="n"/>
      <c r="AB318" s="11" t="n"/>
      <c r="AC318" s="11" t="n"/>
      <c r="AD318" s="11" t="n"/>
      <c r="AE318" s="11" t="n"/>
      <c r="AF318" s="9" t="n"/>
      <c r="AG318" s="9" t="n"/>
      <c r="AH318" s="9" t="n"/>
      <c r="AI318" s="9" t="n"/>
      <c r="AJ318" s="8" t="n"/>
      <c r="AK318" s="9" t="n"/>
      <c r="AL318" s="9" t="n"/>
      <c r="AM318" s="9" t="n"/>
      <c r="AN318" s="9" t="n"/>
      <c r="AO318" s="9" t="n"/>
      <c r="AP318" s="9" t="n"/>
      <c r="AQ318" s="9" t="n"/>
      <c r="AR318" s="9" t="n"/>
      <c r="AS318" s="9" t="n"/>
      <c r="AT318" s="8" t="n"/>
      <c r="AU318" s="8" t="n"/>
      <c r="AV318" s="9" t="n"/>
      <c r="AW318" s="8" t="n"/>
      <c r="AX318" s="9" t="n"/>
      <c r="AY318" s="9" t="n"/>
      <c r="AZ318" s="9" t="n"/>
      <c r="BA318" s="9" t="n"/>
      <c r="BB318" s="9" t="n"/>
      <c r="BC318" s="9" t="n"/>
      <c r="BD318" s="9" t="n"/>
      <c r="BE318" s="9" t="n"/>
      <c r="BF318" s="9" t="n"/>
      <c r="BG318" s="9" t="n"/>
      <c r="BH318" s="9" t="n"/>
      <c r="BI318" s="9" t="n"/>
      <c r="BJ318" s="9" t="n"/>
      <c r="BK318" s="9" t="n"/>
      <c r="BL318" s="9" t="n"/>
      <c r="BM318" s="9" t="n"/>
      <c r="BN318" s="9" t="n"/>
      <c r="BO318" s="8" t="n"/>
      <c r="BP318" s="9" t="n"/>
      <c r="BQ318" s="9" t="n"/>
      <c r="BR318" s="13">
        <f>IF(COUNTIF(AI318:BM318,"N")+COUNTBLANK(AI318:BM318)=0,"Y","N")</f>
        <v/>
      </c>
      <c r="BS318" s="13">
        <f>IF(AND(BR318="Y",OR(L318="Submitted",L318="Under Review")),"Y",IF(L318="Closed","Y","N"))</f>
        <v/>
      </c>
      <c r="BT318" s="10" t="n"/>
      <c r="BU318" s="13">
        <f>Rule_Flags!Q317</f>
        <v/>
      </c>
      <c r="BV318" s="13">
        <f>Rule_Flags!P317</f>
        <v/>
      </c>
      <c r="BW318" s="13">
        <f>IF(Rule_Flags!E317=1,"SITE_CONTROL",IF(Rule_Flags!F317=1,"APPROVALS",IF(Rule_Flags!G317=1,"REPORTS",IF(Rule_Flags!H317=1,"DEFICIENCY",IF(Rule_Flags!I317=1,"UNDERWRITING",IF(Rule_Flags!J317=1,"COMPLIANCE",""))))))</f>
        <v/>
      </c>
      <c r="BX318" s="13">
        <f>IF(BW318="SITE_CONTROL","Site control missing or invalid",IF(BW318="APPROVALS","Required approvals or resolutions incomplete",IF(BW318="REPORTS","Required third-party reports incomplete",IF(BW318="DEFICIENCY","Unresolved deficiency or material deficiency",IF(BW318="UNDERWRITING","Underwriting / feasibility not passed",IF(BW318="COMPLIANCE","Deconcentration, one-mile, LURA, or Chapter 12 issue","Ready under current engine rules"))))))</f>
        <v/>
      </c>
      <c r="BY318" s="13">
        <f>IF(BV318="Determination Notice","Streamlined + DN-ready assumptions satisfied",IF(BV318="Board","Board-required or board-ready assumptions satisfied",""))</f>
        <v/>
      </c>
      <c r="BZ318" s="13">
        <f>IF(AND(BP318="Y",BQ318&lt;&gt;"Y"),"Carryforward project retains queue priority",IF(BQ318="Y","New project enters behind carryforward projects",""))</f>
        <v/>
      </c>
      <c r="CA318" s="13">
        <f>_xludf.RANK.EQ(Rule_Flags!O317,Rule_Flags!$O$3:$O$402,0)</f>
        <v/>
      </c>
      <c r="CB318" s="13">
        <f>IF(OR(BU318="Determination Notice Issued",BU318="Board",BU318="Closed"),"Y","N")</f>
        <v/>
      </c>
      <c r="CC318" s="9" t="n"/>
      <c r="CD318" s="9" t="n"/>
      <c r="CE318" s="9" t="n"/>
      <c r="CF318" s="9" t="n"/>
      <c r="CG318" s="9" t="n"/>
      <c r="CH318" s="9" t="n"/>
    </row>
    <row r="319">
      <c r="A319" s="8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8" t="n"/>
      <c r="L319" s="9" t="n"/>
      <c r="M319" s="8" t="n"/>
      <c r="N319" s="8" t="n"/>
      <c r="O319" s="8" t="n"/>
      <c r="P319" s="8" t="n"/>
      <c r="Q319" s="8" t="n"/>
      <c r="R319" s="9" t="n"/>
      <c r="S319" s="9" t="n"/>
      <c r="T319" s="10" t="n"/>
      <c r="U319" s="10" t="n"/>
      <c r="V319" s="9" t="n"/>
      <c r="W319" s="9" t="n"/>
      <c r="X319" s="9" t="n"/>
      <c r="Y319" s="9" t="n"/>
      <c r="Z319" s="11" t="n"/>
      <c r="AA319" s="11" t="n"/>
      <c r="AB319" s="11" t="n"/>
      <c r="AC319" s="11" t="n"/>
      <c r="AD319" s="11" t="n"/>
      <c r="AE319" s="11" t="n"/>
      <c r="AF319" s="9" t="n"/>
      <c r="AG319" s="9" t="n"/>
      <c r="AH319" s="9" t="n"/>
      <c r="AI319" s="9" t="n"/>
      <c r="AJ319" s="8" t="n"/>
      <c r="AK319" s="9" t="n"/>
      <c r="AL319" s="9" t="n"/>
      <c r="AM319" s="9" t="n"/>
      <c r="AN319" s="9" t="n"/>
      <c r="AO319" s="9" t="n"/>
      <c r="AP319" s="9" t="n"/>
      <c r="AQ319" s="9" t="n"/>
      <c r="AR319" s="9" t="n"/>
      <c r="AS319" s="9" t="n"/>
      <c r="AT319" s="8" t="n"/>
      <c r="AU319" s="8" t="n"/>
      <c r="AV319" s="9" t="n"/>
      <c r="AW319" s="8" t="n"/>
      <c r="AX319" s="9" t="n"/>
      <c r="AY319" s="9" t="n"/>
      <c r="AZ319" s="9" t="n"/>
      <c r="BA319" s="9" t="n"/>
      <c r="BB319" s="9" t="n"/>
      <c r="BC319" s="9" t="n"/>
      <c r="BD319" s="9" t="n"/>
      <c r="BE319" s="9" t="n"/>
      <c r="BF319" s="9" t="n"/>
      <c r="BG319" s="9" t="n"/>
      <c r="BH319" s="9" t="n"/>
      <c r="BI319" s="9" t="n"/>
      <c r="BJ319" s="9" t="n"/>
      <c r="BK319" s="9" t="n"/>
      <c r="BL319" s="9" t="n"/>
      <c r="BM319" s="9" t="n"/>
      <c r="BN319" s="9" t="n"/>
      <c r="BO319" s="8" t="n"/>
      <c r="BP319" s="9" t="n"/>
      <c r="BQ319" s="9" t="n"/>
      <c r="BR319" s="13">
        <f>IF(COUNTIF(AI319:BM319,"N")+COUNTBLANK(AI319:BM319)=0,"Y","N")</f>
        <v/>
      </c>
      <c r="BS319" s="13">
        <f>IF(AND(BR319="Y",OR(L319="Submitted",L319="Under Review")),"Y",IF(L319="Closed","Y","N"))</f>
        <v/>
      </c>
      <c r="BT319" s="10" t="n"/>
      <c r="BU319" s="13">
        <f>Rule_Flags!Q318</f>
        <v/>
      </c>
      <c r="BV319" s="13">
        <f>Rule_Flags!P318</f>
        <v/>
      </c>
      <c r="BW319" s="13">
        <f>IF(Rule_Flags!E318=1,"SITE_CONTROL",IF(Rule_Flags!F318=1,"APPROVALS",IF(Rule_Flags!G318=1,"REPORTS",IF(Rule_Flags!H318=1,"DEFICIENCY",IF(Rule_Flags!I318=1,"UNDERWRITING",IF(Rule_Flags!J318=1,"COMPLIANCE",""))))))</f>
        <v/>
      </c>
      <c r="BX319" s="13">
        <f>IF(BW319="SITE_CONTROL","Site control missing or invalid",IF(BW319="APPROVALS","Required approvals or resolutions incomplete",IF(BW319="REPORTS","Required third-party reports incomplete",IF(BW319="DEFICIENCY","Unresolved deficiency or material deficiency",IF(BW319="UNDERWRITING","Underwriting / feasibility not passed",IF(BW319="COMPLIANCE","Deconcentration, one-mile, LURA, or Chapter 12 issue","Ready under current engine rules"))))))</f>
        <v/>
      </c>
      <c r="BY319" s="13">
        <f>IF(BV319="Determination Notice","Streamlined + DN-ready assumptions satisfied",IF(BV319="Board","Board-required or board-ready assumptions satisfied",""))</f>
        <v/>
      </c>
      <c r="BZ319" s="13">
        <f>IF(AND(BP319="Y",BQ319&lt;&gt;"Y"),"Carryforward project retains queue priority",IF(BQ319="Y","New project enters behind carryforward projects",""))</f>
        <v/>
      </c>
      <c r="CA319" s="13">
        <f>_xludf.RANK.EQ(Rule_Flags!O318,Rule_Flags!$O$3:$O$402,0)</f>
        <v/>
      </c>
      <c r="CB319" s="13">
        <f>IF(OR(BU319="Determination Notice Issued",BU319="Board",BU319="Closed"),"Y","N")</f>
        <v/>
      </c>
      <c r="CC319" s="9" t="n"/>
      <c r="CD319" s="9" t="n"/>
      <c r="CE319" s="9" t="n"/>
      <c r="CF319" s="9" t="n"/>
      <c r="CG319" s="9" t="n"/>
      <c r="CH319" s="9" t="n"/>
    </row>
    <row r="320">
      <c r="A320" s="8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8" t="n"/>
      <c r="L320" s="9" t="n"/>
      <c r="M320" s="8" t="n"/>
      <c r="N320" s="8" t="n"/>
      <c r="O320" s="8" t="n"/>
      <c r="P320" s="8" t="n"/>
      <c r="Q320" s="8" t="n"/>
      <c r="R320" s="9" t="n"/>
      <c r="S320" s="9" t="n"/>
      <c r="T320" s="10" t="n"/>
      <c r="U320" s="10" t="n"/>
      <c r="V320" s="9" t="n"/>
      <c r="W320" s="9" t="n"/>
      <c r="X320" s="9" t="n"/>
      <c r="Y320" s="9" t="n"/>
      <c r="Z320" s="11" t="n"/>
      <c r="AA320" s="11" t="n"/>
      <c r="AB320" s="11" t="n"/>
      <c r="AC320" s="11" t="n"/>
      <c r="AD320" s="11" t="n"/>
      <c r="AE320" s="11" t="n"/>
      <c r="AF320" s="9" t="n"/>
      <c r="AG320" s="9" t="n"/>
      <c r="AH320" s="9" t="n"/>
      <c r="AI320" s="9" t="n"/>
      <c r="AJ320" s="8" t="n"/>
      <c r="AK320" s="9" t="n"/>
      <c r="AL320" s="9" t="n"/>
      <c r="AM320" s="9" t="n"/>
      <c r="AN320" s="9" t="n"/>
      <c r="AO320" s="9" t="n"/>
      <c r="AP320" s="9" t="n"/>
      <c r="AQ320" s="9" t="n"/>
      <c r="AR320" s="9" t="n"/>
      <c r="AS320" s="9" t="n"/>
      <c r="AT320" s="8" t="n"/>
      <c r="AU320" s="8" t="n"/>
      <c r="AV320" s="9" t="n"/>
      <c r="AW320" s="8" t="n"/>
      <c r="AX320" s="9" t="n"/>
      <c r="AY320" s="9" t="n"/>
      <c r="AZ320" s="9" t="n"/>
      <c r="BA320" s="9" t="n"/>
      <c r="BB320" s="9" t="n"/>
      <c r="BC320" s="9" t="n"/>
      <c r="BD320" s="9" t="n"/>
      <c r="BE320" s="9" t="n"/>
      <c r="BF320" s="9" t="n"/>
      <c r="BG320" s="9" t="n"/>
      <c r="BH320" s="9" t="n"/>
      <c r="BI320" s="9" t="n"/>
      <c r="BJ320" s="9" t="n"/>
      <c r="BK320" s="9" t="n"/>
      <c r="BL320" s="9" t="n"/>
      <c r="BM320" s="9" t="n"/>
      <c r="BN320" s="9" t="n"/>
      <c r="BO320" s="8" t="n"/>
      <c r="BP320" s="9" t="n"/>
      <c r="BQ320" s="9" t="n"/>
      <c r="BR320" s="13">
        <f>IF(COUNTIF(AI320:BM320,"N")+COUNTBLANK(AI320:BM320)=0,"Y","N")</f>
        <v/>
      </c>
      <c r="BS320" s="13">
        <f>IF(AND(BR320="Y",OR(L320="Submitted",L320="Under Review")),"Y",IF(L320="Closed","Y","N"))</f>
        <v/>
      </c>
      <c r="BT320" s="10" t="n"/>
      <c r="BU320" s="13">
        <f>Rule_Flags!Q319</f>
        <v/>
      </c>
      <c r="BV320" s="13">
        <f>Rule_Flags!P319</f>
        <v/>
      </c>
      <c r="BW320" s="13">
        <f>IF(Rule_Flags!E319=1,"SITE_CONTROL",IF(Rule_Flags!F319=1,"APPROVALS",IF(Rule_Flags!G319=1,"REPORTS",IF(Rule_Flags!H319=1,"DEFICIENCY",IF(Rule_Flags!I319=1,"UNDERWRITING",IF(Rule_Flags!J319=1,"COMPLIANCE",""))))))</f>
        <v/>
      </c>
      <c r="BX320" s="13">
        <f>IF(BW320="SITE_CONTROL","Site control missing or invalid",IF(BW320="APPROVALS","Required approvals or resolutions incomplete",IF(BW320="REPORTS","Required third-party reports incomplete",IF(BW320="DEFICIENCY","Unresolved deficiency or material deficiency",IF(BW320="UNDERWRITING","Underwriting / feasibility not passed",IF(BW320="COMPLIANCE","Deconcentration, one-mile, LURA, or Chapter 12 issue","Ready under current engine rules"))))))</f>
        <v/>
      </c>
      <c r="BY320" s="13">
        <f>IF(BV320="Determination Notice","Streamlined + DN-ready assumptions satisfied",IF(BV320="Board","Board-required or board-ready assumptions satisfied",""))</f>
        <v/>
      </c>
      <c r="BZ320" s="13">
        <f>IF(AND(BP320="Y",BQ320&lt;&gt;"Y"),"Carryforward project retains queue priority",IF(BQ320="Y","New project enters behind carryforward projects",""))</f>
        <v/>
      </c>
      <c r="CA320" s="13">
        <f>_xludf.RANK.EQ(Rule_Flags!O319,Rule_Flags!$O$3:$O$402,0)</f>
        <v/>
      </c>
      <c r="CB320" s="13">
        <f>IF(OR(BU320="Determination Notice Issued",BU320="Board",BU320="Closed"),"Y","N")</f>
        <v/>
      </c>
      <c r="CC320" s="9" t="n"/>
      <c r="CD320" s="9" t="n"/>
      <c r="CE320" s="9" t="n"/>
      <c r="CF320" s="9" t="n"/>
      <c r="CG320" s="9" t="n"/>
      <c r="CH320" s="9" t="n"/>
    </row>
    <row r="321">
      <c r="A321" s="8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8" t="n"/>
      <c r="L321" s="9" t="n"/>
      <c r="M321" s="8" t="n"/>
      <c r="N321" s="8" t="n"/>
      <c r="O321" s="8" t="n"/>
      <c r="P321" s="8" t="n"/>
      <c r="Q321" s="8" t="n"/>
      <c r="R321" s="9" t="n"/>
      <c r="S321" s="9" t="n"/>
      <c r="T321" s="10" t="n"/>
      <c r="U321" s="10" t="n"/>
      <c r="V321" s="9" t="n"/>
      <c r="W321" s="9" t="n"/>
      <c r="X321" s="9" t="n"/>
      <c r="Y321" s="9" t="n"/>
      <c r="Z321" s="11" t="n"/>
      <c r="AA321" s="11" t="n"/>
      <c r="AB321" s="11" t="n"/>
      <c r="AC321" s="11" t="n"/>
      <c r="AD321" s="11" t="n"/>
      <c r="AE321" s="11" t="n"/>
      <c r="AF321" s="9" t="n"/>
      <c r="AG321" s="9" t="n"/>
      <c r="AH321" s="9" t="n"/>
      <c r="AI321" s="9" t="n"/>
      <c r="AJ321" s="8" t="n"/>
      <c r="AK321" s="9" t="n"/>
      <c r="AL321" s="9" t="n"/>
      <c r="AM321" s="9" t="n"/>
      <c r="AN321" s="9" t="n"/>
      <c r="AO321" s="9" t="n"/>
      <c r="AP321" s="9" t="n"/>
      <c r="AQ321" s="9" t="n"/>
      <c r="AR321" s="9" t="n"/>
      <c r="AS321" s="9" t="n"/>
      <c r="AT321" s="8" t="n"/>
      <c r="AU321" s="8" t="n"/>
      <c r="AV321" s="9" t="n"/>
      <c r="AW321" s="8" t="n"/>
      <c r="AX321" s="9" t="n"/>
      <c r="AY321" s="9" t="n"/>
      <c r="AZ321" s="9" t="n"/>
      <c r="BA321" s="9" t="n"/>
      <c r="BB321" s="9" t="n"/>
      <c r="BC321" s="9" t="n"/>
      <c r="BD321" s="9" t="n"/>
      <c r="BE321" s="9" t="n"/>
      <c r="BF321" s="9" t="n"/>
      <c r="BG321" s="9" t="n"/>
      <c r="BH321" s="9" t="n"/>
      <c r="BI321" s="9" t="n"/>
      <c r="BJ321" s="9" t="n"/>
      <c r="BK321" s="9" t="n"/>
      <c r="BL321" s="9" t="n"/>
      <c r="BM321" s="9" t="n"/>
      <c r="BN321" s="9" t="n"/>
      <c r="BO321" s="8" t="n"/>
      <c r="BP321" s="9" t="n"/>
      <c r="BQ321" s="9" t="n"/>
      <c r="BR321" s="13">
        <f>IF(COUNTIF(AI321:BM321,"N")+COUNTBLANK(AI321:BM321)=0,"Y","N")</f>
        <v/>
      </c>
      <c r="BS321" s="13">
        <f>IF(AND(BR321="Y",OR(L321="Submitted",L321="Under Review")),"Y",IF(L321="Closed","Y","N"))</f>
        <v/>
      </c>
      <c r="BT321" s="10" t="n"/>
      <c r="BU321" s="13">
        <f>Rule_Flags!Q320</f>
        <v/>
      </c>
      <c r="BV321" s="13">
        <f>Rule_Flags!P320</f>
        <v/>
      </c>
      <c r="BW321" s="13">
        <f>IF(Rule_Flags!E320=1,"SITE_CONTROL",IF(Rule_Flags!F320=1,"APPROVALS",IF(Rule_Flags!G320=1,"REPORTS",IF(Rule_Flags!H320=1,"DEFICIENCY",IF(Rule_Flags!I320=1,"UNDERWRITING",IF(Rule_Flags!J320=1,"COMPLIANCE",""))))))</f>
        <v/>
      </c>
      <c r="BX321" s="13">
        <f>IF(BW321="SITE_CONTROL","Site control missing or invalid",IF(BW321="APPROVALS","Required approvals or resolutions incomplete",IF(BW321="REPORTS","Required third-party reports incomplete",IF(BW321="DEFICIENCY","Unresolved deficiency or material deficiency",IF(BW321="UNDERWRITING","Underwriting / feasibility not passed",IF(BW321="COMPLIANCE","Deconcentration, one-mile, LURA, or Chapter 12 issue","Ready under current engine rules"))))))</f>
        <v/>
      </c>
      <c r="BY321" s="13">
        <f>IF(BV321="Determination Notice","Streamlined + DN-ready assumptions satisfied",IF(BV321="Board","Board-required or board-ready assumptions satisfied",""))</f>
        <v/>
      </c>
      <c r="BZ321" s="13">
        <f>IF(AND(BP321="Y",BQ321&lt;&gt;"Y"),"Carryforward project retains queue priority",IF(BQ321="Y","New project enters behind carryforward projects",""))</f>
        <v/>
      </c>
      <c r="CA321" s="13">
        <f>_xludf.RANK.EQ(Rule_Flags!O320,Rule_Flags!$O$3:$O$402,0)</f>
        <v/>
      </c>
      <c r="CB321" s="13">
        <f>IF(OR(BU321="Determination Notice Issued",BU321="Board",BU321="Closed"),"Y","N")</f>
        <v/>
      </c>
      <c r="CC321" s="9" t="n"/>
      <c r="CD321" s="9" t="n"/>
      <c r="CE321" s="9" t="n"/>
      <c r="CF321" s="9" t="n"/>
      <c r="CG321" s="9" t="n"/>
      <c r="CH321" s="9" t="n"/>
    </row>
    <row r="322">
      <c r="A322" s="8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8" t="n"/>
      <c r="L322" s="9" t="n"/>
      <c r="M322" s="8" t="n"/>
      <c r="N322" s="8" t="n"/>
      <c r="O322" s="8" t="n"/>
      <c r="P322" s="8" t="n"/>
      <c r="Q322" s="8" t="n"/>
      <c r="R322" s="9" t="n"/>
      <c r="S322" s="9" t="n"/>
      <c r="T322" s="10" t="n"/>
      <c r="U322" s="10" t="n"/>
      <c r="V322" s="9" t="n"/>
      <c r="W322" s="9" t="n"/>
      <c r="X322" s="9" t="n"/>
      <c r="Y322" s="9" t="n"/>
      <c r="Z322" s="11" t="n"/>
      <c r="AA322" s="11" t="n"/>
      <c r="AB322" s="11" t="n"/>
      <c r="AC322" s="11" t="n"/>
      <c r="AD322" s="11" t="n"/>
      <c r="AE322" s="11" t="n"/>
      <c r="AF322" s="9" t="n"/>
      <c r="AG322" s="9" t="n"/>
      <c r="AH322" s="9" t="n"/>
      <c r="AI322" s="9" t="n"/>
      <c r="AJ322" s="8" t="n"/>
      <c r="AK322" s="9" t="n"/>
      <c r="AL322" s="9" t="n"/>
      <c r="AM322" s="9" t="n"/>
      <c r="AN322" s="9" t="n"/>
      <c r="AO322" s="9" t="n"/>
      <c r="AP322" s="9" t="n"/>
      <c r="AQ322" s="9" t="n"/>
      <c r="AR322" s="9" t="n"/>
      <c r="AS322" s="9" t="n"/>
      <c r="AT322" s="8" t="n"/>
      <c r="AU322" s="8" t="n"/>
      <c r="AV322" s="9" t="n"/>
      <c r="AW322" s="8" t="n"/>
      <c r="AX322" s="9" t="n"/>
      <c r="AY322" s="9" t="n"/>
      <c r="AZ322" s="9" t="n"/>
      <c r="BA322" s="9" t="n"/>
      <c r="BB322" s="9" t="n"/>
      <c r="BC322" s="9" t="n"/>
      <c r="BD322" s="9" t="n"/>
      <c r="BE322" s="9" t="n"/>
      <c r="BF322" s="9" t="n"/>
      <c r="BG322" s="9" t="n"/>
      <c r="BH322" s="9" t="n"/>
      <c r="BI322" s="9" t="n"/>
      <c r="BJ322" s="9" t="n"/>
      <c r="BK322" s="9" t="n"/>
      <c r="BL322" s="9" t="n"/>
      <c r="BM322" s="9" t="n"/>
      <c r="BN322" s="9" t="n"/>
      <c r="BO322" s="8" t="n"/>
      <c r="BP322" s="9" t="n"/>
      <c r="BQ322" s="9" t="n"/>
      <c r="BR322" s="13">
        <f>IF(COUNTIF(AI322:BM322,"N")+COUNTBLANK(AI322:BM322)=0,"Y","N")</f>
        <v/>
      </c>
      <c r="BS322" s="13">
        <f>IF(AND(BR322="Y",OR(L322="Submitted",L322="Under Review")),"Y",IF(L322="Closed","Y","N"))</f>
        <v/>
      </c>
      <c r="BT322" s="10" t="n"/>
      <c r="BU322" s="13">
        <f>Rule_Flags!Q321</f>
        <v/>
      </c>
      <c r="BV322" s="13">
        <f>Rule_Flags!P321</f>
        <v/>
      </c>
      <c r="BW322" s="13">
        <f>IF(Rule_Flags!E321=1,"SITE_CONTROL",IF(Rule_Flags!F321=1,"APPROVALS",IF(Rule_Flags!G321=1,"REPORTS",IF(Rule_Flags!H321=1,"DEFICIENCY",IF(Rule_Flags!I321=1,"UNDERWRITING",IF(Rule_Flags!J321=1,"COMPLIANCE",""))))))</f>
        <v/>
      </c>
      <c r="BX322" s="13">
        <f>IF(BW322="SITE_CONTROL","Site control missing or invalid",IF(BW322="APPROVALS","Required approvals or resolutions incomplete",IF(BW322="REPORTS","Required third-party reports incomplete",IF(BW322="DEFICIENCY","Unresolved deficiency or material deficiency",IF(BW322="UNDERWRITING","Underwriting / feasibility not passed",IF(BW322="COMPLIANCE","Deconcentration, one-mile, LURA, or Chapter 12 issue","Ready under current engine rules"))))))</f>
        <v/>
      </c>
      <c r="BY322" s="13">
        <f>IF(BV322="Determination Notice","Streamlined + DN-ready assumptions satisfied",IF(BV322="Board","Board-required or board-ready assumptions satisfied",""))</f>
        <v/>
      </c>
      <c r="BZ322" s="13">
        <f>IF(AND(BP322="Y",BQ322&lt;&gt;"Y"),"Carryforward project retains queue priority",IF(BQ322="Y","New project enters behind carryforward projects",""))</f>
        <v/>
      </c>
      <c r="CA322" s="13">
        <f>_xludf.RANK.EQ(Rule_Flags!O321,Rule_Flags!$O$3:$O$402,0)</f>
        <v/>
      </c>
      <c r="CB322" s="13">
        <f>IF(OR(BU322="Determination Notice Issued",BU322="Board",BU322="Closed"),"Y","N")</f>
        <v/>
      </c>
      <c r="CC322" s="9" t="n"/>
      <c r="CD322" s="9" t="n"/>
      <c r="CE322" s="9" t="n"/>
      <c r="CF322" s="9" t="n"/>
      <c r="CG322" s="9" t="n"/>
      <c r="CH322" s="9" t="n"/>
    </row>
    <row r="323">
      <c r="A323" s="8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8" t="n"/>
      <c r="L323" s="9" t="n"/>
      <c r="M323" s="8" t="n"/>
      <c r="N323" s="8" t="n"/>
      <c r="O323" s="8" t="n"/>
      <c r="P323" s="8" t="n"/>
      <c r="Q323" s="8" t="n"/>
      <c r="R323" s="9" t="n"/>
      <c r="S323" s="9" t="n"/>
      <c r="T323" s="10" t="n"/>
      <c r="U323" s="10" t="n"/>
      <c r="V323" s="9" t="n"/>
      <c r="W323" s="9" t="n"/>
      <c r="X323" s="9" t="n"/>
      <c r="Y323" s="9" t="n"/>
      <c r="Z323" s="11" t="n"/>
      <c r="AA323" s="11" t="n"/>
      <c r="AB323" s="11" t="n"/>
      <c r="AC323" s="11" t="n"/>
      <c r="AD323" s="11" t="n"/>
      <c r="AE323" s="11" t="n"/>
      <c r="AF323" s="9" t="n"/>
      <c r="AG323" s="9" t="n"/>
      <c r="AH323" s="9" t="n"/>
      <c r="AI323" s="9" t="n"/>
      <c r="AJ323" s="8" t="n"/>
      <c r="AK323" s="9" t="n"/>
      <c r="AL323" s="9" t="n"/>
      <c r="AM323" s="9" t="n"/>
      <c r="AN323" s="9" t="n"/>
      <c r="AO323" s="9" t="n"/>
      <c r="AP323" s="9" t="n"/>
      <c r="AQ323" s="9" t="n"/>
      <c r="AR323" s="9" t="n"/>
      <c r="AS323" s="9" t="n"/>
      <c r="AT323" s="8" t="n"/>
      <c r="AU323" s="8" t="n"/>
      <c r="AV323" s="9" t="n"/>
      <c r="AW323" s="8" t="n"/>
      <c r="AX323" s="9" t="n"/>
      <c r="AY323" s="9" t="n"/>
      <c r="AZ323" s="9" t="n"/>
      <c r="BA323" s="9" t="n"/>
      <c r="BB323" s="9" t="n"/>
      <c r="BC323" s="9" t="n"/>
      <c r="BD323" s="9" t="n"/>
      <c r="BE323" s="9" t="n"/>
      <c r="BF323" s="9" t="n"/>
      <c r="BG323" s="9" t="n"/>
      <c r="BH323" s="9" t="n"/>
      <c r="BI323" s="9" t="n"/>
      <c r="BJ323" s="9" t="n"/>
      <c r="BK323" s="9" t="n"/>
      <c r="BL323" s="9" t="n"/>
      <c r="BM323" s="9" t="n"/>
      <c r="BN323" s="9" t="n"/>
      <c r="BO323" s="8" t="n"/>
      <c r="BP323" s="9" t="n"/>
      <c r="BQ323" s="9" t="n"/>
      <c r="BR323" s="13">
        <f>IF(COUNTIF(AI323:BM323,"N")+COUNTBLANK(AI323:BM323)=0,"Y","N")</f>
        <v/>
      </c>
      <c r="BS323" s="13">
        <f>IF(AND(BR323="Y",OR(L323="Submitted",L323="Under Review")),"Y",IF(L323="Closed","Y","N"))</f>
        <v/>
      </c>
      <c r="BT323" s="10" t="n"/>
      <c r="BU323" s="13">
        <f>Rule_Flags!Q322</f>
        <v/>
      </c>
      <c r="BV323" s="13">
        <f>Rule_Flags!P322</f>
        <v/>
      </c>
      <c r="BW323" s="13">
        <f>IF(Rule_Flags!E322=1,"SITE_CONTROL",IF(Rule_Flags!F322=1,"APPROVALS",IF(Rule_Flags!G322=1,"REPORTS",IF(Rule_Flags!H322=1,"DEFICIENCY",IF(Rule_Flags!I322=1,"UNDERWRITING",IF(Rule_Flags!J322=1,"COMPLIANCE",""))))))</f>
        <v/>
      </c>
      <c r="BX323" s="13">
        <f>IF(BW323="SITE_CONTROL","Site control missing or invalid",IF(BW323="APPROVALS","Required approvals or resolutions incomplete",IF(BW323="REPORTS","Required third-party reports incomplete",IF(BW323="DEFICIENCY","Unresolved deficiency or material deficiency",IF(BW323="UNDERWRITING","Underwriting / feasibility not passed",IF(BW323="COMPLIANCE","Deconcentration, one-mile, LURA, or Chapter 12 issue","Ready under current engine rules"))))))</f>
        <v/>
      </c>
      <c r="BY323" s="13">
        <f>IF(BV323="Determination Notice","Streamlined + DN-ready assumptions satisfied",IF(BV323="Board","Board-required or board-ready assumptions satisfied",""))</f>
        <v/>
      </c>
      <c r="BZ323" s="13">
        <f>IF(AND(BP323="Y",BQ323&lt;&gt;"Y"),"Carryforward project retains queue priority",IF(BQ323="Y","New project enters behind carryforward projects",""))</f>
        <v/>
      </c>
      <c r="CA323" s="13">
        <f>_xludf.RANK.EQ(Rule_Flags!O322,Rule_Flags!$O$3:$O$402,0)</f>
        <v/>
      </c>
      <c r="CB323" s="13">
        <f>IF(OR(BU323="Determination Notice Issued",BU323="Board",BU323="Closed"),"Y","N")</f>
        <v/>
      </c>
      <c r="CC323" s="9" t="n"/>
      <c r="CD323" s="9" t="n"/>
      <c r="CE323" s="9" t="n"/>
      <c r="CF323" s="9" t="n"/>
      <c r="CG323" s="9" t="n"/>
      <c r="CH323" s="9" t="n"/>
    </row>
    <row r="324">
      <c r="A324" s="8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8" t="n"/>
      <c r="L324" s="9" t="n"/>
      <c r="M324" s="8" t="n"/>
      <c r="N324" s="8" t="n"/>
      <c r="O324" s="8" t="n"/>
      <c r="P324" s="8" t="n"/>
      <c r="Q324" s="8" t="n"/>
      <c r="R324" s="9" t="n"/>
      <c r="S324" s="9" t="n"/>
      <c r="T324" s="10" t="n"/>
      <c r="U324" s="10" t="n"/>
      <c r="V324" s="9" t="n"/>
      <c r="W324" s="9" t="n"/>
      <c r="X324" s="9" t="n"/>
      <c r="Y324" s="9" t="n"/>
      <c r="Z324" s="11" t="n"/>
      <c r="AA324" s="11" t="n"/>
      <c r="AB324" s="11" t="n"/>
      <c r="AC324" s="11" t="n"/>
      <c r="AD324" s="11" t="n"/>
      <c r="AE324" s="11" t="n"/>
      <c r="AF324" s="9" t="n"/>
      <c r="AG324" s="9" t="n"/>
      <c r="AH324" s="9" t="n"/>
      <c r="AI324" s="9" t="n"/>
      <c r="AJ324" s="8" t="n"/>
      <c r="AK324" s="9" t="n"/>
      <c r="AL324" s="9" t="n"/>
      <c r="AM324" s="9" t="n"/>
      <c r="AN324" s="9" t="n"/>
      <c r="AO324" s="9" t="n"/>
      <c r="AP324" s="9" t="n"/>
      <c r="AQ324" s="9" t="n"/>
      <c r="AR324" s="9" t="n"/>
      <c r="AS324" s="9" t="n"/>
      <c r="AT324" s="8" t="n"/>
      <c r="AU324" s="8" t="n"/>
      <c r="AV324" s="9" t="n"/>
      <c r="AW324" s="8" t="n"/>
      <c r="AX324" s="9" t="n"/>
      <c r="AY324" s="9" t="n"/>
      <c r="AZ324" s="9" t="n"/>
      <c r="BA324" s="9" t="n"/>
      <c r="BB324" s="9" t="n"/>
      <c r="BC324" s="9" t="n"/>
      <c r="BD324" s="9" t="n"/>
      <c r="BE324" s="9" t="n"/>
      <c r="BF324" s="9" t="n"/>
      <c r="BG324" s="9" t="n"/>
      <c r="BH324" s="9" t="n"/>
      <c r="BI324" s="9" t="n"/>
      <c r="BJ324" s="9" t="n"/>
      <c r="BK324" s="9" t="n"/>
      <c r="BL324" s="9" t="n"/>
      <c r="BM324" s="9" t="n"/>
      <c r="BN324" s="9" t="n"/>
      <c r="BO324" s="8" t="n"/>
      <c r="BP324" s="9" t="n"/>
      <c r="BQ324" s="9" t="n"/>
      <c r="BR324" s="13">
        <f>IF(COUNTIF(AI324:BM324,"N")+COUNTBLANK(AI324:BM324)=0,"Y","N")</f>
        <v/>
      </c>
      <c r="BS324" s="13">
        <f>IF(AND(BR324="Y",OR(L324="Submitted",L324="Under Review")),"Y",IF(L324="Closed","Y","N"))</f>
        <v/>
      </c>
      <c r="BT324" s="10" t="n"/>
      <c r="BU324" s="13">
        <f>Rule_Flags!Q323</f>
        <v/>
      </c>
      <c r="BV324" s="13">
        <f>Rule_Flags!P323</f>
        <v/>
      </c>
      <c r="BW324" s="13">
        <f>IF(Rule_Flags!E323=1,"SITE_CONTROL",IF(Rule_Flags!F323=1,"APPROVALS",IF(Rule_Flags!G323=1,"REPORTS",IF(Rule_Flags!H323=1,"DEFICIENCY",IF(Rule_Flags!I323=1,"UNDERWRITING",IF(Rule_Flags!J323=1,"COMPLIANCE",""))))))</f>
        <v/>
      </c>
      <c r="BX324" s="13">
        <f>IF(BW324="SITE_CONTROL","Site control missing or invalid",IF(BW324="APPROVALS","Required approvals or resolutions incomplete",IF(BW324="REPORTS","Required third-party reports incomplete",IF(BW324="DEFICIENCY","Unresolved deficiency or material deficiency",IF(BW324="UNDERWRITING","Underwriting / feasibility not passed",IF(BW324="COMPLIANCE","Deconcentration, one-mile, LURA, or Chapter 12 issue","Ready under current engine rules"))))))</f>
        <v/>
      </c>
      <c r="BY324" s="13">
        <f>IF(BV324="Determination Notice","Streamlined + DN-ready assumptions satisfied",IF(BV324="Board","Board-required or board-ready assumptions satisfied",""))</f>
        <v/>
      </c>
      <c r="BZ324" s="13">
        <f>IF(AND(BP324="Y",BQ324&lt;&gt;"Y"),"Carryforward project retains queue priority",IF(BQ324="Y","New project enters behind carryforward projects",""))</f>
        <v/>
      </c>
      <c r="CA324" s="13">
        <f>_xludf.RANK.EQ(Rule_Flags!O323,Rule_Flags!$O$3:$O$402,0)</f>
        <v/>
      </c>
      <c r="CB324" s="13">
        <f>IF(OR(BU324="Determination Notice Issued",BU324="Board",BU324="Closed"),"Y","N")</f>
        <v/>
      </c>
      <c r="CC324" s="9" t="n"/>
      <c r="CD324" s="9" t="n"/>
      <c r="CE324" s="9" t="n"/>
      <c r="CF324" s="9" t="n"/>
      <c r="CG324" s="9" t="n"/>
      <c r="CH324" s="9" t="n"/>
    </row>
    <row r="325">
      <c r="A325" s="8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8" t="n"/>
      <c r="L325" s="9" t="n"/>
      <c r="M325" s="8" t="n"/>
      <c r="N325" s="8" t="n"/>
      <c r="O325" s="8" t="n"/>
      <c r="P325" s="8" t="n"/>
      <c r="Q325" s="8" t="n"/>
      <c r="R325" s="9" t="n"/>
      <c r="S325" s="9" t="n"/>
      <c r="T325" s="10" t="n"/>
      <c r="U325" s="10" t="n"/>
      <c r="V325" s="9" t="n"/>
      <c r="W325" s="9" t="n"/>
      <c r="X325" s="9" t="n"/>
      <c r="Y325" s="9" t="n"/>
      <c r="Z325" s="11" t="n"/>
      <c r="AA325" s="11" t="n"/>
      <c r="AB325" s="11" t="n"/>
      <c r="AC325" s="11" t="n"/>
      <c r="AD325" s="11" t="n"/>
      <c r="AE325" s="11" t="n"/>
      <c r="AF325" s="9" t="n"/>
      <c r="AG325" s="9" t="n"/>
      <c r="AH325" s="9" t="n"/>
      <c r="AI325" s="9" t="n"/>
      <c r="AJ325" s="8" t="n"/>
      <c r="AK325" s="9" t="n"/>
      <c r="AL325" s="9" t="n"/>
      <c r="AM325" s="9" t="n"/>
      <c r="AN325" s="9" t="n"/>
      <c r="AO325" s="9" t="n"/>
      <c r="AP325" s="9" t="n"/>
      <c r="AQ325" s="9" t="n"/>
      <c r="AR325" s="9" t="n"/>
      <c r="AS325" s="9" t="n"/>
      <c r="AT325" s="8" t="n"/>
      <c r="AU325" s="8" t="n"/>
      <c r="AV325" s="9" t="n"/>
      <c r="AW325" s="8" t="n"/>
      <c r="AX325" s="9" t="n"/>
      <c r="AY325" s="9" t="n"/>
      <c r="AZ325" s="9" t="n"/>
      <c r="BA325" s="9" t="n"/>
      <c r="BB325" s="9" t="n"/>
      <c r="BC325" s="9" t="n"/>
      <c r="BD325" s="9" t="n"/>
      <c r="BE325" s="9" t="n"/>
      <c r="BF325" s="9" t="n"/>
      <c r="BG325" s="9" t="n"/>
      <c r="BH325" s="9" t="n"/>
      <c r="BI325" s="9" t="n"/>
      <c r="BJ325" s="9" t="n"/>
      <c r="BK325" s="9" t="n"/>
      <c r="BL325" s="9" t="n"/>
      <c r="BM325" s="9" t="n"/>
      <c r="BN325" s="9" t="n"/>
      <c r="BO325" s="8" t="n"/>
      <c r="BP325" s="9" t="n"/>
      <c r="BQ325" s="9" t="n"/>
      <c r="BR325" s="13">
        <f>IF(COUNTIF(AI325:BM325,"N")+COUNTBLANK(AI325:BM325)=0,"Y","N")</f>
        <v/>
      </c>
      <c r="BS325" s="13">
        <f>IF(AND(BR325="Y",OR(L325="Submitted",L325="Under Review")),"Y",IF(L325="Closed","Y","N"))</f>
        <v/>
      </c>
      <c r="BT325" s="10" t="n"/>
      <c r="BU325" s="13">
        <f>Rule_Flags!Q324</f>
        <v/>
      </c>
      <c r="BV325" s="13">
        <f>Rule_Flags!P324</f>
        <v/>
      </c>
      <c r="BW325" s="13">
        <f>IF(Rule_Flags!E324=1,"SITE_CONTROL",IF(Rule_Flags!F324=1,"APPROVALS",IF(Rule_Flags!G324=1,"REPORTS",IF(Rule_Flags!H324=1,"DEFICIENCY",IF(Rule_Flags!I324=1,"UNDERWRITING",IF(Rule_Flags!J324=1,"COMPLIANCE",""))))))</f>
        <v/>
      </c>
      <c r="BX325" s="13">
        <f>IF(BW325="SITE_CONTROL","Site control missing or invalid",IF(BW325="APPROVALS","Required approvals or resolutions incomplete",IF(BW325="REPORTS","Required third-party reports incomplete",IF(BW325="DEFICIENCY","Unresolved deficiency or material deficiency",IF(BW325="UNDERWRITING","Underwriting / feasibility not passed",IF(BW325="COMPLIANCE","Deconcentration, one-mile, LURA, or Chapter 12 issue","Ready under current engine rules"))))))</f>
        <v/>
      </c>
      <c r="BY325" s="13">
        <f>IF(BV325="Determination Notice","Streamlined + DN-ready assumptions satisfied",IF(BV325="Board","Board-required or board-ready assumptions satisfied",""))</f>
        <v/>
      </c>
      <c r="BZ325" s="13">
        <f>IF(AND(BP325="Y",BQ325&lt;&gt;"Y"),"Carryforward project retains queue priority",IF(BQ325="Y","New project enters behind carryforward projects",""))</f>
        <v/>
      </c>
      <c r="CA325" s="13">
        <f>_xludf.RANK.EQ(Rule_Flags!O324,Rule_Flags!$O$3:$O$402,0)</f>
        <v/>
      </c>
      <c r="CB325" s="13">
        <f>IF(OR(BU325="Determination Notice Issued",BU325="Board",BU325="Closed"),"Y","N")</f>
        <v/>
      </c>
      <c r="CC325" s="9" t="n"/>
      <c r="CD325" s="9" t="n"/>
      <c r="CE325" s="9" t="n"/>
      <c r="CF325" s="9" t="n"/>
      <c r="CG325" s="9" t="n"/>
      <c r="CH325" s="9" t="n"/>
    </row>
    <row r="326">
      <c r="A326" s="8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8" t="n"/>
      <c r="L326" s="9" t="n"/>
      <c r="M326" s="8" t="n"/>
      <c r="N326" s="8" t="n"/>
      <c r="O326" s="8" t="n"/>
      <c r="P326" s="8" t="n"/>
      <c r="Q326" s="8" t="n"/>
      <c r="R326" s="9" t="n"/>
      <c r="S326" s="9" t="n"/>
      <c r="T326" s="10" t="n"/>
      <c r="U326" s="10" t="n"/>
      <c r="V326" s="9" t="n"/>
      <c r="W326" s="9" t="n"/>
      <c r="X326" s="9" t="n"/>
      <c r="Y326" s="9" t="n"/>
      <c r="Z326" s="11" t="n"/>
      <c r="AA326" s="11" t="n"/>
      <c r="AB326" s="11" t="n"/>
      <c r="AC326" s="11" t="n"/>
      <c r="AD326" s="11" t="n"/>
      <c r="AE326" s="11" t="n"/>
      <c r="AF326" s="9" t="n"/>
      <c r="AG326" s="9" t="n"/>
      <c r="AH326" s="9" t="n"/>
      <c r="AI326" s="9" t="n"/>
      <c r="AJ326" s="8" t="n"/>
      <c r="AK326" s="9" t="n"/>
      <c r="AL326" s="9" t="n"/>
      <c r="AM326" s="9" t="n"/>
      <c r="AN326" s="9" t="n"/>
      <c r="AO326" s="9" t="n"/>
      <c r="AP326" s="9" t="n"/>
      <c r="AQ326" s="9" t="n"/>
      <c r="AR326" s="9" t="n"/>
      <c r="AS326" s="9" t="n"/>
      <c r="AT326" s="8" t="n"/>
      <c r="AU326" s="8" t="n"/>
      <c r="AV326" s="9" t="n"/>
      <c r="AW326" s="8" t="n"/>
      <c r="AX326" s="9" t="n"/>
      <c r="AY326" s="9" t="n"/>
      <c r="AZ326" s="9" t="n"/>
      <c r="BA326" s="9" t="n"/>
      <c r="BB326" s="9" t="n"/>
      <c r="BC326" s="9" t="n"/>
      <c r="BD326" s="9" t="n"/>
      <c r="BE326" s="9" t="n"/>
      <c r="BF326" s="9" t="n"/>
      <c r="BG326" s="9" t="n"/>
      <c r="BH326" s="9" t="n"/>
      <c r="BI326" s="9" t="n"/>
      <c r="BJ326" s="9" t="n"/>
      <c r="BK326" s="9" t="n"/>
      <c r="BL326" s="9" t="n"/>
      <c r="BM326" s="9" t="n"/>
      <c r="BN326" s="9" t="n"/>
      <c r="BO326" s="8" t="n"/>
      <c r="BP326" s="9" t="n"/>
      <c r="BQ326" s="9" t="n"/>
      <c r="BR326" s="13">
        <f>IF(COUNTIF(AI326:BM326,"N")+COUNTBLANK(AI326:BM326)=0,"Y","N")</f>
        <v/>
      </c>
      <c r="BS326" s="13">
        <f>IF(AND(BR326="Y",OR(L326="Submitted",L326="Under Review")),"Y",IF(L326="Closed","Y","N"))</f>
        <v/>
      </c>
      <c r="BT326" s="10" t="n"/>
      <c r="BU326" s="13">
        <f>Rule_Flags!Q325</f>
        <v/>
      </c>
      <c r="BV326" s="13">
        <f>Rule_Flags!P325</f>
        <v/>
      </c>
      <c r="BW326" s="13">
        <f>IF(Rule_Flags!E325=1,"SITE_CONTROL",IF(Rule_Flags!F325=1,"APPROVALS",IF(Rule_Flags!G325=1,"REPORTS",IF(Rule_Flags!H325=1,"DEFICIENCY",IF(Rule_Flags!I325=1,"UNDERWRITING",IF(Rule_Flags!J325=1,"COMPLIANCE",""))))))</f>
        <v/>
      </c>
      <c r="BX326" s="13">
        <f>IF(BW326="SITE_CONTROL","Site control missing or invalid",IF(BW326="APPROVALS","Required approvals or resolutions incomplete",IF(BW326="REPORTS","Required third-party reports incomplete",IF(BW326="DEFICIENCY","Unresolved deficiency or material deficiency",IF(BW326="UNDERWRITING","Underwriting / feasibility not passed",IF(BW326="COMPLIANCE","Deconcentration, one-mile, LURA, or Chapter 12 issue","Ready under current engine rules"))))))</f>
        <v/>
      </c>
      <c r="BY326" s="13">
        <f>IF(BV326="Determination Notice","Streamlined + DN-ready assumptions satisfied",IF(BV326="Board","Board-required or board-ready assumptions satisfied",""))</f>
        <v/>
      </c>
      <c r="BZ326" s="13">
        <f>IF(AND(BP326="Y",BQ326&lt;&gt;"Y"),"Carryforward project retains queue priority",IF(BQ326="Y","New project enters behind carryforward projects",""))</f>
        <v/>
      </c>
      <c r="CA326" s="13">
        <f>_xludf.RANK.EQ(Rule_Flags!O325,Rule_Flags!$O$3:$O$402,0)</f>
        <v/>
      </c>
      <c r="CB326" s="13">
        <f>IF(OR(BU326="Determination Notice Issued",BU326="Board",BU326="Closed"),"Y","N")</f>
        <v/>
      </c>
      <c r="CC326" s="9" t="n"/>
      <c r="CD326" s="9" t="n"/>
      <c r="CE326" s="9" t="n"/>
      <c r="CF326" s="9" t="n"/>
      <c r="CG326" s="9" t="n"/>
      <c r="CH326" s="9" t="n"/>
    </row>
    <row r="327">
      <c r="A327" s="8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8" t="n"/>
      <c r="L327" s="9" t="n"/>
      <c r="M327" s="8" t="n"/>
      <c r="N327" s="8" t="n"/>
      <c r="O327" s="8" t="n"/>
      <c r="P327" s="8" t="n"/>
      <c r="Q327" s="8" t="n"/>
      <c r="R327" s="9" t="n"/>
      <c r="S327" s="9" t="n"/>
      <c r="T327" s="10" t="n"/>
      <c r="U327" s="10" t="n"/>
      <c r="V327" s="9" t="n"/>
      <c r="W327" s="9" t="n"/>
      <c r="X327" s="9" t="n"/>
      <c r="Y327" s="9" t="n"/>
      <c r="Z327" s="11" t="n"/>
      <c r="AA327" s="11" t="n"/>
      <c r="AB327" s="11" t="n"/>
      <c r="AC327" s="11" t="n"/>
      <c r="AD327" s="11" t="n"/>
      <c r="AE327" s="11" t="n"/>
      <c r="AF327" s="9" t="n"/>
      <c r="AG327" s="9" t="n"/>
      <c r="AH327" s="9" t="n"/>
      <c r="AI327" s="9" t="n"/>
      <c r="AJ327" s="8" t="n"/>
      <c r="AK327" s="9" t="n"/>
      <c r="AL327" s="9" t="n"/>
      <c r="AM327" s="9" t="n"/>
      <c r="AN327" s="9" t="n"/>
      <c r="AO327" s="9" t="n"/>
      <c r="AP327" s="9" t="n"/>
      <c r="AQ327" s="9" t="n"/>
      <c r="AR327" s="9" t="n"/>
      <c r="AS327" s="9" t="n"/>
      <c r="AT327" s="8" t="n"/>
      <c r="AU327" s="8" t="n"/>
      <c r="AV327" s="9" t="n"/>
      <c r="AW327" s="8" t="n"/>
      <c r="AX327" s="9" t="n"/>
      <c r="AY327" s="9" t="n"/>
      <c r="AZ327" s="9" t="n"/>
      <c r="BA327" s="9" t="n"/>
      <c r="BB327" s="9" t="n"/>
      <c r="BC327" s="9" t="n"/>
      <c r="BD327" s="9" t="n"/>
      <c r="BE327" s="9" t="n"/>
      <c r="BF327" s="9" t="n"/>
      <c r="BG327" s="9" t="n"/>
      <c r="BH327" s="9" t="n"/>
      <c r="BI327" s="9" t="n"/>
      <c r="BJ327" s="9" t="n"/>
      <c r="BK327" s="9" t="n"/>
      <c r="BL327" s="9" t="n"/>
      <c r="BM327" s="9" t="n"/>
      <c r="BN327" s="9" t="n"/>
      <c r="BO327" s="8" t="n"/>
      <c r="BP327" s="9" t="n"/>
      <c r="BQ327" s="9" t="n"/>
      <c r="BR327" s="13">
        <f>IF(COUNTIF(AI327:BM327,"N")+COUNTBLANK(AI327:BM327)=0,"Y","N")</f>
        <v/>
      </c>
      <c r="BS327" s="13">
        <f>IF(AND(BR327="Y",OR(L327="Submitted",L327="Under Review")),"Y",IF(L327="Closed","Y","N"))</f>
        <v/>
      </c>
      <c r="BT327" s="10" t="n"/>
      <c r="BU327" s="13">
        <f>Rule_Flags!Q326</f>
        <v/>
      </c>
      <c r="BV327" s="13">
        <f>Rule_Flags!P326</f>
        <v/>
      </c>
      <c r="BW327" s="13">
        <f>IF(Rule_Flags!E326=1,"SITE_CONTROL",IF(Rule_Flags!F326=1,"APPROVALS",IF(Rule_Flags!G326=1,"REPORTS",IF(Rule_Flags!H326=1,"DEFICIENCY",IF(Rule_Flags!I326=1,"UNDERWRITING",IF(Rule_Flags!J326=1,"COMPLIANCE",""))))))</f>
        <v/>
      </c>
      <c r="BX327" s="13">
        <f>IF(BW327="SITE_CONTROL","Site control missing or invalid",IF(BW327="APPROVALS","Required approvals or resolutions incomplete",IF(BW327="REPORTS","Required third-party reports incomplete",IF(BW327="DEFICIENCY","Unresolved deficiency or material deficiency",IF(BW327="UNDERWRITING","Underwriting / feasibility not passed",IF(BW327="COMPLIANCE","Deconcentration, one-mile, LURA, or Chapter 12 issue","Ready under current engine rules"))))))</f>
        <v/>
      </c>
      <c r="BY327" s="13">
        <f>IF(BV327="Determination Notice","Streamlined + DN-ready assumptions satisfied",IF(BV327="Board","Board-required or board-ready assumptions satisfied",""))</f>
        <v/>
      </c>
      <c r="BZ327" s="13">
        <f>IF(AND(BP327="Y",BQ327&lt;&gt;"Y"),"Carryforward project retains queue priority",IF(BQ327="Y","New project enters behind carryforward projects",""))</f>
        <v/>
      </c>
      <c r="CA327" s="13">
        <f>_xludf.RANK.EQ(Rule_Flags!O326,Rule_Flags!$O$3:$O$402,0)</f>
        <v/>
      </c>
      <c r="CB327" s="13">
        <f>IF(OR(BU327="Determination Notice Issued",BU327="Board",BU327="Closed"),"Y","N")</f>
        <v/>
      </c>
      <c r="CC327" s="9" t="n"/>
      <c r="CD327" s="9" t="n"/>
      <c r="CE327" s="9" t="n"/>
      <c r="CF327" s="9" t="n"/>
      <c r="CG327" s="9" t="n"/>
      <c r="CH327" s="9" t="n"/>
    </row>
    <row r="328">
      <c r="A328" s="8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8" t="n"/>
      <c r="L328" s="9" t="n"/>
      <c r="M328" s="8" t="n"/>
      <c r="N328" s="8" t="n"/>
      <c r="O328" s="8" t="n"/>
      <c r="P328" s="8" t="n"/>
      <c r="Q328" s="8" t="n"/>
      <c r="R328" s="9" t="n"/>
      <c r="S328" s="9" t="n"/>
      <c r="T328" s="10" t="n"/>
      <c r="U328" s="10" t="n"/>
      <c r="V328" s="9" t="n"/>
      <c r="W328" s="9" t="n"/>
      <c r="X328" s="9" t="n"/>
      <c r="Y328" s="9" t="n"/>
      <c r="Z328" s="11" t="n"/>
      <c r="AA328" s="11" t="n"/>
      <c r="AB328" s="11" t="n"/>
      <c r="AC328" s="11" t="n"/>
      <c r="AD328" s="11" t="n"/>
      <c r="AE328" s="11" t="n"/>
      <c r="AF328" s="9" t="n"/>
      <c r="AG328" s="9" t="n"/>
      <c r="AH328" s="9" t="n"/>
      <c r="AI328" s="9" t="n"/>
      <c r="AJ328" s="8" t="n"/>
      <c r="AK328" s="9" t="n"/>
      <c r="AL328" s="9" t="n"/>
      <c r="AM328" s="9" t="n"/>
      <c r="AN328" s="9" t="n"/>
      <c r="AO328" s="9" t="n"/>
      <c r="AP328" s="9" t="n"/>
      <c r="AQ328" s="9" t="n"/>
      <c r="AR328" s="9" t="n"/>
      <c r="AS328" s="9" t="n"/>
      <c r="AT328" s="8" t="n"/>
      <c r="AU328" s="8" t="n"/>
      <c r="AV328" s="9" t="n"/>
      <c r="AW328" s="8" t="n"/>
      <c r="AX328" s="9" t="n"/>
      <c r="AY328" s="9" t="n"/>
      <c r="AZ328" s="9" t="n"/>
      <c r="BA328" s="9" t="n"/>
      <c r="BB328" s="9" t="n"/>
      <c r="BC328" s="9" t="n"/>
      <c r="BD328" s="9" t="n"/>
      <c r="BE328" s="9" t="n"/>
      <c r="BF328" s="9" t="n"/>
      <c r="BG328" s="9" t="n"/>
      <c r="BH328" s="9" t="n"/>
      <c r="BI328" s="9" t="n"/>
      <c r="BJ328" s="9" t="n"/>
      <c r="BK328" s="9" t="n"/>
      <c r="BL328" s="9" t="n"/>
      <c r="BM328" s="9" t="n"/>
      <c r="BN328" s="9" t="n"/>
      <c r="BO328" s="8" t="n"/>
      <c r="BP328" s="9" t="n"/>
      <c r="BQ328" s="9" t="n"/>
      <c r="BR328" s="13">
        <f>IF(COUNTIF(AI328:BM328,"N")+COUNTBLANK(AI328:BM328)=0,"Y","N")</f>
        <v/>
      </c>
      <c r="BS328" s="13">
        <f>IF(AND(BR328="Y",OR(L328="Submitted",L328="Under Review")),"Y",IF(L328="Closed","Y","N"))</f>
        <v/>
      </c>
      <c r="BT328" s="10" t="n"/>
      <c r="BU328" s="13">
        <f>Rule_Flags!Q327</f>
        <v/>
      </c>
      <c r="BV328" s="13">
        <f>Rule_Flags!P327</f>
        <v/>
      </c>
      <c r="BW328" s="13">
        <f>IF(Rule_Flags!E327=1,"SITE_CONTROL",IF(Rule_Flags!F327=1,"APPROVALS",IF(Rule_Flags!G327=1,"REPORTS",IF(Rule_Flags!H327=1,"DEFICIENCY",IF(Rule_Flags!I327=1,"UNDERWRITING",IF(Rule_Flags!J327=1,"COMPLIANCE",""))))))</f>
        <v/>
      </c>
      <c r="BX328" s="13">
        <f>IF(BW328="SITE_CONTROL","Site control missing or invalid",IF(BW328="APPROVALS","Required approvals or resolutions incomplete",IF(BW328="REPORTS","Required third-party reports incomplete",IF(BW328="DEFICIENCY","Unresolved deficiency or material deficiency",IF(BW328="UNDERWRITING","Underwriting / feasibility not passed",IF(BW328="COMPLIANCE","Deconcentration, one-mile, LURA, or Chapter 12 issue","Ready under current engine rules"))))))</f>
        <v/>
      </c>
      <c r="BY328" s="13">
        <f>IF(BV328="Determination Notice","Streamlined + DN-ready assumptions satisfied",IF(BV328="Board","Board-required or board-ready assumptions satisfied",""))</f>
        <v/>
      </c>
      <c r="BZ328" s="13">
        <f>IF(AND(BP328="Y",BQ328&lt;&gt;"Y"),"Carryforward project retains queue priority",IF(BQ328="Y","New project enters behind carryforward projects",""))</f>
        <v/>
      </c>
      <c r="CA328" s="13">
        <f>_xludf.RANK.EQ(Rule_Flags!O327,Rule_Flags!$O$3:$O$402,0)</f>
        <v/>
      </c>
      <c r="CB328" s="13">
        <f>IF(OR(BU328="Determination Notice Issued",BU328="Board",BU328="Closed"),"Y","N")</f>
        <v/>
      </c>
      <c r="CC328" s="9" t="n"/>
      <c r="CD328" s="9" t="n"/>
      <c r="CE328" s="9" t="n"/>
      <c r="CF328" s="9" t="n"/>
      <c r="CG328" s="9" t="n"/>
      <c r="CH328" s="9" t="n"/>
    </row>
    <row r="329">
      <c r="A329" s="8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8" t="n"/>
      <c r="L329" s="9" t="n"/>
      <c r="M329" s="8" t="n"/>
      <c r="N329" s="8" t="n"/>
      <c r="O329" s="8" t="n"/>
      <c r="P329" s="8" t="n"/>
      <c r="Q329" s="8" t="n"/>
      <c r="R329" s="9" t="n"/>
      <c r="S329" s="9" t="n"/>
      <c r="T329" s="10" t="n"/>
      <c r="U329" s="10" t="n"/>
      <c r="V329" s="9" t="n"/>
      <c r="W329" s="9" t="n"/>
      <c r="X329" s="9" t="n"/>
      <c r="Y329" s="9" t="n"/>
      <c r="Z329" s="11" t="n"/>
      <c r="AA329" s="11" t="n"/>
      <c r="AB329" s="11" t="n"/>
      <c r="AC329" s="11" t="n"/>
      <c r="AD329" s="11" t="n"/>
      <c r="AE329" s="11" t="n"/>
      <c r="AF329" s="9" t="n"/>
      <c r="AG329" s="9" t="n"/>
      <c r="AH329" s="9" t="n"/>
      <c r="AI329" s="9" t="n"/>
      <c r="AJ329" s="8" t="n"/>
      <c r="AK329" s="9" t="n"/>
      <c r="AL329" s="9" t="n"/>
      <c r="AM329" s="9" t="n"/>
      <c r="AN329" s="9" t="n"/>
      <c r="AO329" s="9" t="n"/>
      <c r="AP329" s="9" t="n"/>
      <c r="AQ329" s="9" t="n"/>
      <c r="AR329" s="9" t="n"/>
      <c r="AS329" s="9" t="n"/>
      <c r="AT329" s="8" t="n"/>
      <c r="AU329" s="8" t="n"/>
      <c r="AV329" s="9" t="n"/>
      <c r="AW329" s="8" t="n"/>
      <c r="AX329" s="9" t="n"/>
      <c r="AY329" s="9" t="n"/>
      <c r="AZ329" s="9" t="n"/>
      <c r="BA329" s="9" t="n"/>
      <c r="BB329" s="9" t="n"/>
      <c r="BC329" s="9" t="n"/>
      <c r="BD329" s="9" t="n"/>
      <c r="BE329" s="9" t="n"/>
      <c r="BF329" s="9" t="n"/>
      <c r="BG329" s="9" t="n"/>
      <c r="BH329" s="9" t="n"/>
      <c r="BI329" s="9" t="n"/>
      <c r="BJ329" s="9" t="n"/>
      <c r="BK329" s="9" t="n"/>
      <c r="BL329" s="9" t="n"/>
      <c r="BM329" s="9" t="n"/>
      <c r="BN329" s="9" t="n"/>
      <c r="BO329" s="8" t="n"/>
      <c r="BP329" s="9" t="n"/>
      <c r="BQ329" s="9" t="n"/>
      <c r="BR329" s="13">
        <f>IF(COUNTIF(AI329:BM329,"N")+COUNTBLANK(AI329:BM329)=0,"Y","N")</f>
        <v/>
      </c>
      <c r="BS329" s="13">
        <f>IF(AND(BR329="Y",OR(L329="Submitted",L329="Under Review")),"Y",IF(L329="Closed","Y","N"))</f>
        <v/>
      </c>
      <c r="BT329" s="10" t="n"/>
      <c r="BU329" s="13">
        <f>Rule_Flags!Q328</f>
        <v/>
      </c>
      <c r="BV329" s="13">
        <f>Rule_Flags!P328</f>
        <v/>
      </c>
      <c r="BW329" s="13">
        <f>IF(Rule_Flags!E328=1,"SITE_CONTROL",IF(Rule_Flags!F328=1,"APPROVALS",IF(Rule_Flags!G328=1,"REPORTS",IF(Rule_Flags!H328=1,"DEFICIENCY",IF(Rule_Flags!I328=1,"UNDERWRITING",IF(Rule_Flags!J328=1,"COMPLIANCE",""))))))</f>
        <v/>
      </c>
      <c r="BX329" s="13">
        <f>IF(BW329="SITE_CONTROL","Site control missing or invalid",IF(BW329="APPROVALS","Required approvals or resolutions incomplete",IF(BW329="REPORTS","Required third-party reports incomplete",IF(BW329="DEFICIENCY","Unresolved deficiency or material deficiency",IF(BW329="UNDERWRITING","Underwriting / feasibility not passed",IF(BW329="COMPLIANCE","Deconcentration, one-mile, LURA, or Chapter 12 issue","Ready under current engine rules"))))))</f>
        <v/>
      </c>
      <c r="BY329" s="13">
        <f>IF(BV329="Determination Notice","Streamlined + DN-ready assumptions satisfied",IF(BV329="Board","Board-required or board-ready assumptions satisfied",""))</f>
        <v/>
      </c>
      <c r="BZ329" s="13">
        <f>IF(AND(BP329="Y",BQ329&lt;&gt;"Y"),"Carryforward project retains queue priority",IF(BQ329="Y","New project enters behind carryforward projects",""))</f>
        <v/>
      </c>
      <c r="CA329" s="13">
        <f>_xludf.RANK.EQ(Rule_Flags!O328,Rule_Flags!$O$3:$O$402,0)</f>
        <v/>
      </c>
      <c r="CB329" s="13">
        <f>IF(OR(BU329="Determination Notice Issued",BU329="Board",BU329="Closed"),"Y","N")</f>
        <v/>
      </c>
      <c r="CC329" s="9" t="n"/>
      <c r="CD329" s="9" t="n"/>
      <c r="CE329" s="9" t="n"/>
      <c r="CF329" s="9" t="n"/>
      <c r="CG329" s="9" t="n"/>
      <c r="CH329" s="9" t="n"/>
    </row>
    <row r="330">
      <c r="A330" s="8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8" t="n"/>
      <c r="L330" s="9" t="n"/>
      <c r="M330" s="8" t="n"/>
      <c r="N330" s="8" t="n"/>
      <c r="O330" s="8" t="n"/>
      <c r="P330" s="8" t="n"/>
      <c r="Q330" s="8" t="n"/>
      <c r="R330" s="9" t="n"/>
      <c r="S330" s="9" t="n"/>
      <c r="T330" s="10" t="n"/>
      <c r="U330" s="10" t="n"/>
      <c r="V330" s="9" t="n"/>
      <c r="W330" s="9" t="n"/>
      <c r="X330" s="9" t="n"/>
      <c r="Y330" s="9" t="n"/>
      <c r="Z330" s="11" t="n"/>
      <c r="AA330" s="11" t="n"/>
      <c r="AB330" s="11" t="n"/>
      <c r="AC330" s="11" t="n"/>
      <c r="AD330" s="11" t="n"/>
      <c r="AE330" s="11" t="n"/>
      <c r="AF330" s="9" t="n"/>
      <c r="AG330" s="9" t="n"/>
      <c r="AH330" s="9" t="n"/>
      <c r="AI330" s="9" t="n"/>
      <c r="AJ330" s="8" t="n"/>
      <c r="AK330" s="9" t="n"/>
      <c r="AL330" s="9" t="n"/>
      <c r="AM330" s="9" t="n"/>
      <c r="AN330" s="9" t="n"/>
      <c r="AO330" s="9" t="n"/>
      <c r="AP330" s="9" t="n"/>
      <c r="AQ330" s="9" t="n"/>
      <c r="AR330" s="9" t="n"/>
      <c r="AS330" s="9" t="n"/>
      <c r="AT330" s="8" t="n"/>
      <c r="AU330" s="8" t="n"/>
      <c r="AV330" s="9" t="n"/>
      <c r="AW330" s="8" t="n"/>
      <c r="AX330" s="9" t="n"/>
      <c r="AY330" s="9" t="n"/>
      <c r="AZ330" s="9" t="n"/>
      <c r="BA330" s="9" t="n"/>
      <c r="BB330" s="9" t="n"/>
      <c r="BC330" s="9" t="n"/>
      <c r="BD330" s="9" t="n"/>
      <c r="BE330" s="9" t="n"/>
      <c r="BF330" s="9" t="n"/>
      <c r="BG330" s="9" t="n"/>
      <c r="BH330" s="9" t="n"/>
      <c r="BI330" s="9" t="n"/>
      <c r="BJ330" s="9" t="n"/>
      <c r="BK330" s="9" t="n"/>
      <c r="BL330" s="9" t="n"/>
      <c r="BM330" s="9" t="n"/>
      <c r="BN330" s="9" t="n"/>
      <c r="BO330" s="8" t="n"/>
      <c r="BP330" s="9" t="n"/>
      <c r="BQ330" s="9" t="n"/>
      <c r="BR330" s="13">
        <f>IF(COUNTIF(AI330:BM330,"N")+COUNTBLANK(AI330:BM330)=0,"Y","N")</f>
        <v/>
      </c>
      <c r="BS330" s="13">
        <f>IF(AND(BR330="Y",OR(L330="Submitted",L330="Under Review")),"Y",IF(L330="Closed","Y","N"))</f>
        <v/>
      </c>
      <c r="BT330" s="10" t="n"/>
      <c r="BU330" s="13">
        <f>Rule_Flags!Q329</f>
        <v/>
      </c>
      <c r="BV330" s="13">
        <f>Rule_Flags!P329</f>
        <v/>
      </c>
      <c r="BW330" s="13">
        <f>IF(Rule_Flags!E329=1,"SITE_CONTROL",IF(Rule_Flags!F329=1,"APPROVALS",IF(Rule_Flags!G329=1,"REPORTS",IF(Rule_Flags!H329=1,"DEFICIENCY",IF(Rule_Flags!I329=1,"UNDERWRITING",IF(Rule_Flags!J329=1,"COMPLIANCE",""))))))</f>
        <v/>
      </c>
      <c r="BX330" s="13">
        <f>IF(BW330="SITE_CONTROL","Site control missing or invalid",IF(BW330="APPROVALS","Required approvals or resolutions incomplete",IF(BW330="REPORTS","Required third-party reports incomplete",IF(BW330="DEFICIENCY","Unresolved deficiency or material deficiency",IF(BW330="UNDERWRITING","Underwriting / feasibility not passed",IF(BW330="COMPLIANCE","Deconcentration, one-mile, LURA, or Chapter 12 issue","Ready under current engine rules"))))))</f>
        <v/>
      </c>
      <c r="BY330" s="13">
        <f>IF(BV330="Determination Notice","Streamlined + DN-ready assumptions satisfied",IF(BV330="Board","Board-required or board-ready assumptions satisfied",""))</f>
        <v/>
      </c>
      <c r="BZ330" s="13">
        <f>IF(AND(BP330="Y",BQ330&lt;&gt;"Y"),"Carryforward project retains queue priority",IF(BQ330="Y","New project enters behind carryforward projects",""))</f>
        <v/>
      </c>
      <c r="CA330" s="13">
        <f>_xludf.RANK.EQ(Rule_Flags!O329,Rule_Flags!$O$3:$O$402,0)</f>
        <v/>
      </c>
      <c r="CB330" s="13">
        <f>IF(OR(BU330="Determination Notice Issued",BU330="Board",BU330="Closed"),"Y","N")</f>
        <v/>
      </c>
      <c r="CC330" s="9" t="n"/>
      <c r="CD330" s="9" t="n"/>
      <c r="CE330" s="9" t="n"/>
      <c r="CF330" s="9" t="n"/>
      <c r="CG330" s="9" t="n"/>
      <c r="CH330" s="9" t="n"/>
    </row>
    <row r="331">
      <c r="A331" s="8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8" t="n"/>
      <c r="L331" s="9" t="n"/>
      <c r="M331" s="8" t="n"/>
      <c r="N331" s="8" t="n"/>
      <c r="O331" s="8" t="n"/>
      <c r="P331" s="8" t="n"/>
      <c r="Q331" s="8" t="n"/>
      <c r="R331" s="9" t="n"/>
      <c r="S331" s="9" t="n"/>
      <c r="T331" s="10" t="n"/>
      <c r="U331" s="10" t="n"/>
      <c r="V331" s="9" t="n"/>
      <c r="W331" s="9" t="n"/>
      <c r="X331" s="9" t="n"/>
      <c r="Y331" s="9" t="n"/>
      <c r="Z331" s="11" t="n"/>
      <c r="AA331" s="11" t="n"/>
      <c r="AB331" s="11" t="n"/>
      <c r="AC331" s="11" t="n"/>
      <c r="AD331" s="11" t="n"/>
      <c r="AE331" s="11" t="n"/>
      <c r="AF331" s="9" t="n"/>
      <c r="AG331" s="9" t="n"/>
      <c r="AH331" s="9" t="n"/>
      <c r="AI331" s="9" t="n"/>
      <c r="AJ331" s="8" t="n"/>
      <c r="AK331" s="9" t="n"/>
      <c r="AL331" s="9" t="n"/>
      <c r="AM331" s="9" t="n"/>
      <c r="AN331" s="9" t="n"/>
      <c r="AO331" s="9" t="n"/>
      <c r="AP331" s="9" t="n"/>
      <c r="AQ331" s="9" t="n"/>
      <c r="AR331" s="9" t="n"/>
      <c r="AS331" s="9" t="n"/>
      <c r="AT331" s="8" t="n"/>
      <c r="AU331" s="8" t="n"/>
      <c r="AV331" s="9" t="n"/>
      <c r="AW331" s="8" t="n"/>
      <c r="AX331" s="9" t="n"/>
      <c r="AY331" s="9" t="n"/>
      <c r="AZ331" s="9" t="n"/>
      <c r="BA331" s="9" t="n"/>
      <c r="BB331" s="9" t="n"/>
      <c r="BC331" s="9" t="n"/>
      <c r="BD331" s="9" t="n"/>
      <c r="BE331" s="9" t="n"/>
      <c r="BF331" s="9" t="n"/>
      <c r="BG331" s="9" t="n"/>
      <c r="BH331" s="9" t="n"/>
      <c r="BI331" s="9" t="n"/>
      <c r="BJ331" s="9" t="n"/>
      <c r="BK331" s="9" t="n"/>
      <c r="BL331" s="9" t="n"/>
      <c r="BM331" s="9" t="n"/>
      <c r="BN331" s="9" t="n"/>
      <c r="BO331" s="8" t="n"/>
      <c r="BP331" s="9" t="n"/>
      <c r="BQ331" s="9" t="n"/>
      <c r="BR331" s="13">
        <f>IF(COUNTIF(AI331:BM331,"N")+COUNTBLANK(AI331:BM331)=0,"Y","N")</f>
        <v/>
      </c>
      <c r="BS331" s="13">
        <f>IF(AND(BR331="Y",OR(L331="Submitted",L331="Under Review")),"Y",IF(L331="Closed","Y","N"))</f>
        <v/>
      </c>
      <c r="BT331" s="10" t="n"/>
      <c r="BU331" s="13">
        <f>Rule_Flags!Q330</f>
        <v/>
      </c>
      <c r="BV331" s="13">
        <f>Rule_Flags!P330</f>
        <v/>
      </c>
      <c r="BW331" s="13">
        <f>IF(Rule_Flags!E330=1,"SITE_CONTROL",IF(Rule_Flags!F330=1,"APPROVALS",IF(Rule_Flags!G330=1,"REPORTS",IF(Rule_Flags!H330=1,"DEFICIENCY",IF(Rule_Flags!I330=1,"UNDERWRITING",IF(Rule_Flags!J330=1,"COMPLIANCE",""))))))</f>
        <v/>
      </c>
      <c r="BX331" s="13">
        <f>IF(BW331="SITE_CONTROL","Site control missing or invalid",IF(BW331="APPROVALS","Required approvals or resolutions incomplete",IF(BW331="REPORTS","Required third-party reports incomplete",IF(BW331="DEFICIENCY","Unresolved deficiency or material deficiency",IF(BW331="UNDERWRITING","Underwriting / feasibility not passed",IF(BW331="COMPLIANCE","Deconcentration, one-mile, LURA, or Chapter 12 issue","Ready under current engine rules"))))))</f>
        <v/>
      </c>
      <c r="BY331" s="13">
        <f>IF(BV331="Determination Notice","Streamlined + DN-ready assumptions satisfied",IF(BV331="Board","Board-required or board-ready assumptions satisfied",""))</f>
        <v/>
      </c>
      <c r="BZ331" s="13">
        <f>IF(AND(BP331="Y",BQ331&lt;&gt;"Y"),"Carryforward project retains queue priority",IF(BQ331="Y","New project enters behind carryforward projects",""))</f>
        <v/>
      </c>
      <c r="CA331" s="13">
        <f>_xludf.RANK.EQ(Rule_Flags!O330,Rule_Flags!$O$3:$O$402,0)</f>
        <v/>
      </c>
      <c r="CB331" s="13">
        <f>IF(OR(BU331="Determination Notice Issued",BU331="Board",BU331="Closed"),"Y","N")</f>
        <v/>
      </c>
      <c r="CC331" s="9" t="n"/>
      <c r="CD331" s="9" t="n"/>
      <c r="CE331" s="9" t="n"/>
      <c r="CF331" s="9" t="n"/>
      <c r="CG331" s="9" t="n"/>
      <c r="CH331" s="9" t="n"/>
    </row>
    <row r="332">
      <c r="A332" s="8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8" t="n"/>
      <c r="L332" s="9" t="n"/>
      <c r="M332" s="8" t="n"/>
      <c r="N332" s="8" t="n"/>
      <c r="O332" s="8" t="n"/>
      <c r="P332" s="8" t="n"/>
      <c r="Q332" s="8" t="n"/>
      <c r="R332" s="9" t="n"/>
      <c r="S332" s="9" t="n"/>
      <c r="T332" s="10" t="n"/>
      <c r="U332" s="10" t="n"/>
      <c r="V332" s="9" t="n"/>
      <c r="W332" s="9" t="n"/>
      <c r="X332" s="9" t="n"/>
      <c r="Y332" s="9" t="n"/>
      <c r="Z332" s="11" t="n"/>
      <c r="AA332" s="11" t="n"/>
      <c r="AB332" s="11" t="n"/>
      <c r="AC332" s="11" t="n"/>
      <c r="AD332" s="11" t="n"/>
      <c r="AE332" s="11" t="n"/>
      <c r="AF332" s="9" t="n"/>
      <c r="AG332" s="9" t="n"/>
      <c r="AH332" s="9" t="n"/>
      <c r="AI332" s="9" t="n"/>
      <c r="AJ332" s="8" t="n"/>
      <c r="AK332" s="9" t="n"/>
      <c r="AL332" s="9" t="n"/>
      <c r="AM332" s="9" t="n"/>
      <c r="AN332" s="9" t="n"/>
      <c r="AO332" s="9" t="n"/>
      <c r="AP332" s="9" t="n"/>
      <c r="AQ332" s="9" t="n"/>
      <c r="AR332" s="9" t="n"/>
      <c r="AS332" s="9" t="n"/>
      <c r="AT332" s="8" t="n"/>
      <c r="AU332" s="8" t="n"/>
      <c r="AV332" s="9" t="n"/>
      <c r="AW332" s="8" t="n"/>
      <c r="AX332" s="9" t="n"/>
      <c r="AY332" s="9" t="n"/>
      <c r="AZ332" s="9" t="n"/>
      <c r="BA332" s="9" t="n"/>
      <c r="BB332" s="9" t="n"/>
      <c r="BC332" s="9" t="n"/>
      <c r="BD332" s="9" t="n"/>
      <c r="BE332" s="9" t="n"/>
      <c r="BF332" s="9" t="n"/>
      <c r="BG332" s="9" t="n"/>
      <c r="BH332" s="9" t="n"/>
      <c r="BI332" s="9" t="n"/>
      <c r="BJ332" s="9" t="n"/>
      <c r="BK332" s="9" t="n"/>
      <c r="BL332" s="9" t="n"/>
      <c r="BM332" s="9" t="n"/>
      <c r="BN332" s="9" t="n"/>
      <c r="BO332" s="8" t="n"/>
      <c r="BP332" s="9" t="n"/>
      <c r="BQ332" s="9" t="n"/>
      <c r="BR332" s="13">
        <f>IF(COUNTIF(AI332:BM332,"N")+COUNTBLANK(AI332:BM332)=0,"Y","N")</f>
        <v/>
      </c>
      <c r="BS332" s="13">
        <f>IF(AND(BR332="Y",OR(L332="Submitted",L332="Under Review")),"Y",IF(L332="Closed","Y","N"))</f>
        <v/>
      </c>
      <c r="BT332" s="10" t="n"/>
      <c r="BU332" s="13">
        <f>Rule_Flags!Q331</f>
        <v/>
      </c>
      <c r="BV332" s="13">
        <f>Rule_Flags!P331</f>
        <v/>
      </c>
      <c r="BW332" s="13">
        <f>IF(Rule_Flags!E331=1,"SITE_CONTROL",IF(Rule_Flags!F331=1,"APPROVALS",IF(Rule_Flags!G331=1,"REPORTS",IF(Rule_Flags!H331=1,"DEFICIENCY",IF(Rule_Flags!I331=1,"UNDERWRITING",IF(Rule_Flags!J331=1,"COMPLIANCE",""))))))</f>
        <v/>
      </c>
      <c r="BX332" s="13">
        <f>IF(BW332="SITE_CONTROL","Site control missing or invalid",IF(BW332="APPROVALS","Required approvals or resolutions incomplete",IF(BW332="REPORTS","Required third-party reports incomplete",IF(BW332="DEFICIENCY","Unresolved deficiency or material deficiency",IF(BW332="UNDERWRITING","Underwriting / feasibility not passed",IF(BW332="COMPLIANCE","Deconcentration, one-mile, LURA, or Chapter 12 issue","Ready under current engine rules"))))))</f>
        <v/>
      </c>
      <c r="BY332" s="13">
        <f>IF(BV332="Determination Notice","Streamlined + DN-ready assumptions satisfied",IF(BV332="Board","Board-required or board-ready assumptions satisfied",""))</f>
        <v/>
      </c>
      <c r="BZ332" s="13">
        <f>IF(AND(BP332="Y",BQ332&lt;&gt;"Y"),"Carryforward project retains queue priority",IF(BQ332="Y","New project enters behind carryforward projects",""))</f>
        <v/>
      </c>
      <c r="CA332" s="13">
        <f>_xludf.RANK.EQ(Rule_Flags!O331,Rule_Flags!$O$3:$O$402,0)</f>
        <v/>
      </c>
      <c r="CB332" s="13">
        <f>IF(OR(BU332="Determination Notice Issued",BU332="Board",BU332="Closed"),"Y","N")</f>
        <v/>
      </c>
      <c r="CC332" s="9" t="n"/>
      <c r="CD332" s="9" t="n"/>
      <c r="CE332" s="9" t="n"/>
      <c r="CF332" s="9" t="n"/>
      <c r="CG332" s="9" t="n"/>
      <c r="CH332" s="9" t="n"/>
    </row>
    <row r="333">
      <c r="A333" s="8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8" t="n"/>
      <c r="L333" s="9" t="n"/>
      <c r="M333" s="8" t="n"/>
      <c r="N333" s="8" t="n"/>
      <c r="O333" s="8" t="n"/>
      <c r="P333" s="8" t="n"/>
      <c r="Q333" s="8" t="n"/>
      <c r="R333" s="9" t="n"/>
      <c r="S333" s="9" t="n"/>
      <c r="T333" s="10" t="n"/>
      <c r="U333" s="10" t="n"/>
      <c r="V333" s="9" t="n"/>
      <c r="W333" s="9" t="n"/>
      <c r="X333" s="9" t="n"/>
      <c r="Y333" s="9" t="n"/>
      <c r="Z333" s="11" t="n"/>
      <c r="AA333" s="11" t="n"/>
      <c r="AB333" s="11" t="n"/>
      <c r="AC333" s="11" t="n"/>
      <c r="AD333" s="11" t="n"/>
      <c r="AE333" s="11" t="n"/>
      <c r="AF333" s="9" t="n"/>
      <c r="AG333" s="9" t="n"/>
      <c r="AH333" s="9" t="n"/>
      <c r="AI333" s="9" t="n"/>
      <c r="AJ333" s="8" t="n"/>
      <c r="AK333" s="9" t="n"/>
      <c r="AL333" s="9" t="n"/>
      <c r="AM333" s="9" t="n"/>
      <c r="AN333" s="9" t="n"/>
      <c r="AO333" s="9" t="n"/>
      <c r="AP333" s="9" t="n"/>
      <c r="AQ333" s="9" t="n"/>
      <c r="AR333" s="9" t="n"/>
      <c r="AS333" s="9" t="n"/>
      <c r="AT333" s="8" t="n"/>
      <c r="AU333" s="8" t="n"/>
      <c r="AV333" s="9" t="n"/>
      <c r="AW333" s="8" t="n"/>
      <c r="AX333" s="9" t="n"/>
      <c r="AY333" s="9" t="n"/>
      <c r="AZ333" s="9" t="n"/>
      <c r="BA333" s="9" t="n"/>
      <c r="BB333" s="9" t="n"/>
      <c r="BC333" s="9" t="n"/>
      <c r="BD333" s="9" t="n"/>
      <c r="BE333" s="9" t="n"/>
      <c r="BF333" s="9" t="n"/>
      <c r="BG333" s="9" t="n"/>
      <c r="BH333" s="9" t="n"/>
      <c r="BI333" s="9" t="n"/>
      <c r="BJ333" s="9" t="n"/>
      <c r="BK333" s="9" t="n"/>
      <c r="BL333" s="9" t="n"/>
      <c r="BM333" s="9" t="n"/>
      <c r="BN333" s="9" t="n"/>
      <c r="BO333" s="8" t="n"/>
      <c r="BP333" s="9" t="n"/>
      <c r="BQ333" s="9" t="n"/>
      <c r="BR333" s="13">
        <f>IF(COUNTIF(AI333:BM333,"N")+COUNTBLANK(AI333:BM333)=0,"Y","N")</f>
        <v/>
      </c>
      <c r="BS333" s="13">
        <f>IF(AND(BR333="Y",OR(L333="Submitted",L333="Under Review")),"Y",IF(L333="Closed","Y","N"))</f>
        <v/>
      </c>
      <c r="BT333" s="10" t="n"/>
      <c r="BU333" s="13">
        <f>Rule_Flags!Q332</f>
        <v/>
      </c>
      <c r="BV333" s="13">
        <f>Rule_Flags!P332</f>
        <v/>
      </c>
      <c r="BW333" s="13">
        <f>IF(Rule_Flags!E332=1,"SITE_CONTROL",IF(Rule_Flags!F332=1,"APPROVALS",IF(Rule_Flags!G332=1,"REPORTS",IF(Rule_Flags!H332=1,"DEFICIENCY",IF(Rule_Flags!I332=1,"UNDERWRITING",IF(Rule_Flags!J332=1,"COMPLIANCE",""))))))</f>
        <v/>
      </c>
      <c r="BX333" s="13">
        <f>IF(BW333="SITE_CONTROL","Site control missing or invalid",IF(BW333="APPROVALS","Required approvals or resolutions incomplete",IF(BW333="REPORTS","Required third-party reports incomplete",IF(BW333="DEFICIENCY","Unresolved deficiency or material deficiency",IF(BW333="UNDERWRITING","Underwriting / feasibility not passed",IF(BW333="COMPLIANCE","Deconcentration, one-mile, LURA, or Chapter 12 issue","Ready under current engine rules"))))))</f>
        <v/>
      </c>
      <c r="BY333" s="13">
        <f>IF(BV333="Determination Notice","Streamlined + DN-ready assumptions satisfied",IF(BV333="Board","Board-required or board-ready assumptions satisfied",""))</f>
        <v/>
      </c>
      <c r="BZ333" s="13">
        <f>IF(AND(BP333="Y",BQ333&lt;&gt;"Y"),"Carryforward project retains queue priority",IF(BQ333="Y","New project enters behind carryforward projects",""))</f>
        <v/>
      </c>
      <c r="CA333" s="13">
        <f>_xludf.RANK.EQ(Rule_Flags!O332,Rule_Flags!$O$3:$O$402,0)</f>
        <v/>
      </c>
      <c r="CB333" s="13">
        <f>IF(OR(BU333="Determination Notice Issued",BU333="Board",BU333="Closed"),"Y","N")</f>
        <v/>
      </c>
      <c r="CC333" s="9" t="n"/>
      <c r="CD333" s="9" t="n"/>
      <c r="CE333" s="9" t="n"/>
      <c r="CF333" s="9" t="n"/>
      <c r="CG333" s="9" t="n"/>
      <c r="CH333" s="9" t="n"/>
    </row>
    <row r="334">
      <c r="A334" s="8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8" t="n"/>
      <c r="L334" s="9" t="n"/>
      <c r="M334" s="8" t="n"/>
      <c r="N334" s="8" t="n"/>
      <c r="O334" s="8" t="n"/>
      <c r="P334" s="8" t="n"/>
      <c r="Q334" s="8" t="n"/>
      <c r="R334" s="9" t="n"/>
      <c r="S334" s="9" t="n"/>
      <c r="T334" s="10" t="n"/>
      <c r="U334" s="10" t="n"/>
      <c r="V334" s="9" t="n"/>
      <c r="W334" s="9" t="n"/>
      <c r="X334" s="9" t="n"/>
      <c r="Y334" s="9" t="n"/>
      <c r="Z334" s="11" t="n"/>
      <c r="AA334" s="11" t="n"/>
      <c r="AB334" s="11" t="n"/>
      <c r="AC334" s="11" t="n"/>
      <c r="AD334" s="11" t="n"/>
      <c r="AE334" s="11" t="n"/>
      <c r="AF334" s="9" t="n"/>
      <c r="AG334" s="9" t="n"/>
      <c r="AH334" s="9" t="n"/>
      <c r="AI334" s="9" t="n"/>
      <c r="AJ334" s="8" t="n"/>
      <c r="AK334" s="9" t="n"/>
      <c r="AL334" s="9" t="n"/>
      <c r="AM334" s="9" t="n"/>
      <c r="AN334" s="9" t="n"/>
      <c r="AO334" s="9" t="n"/>
      <c r="AP334" s="9" t="n"/>
      <c r="AQ334" s="9" t="n"/>
      <c r="AR334" s="9" t="n"/>
      <c r="AS334" s="9" t="n"/>
      <c r="AT334" s="8" t="n"/>
      <c r="AU334" s="8" t="n"/>
      <c r="AV334" s="9" t="n"/>
      <c r="AW334" s="8" t="n"/>
      <c r="AX334" s="9" t="n"/>
      <c r="AY334" s="9" t="n"/>
      <c r="AZ334" s="9" t="n"/>
      <c r="BA334" s="9" t="n"/>
      <c r="BB334" s="9" t="n"/>
      <c r="BC334" s="9" t="n"/>
      <c r="BD334" s="9" t="n"/>
      <c r="BE334" s="9" t="n"/>
      <c r="BF334" s="9" t="n"/>
      <c r="BG334" s="9" t="n"/>
      <c r="BH334" s="9" t="n"/>
      <c r="BI334" s="9" t="n"/>
      <c r="BJ334" s="9" t="n"/>
      <c r="BK334" s="9" t="n"/>
      <c r="BL334" s="9" t="n"/>
      <c r="BM334" s="9" t="n"/>
      <c r="BN334" s="9" t="n"/>
      <c r="BO334" s="8" t="n"/>
      <c r="BP334" s="9" t="n"/>
      <c r="BQ334" s="9" t="n"/>
      <c r="BR334" s="13">
        <f>IF(COUNTIF(AI334:BM334,"N")+COUNTBLANK(AI334:BM334)=0,"Y","N")</f>
        <v/>
      </c>
      <c r="BS334" s="13">
        <f>IF(AND(BR334="Y",OR(L334="Submitted",L334="Under Review")),"Y",IF(L334="Closed","Y","N"))</f>
        <v/>
      </c>
      <c r="BT334" s="10" t="n"/>
      <c r="BU334" s="13">
        <f>Rule_Flags!Q333</f>
        <v/>
      </c>
      <c r="BV334" s="13">
        <f>Rule_Flags!P333</f>
        <v/>
      </c>
      <c r="BW334" s="13">
        <f>IF(Rule_Flags!E333=1,"SITE_CONTROL",IF(Rule_Flags!F333=1,"APPROVALS",IF(Rule_Flags!G333=1,"REPORTS",IF(Rule_Flags!H333=1,"DEFICIENCY",IF(Rule_Flags!I333=1,"UNDERWRITING",IF(Rule_Flags!J333=1,"COMPLIANCE",""))))))</f>
        <v/>
      </c>
      <c r="BX334" s="13">
        <f>IF(BW334="SITE_CONTROL","Site control missing or invalid",IF(BW334="APPROVALS","Required approvals or resolutions incomplete",IF(BW334="REPORTS","Required third-party reports incomplete",IF(BW334="DEFICIENCY","Unresolved deficiency or material deficiency",IF(BW334="UNDERWRITING","Underwriting / feasibility not passed",IF(BW334="COMPLIANCE","Deconcentration, one-mile, LURA, or Chapter 12 issue","Ready under current engine rules"))))))</f>
        <v/>
      </c>
      <c r="BY334" s="13">
        <f>IF(BV334="Determination Notice","Streamlined + DN-ready assumptions satisfied",IF(BV334="Board","Board-required or board-ready assumptions satisfied",""))</f>
        <v/>
      </c>
      <c r="BZ334" s="13">
        <f>IF(AND(BP334="Y",BQ334&lt;&gt;"Y"),"Carryforward project retains queue priority",IF(BQ334="Y","New project enters behind carryforward projects",""))</f>
        <v/>
      </c>
      <c r="CA334" s="13">
        <f>_xludf.RANK.EQ(Rule_Flags!O333,Rule_Flags!$O$3:$O$402,0)</f>
        <v/>
      </c>
      <c r="CB334" s="13">
        <f>IF(OR(BU334="Determination Notice Issued",BU334="Board",BU334="Closed"),"Y","N")</f>
        <v/>
      </c>
      <c r="CC334" s="9" t="n"/>
      <c r="CD334" s="9" t="n"/>
      <c r="CE334" s="9" t="n"/>
      <c r="CF334" s="9" t="n"/>
      <c r="CG334" s="9" t="n"/>
      <c r="CH334" s="9" t="n"/>
    </row>
    <row r="335">
      <c r="A335" s="8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8" t="n"/>
      <c r="L335" s="9" t="n"/>
      <c r="M335" s="8" t="n"/>
      <c r="N335" s="8" t="n"/>
      <c r="O335" s="8" t="n"/>
      <c r="P335" s="8" t="n"/>
      <c r="Q335" s="8" t="n"/>
      <c r="R335" s="9" t="n"/>
      <c r="S335" s="9" t="n"/>
      <c r="T335" s="10" t="n"/>
      <c r="U335" s="10" t="n"/>
      <c r="V335" s="9" t="n"/>
      <c r="W335" s="9" t="n"/>
      <c r="X335" s="9" t="n"/>
      <c r="Y335" s="9" t="n"/>
      <c r="Z335" s="11" t="n"/>
      <c r="AA335" s="11" t="n"/>
      <c r="AB335" s="11" t="n"/>
      <c r="AC335" s="11" t="n"/>
      <c r="AD335" s="11" t="n"/>
      <c r="AE335" s="11" t="n"/>
      <c r="AF335" s="9" t="n"/>
      <c r="AG335" s="9" t="n"/>
      <c r="AH335" s="9" t="n"/>
      <c r="AI335" s="9" t="n"/>
      <c r="AJ335" s="8" t="n"/>
      <c r="AK335" s="9" t="n"/>
      <c r="AL335" s="9" t="n"/>
      <c r="AM335" s="9" t="n"/>
      <c r="AN335" s="9" t="n"/>
      <c r="AO335" s="9" t="n"/>
      <c r="AP335" s="9" t="n"/>
      <c r="AQ335" s="9" t="n"/>
      <c r="AR335" s="9" t="n"/>
      <c r="AS335" s="9" t="n"/>
      <c r="AT335" s="8" t="n"/>
      <c r="AU335" s="8" t="n"/>
      <c r="AV335" s="9" t="n"/>
      <c r="AW335" s="8" t="n"/>
      <c r="AX335" s="9" t="n"/>
      <c r="AY335" s="9" t="n"/>
      <c r="AZ335" s="9" t="n"/>
      <c r="BA335" s="9" t="n"/>
      <c r="BB335" s="9" t="n"/>
      <c r="BC335" s="9" t="n"/>
      <c r="BD335" s="9" t="n"/>
      <c r="BE335" s="9" t="n"/>
      <c r="BF335" s="9" t="n"/>
      <c r="BG335" s="9" t="n"/>
      <c r="BH335" s="9" t="n"/>
      <c r="BI335" s="9" t="n"/>
      <c r="BJ335" s="9" t="n"/>
      <c r="BK335" s="9" t="n"/>
      <c r="BL335" s="9" t="n"/>
      <c r="BM335" s="9" t="n"/>
      <c r="BN335" s="9" t="n"/>
      <c r="BO335" s="8" t="n"/>
      <c r="BP335" s="9" t="n"/>
      <c r="BQ335" s="9" t="n"/>
      <c r="BR335" s="13">
        <f>IF(COUNTIF(AI335:BM335,"N")+COUNTBLANK(AI335:BM335)=0,"Y","N")</f>
        <v/>
      </c>
      <c r="BS335" s="13">
        <f>IF(AND(BR335="Y",OR(L335="Submitted",L335="Under Review")),"Y",IF(L335="Closed","Y","N"))</f>
        <v/>
      </c>
      <c r="BT335" s="10" t="n"/>
      <c r="BU335" s="13">
        <f>Rule_Flags!Q334</f>
        <v/>
      </c>
      <c r="BV335" s="13">
        <f>Rule_Flags!P334</f>
        <v/>
      </c>
      <c r="BW335" s="13">
        <f>IF(Rule_Flags!E334=1,"SITE_CONTROL",IF(Rule_Flags!F334=1,"APPROVALS",IF(Rule_Flags!G334=1,"REPORTS",IF(Rule_Flags!H334=1,"DEFICIENCY",IF(Rule_Flags!I334=1,"UNDERWRITING",IF(Rule_Flags!J334=1,"COMPLIANCE",""))))))</f>
        <v/>
      </c>
      <c r="BX335" s="13">
        <f>IF(BW335="SITE_CONTROL","Site control missing or invalid",IF(BW335="APPROVALS","Required approvals or resolutions incomplete",IF(BW335="REPORTS","Required third-party reports incomplete",IF(BW335="DEFICIENCY","Unresolved deficiency or material deficiency",IF(BW335="UNDERWRITING","Underwriting / feasibility not passed",IF(BW335="COMPLIANCE","Deconcentration, one-mile, LURA, or Chapter 12 issue","Ready under current engine rules"))))))</f>
        <v/>
      </c>
      <c r="BY335" s="13">
        <f>IF(BV335="Determination Notice","Streamlined + DN-ready assumptions satisfied",IF(BV335="Board","Board-required or board-ready assumptions satisfied",""))</f>
        <v/>
      </c>
      <c r="BZ335" s="13">
        <f>IF(AND(BP335="Y",BQ335&lt;&gt;"Y"),"Carryforward project retains queue priority",IF(BQ335="Y","New project enters behind carryforward projects",""))</f>
        <v/>
      </c>
      <c r="CA335" s="13">
        <f>_xludf.RANK.EQ(Rule_Flags!O334,Rule_Flags!$O$3:$O$402,0)</f>
        <v/>
      </c>
      <c r="CB335" s="13">
        <f>IF(OR(BU335="Determination Notice Issued",BU335="Board",BU335="Closed"),"Y","N")</f>
        <v/>
      </c>
      <c r="CC335" s="9" t="n"/>
      <c r="CD335" s="9" t="n"/>
      <c r="CE335" s="9" t="n"/>
      <c r="CF335" s="9" t="n"/>
      <c r="CG335" s="9" t="n"/>
      <c r="CH335" s="9" t="n"/>
    </row>
    <row r="336">
      <c r="A336" s="8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8" t="n"/>
      <c r="L336" s="9" t="n"/>
      <c r="M336" s="8" t="n"/>
      <c r="N336" s="8" t="n"/>
      <c r="O336" s="8" t="n"/>
      <c r="P336" s="8" t="n"/>
      <c r="Q336" s="8" t="n"/>
      <c r="R336" s="9" t="n"/>
      <c r="S336" s="9" t="n"/>
      <c r="T336" s="10" t="n"/>
      <c r="U336" s="10" t="n"/>
      <c r="V336" s="9" t="n"/>
      <c r="W336" s="9" t="n"/>
      <c r="X336" s="9" t="n"/>
      <c r="Y336" s="9" t="n"/>
      <c r="Z336" s="11" t="n"/>
      <c r="AA336" s="11" t="n"/>
      <c r="AB336" s="11" t="n"/>
      <c r="AC336" s="11" t="n"/>
      <c r="AD336" s="11" t="n"/>
      <c r="AE336" s="11" t="n"/>
      <c r="AF336" s="9" t="n"/>
      <c r="AG336" s="9" t="n"/>
      <c r="AH336" s="9" t="n"/>
      <c r="AI336" s="9" t="n"/>
      <c r="AJ336" s="8" t="n"/>
      <c r="AK336" s="9" t="n"/>
      <c r="AL336" s="9" t="n"/>
      <c r="AM336" s="9" t="n"/>
      <c r="AN336" s="9" t="n"/>
      <c r="AO336" s="9" t="n"/>
      <c r="AP336" s="9" t="n"/>
      <c r="AQ336" s="9" t="n"/>
      <c r="AR336" s="9" t="n"/>
      <c r="AS336" s="9" t="n"/>
      <c r="AT336" s="8" t="n"/>
      <c r="AU336" s="8" t="n"/>
      <c r="AV336" s="9" t="n"/>
      <c r="AW336" s="8" t="n"/>
      <c r="AX336" s="9" t="n"/>
      <c r="AY336" s="9" t="n"/>
      <c r="AZ336" s="9" t="n"/>
      <c r="BA336" s="9" t="n"/>
      <c r="BB336" s="9" t="n"/>
      <c r="BC336" s="9" t="n"/>
      <c r="BD336" s="9" t="n"/>
      <c r="BE336" s="9" t="n"/>
      <c r="BF336" s="9" t="n"/>
      <c r="BG336" s="9" t="n"/>
      <c r="BH336" s="9" t="n"/>
      <c r="BI336" s="9" t="n"/>
      <c r="BJ336" s="9" t="n"/>
      <c r="BK336" s="9" t="n"/>
      <c r="BL336" s="9" t="n"/>
      <c r="BM336" s="9" t="n"/>
      <c r="BN336" s="9" t="n"/>
      <c r="BO336" s="8" t="n"/>
      <c r="BP336" s="9" t="n"/>
      <c r="BQ336" s="9" t="n"/>
      <c r="BR336" s="13">
        <f>IF(COUNTIF(AI336:BM336,"N")+COUNTBLANK(AI336:BM336)=0,"Y","N")</f>
        <v/>
      </c>
      <c r="BS336" s="13">
        <f>IF(AND(BR336="Y",OR(L336="Submitted",L336="Under Review")),"Y",IF(L336="Closed","Y","N"))</f>
        <v/>
      </c>
      <c r="BT336" s="10" t="n"/>
      <c r="BU336" s="13">
        <f>Rule_Flags!Q335</f>
        <v/>
      </c>
      <c r="BV336" s="13">
        <f>Rule_Flags!P335</f>
        <v/>
      </c>
      <c r="BW336" s="13">
        <f>IF(Rule_Flags!E335=1,"SITE_CONTROL",IF(Rule_Flags!F335=1,"APPROVALS",IF(Rule_Flags!G335=1,"REPORTS",IF(Rule_Flags!H335=1,"DEFICIENCY",IF(Rule_Flags!I335=1,"UNDERWRITING",IF(Rule_Flags!J335=1,"COMPLIANCE",""))))))</f>
        <v/>
      </c>
      <c r="BX336" s="13">
        <f>IF(BW336="SITE_CONTROL","Site control missing or invalid",IF(BW336="APPROVALS","Required approvals or resolutions incomplete",IF(BW336="REPORTS","Required third-party reports incomplete",IF(BW336="DEFICIENCY","Unresolved deficiency or material deficiency",IF(BW336="UNDERWRITING","Underwriting / feasibility not passed",IF(BW336="COMPLIANCE","Deconcentration, one-mile, LURA, or Chapter 12 issue","Ready under current engine rules"))))))</f>
        <v/>
      </c>
      <c r="BY336" s="13">
        <f>IF(BV336="Determination Notice","Streamlined + DN-ready assumptions satisfied",IF(BV336="Board","Board-required or board-ready assumptions satisfied",""))</f>
        <v/>
      </c>
      <c r="BZ336" s="13">
        <f>IF(AND(BP336="Y",BQ336&lt;&gt;"Y"),"Carryforward project retains queue priority",IF(BQ336="Y","New project enters behind carryforward projects",""))</f>
        <v/>
      </c>
      <c r="CA336" s="13">
        <f>_xludf.RANK.EQ(Rule_Flags!O335,Rule_Flags!$O$3:$O$402,0)</f>
        <v/>
      </c>
      <c r="CB336" s="13">
        <f>IF(OR(BU336="Determination Notice Issued",BU336="Board",BU336="Closed"),"Y","N")</f>
        <v/>
      </c>
      <c r="CC336" s="9" t="n"/>
      <c r="CD336" s="9" t="n"/>
      <c r="CE336" s="9" t="n"/>
      <c r="CF336" s="9" t="n"/>
      <c r="CG336" s="9" t="n"/>
      <c r="CH336" s="9" t="n"/>
    </row>
    <row r="337">
      <c r="A337" s="8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8" t="n"/>
      <c r="L337" s="9" t="n"/>
      <c r="M337" s="8" t="n"/>
      <c r="N337" s="8" t="n"/>
      <c r="O337" s="8" t="n"/>
      <c r="P337" s="8" t="n"/>
      <c r="Q337" s="8" t="n"/>
      <c r="R337" s="9" t="n"/>
      <c r="S337" s="9" t="n"/>
      <c r="T337" s="10" t="n"/>
      <c r="U337" s="10" t="n"/>
      <c r="V337" s="9" t="n"/>
      <c r="W337" s="9" t="n"/>
      <c r="X337" s="9" t="n"/>
      <c r="Y337" s="9" t="n"/>
      <c r="Z337" s="11" t="n"/>
      <c r="AA337" s="11" t="n"/>
      <c r="AB337" s="11" t="n"/>
      <c r="AC337" s="11" t="n"/>
      <c r="AD337" s="11" t="n"/>
      <c r="AE337" s="11" t="n"/>
      <c r="AF337" s="9" t="n"/>
      <c r="AG337" s="9" t="n"/>
      <c r="AH337" s="9" t="n"/>
      <c r="AI337" s="9" t="n"/>
      <c r="AJ337" s="8" t="n"/>
      <c r="AK337" s="9" t="n"/>
      <c r="AL337" s="9" t="n"/>
      <c r="AM337" s="9" t="n"/>
      <c r="AN337" s="9" t="n"/>
      <c r="AO337" s="9" t="n"/>
      <c r="AP337" s="9" t="n"/>
      <c r="AQ337" s="9" t="n"/>
      <c r="AR337" s="9" t="n"/>
      <c r="AS337" s="9" t="n"/>
      <c r="AT337" s="8" t="n"/>
      <c r="AU337" s="8" t="n"/>
      <c r="AV337" s="9" t="n"/>
      <c r="AW337" s="8" t="n"/>
      <c r="AX337" s="9" t="n"/>
      <c r="AY337" s="9" t="n"/>
      <c r="AZ337" s="9" t="n"/>
      <c r="BA337" s="9" t="n"/>
      <c r="BB337" s="9" t="n"/>
      <c r="BC337" s="9" t="n"/>
      <c r="BD337" s="9" t="n"/>
      <c r="BE337" s="9" t="n"/>
      <c r="BF337" s="9" t="n"/>
      <c r="BG337" s="9" t="n"/>
      <c r="BH337" s="9" t="n"/>
      <c r="BI337" s="9" t="n"/>
      <c r="BJ337" s="9" t="n"/>
      <c r="BK337" s="9" t="n"/>
      <c r="BL337" s="9" t="n"/>
      <c r="BM337" s="9" t="n"/>
      <c r="BN337" s="9" t="n"/>
      <c r="BO337" s="8" t="n"/>
      <c r="BP337" s="9" t="n"/>
      <c r="BQ337" s="9" t="n"/>
      <c r="BR337" s="13">
        <f>IF(COUNTIF(AI337:BM337,"N")+COUNTBLANK(AI337:BM337)=0,"Y","N")</f>
        <v/>
      </c>
      <c r="BS337" s="13">
        <f>IF(AND(BR337="Y",OR(L337="Submitted",L337="Under Review")),"Y",IF(L337="Closed","Y","N"))</f>
        <v/>
      </c>
      <c r="BT337" s="10" t="n"/>
      <c r="BU337" s="13">
        <f>Rule_Flags!Q336</f>
        <v/>
      </c>
      <c r="BV337" s="13">
        <f>Rule_Flags!P336</f>
        <v/>
      </c>
      <c r="BW337" s="13">
        <f>IF(Rule_Flags!E336=1,"SITE_CONTROL",IF(Rule_Flags!F336=1,"APPROVALS",IF(Rule_Flags!G336=1,"REPORTS",IF(Rule_Flags!H336=1,"DEFICIENCY",IF(Rule_Flags!I336=1,"UNDERWRITING",IF(Rule_Flags!J336=1,"COMPLIANCE",""))))))</f>
        <v/>
      </c>
      <c r="BX337" s="13">
        <f>IF(BW337="SITE_CONTROL","Site control missing or invalid",IF(BW337="APPROVALS","Required approvals or resolutions incomplete",IF(BW337="REPORTS","Required third-party reports incomplete",IF(BW337="DEFICIENCY","Unresolved deficiency or material deficiency",IF(BW337="UNDERWRITING","Underwriting / feasibility not passed",IF(BW337="COMPLIANCE","Deconcentration, one-mile, LURA, or Chapter 12 issue","Ready under current engine rules"))))))</f>
        <v/>
      </c>
      <c r="BY337" s="13">
        <f>IF(BV337="Determination Notice","Streamlined + DN-ready assumptions satisfied",IF(BV337="Board","Board-required or board-ready assumptions satisfied",""))</f>
        <v/>
      </c>
      <c r="BZ337" s="13">
        <f>IF(AND(BP337="Y",BQ337&lt;&gt;"Y"),"Carryforward project retains queue priority",IF(BQ337="Y","New project enters behind carryforward projects",""))</f>
        <v/>
      </c>
      <c r="CA337" s="13">
        <f>_xludf.RANK.EQ(Rule_Flags!O336,Rule_Flags!$O$3:$O$402,0)</f>
        <v/>
      </c>
      <c r="CB337" s="13">
        <f>IF(OR(BU337="Determination Notice Issued",BU337="Board",BU337="Closed"),"Y","N")</f>
        <v/>
      </c>
      <c r="CC337" s="9" t="n"/>
      <c r="CD337" s="9" t="n"/>
      <c r="CE337" s="9" t="n"/>
      <c r="CF337" s="9" t="n"/>
      <c r="CG337" s="9" t="n"/>
      <c r="CH337" s="9" t="n"/>
    </row>
    <row r="338">
      <c r="A338" s="8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8" t="n"/>
      <c r="L338" s="9" t="n"/>
      <c r="M338" s="8" t="n"/>
      <c r="N338" s="8" t="n"/>
      <c r="O338" s="8" t="n"/>
      <c r="P338" s="8" t="n"/>
      <c r="Q338" s="8" t="n"/>
      <c r="R338" s="9" t="n"/>
      <c r="S338" s="9" t="n"/>
      <c r="T338" s="10" t="n"/>
      <c r="U338" s="10" t="n"/>
      <c r="V338" s="9" t="n"/>
      <c r="W338" s="9" t="n"/>
      <c r="X338" s="9" t="n"/>
      <c r="Y338" s="9" t="n"/>
      <c r="Z338" s="11" t="n"/>
      <c r="AA338" s="11" t="n"/>
      <c r="AB338" s="11" t="n"/>
      <c r="AC338" s="11" t="n"/>
      <c r="AD338" s="11" t="n"/>
      <c r="AE338" s="11" t="n"/>
      <c r="AF338" s="9" t="n"/>
      <c r="AG338" s="9" t="n"/>
      <c r="AH338" s="9" t="n"/>
      <c r="AI338" s="9" t="n"/>
      <c r="AJ338" s="8" t="n"/>
      <c r="AK338" s="9" t="n"/>
      <c r="AL338" s="9" t="n"/>
      <c r="AM338" s="9" t="n"/>
      <c r="AN338" s="9" t="n"/>
      <c r="AO338" s="9" t="n"/>
      <c r="AP338" s="9" t="n"/>
      <c r="AQ338" s="9" t="n"/>
      <c r="AR338" s="9" t="n"/>
      <c r="AS338" s="9" t="n"/>
      <c r="AT338" s="8" t="n"/>
      <c r="AU338" s="8" t="n"/>
      <c r="AV338" s="9" t="n"/>
      <c r="AW338" s="8" t="n"/>
      <c r="AX338" s="9" t="n"/>
      <c r="AY338" s="9" t="n"/>
      <c r="AZ338" s="9" t="n"/>
      <c r="BA338" s="9" t="n"/>
      <c r="BB338" s="9" t="n"/>
      <c r="BC338" s="9" t="n"/>
      <c r="BD338" s="9" t="n"/>
      <c r="BE338" s="9" t="n"/>
      <c r="BF338" s="9" t="n"/>
      <c r="BG338" s="9" t="n"/>
      <c r="BH338" s="9" t="n"/>
      <c r="BI338" s="9" t="n"/>
      <c r="BJ338" s="9" t="n"/>
      <c r="BK338" s="9" t="n"/>
      <c r="BL338" s="9" t="n"/>
      <c r="BM338" s="9" t="n"/>
      <c r="BN338" s="9" t="n"/>
      <c r="BO338" s="8" t="n"/>
      <c r="BP338" s="9" t="n"/>
      <c r="BQ338" s="9" t="n"/>
      <c r="BR338" s="13">
        <f>IF(COUNTIF(AI338:BM338,"N")+COUNTBLANK(AI338:BM338)=0,"Y","N")</f>
        <v/>
      </c>
      <c r="BS338" s="13">
        <f>IF(AND(BR338="Y",OR(L338="Submitted",L338="Under Review")),"Y",IF(L338="Closed","Y","N"))</f>
        <v/>
      </c>
      <c r="BT338" s="10" t="n"/>
      <c r="BU338" s="13">
        <f>Rule_Flags!Q337</f>
        <v/>
      </c>
      <c r="BV338" s="13">
        <f>Rule_Flags!P337</f>
        <v/>
      </c>
      <c r="BW338" s="13">
        <f>IF(Rule_Flags!E337=1,"SITE_CONTROL",IF(Rule_Flags!F337=1,"APPROVALS",IF(Rule_Flags!G337=1,"REPORTS",IF(Rule_Flags!H337=1,"DEFICIENCY",IF(Rule_Flags!I337=1,"UNDERWRITING",IF(Rule_Flags!J337=1,"COMPLIANCE",""))))))</f>
        <v/>
      </c>
      <c r="BX338" s="13">
        <f>IF(BW338="SITE_CONTROL","Site control missing or invalid",IF(BW338="APPROVALS","Required approvals or resolutions incomplete",IF(BW338="REPORTS","Required third-party reports incomplete",IF(BW338="DEFICIENCY","Unresolved deficiency or material deficiency",IF(BW338="UNDERWRITING","Underwriting / feasibility not passed",IF(BW338="COMPLIANCE","Deconcentration, one-mile, LURA, or Chapter 12 issue","Ready under current engine rules"))))))</f>
        <v/>
      </c>
      <c r="BY338" s="13">
        <f>IF(BV338="Determination Notice","Streamlined + DN-ready assumptions satisfied",IF(BV338="Board","Board-required or board-ready assumptions satisfied",""))</f>
        <v/>
      </c>
      <c r="BZ338" s="13">
        <f>IF(AND(BP338="Y",BQ338&lt;&gt;"Y"),"Carryforward project retains queue priority",IF(BQ338="Y","New project enters behind carryforward projects",""))</f>
        <v/>
      </c>
      <c r="CA338" s="13">
        <f>_xludf.RANK.EQ(Rule_Flags!O337,Rule_Flags!$O$3:$O$402,0)</f>
        <v/>
      </c>
      <c r="CB338" s="13">
        <f>IF(OR(BU338="Determination Notice Issued",BU338="Board",BU338="Closed"),"Y","N")</f>
        <v/>
      </c>
      <c r="CC338" s="9" t="n"/>
      <c r="CD338" s="9" t="n"/>
      <c r="CE338" s="9" t="n"/>
      <c r="CF338" s="9" t="n"/>
      <c r="CG338" s="9" t="n"/>
      <c r="CH338" s="9" t="n"/>
    </row>
    <row r="339">
      <c r="A339" s="8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8" t="n"/>
      <c r="L339" s="9" t="n"/>
      <c r="M339" s="8" t="n"/>
      <c r="N339" s="8" t="n"/>
      <c r="O339" s="8" t="n"/>
      <c r="P339" s="8" t="n"/>
      <c r="Q339" s="8" t="n"/>
      <c r="R339" s="9" t="n"/>
      <c r="S339" s="9" t="n"/>
      <c r="T339" s="10" t="n"/>
      <c r="U339" s="10" t="n"/>
      <c r="V339" s="9" t="n"/>
      <c r="W339" s="9" t="n"/>
      <c r="X339" s="9" t="n"/>
      <c r="Y339" s="9" t="n"/>
      <c r="Z339" s="11" t="n"/>
      <c r="AA339" s="11" t="n"/>
      <c r="AB339" s="11" t="n"/>
      <c r="AC339" s="11" t="n"/>
      <c r="AD339" s="11" t="n"/>
      <c r="AE339" s="11" t="n"/>
      <c r="AF339" s="9" t="n"/>
      <c r="AG339" s="9" t="n"/>
      <c r="AH339" s="9" t="n"/>
      <c r="AI339" s="9" t="n"/>
      <c r="AJ339" s="8" t="n"/>
      <c r="AK339" s="9" t="n"/>
      <c r="AL339" s="9" t="n"/>
      <c r="AM339" s="9" t="n"/>
      <c r="AN339" s="9" t="n"/>
      <c r="AO339" s="9" t="n"/>
      <c r="AP339" s="9" t="n"/>
      <c r="AQ339" s="9" t="n"/>
      <c r="AR339" s="9" t="n"/>
      <c r="AS339" s="9" t="n"/>
      <c r="AT339" s="8" t="n"/>
      <c r="AU339" s="8" t="n"/>
      <c r="AV339" s="9" t="n"/>
      <c r="AW339" s="8" t="n"/>
      <c r="AX339" s="9" t="n"/>
      <c r="AY339" s="9" t="n"/>
      <c r="AZ339" s="9" t="n"/>
      <c r="BA339" s="9" t="n"/>
      <c r="BB339" s="9" t="n"/>
      <c r="BC339" s="9" t="n"/>
      <c r="BD339" s="9" t="n"/>
      <c r="BE339" s="9" t="n"/>
      <c r="BF339" s="9" t="n"/>
      <c r="BG339" s="9" t="n"/>
      <c r="BH339" s="9" t="n"/>
      <c r="BI339" s="9" t="n"/>
      <c r="BJ339" s="9" t="n"/>
      <c r="BK339" s="9" t="n"/>
      <c r="BL339" s="9" t="n"/>
      <c r="BM339" s="9" t="n"/>
      <c r="BN339" s="9" t="n"/>
      <c r="BO339" s="8" t="n"/>
      <c r="BP339" s="9" t="n"/>
      <c r="BQ339" s="9" t="n"/>
      <c r="BR339" s="13">
        <f>IF(COUNTIF(AI339:BM339,"N")+COUNTBLANK(AI339:BM339)=0,"Y","N")</f>
        <v/>
      </c>
      <c r="BS339" s="13">
        <f>IF(AND(BR339="Y",OR(L339="Submitted",L339="Under Review")),"Y",IF(L339="Closed","Y","N"))</f>
        <v/>
      </c>
      <c r="BT339" s="10" t="n"/>
      <c r="BU339" s="13">
        <f>Rule_Flags!Q338</f>
        <v/>
      </c>
      <c r="BV339" s="13">
        <f>Rule_Flags!P338</f>
        <v/>
      </c>
      <c r="BW339" s="13">
        <f>IF(Rule_Flags!E338=1,"SITE_CONTROL",IF(Rule_Flags!F338=1,"APPROVALS",IF(Rule_Flags!G338=1,"REPORTS",IF(Rule_Flags!H338=1,"DEFICIENCY",IF(Rule_Flags!I338=1,"UNDERWRITING",IF(Rule_Flags!J338=1,"COMPLIANCE",""))))))</f>
        <v/>
      </c>
      <c r="BX339" s="13">
        <f>IF(BW339="SITE_CONTROL","Site control missing or invalid",IF(BW339="APPROVALS","Required approvals or resolutions incomplete",IF(BW339="REPORTS","Required third-party reports incomplete",IF(BW339="DEFICIENCY","Unresolved deficiency or material deficiency",IF(BW339="UNDERWRITING","Underwriting / feasibility not passed",IF(BW339="COMPLIANCE","Deconcentration, one-mile, LURA, or Chapter 12 issue","Ready under current engine rules"))))))</f>
        <v/>
      </c>
      <c r="BY339" s="13">
        <f>IF(BV339="Determination Notice","Streamlined + DN-ready assumptions satisfied",IF(BV339="Board","Board-required or board-ready assumptions satisfied",""))</f>
        <v/>
      </c>
      <c r="BZ339" s="13">
        <f>IF(AND(BP339="Y",BQ339&lt;&gt;"Y"),"Carryforward project retains queue priority",IF(BQ339="Y","New project enters behind carryforward projects",""))</f>
        <v/>
      </c>
      <c r="CA339" s="13">
        <f>_xludf.RANK.EQ(Rule_Flags!O338,Rule_Flags!$O$3:$O$402,0)</f>
        <v/>
      </c>
      <c r="CB339" s="13">
        <f>IF(OR(BU339="Determination Notice Issued",BU339="Board",BU339="Closed"),"Y","N")</f>
        <v/>
      </c>
      <c r="CC339" s="9" t="n"/>
      <c r="CD339" s="9" t="n"/>
      <c r="CE339" s="9" t="n"/>
      <c r="CF339" s="9" t="n"/>
      <c r="CG339" s="9" t="n"/>
      <c r="CH339" s="9" t="n"/>
    </row>
    <row r="340">
      <c r="A340" s="8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8" t="n"/>
      <c r="L340" s="9" t="n"/>
      <c r="M340" s="8" t="n"/>
      <c r="N340" s="8" t="n"/>
      <c r="O340" s="8" t="n"/>
      <c r="P340" s="8" t="n"/>
      <c r="Q340" s="8" t="n"/>
      <c r="R340" s="9" t="n"/>
      <c r="S340" s="9" t="n"/>
      <c r="T340" s="10" t="n"/>
      <c r="U340" s="10" t="n"/>
      <c r="V340" s="9" t="n"/>
      <c r="W340" s="9" t="n"/>
      <c r="X340" s="9" t="n"/>
      <c r="Y340" s="9" t="n"/>
      <c r="Z340" s="11" t="n"/>
      <c r="AA340" s="11" t="n"/>
      <c r="AB340" s="11" t="n"/>
      <c r="AC340" s="11" t="n"/>
      <c r="AD340" s="11" t="n"/>
      <c r="AE340" s="11" t="n"/>
      <c r="AF340" s="9" t="n"/>
      <c r="AG340" s="9" t="n"/>
      <c r="AH340" s="9" t="n"/>
      <c r="AI340" s="9" t="n"/>
      <c r="AJ340" s="8" t="n"/>
      <c r="AK340" s="9" t="n"/>
      <c r="AL340" s="9" t="n"/>
      <c r="AM340" s="9" t="n"/>
      <c r="AN340" s="9" t="n"/>
      <c r="AO340" s="9" t="n"/>
      <c r="AP340" s="9" t="n"/>
      <c r="AQ340" s="9" t="n"/>
      <c r="AR340" s="9" t="n"/>
      <c r="AS340" s="9" t="n"/>
      <c r="AT340" s="8" t="n"/>
      <c r="AU340" s="8" t="n"/>
      <c r="AV340" s="9" t="n"/>
      <c r="AW340" s="8" t="n"/>
      <c r="AX340" s="9" t="n"/>
      <c r="AY340" s="9" t="n"/>
      <c r="AZ340" s="9" t="n"/>
      <c r="BA340" s="9" t="n"/>
      <c r="BB340" s="9" t="n"/>
      <c r="BC340" s="9" t="n"/>
      <c r="BD340" s="9" t="n"/>
      <c r="BE340" s="9" t="n"/>
      <c r="BF340" s="9" t="n"/>
      <c r="BG340" s="9" t="n"/>
      <c r="BH340" s="9" t="n"/>
      <c r="BI340" s="9" t="n"/>
      <c r="BJ340" s="9" t="n"/>
      <c r="BK340" s="9" t="n"/>
      <c r="BL340" s="9" t="n"/>
      <c r="BM340" s="9" t="n"/>
      <c r="BN340" s="9" t="n"/>
      <c r="BO340" s="8" t="n"/>
      <c r="BP340" s="9" t="n"/>
      <c r="BQ340" s="9" t="n"/>
      <c r="BR340" s="13">
        <f>IF(COUNTIF(AI340:BM340,"N")+COUNTBLANK(AI340:BM340)=0,"Y","N")</f>
        <v/>
      </c>
      <c r="BS340" s="13">
        <f>IF(AND(BR340="Y",OR(L340="Submitted",L340="Under Review")),"Y",IF(L340="Closed","Y","N"))</f>
        <v/>
      </c>
      <c r="BT340" s="10" t="n"/>
      <c r="BU340" s="13">
        <f>Rule_Flags!Q339</f>
        <v/>
      </c>
      <c r="BV340" s="13">
        <f>Rule_Flags!P339</f>
        <v/>
      </c>
      <c r="BW340" s="13">
        <f>IF(Rule_Flags!E339=1,"SITE_CONTROL",IF(Rule_Flags!F339=1,"APPROVALS",IF(Rule_Flags!G339=1,"REPORTS",IF(Rule_Flags!H339=1,"DEFICIENCY",IF(Rule_Flags!I339=1,"UNDERWRITING",IF(Rule_Flags!J339=1,"COMPLIANCE",""))))))</f>
        <v/>
      </c>
      <c r="BX340" s="13">
        <f>IF(BW340="SITE_CONTROL","Site control missing or invalid",IF(BW340="APPROVALS","Required approvals or resolutions incomplete",IF(BW340="REPORTS","Required third-party reports incomplete",IF(BW340="DEFICIENCY","Unresolved deficiency or material deficiency",IF(BW340="UNDERWRITING","Underwriting / feasibility not passed",IF(BW340="COMPLIANCE","Deconcentration, one-mile, LURA, or Chapter 12 issue","Ready under current engine rules"))))))</f>
        <v/>
      </c>
      <c r="BY340" s="13">
        <f>IF(BV340="Determination Notice","Streamlined + DN-ready assumptions satisfied",IF(BV340="Board","Board-required or board-ready assumptions satisfied",""))</f>
        <v/>
      </c>
      <c r="BZ340" s="13">
        <f>IF(AND(BP340="Y",BQ340&lt;&gt;"Y"),"Carryforward project retains queue priority",IF(BQ340="Y","New project enters behind carryforward projects",""))</f>
        <v/>
      </c>
      <c r="CA340" s="13">
        <f>_xludf.RANK.EQ(Rule_Flags!O339,Rule_Flags!$O$3:$O$402,0)</f>
        <v/>
      </c>
      <c r="CB340" s="13">
        <f>IF(OR(BU340="Determination Notice Issued",BU340="Board",BU340="Closed"),"Y","N")</f>
        <v/>
      </c>
      <c r="CC340" s="9" t="n"/>
      <c r="CD340" s="9" t="n"/>
      <c r="CE340" s="9" t="n"/>
      <c r="CF340" s="9" t="n"/>
      <c r="CG340" s="9" t="n"/>
      <c r="CH340" s="9" t="n"/>
    </row>
    <row r="341">
      <c r="A341" s="8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8" t="n"/>
      <c r="L341" s="9" t="n"/>
      <c r="M341" s="8" t="n"/>
      <c r="N341" s="8" t="n"/>
      <c r="O341" s="8" t="n"/>
      <c r="P341" s="8" t="n"/>
      <c r="Q341" s="8" t="n"/>
      <c r="R341" s="9" t="n"/>
      <c r="S341" s="9" t="n"/>
      <c r="T341" s="10" t="n"/>
      <c r="U341" s="10" t="n"/>
      <c r="V341" s="9" t="n"/>
      <c r="W341" s="9" t="n"/>
      <c r="X341" s="9" t="n"/>
      <c r="Y341" s="9" t="n"/>
      <c r="Z341" s="11" t="n"/>
      <c r="AA341" s="11" t="n"/>
      <c r="AB341" s="11" t="n"/>
      <c r="AC341" s="11" t="n"/>
      <c r="AD341" s="11" t="n"/>
      <c r="AE341" s="11" t="n"/>
      <c r="AF341" s="9" t="n"/>
      <c r="AG341" s="9" t="n"/>
      <c r="AH341" s="9" t="n"/>
      <c r="AI341" s="9" t="n"/>
      <c r="AJ341" s="8" t="n"/>
      <c r="AK341" s="9" t="n"/>
      <c r="AL341" s="9" t="n"/>
      <c r="AM341" s="9" t="n"/>
      <c r="AN341" s="9" t="n"/>
      <c r="AO341" s="9" t="n"/>
      <c r="AP341" s="9" t="n"/>
      <c r="AQ341" s="9" t="n"/>
      <c r="AR341" s="9" t="n"/>
      <c r="AS341" s="9" t="n"/>
      <c r="AT341" s="8" t="n"/>
      <c r="AU341" s="8" t="n"/>
      <c r="AV341" s="9" t="n"/>
      <c r="AW341" s="8" t="n"/>
      <c r="AX341" s="9" t="n"/>
      <c r="AY341" s="9" t="n"/>
      <c r="AZ341" s="9" t="n"/>
      <c r="BA341" s="9" t="n"/>
      <c r="BB341" s="9" t="n"/>
      <c r="BC341" s="9" t="n"/>
      <c r="BD341" s="9" t="n"/>
      <c r="BE341" s="9" t="n"/>
      <c r="BF341" s="9" t="n"/>
      <c r="BG341" s="9" t="n"/>
      <c r="BH341" s="9" t="n"/>
      <c r="BI341" s="9" t="n"/>
      <c r="BJ341" s="9" t="n"/>
      <c r="BK341" s="9" t="n"/>
      <c r="BL341" s="9" t="n"/>
      <c r="BM341" s="9" t="n"/>
      <c r="BN341" s="9" t="n"/>
      <c r="BO341" s="8" t="n"/>
      <c r="BP341" s="9" t="n"/>
      <c r="BQ341" s="9" t="n"/>
      <c r="BR341" s="13">
        <f>IF(COUNTIF(AI341:BM341,"N")+COUNTBLANK(AI341:BM341)=0,"Y","N")</f>
        <v/>
      </c>
      <c r="BS341" s="13">
        <f>IF(AND(BR341="Y",OR(L341="Submitted",L341="Under Review")),"Y",IF(L341="Closed","Y","N"))</f>
        <v/>
      </c>
      <c r="BT341" s="10" t="n"/>
      <c r="BU341" s="13">
        <f>Rule_Flags!Q340</f>
        <v/>
      </c>
      <c r="BV341" s="13">
        <f>Rule_Flags!P340</f>
        <v/>
      </c>
      <c r="BW341" s="13">
        <f>IF(Rule_Flags!E340=1,"SITE_CONTROL",IF(Rule_Flags!F340=1,"APPROVALS",IF(Rule_Flags!G340=1,"REPORTS",IF(Rule_Flags!H340=1,"DEFICIENCY",IF(Rule_Flags!I340=1,"UNDERWRITING",IF(Rule_Flags!J340=1,"COMPLIANCE",""))))))</f>
        <v/>
      </c>
      <c r="BX341" s="13">
        <f>IF(BW341="SITE_CONTROL","Site control missing or invalid",IF(BW341="APPROVALS","Required approvals or resolutions incomplete",IF(BW341="REPORTS","Required third-party reports incomplete",IF(BW341="DEFICIENCY","Unresolved deficiency or material deficiency",IF(BW341="UNDERWRITING","Underwriting / feasibility not passed",IF(BW341="COMPLIANCE","Deconcentration, one-mile, LURA, or Chapter 12 issue","Ready under current engine rules"))))))</f>
        <v/>
      </c>
      <c r="BY341" s="13">
        <f>IF(BV341="Determination Notice","Streamlined + DN-ready assumptions satisfied",IF(BV341="Board","Board-required or board-ready assumptions satisfied",""))</f>
        <v/>
      </c>
      <c r="BZ341" s="13">
        <f>IF(AND(BP341="Y",BQ341&lt;&gt;"Y"),"Carryforward project retains queue priority",IF(BQ341="Y","New project enters behind carryforward projects",""))</f>
        <v/>
      </c>
      <c r="CA341" s="13">
        <f>_xludf.RANK.EQ(Rule_Flags!O340,Rule_Flags!$O$3:$O$402,0)</f>
        <v/>
      </c>
      <c r="CB341" s="13">
        <f>IF(OR(BU341="Determination Notice Issued",BU341="Board",BU341="Closed"),"Y","N")</f>
        <v/>
      </c>
      <c r="CC341" s="9" t="n"/>
      <c r="CD341" s="9" t="n"/>
      <c r="CE341" s="9" t="n"/>
      <c r="CF341" s="9" t="n"/>
      <c r="CG341" s="9" t="n"/>
      <c r="CH341" s="9" t="n"/>
    </row>
    <row r="342">
      <c r="A342" s="8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8" t="n"/>
      <c r="L342" s="9" t="n"/>
      <c r="M342" s="8" t="n"/>
      <c r="N342" s="8" t="n"/>
      <c r="O342" s="8" t="n"/>
      <c r="P342" s="8" t="n"/>
      <c r="Q342" s="8" t="n"/>
      <c r="R342" s="9" t="n"/>
      <c r="S342" s="9" t="n"/>
      <c r="T342" s="10" t="n"/>
      <c r="U342" s="10" t="n"/>
      <c r="V342" s="9" t="n"/>
      <c r="W342" s="9" t="n"/>
      <c r="X342" s="9" t="n"/>
      <c r="Y342" s="9" t="n"/>
      <c r="Z342" s="11" t="n"/>
      <c r="AA342" s="11" t="n"/>
      <c r="AB342" s="11" t="n"/>
      <c r="AC342" s="11" t="n"/>
      <c r="AD342" s="11" t="n"/>
      <c r="AE342" s="11" t="n"/>
      <c r="AF342" s="9" t="n"/>
      <c r="AG342" s="9" t="n"/>
      <c r="AH342" s="9" t="n"/>
      <c r="AI342" s="9" t="n"/>
      <c r="AJ342" s="8" t="n"/>
      <c r="AK342" s="9" t="n"/>
      <c r="AL342" s="9" t="n"/>
      <c r="AM342" s="9" t="n"/>
      <c r="AN342" s="9" t="n"/>
      <c r="AO342" s="9" t="n"/>
      <c r="AP342" s="9" t="n"/>
      <c r="AQ342" s="9" t="n"/>
      <c r="AR342" s="9" t="n"/>
      <c r="AS342" s="9" t="n"/>
      <c r="AT342" s="8" t="n"/>
      <c r="AU342" s="8" t="n"/>
      <c r="AV342" s="9" t="n"/>
      <c r="AW342" s="8" t="n"/>
      <c r="AX342" s="9" t="n"/>
      <c r="AY342" s="9" t="n"/>
      <c r="AZ342" s="9" t="n"/>
      <c r="BA342" s="9" t="n"/>
      <c r="BB342" s="9" t="n"/>
      <c r="BC342" s="9" t="n"/>
      <c r="BD342" s="9" t="n"/>
      <c r="BE342" s="9" t="n"/>
      <c r="BF342" s="9" t="n"/>
      <c r="BG342" s="9" t="n"/>
      <c r="BH342" s="9" t="n"/>
      <c r="BI342" s="9" t="n"/>
      <c r="BJ342" s="9" t="n"/>
      <c r="BK342" s="9" t="n"/>
      <c r="BL342" s="9" t="n"/>
      <c r="BM342" s="9" t="n"/>
      <c r="BN342" s="9" t="n"/>
      <c r="BO342" s="8" t="n"/>
      <c r="BP342" s="9" t="n"/>
      <c r="BQ342" s="9" t="n"/>
      <c r="BR342" s="13">
        <f>IF(COUNTIF(AI342:BM342,"N")+COUNTBLANK(AI342:BM342)=0,"Y","N")</f>
        <v/>
      </c>
      <c r="BS342" s="13">
        <f>IF(AND(BR342="Y",OR(L342="Submitted",L342="Under Review")),"Y",IF(L342="Closed","Y","N"))</f>
        <v/>
      </c>
      <c r="BT342" s="10" t="n"/>
      <c r="BU342" s="13">
        <f>Rule_Flags!Q341</f>
        <v/>
      </c>
      <c r="BV342" s="13">
        <f>Rule_Flags!P341</f>
        <v/>
      </c>
      <c r="BW342" s="13">
        <f>IF(Rule_Flags!E341=1,"SITE_CONTROL",IF(Rule_Flags!F341=1,"APPROVALS",IF(Rule_Flags!G341=1,"REPORTS",IF(Rule_Flags!H341=1,"DEFICIENCY",IF(Rule_Flags!I341=1,"UNDERWRITING",IF(Rule_Flags!J341=1,"COMPLIANCE",""))))))</f>
        <v/>
      </c>
      <c r="BX342" s="13">
        <f>IF(BW342="SITE_CONTROL","Site control missing or invalid",IF(BW342="APPROVALS","Required approvals or resolutions incomplete",IF(BW342="REPORTS","Required third-party reports incomplete",IF(BW342="DEFICIENCY","Unresolved deficiency or material deficiency",IF(BW342="UNDERWRITING","Underwriting / feasibility not passed",IF(BW342="COMPLIANCE","Deconcentration, one-mile, LURA, or Chapter 12 issue","Ready under current engine rules"))))))</f>
        <v/>
      </c>
      <c r="BY342" s="13">
        <f>IF(BV342="Determination Notice","Streamlined + DN-ready assumptions satisfied",IF(BV342="Board","Board-required or board-ready assumptions satisfied",""))</f>
        <v/>
      </c>
      <c r="BZ342" s="13">
        <f>IF(AND(BP342="Y",BQ342&lt;&gt;"Y"),"Carryforward project retains queue priority",IF(BQ342="Y","New project enters behind carryforward projects",""))</f>
        <v/>
      </c>
      <c r="CA342" s="13">
        <f>_xludf.RANK.EQ(Rule_Flags!O341,Rule_Flags!$O$3:$O$402,0)</f>
        <v/>
      </c>
      <c r="CB342" s="13">
        <f>IF(OR(BU342="Determination Notice Issued",BU342="Board",BU342="Closed"),"Y","N")</f>
        <v/>
      </c>
      <c r="CC342" s="9" t="n"/>
      <c r="CD342" s="9" t="n"/>
      <c r="CE342" s="9" t="n"/>
      <c r="CF342" s="9" t="n"/>
      <c r="CG342" s="9" t="n"/>
      <c r="CH342" s="9" t="n"/>
    </row>
    <row r="343">
      <c r="A343" s="8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8" t="n"/>
      <c r="L343" s="9" t="n"/>
      <c r="M343" s="8" t="n"/>
      <c r="N343" s="8" t="n"/>
      <c r="O343" s="8" t="n"/>
      <c r="P343" s="8" t="n"/>
      <c r="Q343" s="8" t="n"/>
      <c r="R343" s="9" t="n"/>
      <c r="S343" s="9" t="n"/>
      <c r="T343" s="10" t="n"/>
      <c r="U343" s="10" t="n"/>
      <c r="V343" s="9" t="n"/>
      <c r="W343" s="9" t="n"/>
      <c r="X343" s="9" t="n"/>
      <c r="Y343" s="9" t="n"/>
      <c r="Z343" s="11" t="n"/>
      <c r="AA343" s="11" t="n"/>
      <c r="AB343" s="11" t="n"/>
      <c r="AC343" s="11" t="n"/>
      <c r="AD343" s="11" t="n"/>
      <c r="AE343" s="11" t="n"/>
      <c r="AF343" s="9" t="n"/>
      <c r="AG343" s="9" t="n"/>
      <c r="AH343" s="9" t="n"/>
      <c r="AI343" s="9" t="n"/>
      <c r="AJ343" s="8" t="n"/>
      <c r="AK343" s="9" t="n"/>
      <c r="AL343" s="9" t="n"/>
      <c r="AM343" s="9" t="n"/>
      <c r="AN343" s="9" t="n"/>
      <c r="AO343" s="9" t="n"/>
      <c r="AP343" s="9" t="n"/>
      <c r="AQ343" s="9" t="n"/>
      <c r="AR343" s="9" t="n"/>
      <c r="AS343" s="9" t="n"/>
      <c r="AT343" s="8" t="n"/>
      <c r="AU343" s="8" t="n"/>
      <c r="AV343" s="9" t="n"/>
      <c r="AW343" s="8" t="n"/>
      <c r="AX343" s="9" t="n"/>
      <c r="AY343" s="9" t="n"/>
      <c r="AZ343" s="9" t="n"/>
      <c r="BA343" s="9" t="n"/>
      <c r="BB343" s="9" t="n"/>
      <c r="BC343" s="9" t="n"/>
      <c r="BD343" s="9" t="n"/>
      <c r="BE343" s="9" t="n"/>
      <c r="BF343" s="9" t="n"/>
      <c r="BG343" s="9" t="n"/>
      <c r="BH343" s="9" t="n"/>
      <c r="BI343" s="9" t="n"/>
      <c r="BJ343" s="9" t="n"/>
      <c r="BK343" s="9" t="n"/>
      <c r="BL343" s="9" t="n"/>
      <c r="BM343" s="9" t="n"/>
      <c r="BN343" s="9" t="n"/>
      <c r="BO343" s="8" t="n"/>
      <c r="BP343" s="9" t="n"/>
      <c r="BQ343" s="9" t="n"/>
      <c r="BR343" s="13">
        <f>IF(COUNTIF(AI343:BM343,"N")+COUNTBLANK(AI343:BM343)=0,"Y","N")</f>
        <v/>
      </c>
      <c r="BS343" s="13">
        <f>IF(AND(BR343="Y",OR(L343="Submitted",L343="Under Review")),"Y",IF(L343="Closed","Y","N"))</f>
        <v/>
      </c>
      <c r="BT343" s="10" t="n"/>
      <c r="BU343" s="13">
        <f>Rule_Flags!Q342</f>
        <v/>
      </c>
      <c r="BV343" s="13">
        <f>Rule_Flags!P342</f>
        <v/>
      </c>
      <c r="BW343" s="13">
        <f>IF(Rule_Flags!E342=1,"SITE_CONTROL",IF(Rule_Flags!F342=1,"APPROVALS",IF(Rule_Flags!G342=1,"REPORTS",IF(Rule_Flags!H342=1,"DEFICIENCY",IF(Rule_Flags!I342=1,"UNDERWRITING",IF(Rule_Flags!J342=1,"COMPLIANCE",""))))))</f>
        <v/>
      </c>
      <c r="BX343" s="13">
        <f>IF(BW343="SITE_CONTROL","Site control missing or invalid",IF(BW343="APPROVALS","Required approvals or resolutions incomplete",IF(BW343="REPORTS","Required third-party reports incomplete",IF(BW343="DEFICIENCY","Unresolved deficiency or material deficiency",IF(BW343="UNDERWRITING","Underwriting / feasibility not passed",IF(BW343="COMPLIANCE","Deconcentration, one-mile, LURA, or Chapter 12 issue","Ready under current engine rules"))))))</f>
        <v/>
      </c>
      <c r="BY343" s="13">
        <f>IF(BV343="Determination Notice","Streamlined + DN-ready assumptions satisfied",IF(BV343="Board","Board-required or board-ready assumptions satisfied",""))</f>
        <v/>
      </c>
      <c r="BZ343" s="13">
        <f>IF(AND(BP343="Y",BQ343&lt;&gt;"Y"),"Carryforward project retains queue priority",IF(BQ343="Y","New project enters behind carryforward projects",""))</f>
        <v/>
      </c>
      <c r="CA343" s="13">
        <f>_xludf.RANK.EQ(Rule_Flags!O342,Rule_Flags!$O$3:$O$402,0)</f>
        <v/>
      </c>
      <c r="CB343" s="13">
        <f>IF(OR(BU343="Determination Notice Issued",BU343="Board",BU343="Closed"),"Y","N")</f>
        <v/>
      </c>
      <c r="CC343" s="9" t="n"/>
      <c r="CD343" s="9" t="n"/>
      <c r="CE343" s="9" t="n"/>
      <c r="CF343" s="9" t="n"/>
      <c r="CG343" s="9" t="n"/>
      <c r="CH343" s="9" t="n"/>
    </row>
    <row r="344">
      <c r="A344" s="8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8" t="n"/>
      <c r="L344" s="9" t="n"/>
      <c r="M344" s="8" t="n"/>
      <c r="N344" s="8" t="n"/>
      <c r="O344" s="8" t="n"/>
      <c r="P344" s="8" t="n"/>
      <c r="Q344" s="8" t="n"/>
      <c r="R344" s="9" t="n"/>
      <c r="S344" s="9" t="n"/>
      <c r="T344" s="10" t="n"/>
      <c r="U344" s="10" t="n"/>
      <c r="V344" s="9" t="n"/>
      <c r="W344" s="9" t="n"/>
      <c r="X344" s="9" t="n"/>
      <c r="Y344" s="9" t="n"/>
      <c r="Z344" s="11" t="n"/>
      <c r="AA344" s="11" t="n"/>
      <c r="AB344" s="11" t="n"/>
      <c r="AC344" s="11" t="n"/>
      <c r="AD344" s="11" t="n"/>
      <c r="AE344" s="11" t="n"/>
      <c r="AF344" s="9" t="n"/>
      <c r="AG344" s="9" t="n"/>
      <c r="AH344" s="9" t="n"/>
      <c r="AI344" s="9" t="n"/>
      <c r="AJ344" s="8" t="n"/>
      <c r="AK344" s="9" t="n"/>
      <c r="AL344" s="9" t="n"/>
      <c r="AM344" s="9" t="n"/>
      <c r="AN344" s="9" t="n"/>
      <c r="AO344" s="9" t="n"/>
      <c r="AP344" s="9" t="n"/>
      <c r="AQ344" s="9" t="n"/>
      <c r="AR344" s="9" t="n"/>
      <c r="AS344" s="9" t="n"/>
      <c r="AT344" s="8" t="n"/>
      <c r="AU344" s="8" t="n"/>
      <c r="AV344" s="9" t="n"/>
      <c r="AW344" s="8" t="n"/>
      <c r="AX344" s="9" t="n"/>
      <c r="AY344" s="9" t="n"/>
      <c r="AZ344" s="9" t="n"/>
      <c r="BA344" s="9" t="n"/>
      <c r="BB344" s="9" t="n"/>
      <c r="BC344" s="9" t="n"/>
      <c r="BD344" s="9" t="n"/>
      <c r="BE344" s="9" t="n"/>
      <c r="BF344" s="9" t="n"/>
      <c r="BG344" s="9" t="n"/>
      <c r="BH344" s="9" t="n"/>
      <c r="BI344" s="9" t="n"/>
      <c r="BJ344" s="9" t="n"/>
      <c r="BK344" s="9" t="n"/>
      <c r="BL344" s="9" t="n"/>
      <c r="BM344" s="9" t="n"/>
      <c r="BN344" s="9" t="n"/>
      <c r="BO344" s="8" t="n"/>
      <c r="BP344" s="9" t="n"/>
      <c r="BQ344" s="9" t="n"/>
      <c r="BR344" s="13">
        <f>IF(COUNTIF(AI344:BM344,"N")+COUNTBLANK(AI344:BM344)=0,"Y","N")</f>
        <v/>
      </c>
      <c r="BS344" s="13">
        <f>IF(AND(BR344="Y",OR(L344="Submitted",L344="Under Review")),"Y",IF(L344="Closed","Y","N"))</f>
        <v/>
      </c>
      <c r="BT344" s="10" t="n"/>
      <c r="BU344" s="13">
        <f>Rule_Flags!Q343</f>
        <v/>
      </c>
      <c r="BV344" s="13">
        <f>Rule_Flags!P343</f>
        <v/>
      </c>
      <c r="BW344" s="13">
        <f>IF(Rule_Flags!E343=1,"SITE_CONTROL",IF(Rule_Flags!F343=1,"APPROVALS",IF(Rule_Flags!G343=1,"REPORTS",IF(Rule_Flags!H343=1,"DEFICIENCY",IF(Rule_Flags!I343=1,"UNDERWRITING",IF(Rule_Flags!J343=1,"COMPLIANCE",""))))))</f>
        <v/>
      </c>
      <c r="BX344" s="13">
        <f>IF(BW344="SITE_CONTROL","Site control missing or invalid",IF(BW344="APPROVALS","Required approvals or resolutions incomplete",IF(BW344="REPORTS","Required third-party reports incomplete",IF(BW344="DEFICIENCY","Unresolved deficiency or material deficiency",IF(BW344="UNDERWRITING","Underwriting / feasibility not passed",IF(BW344="COMPLIANCE","Deconcentration, one-mile, LURA, or Chapter 12 issue","Ready under current engine rules"))))))</f>
        <v/>
      </c>
      <c r="BY344" s="13">
        <f>IF(BV344="Determination Notice","Streamlined + DN-ready assumptions satisfied",IF(BV344="Board","Board-required or board-ready assumptions satisfied",""))</f>
        <v/>
      </c>
      <c r="BZ344" s="13">
        <f>IF(AND(BP344="Y",BQ344&lt;&gt;"Y"),"Carryforward project retains queue priority",IF(BQ344="Y","New project enters behind carryforward projects",""))</f>
        <v/>
      </c>
      <c r="CA344" s="13">
        <f>_xludf.RANK.EQ(Rule_Flags!O343,Rule_Flags!$O$3:$O$402,0)</f>
        <v/>
      </c>
      <c r="CB344" s="13">
        <f>IF(OR(BU344="Determination Notice Issued",BU344="Board",BU344="Closed"),"Y","N")</f>
        <v/>
      </c>
      <c r="CC344" s="9" t="n"/>
      <c r="CD344" s="9" t="n"/>
      <c r="CE344" s="9" t="n"/>
      <c r="CF344" s="9" t="n"/>
      <c r="CG344" s="9" t="n"/>
      <c r="CH344" s="9" t="n"/>
    </row>
    <row r="345">
      <c r="A345" s="8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8" t="n"/>
      <c r="L345" s="9" t="n"/>
      <c r="M345" s="8" t="n"/>
      <c r="N345" s="8" t="n"/>
      <c r="O345" s="8" t="n"/>
      <c r="P345" s="8" t="n"/>
      <c r="Q345" s="8" t="n"/>
      <c r="R345" s="9" t="n"/>
      <c r="S345" s="9" t="n"/>
      <c r="T345" s="10" t="n"/>
      <c r="U345" s="10" t="n"/>
      <c r="V345" s="9" t="n"/>
      <c r="W345" s="9" t="n"/>
      <c r="X345" s="9" t="n"/>
      <c r="Y345" s="9" t="n"/>
      <c r="Z345" s="11" t="n"/>
      <c r="AA345" s="11" t="n"/>
      <c r="AB345" s="11" t="n"/>
      <c r="AC345" s="11" t="n"/>
      <c r="AD345" s="11" t="n"/>
      <c r="AE345" s="11" t="n"/>
      <c r="AF345" s="9" t="n"/>
      <c r="AG345" s="9" t="n"/>
      <c r="AH345" s="9" t="n"/>
      <c r="AI345" s="9" t="n"/>
      <c r="AJ345" s="8" t="n"/>
      <c r="AK345" s="9" t="n"/>
      <c r="AL345" s="9" t="n"/>
      <c r="AM345" s="9" t="n"/>
      <c r="AN345" s="9" t="n"/>
      <c r="AO345" s="9" t="n"/>
      <c r="AP345" s="9" t="n"/>
      <c r="AQ345" s="9" t="n"/>
      <c r="AR345" s="9" t="n"/>
      <c r="AS345" s="9" t="n"/>
      <c r="AT345" s="8" t="n"/>
      <c r="AU345" s="8" t="n"/>
      <c r="AV345" s="9" t="n"/>
      <c r="AW345" s="8" t="n"/>
      <c r="AX345" s="9" t="n"/>
      <c r="AY345" s="9" t="n"/>
      <c r="AZ345" s="9" t="n"/>
      <c r="BA345" s="9" t="n"/>
      <c r="BB345" s="9" t="n"/>
      <c r="BC345" s="9" t="n"/>
      <c r="BD345" s="9" t="n"/>
      <c r="BE345" s="9" t="n"/>
      <c r="BF345" s="9" t="n"/>
      <c r="BG345" s="9" t="n"/>
      <c r="BH345" s="9" t="n"/>
      <c r="BI345" s="9" t="n"/>
      <c r="BJ345" s="9" t="n"/>
      <c r="BK345" s="9" t="n"/>
      <c r="BL345" s="9" t="n"/>
      <c r="BM345" s="9" t="n"/>
      <c r="BN345" s="9" t="n"/>
      <c r="BO345" s="8" t="n"/>
      <c r="BP345" s="9" t="n"/>
      <c r="BQ345" s="9" t="n"/>
      <c r="BR345" s="13">
        <f>IF(COUNTIF(AI345:BM345,"N")+COUNTBLANK(AI345:BM345)=0,"Y","N")</f>
        <v/>
      </c>
      <c r="BS345" s="13">
        <f>IF(AND(BR345="Y",OR(L345="Submitted",L345="Under Review")),"Y",IF(L345="Closed","Y","N"))</f>
        <v/>
      </c>
      <c r="BT345" s="10" t="n"/>
      <c r="BU345" s="13">
        <f>Rule_Flags!Q344</f>
        <v/>
      </c>
      <c r="BV345" s="13">
        <f>Rule_Flags!P344</f>
        <v/>
      </c>
      <c r="BW345" s="13">
        <f>IF(Rule_Flags!E344=1,"SITE_CONTROL",IF(Rule_Flags!F344=1,"APPROVALS",IF(Rule_Flags!G344=1,"REPORTS",IF(Rule_Flags!H344=1,"DEFICIENCY",IF(Rule_Flags!I344=1,"UNDERWRITING",IF(Rule_Flags!J344=1,"COMPLIANCE",""))))))</f>
        <v/>
      </c>
      <c r="BX345" s="13">
        <f>IF(BW345="SITE_CONTROL","Site control missing or invalid",IF(BW345="APPROVALS","Required approvals or resolutions incomplete",IF(BW345="REPORTS","Required third-party reports incomplete",IF(BW345="DEFICIENCY","Unresolved deficiency or material deficiency",IF(BW345="UNDERWRITING","Underwriting / feasibility not passed",IF(BW345="COMPLIANCE","Deconcentration, one-mile, LURA, or Chapter 12 issue","Ready under current engine rules"))))))</f>
        <v/>
      </c>
      <c r="BY345" s="13">
        <f>IF(BV345="Determination Notice","Streamlined + DN-ready assumptions satisfied",IF(BV345="Board","Board-required or board-ready assumptions satisfied",""))</f>
        <v/>
      </c>
      <c r="BZ345" s="13">
        <f>IF(AND(BP345="Y",BQ345&lt;&gt;"Y"),"Carryforward project retains queue priority",IF(BQ345="Y","New project enters behind carryforward projects",""))</f>
        <v/>
      </c>
      <c r="CA345" s="13">
        <f>_xludf.RANK.EQ(Rule_Flags!O344,Rule_Flags!$O$3:$O$402,0)</f>
        <v/>
      </c>
      <c r="CB345" s="13">
        <f>IF(OR(BU345="Determination Notice Issued",BU345="Board",BU345="Closed"),"Y","N")</f>
        <v/>
      </c>
      <c r="CC345" s="9" t="n"/>
      <c r="CD345" s="9" t="n"/>
      <c r="CE345" s="9" t="n"/>
      <c r="CF345" s="9" t="n"/>
      <c r="CG345" s="9" t="n"/>
      <c r="CH345" s="9" t="n"/>
    </row>
    <row r="346">
      <c r="A346" s="8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8" t="n"/>
      <c r="L346" s="9" t="n"/>
      <c r="M346" s="8" t="n"/>
      <c r="N346" s="8" t="n"/>
      <c r="O346" s="8" t="n"/>
      <c r="P346" s="8" t="n"/>
      <c r="Q346" s="8" t="n"/>
      <c r="R346" s="9" t="n"/>
      <c r="S346" s="9" t="n"/>
      <c r="T346" s="10" t="n"/>
      <c r="U346" s="10" t="n"/>
      <c r="V346" s="9" t="n"/>
      <c r="W346" s="9" t="n"/>
      <c r="X346" s="9" t="n"/>
      <c r="Y346" s="9" t="n"/>
      <c r="Z346" s="11" t="n"/>
      <c r="AA346" s="11" t="n"/>
      <c r="AB346" s="11" t="n"/>
      <c r="AC346" s="11" t="n"/>
      <c r="AD346" s="11" t="n"/>
      <c r="AE346" s="11" t="n"/>
      <c r="AF346" s="9" t="n"/>
      <c r="AG346" s="9" t="n"/>
      <c r="AH346" s="9" t="n"/>
      <c r="AI346" s="9" t="n"/>
      <c r="AJ346" s="8" t="n"/>
      <c r="AK346" s="9" t="n"/>
      <c r="AL346" s="9" t="n"/>
      <c r="AM346" s="9" t="n"/>
      <c r="AN346" s="9" t="n"/>
      <c r="AO346" s="9" t="n"/>
      <c r="AP346" s="9" t="n"/>
      <c r="AQ346" s="9" t="n"/>
      <c r="AR346" s="9" t="n"/>
      <c r="AS346" s="9" t="n"/>
      <c r="AT346" s="8" t="n"/>
      <c r="AU346" s="8" t="n"/>
      <c r="AV346" s="9" t="n"/>
      <c r="AW346" s="8" t="n"/>
      <c r="AX346" s="9" t="n"/>
      <c r="AY346" s="9" t="n"/>
      <c r="AZ346" s="9" t="n"/>
      <c r="BA346" s="9" t="n"/>
      <c r="BB346" s="9" t="n"/>
      <c r="BC346" s="9" t="n"/>
      <c r="BD346" s="9" t="n"/>
      <c r="BE346" s="9" t="n"/>
      <c r="BF346" s="9" t="n"/>
      <c r="BG346" s="9" t="n"/>
      <c r="BH346" s="9" t="n"/>
      <c r="BI346" s="9" t="n"/>
      <c r="BJ346" s="9" t="n"/>
      <c r="BK346" s="9" t="n"/>
      <c r="BL346" s="9" t="n"/>
      <c r="BM346" s="9" t="n"/>
      <c r="BN346" s="9" t="n"/>
      <c r="BO346" s="8" t="n"/>
      <c r="BP346" s="9" t="n"/>
      <c r="BQ346" s="9" t="n"/>
      <c r="BR346" s="13">
        <f>IF(COUNTIF(AI346:BM346,"N")+COUNTBLANK(AI346:BM346)=0,"Y","N")</f>
        <v/>
      </c>
      <c r="BS346" s="13">
        <f>IF(AND(BR346="Y",OR(L346="Submitted",L346="Under Review")),"Y",IF(L346="Closed","Y","N"))</f>
        <v/>
      </c>
      <c r="BT346" s="10" t="n"/>
      <c r="BU346" s="13">
        <f>Rule_Flags!Q345</f>
        <v/>
      </c>
      <c r="BV346" s="13">
        <f>Rule_Flags!P345</f>
        <v/>
      </c>
      <c r="BW346" s="13">
        <f>IF(Rule_Flags!E345=1,"SITE_CONTROL",IF(Rule_Flags!F345=1,"APPROVALS",IF(Rule_Flags!G345=1,"REPORTS",IF(Rule_Flags!H345=1,"DEFICIENCY",IF(Rule_Flags!I345=1,"UNDERWRITING",IF(Rule_Flags!J345=1,"COMPLIANCE",""))))))</f>
        <v/>
      </c>
      <c r="BX346" s="13">
        <f>IF(BW346="SITE_CONTROL","Site control missing or invalid",IF(BW346="APPROVALS","Required approvals or resolutions incomplete",IF(BW346="REPORTS","Required third-party reports incomplete",IF(BW346="DEFICIENCY","Unresolved deficiency or material deficiency",IF(BW346="UNDERWRITING","Underwriting / feasibility not passed",IF(BW346="COMPLIANCE","Deconcentration, one-mile, LURA, or Chapter 12 issue","Ready under current engine rules"))))))</f>
        <v/>
      </c>
      <c r="BY346" s="13">
        <f>IF(BV346="Determination Notice","Streamlined + DN-ready assumptions satisfied",IF(BV346="Board","Board-required or board-ready assumptions satisfied",""))</f>
        <v/>
      </c>
      <c r="BZ346" s="13">
        <f>IF(AND(BP346="Y",BQ346&lt;&gt;"Y"),"Carryforward project retains queue priority",IF(BQ346="Y","New project enters behind carryforward projects",""))</f>
        <v/>
      </c>
      <c r="CA346" s="13">
        <f>_xludf.RANK.EQ(Rule_Flags!O345,Rule_Flags!$O$3:$O$402,0)</f>
        <v/>
      </c>
      <c r="CB346" s="13">
        <f>IF(OR(BU346="Determination Notice Issued",BU346="Board",BU346="Closed"),"Y","N")</f>
        <v/>
      </c>
      <c r="CC346" s="9" t="n"/>
      <c r="CD346" s="9" t="n"/>
      <c r="CE346" s="9" t="n"/>
      <c r="CF346" s="9" t="n"/>
      <c r="CG346" s="9" t="n"/>
      <c r="CH346" s="9" t="n"/>
    </row>
    <row r="347">
      <c r="A347" s="8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8" t="n"/>
      <c r="L347" s="9" t="n"/>
      <c r="M347" s="8" t="n"/>
      <c r="N347" s="8" t="n"/>
      <c r="O347" s="8" t="n"/>
      <c r="P347" s="8" t="n"/>
      <c r="Q347" s="8" t="n"/>
      <c r="R347" s="9" t="n"/>
      <c r="S347" s="9" t="n"/>
      <c r="T347" s="10" t="n"/>
      <c r="U347" s="10" t="n"/>
      <c r="V347" s="9" t="n"/>
      <c r="W347" s="9" t="n"/>
      <c r="X347" s="9" t="n"/>
      <c r="Y347" s="9" t="n"/>
      <c r="Z347" s="11" t="n"/>
      <c r="AA347" s="11" t="n"/>
      <c r="AB347" s="11" t="n"/>
      <c r="AC347" s="11" t="n"/>
      <c r="AD347" s="11" t="n"/>
      <c r="AE347" s="11" t="n"/>
      <c r="AF347" s="9" t="n"/>
      <c r="AG347" s="9" t="n"/>
      <c r="AH347" s="9" t="n"/>
      <c r="AI347" s="9" t="n"/>
      <c r="AJ347" s="8" t="n"/>
      <c r="AK347" s="9" t="n"/>
      <c r="AL347" s="9" t="n"/>
      <c r="AM347" s="9" t="n"/>
      <c r="AN347" s="9" t="n"/>
      <c r="AO347" s="9" t="n"/>
      <c r="AP347" s="9" t="n"/>
      <c r="AQ347" s="9" t="n"/>
      <c r="AR347" s="9" t="n"/>
      <c r="AS347" s="9" t="n"/>
      <c r="AT347" s="8" t="n"/>
      <c r="AU347" s="8" t="n"/>
      <c r="AV347" s="9" t="n"/>
      <c r="AW347" s="8" t="n"/>
      <c r="AX347" s="9" t="n"/>
      <c r="AY347" s="9" t="n"/>
      <c r="AZ347" s="9" t="n"/>
      <c r="BA347" s="9" t="n"/>
      <c r="BB347" s="9" t="n"/>
      <c r="BC347" s="9" t="n"/>
      <c r="BD347" s="9" t="n"/>
      <c r="BE347" s="9" t="n"/>
      <c r="BF347" s="9" t="n"/>
      <c r="BG347" s="9" t="n"/>
      <c r="BH347" s="9" t="n"/>
      <c r="BI347" s="9" t="n"/>
      <c r="BJ347" s="9" t="n"/>
      <c r="BK347" s="9" t="n"/>
      <c r="BL347" s="9" t="n"/>
      <c r="BM347" s="9" t="n"/>
      <c r="BN347" s="9" t="n"/>
      <c r="BO347" s="8" t="n"/>
      <c r="BP347" s="9" t="n"/>
      <c r="BQ347" s="9" t="n"/>
      <c r="BR347" s="13">
        <f>IF(COUNTIF(AI347:BM347,"N")+COUNTBLANK(AI347:BM347)=0,"Y","N")</f>
        <v/>
      </c>
      <c r="BS347" s="13">
        <f>IF(AND(BR347="Y",OR(L347="Submitted",L347="Under Review")),"Y",IF(L347="Closed","Y","N"))</f>
        <v/>
      </c>
      <c r="BT347" s="10" t="n"/>
      <c r="BU347" s="13">
        <f>Rule_Flags!Q346</f>
        <v/>
      </c>
      <c r="BV347" s="13">
        <f>Rule_Flags!P346</f>
        <v/>
      </c>
      <c r="BW347" s="13">
        <f>IF(Rule_Flags!E346=1,"SITE_CONTROL",IF(Rule_Flags!F346=1,"APPROVALS",IF(Rule_Flags!G346=1,"REPORTS",IF(Rule_Flags!H346=1,"DEFICIENCY",IF(Rule_Flags!I346=1,"UNDERWRITING",IF(Rule_Flags!J346=1,"COMPLIANCE",""))))))</f>
        <v/>
      </c>
      <c r="BX347" s="13">
        <f>IF(BW347="SITE_CONTROL","Site control missing or invalid",IF(BW347="APPROVALS","Required approvals or resolutions incomplete",IF(BW347="REPORTS","Required third-party reports incomplete",IF(BW347="DEFICIENCY","Unresolved deficiency or material deficiency",IF(BW347="UNDERWRITING","Underwriting / feasibility not passed",IF(BW347="COMPLIANCE","Deconcentration, one-mile, LURA, or Chapter 12 issue","Ready under current engine rules"))))))</f>
        <v/>
      </c>
      <c r="BY347" s="13">
        <f>IF(BV347="Determination Notice","Streamlined + DN-ready assumptions satisfied",IF(BV347="Board","Board-required or board-ready assumptions satisfied",""))</f>
        <v/>
      </c>
      <c r="BZ347" s="13">
        <f>IF(AND(BP347="Y",BQ347&lt;&gt;"Y"),"Carryforward project retains queue priority",IF(BQ347="Y","New project enters behind carryforward projects",""))</f>
        <v/>
      </c>
      <c r="CA347" s="13">
        <f>_xludf.RANK.EQ(Rule_Flags!O346,Rule_Flags!$O$3:$O$402,0)</f>
        <v/>
      </c>
      <c r="CB347" s="13">
        <f>IF(OR(BU347="Determination Notice Issued",BU347="Board",BU347="Closed"),"Y","N")</f>
        <v/>
      </c>
      <c r="CC347" s="9" t="n"/>
      <c r="CD347" s="9" t="n"/>
      <c r="CE347" s="9" t="n"/>
      <c r="CF347" s="9" t="n"/>
      <c r="CG347" s="9" t="n"/>
      <c r="CH347" s="9" t="n"/>
    </row>
    <row r="348">
      <c r="A348" s="8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8" t="n"/>
      <c r="L348" s="9" t="n"/>
      <c r="M348" s="8" t="n"/>
      <c r="N348" s="8" t="n"/>
      <c r="O348" s="8" t="n"/>
      <c r="P348" s="8" t="n"/>
      <c r="Q348" s="8" t="n"/>
      <c r="R348" s="9" t="n"/>
      <c r="S348" s="9" t="n"/>
      <c r="T348" s="10" t="n"/>
      <c r="U348" s="10" t="n"/>
      <c r="V348" s="9" t="n"/>
      <c r="W348" s="9" t="n"/>
      <c r="X348" s="9" t="n"/>
      <c r="Y348" s="9" t="n"/>
      <c r="Z348" s="11" t="n"/>
      <c r="AA348" s="11" t="n"/>
      <c r="AB348" s="11" t="n"/>
      <c r="AC348" s="11" t="n"/>
      <c r="AD348" s="11" t="n"/>
      <c r="AE348" s="11" t="n"/>
      <c r="AF348" s="9" t="n"/>
      <c r="AG348" s="9" t="n"/>
      <c r="AH348" s="9" t="n"/>
      <c r="AI348" s="9" t="n"/>
      <c r="AJ348" s="8" t="n"/>
      <c r="AK348" s="9" t="n"/>
      <c r="AL348" s="9" t="n"/>
      <c r="AM348" s="9" t="n"/>
      <c r="AN348" s="9" t="n"/>
      <c r="AO348" s="9" t="n"/>
      <c r="AP348" s="9" t="n"/>
      <c r="AQ348" s="9" t="n"/>
      <c r="AR348" s="9" t="n"/>
      <c r="AS348" s="9" t="n"/>
      <c r="AT348" s="8" t="n"/>
      <c r="AU348" s="8" t="n"/>
      <c r="AV348" s="9" t="n"/>
      <c r="AW348" s="8" t="n"/>
      <c r="AX348" s="9" t="n"/>
      <c r="AY348" s="9" t="n"/>
      <c r="AZ348" s="9" t="n"/>
      <c r="BA348" s="9" t="n"/>
      <c r="BB348" s="9" t="n"/>
      <c r="BC348" s="9" t="n"/>
      <c r="BD348" s="9" t="n"/>
      <c r="BE348" s="9" t="n"/>
      <c r="BF348" s="9" t="n"/>
      <c r="BG348" s="9" t="n"/>
      <c r="BH348" s="9" t="n"/>
      <c r="BI348" s="9" t="n"/>
      <c r="BJ348" s="9" t="n"/>
      <c r="BK348" s="9" t="n"/>
      <c r="BL348" s="9" t="n"/>
      <c r="BM348" s="9" t="n"/>
      <c r="BN348" s="9" t="n"/>
      <c r="BO348" s="8" t="n"/>
      <c r="BP348" s="9" t="n"/>
      <c r="BQ348" s="9" t="n"/>
      <c r="BR348" s="13">
        <f>IF(COUNTIF(AI348:BM348,"N")+COUNTBLANK(AI348:BM348)=0,"Y","N")</f>
        <v/>
      </c>
      <c r="BS348" s="13">
        <f>IF(AND(BR348="Y",OR(L348="Submitted",L348="Under Review")),"Y",IF(L348="Closed","Y","N"))</f>
        <v/>
      </c>
      <c r="BT348" s="10" t="n"/>
      <c r="BU348" s="13">
        <f>Rule_Flags!Q347</f>
        <v/>
      </c>
      <c r="BV348" s="13">
        <f>Rule_Flags!P347</f>
        <v/>
      </c>
      <c r="BW348" s="13">
        <f>IF(Rule_Flags!E347=1,"SITE_CONTROL",IF(Rule_Flags!F347=1,"APPROVALS",IF(Rule_Flags!G347=1,"REPORTS",IF(Rule_Flags!H347=1,"DEFICIENCY",IF(Rule_Flags!I347=1,"UNDERWRITING",IF(Rule_Flags!J347=1,"COMPLIANCE",""))))))</f>
        <v/>
      </c>
      <c r="BX348" s="13">
        <f>IF(BW348="SITE_CONTROL","Site control missing or invalid",IF(BW348="APPROVALS","Required approvals or resolutions incomplete",IF(BW348="REPORTS","Required third-party reports incomplete",IF(BW348="DEFICIENCY","Unresolved deficiency or material deficiency",IF(BW348="UNDERWRITING","Underwriting / feasibility not passed",IF(BW348="COMPLIANCE","Deconcentration, one-mile, LURA, or Chapter 12 issue","Ready under current engine rules"))))))</f>
        <v/>
      </c>
      <c r="BY348" s="13">
        <f>IF(BV348="Determination Notice","Streamlined + DN-ready assumptions satisfied",IF(BV348="Board","Board-required or board-ready assumptions satisfied",""))</f>
        <v/>
      </c>
      <c r="BZ348" s="13">
        <f>IF(AND(BP348="Y",BQ348&lt;&gt;"Y"),"Carryforward project retains queue priority",IF(BQ348="Y","New project enters behind carryforward projects",""))</f>
        <v/>
      </c>
      <c r="CA348" s="13">
        <f>_xludf.RANK.EQ(Rule_Flags!O347,Rule_Flags!$O$3:$O$402,0)</f>
        <v/>
      </c>
      <c r="CB348" s="13">
        <f>IF(OR(BU348="Determination Notice Issued",BU348="Board",BU348="Closed"),"Y","N")</f>
        <v/>
      </c>
      <c r="CC348" s="9" t="n"/>
      <c r="CD348" s="9" t="n"/>
      <c r="CE348" s="9" t="n"/>
      <c r="CF348" s="9" t="n"/>
      <c r="CG348" s="9" t="n"/>
      <c r="CH348" s="9" t="n"/>
    </row>
    <row r="349">
      <c r="A349" s="8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8" t="n"/>
      <c r="L349" s="9" t="n"/>
      <c r="M349" s="8" t="n"/>
      <c r="N349" s="8" t="n"/>
      <c r="O349" s="8" t="n"/>
      <c r="P349" s="8" t="n"/>
      <c r="Q349" s="8" t="n"/>
      <c r="R349" s="9" t="n"/>
      <c r="S349" s="9" t="n"/>
      <c r="T349" s="10" t="n"/>
      <c r="U349" s="10" t="n"/>
      <c r="V349" s="9" t="n"/>
      <c r="W349" s="9" t="n"/>
      <c r="X349" s="9" t="n"/>
      <c r="Y349" s="9" t="n"/>
      <c r="Z349" s="11" t="n"/>
      <c r="AA349" s="11" t="n"/>
      <c r="AB349" s="11" t="n"/>
      <c r="AC349" s="11" t="n"/>
      <c r="AD349" s="11" t="n"/>
      <c r="AE349" s="11" t="n"/>
      <c r="AF349" s="9" t="n"/>
      <c r="AG349" s="9" t="n"/>
      <c r="AH349" s="9" t="n"/>
      <c r="AI349" s="9" t="n"/>
      <c r="AJ349" s="8" t="n"/>
      <c r="AK349" s="9" t="n"/>
      <c r="AL349" s="9" t="n"/>
      <c r="AM349" s="9" t="n"/>
      <c r="AN349" s="9" t="n"/>
      <c r="AO349" s="9" t="n"/>
      <c r="AP349" s="9" t="n"/>
      <c r="AQ349" s="9" t="n"/>
      <c r="AR349" s="9" t="n"/>
      <c r="AS349" s="9" t="n"/>
      <c r="AT349" s="8" t="n"/>
      <c r="AU349" s="8" t="n"/>
      <c r="AV349" s="9" t="n"/>
      <c r="AW349" s="8" t="n"/>
      <c r="AX349" s="9" t="n"/>
      <c r="AY349" s="9" t="n"/>
      <c r="AZ349" s="9" t="n"/>
      <c r="BA349" s="9" t="n"/>
      <c r="BB349" s="9" t="n"/>
      <c r="BC349" s="9" t="n"/>
      <c r="BD349" s="9" t="n"/>
      <c r="BE349" s="9" t="n"/>
      <c r="BF349" s="9" t="n"/>
      <c r="BG349" s="9" t="n"/>
      <c r="BH349" s="9" t="n"/>
      <c r="BI349" s="9" t="n"/>
      <c r="BJ349" s="9" t="n"/>
      <c r="BK349" s="9" t="n"/>
      <c r="BL349" s="9" t="n"/>
      <c r="BM349" s="9" t="n"/>
      <c r="BN349" s="9" t="n"/>
      <c r="BO349" s="8" t="n"/>
      <c r="BP349" s="9" t="n"/>
      <c r="BQ349" s="9" t="n"/>
      <c r="BR349" s="13">
        <f>IF(COUNTIF(AI349:BM349,"N")+COUNTBLANK(AI349:BM349)=0,"Y","N")</f>
        <v/>
      </c>
      <c r="BS349" s="13">
        <f>IF(AND(BR349="Y",OR(L349="Submitted",L349="Under Review")),"Y",IF(L349="Closed","Y","N"))</f>
        <v/>
      </c>
      <c r="BT349" s="10" t="n"/>
      <c r="BU349" s="13">
        <f>Rule_Flags!Q348</f>
        <v/>
      </c>
      <c r="BV349" s="13">
        <f>Rule_Flags!P348</f>
        <v/>
      </c>
      <c r="BW349" s="13">
        <f>IF(Rule_Flags!E348=1,"SITE_CONTROL",IF(Rule_Flags!F348=1,"APPROVALS",IF(Rule_Flags!G348=1,"REPORTS",IF(Rule_Flags!H348=1,"DEFICIENCY",IF(Rule_Flags!I348=1,"UNDERWRITING",IF(Rule_Flags!J348=1,"COMPLIANCE",""))))))</f>
        <v/>
      </c>
      <c r="BX349" s="13">
        <f>IF(BW349="SITE_CONTROL","Site control missing or invalid",IF(BW349="APPROVALS","Required approvals or resolutions incomplete",IF(BW349="REPORTS","Required third-party reports incomplete",IF(BW349="DEFICIENCY","Unresolved deficiency or material deficiency",IF(BW349="UNDERWRITING","Underwriting / feasibility not passed",IF(BW349="COMPLIANCE","Deconcentration, one-mile, LURA, or Chapter 12 issue","Ready under current engine rules"))))))</f>
        <v/>
      </c>
      <c r="BY349" s="13">
        <f>IF(BV349="Determination Notice","Streamlined + DN-ready assumptions satisfied",IF(BV349="Board","Board-required or board-ready assumptions satisfied",""))</f>
        <v/>
      </c>
      <c r="BZ349" s="13">
        <f>IF(AND(BP349="Y",BQ349&lt;&gt;"Y"),"Carryforward project retains queue priority",IF(BQ349="Y","New project enters behind carryforward projects",""))</f>
        <v/>
      </c>
      <c r="CA349" s="13">
        <f>_xludf.RANK.EQ(Rule_Flags!O348,Rule_Flags!$O$3:$O$402,0)</f>
        <v/>
      </c>
      <c r="CB349" s="13">
        <f>IF(OR(BU349="Determination Notice Issued",BU349="Board",BU349="Closed"),"Y","N")</f>
        <v/>
      </c>
      <c r="CC349" s="9" t="n"/>
      <c r="CD349" s="9" t="n"/>
      <c r="CE349" s="9" t="n"/>
      <c r="CF349" s="9" t="n"/>
      <c r="CG349" s="9" t="n"/>
      <c r="CH349" s="9" t="n"/>
    </row>
    <row r="350">
      <c r="A350" s="8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8" t="n"/>
      <c r="L350" s="9" t="n"/>
      <c r="M350" s="8" t="n"/>
      <c r="N350" s="8" t="n"/>
      <c r="O350" s="8" t="n"/>
      <c r="P350" s="8" t="n"/>
      <c r="Q350" s="8" t="n"/>
      <c r="R350" s="9" t="n"/>
      <c r="S350" s="9" t="n"/>
      <c r="T350" s="10" t="n"/>
      <c r="U350" s="10" t="n"/>
      <c r="V350" s="9" t="n"/>
      <c r="W350" s="9" t="n"/>
      <c r="X350" s="9" t="n"/>
      <c r="Y350" s="9" t="n"/>
      <c r="Z350" s="11" t="n"/>
      <c r="AA350" s="11" t="n"/>
      <c r="AB350" s="11" t="n"/>
      <c r="AC350" s="11" t="n"/>
      <c r="AD350" s="11" t="n"/>
      <c r="AE350" s="11" t="n"/>
      <c r="AF350" s="9" t="n"/>
      <c r="AG350" s="9" t="n"/>
      <c r="AH350" s="9" t="n"/>
      <c r="AI350" s="9" t="n"/>
      <c r="AJ350" s="8" t="n"/>
      <c r="AK350" s="9" t="n"/>
      <c r="AL350" s="9" t="n"/>
      <c r="AM350" s="9" t="n"/>
      <c r="AN350" s="9" t="n"/>
      <c r="AO350" s="9" t="n"/>
      <c r="AP350" s="9" t="n"/>
      <c r="AQ350" s="9" t="n"/>
      <c r="AR350" s="9" t="n"/>
      <c r="AS350" s="9" t="n"/>
      <c r="AT350" s="8" t="n"/>
      <c r="AU350" s="8" t="n"/>
      <c r="AV350" s="9" t="n"/>
      <c r="AW350" s="8" t="n"/>
      <c r="AX350" s="9" t="n"/>
      <c r="AY350" s="9" t="n"/>
      <c r="AZ350" s="9" t="n"/>
      <c r="BA350" s="9" t="n"/>
      <c r="BB350" s="9" t="n"/>
      <c r="BC350" s="9" t="n"/>
      <c r="BD350" s="9" t="n"/>
      <c r="BE350" s="9" t="n"/>
      <c r="BF350" s="9" t="n"/>
      <c r="BG350" s="9" t="n"/>
      <c r="BH350" s="9" t="n"/>
      <c r="BI350" s="9" t="n"/>
      <c r="BJ350" s="9" t="n"/>
      <c r="BK350" s="9" t="n"/>
      <c r="BL350" s="9" t="n"/>
      <c r="BM350" s="9" t="n"/>
      <c r="BN350" s="9" t="n"/>
      <c r="BO350" s="8" t="n"/>
      <c r="BP350" s="9" t="n"/>
      <c r="BQ350" s="9" t="n"/>
      <c r="BR350" s="13">
        <f>IF(COUNTIF(AI350:BM350,"N")+COUNTBLANK(AI350:BM350)=0,"Y","N")</f>
        <v/>
      </c>
      <c r="BS350" s="13">
        <f>IF(AND(BR350="Y",OR(L350="Submitted",L350="Under Review")),"Y",IF(L350="Closed","Y","N"))</f>
        <v/>
      </c>
      <c r="BT350" s="10" t="n"/>
      <c r="BU350" s="13">
        <f>Rule_Flags!Q349</f>
        <v/>
      </c>
      <c r="BV350" s="13">
        <f>Rule_Flags!P349</f>
        <v/>
      </c>
      <c r="BW350" s="13">
        <f>IF(Rule_Flags!E349=1,"SITE_CONTROL",IF(Rule_Flags!F349=1,"APPROVALS",IF(Rule_Flags!G349=1,"REPORTS",IF(Rule_Flags!H349=1,"DEFICIENCY",IF(Rule_Flags!I349=1,"UNDERWRITING",IF(Rule_Flags!J349=1,"COMPLIANCE",""))))))</f>
        <v/>
      </c>
      <c r="BX350" s="13">
        <f>IF(BW350="SITE_CONTROL","Site control missing or invalid",IF(BW350="APPROVALS","Required approvals or resolutions incomplete",IF(BW350="REPORTS","Required third-party reports incomplete",IF(BW350="DEFICIENCY","Unresolved deficiency or material deficiency",IF(BW350="UNDERWRITING","Underwriting / feasibility not passed",IF(BW350="COMPLIANCE","Deconcentration, one-mile, LURA, or Chapter 12 issue","Ready under current engine rules"))))))</f>
        <v/>
      </c>
      <c r="BY350" s="13">
        <f>IF(BV350="Determination Notice","Streamlined + DN-ready assumptions satisfied",IF(BV350="Board","Board-required or board-ready assumptions satisfied",""))</f>
        <v/>
      </c>
      <c r="BZ350" s="13">
        <f>IF(AND(BP350="Y",BQ350&lt;&gt;"Y"),"Carryforward project retains queue priority",IF(BQ350="Y","New project enters behind carryforward projects",""))</f>
        <v/>
      </c>
      <c r="CA350" s="13">
        <f>_xludf.RANK.EQ(Rule_Flags!O349,Rule_Flags!$O$3:$O$402,0)</f>
        <v/>
      </c>
      <c r="CB350" s="13">
        <f>IF(OR(BU350="Determination Notice Issued",BU350="Board",BU350="Closed"),"Y","N")</f>
        <v/>
      </c>
      <c r="CC350" s="9" t="n"/>
      <c r="CD350" s="9" t="n"/>
      <c r="CE350" s="9" t="n"/>
      <c r="CF350" s="9" t="n"/>
      <c r="CG350" s="9" t="n"/>
      <c r="CH350" s="9" t="n"/>
    </row>
    <row r="351">
      <c r="A351" s="8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8" t="n"/>
      <c r="L351" s="9" t="n"/>
      <c r="M351" s="8" t="n"/>
      <c r="N351" s="8" t="n"/>
      <c r="O351" s="8" t="n"/>
      <c r="P351" s="8" t="n"/>
      <c r="Q351" s="8" t="n"/>
      <c r="R351" s="9" t="n"/>
      <c r="S351" s="9" t="n"/>
      <c r="T351" s="10" t="n"/>
      <c r="U351" s="10" t="n"/>
      <c r="V351" s="9" t="n"/>
      <c r="W351" s="9" t="n"/>
      <c r="X351" s="9" t="n"/>
      <c r="Y351" s="9" t="n"/>
      <c r="Z351" s="11" t="n"/>
      <c r="AA351" s="11" t="n"/>
      <c r="AB351" s="11" t="n"/>
      <c r="AC351" s="11" t="n"/>
      <c r="AD351" s="11" t="n"/>
      <c r="AE351" s="11" t="n"/>
      <c r="AF351" s="9" t="n"/>
      <c r="AG351" s="9" t="n"/>
      <c r="AH351" s="9" t="n"/>
      <c r="AI351" s="9" t="n"/>
      <c r="AJ351" s="8" t="n"/>
      <c r="AK351" s="9" t="n"/>
      <c r="AL351" s="9" t="n"/>
      <c r="AM351" s="9" t="n"/>
      <c r="AN351" s="9" t="n"/>
      <c r="AO351" s="9" t="n"/>
      <c r="AP351" s="9" t="n"/>
      <c r="AQ351" s="9" t="n"/>
      <c r="AR351" s="9" t="n"/>
      <c r="AS351" s="9" t="n"/>
      <c r="AT351" s="8" t="n"/>
      <c r="AU351" s="8" t="n"/>
      <c r="AV351" s="9" t="n"/>
      <c r="AW351" s="8" t="n"/>
      <c r="AX351" s="9" t="n"/>
      <c r="AY351" s="9" t="n"/>
      <c r="AZ351" s="9" t="n"/>
      <c r="BA351" s="9" t="n"/>
      <c r="BB351" s="9" t="n"/>
      <c r="BC351" s="9" t="n"/>
      <c r="BD351" s="9" t="n"/>
      <c r="BE351" s="9" t="n"/>
      <c r="BF351" s="9" t="n"/>
      <c r="BG351" s="9" t="n"/>
      <c r="BH351" s="9" t="n"/>
      <c r="BI351" s="9" t="n"/>
      <c r="BJ351" s="9" t="n"/>
      <c r="BK351" s="9" t="n"/>
      <c r="BL351" s="9" t="n"/>
      <c r="BM351" s="9" t="n"/>
      <c r="BN351" s="9" t="n"/>
      <c r="BO351" s="8" t="n"/>
      <c r="BP351" s="9" t="n"/>
      <c r="BQ351" s="9" t="n"/>
      <c r="BR351" s="13">
        <f>IF(COUNTIF(AI351:BM351,"N")+COUNTBLANK(AI351:BM351)=0,"Y","N")</f>
        <v/>
      </c>
      <c r="BS351" s="13">
        <f>IF(AND(BR351="Y",OR(L351="Submitted",L351="Under Review")),"Y",IF(L351="Closed","Y","N"))</f>
        <v/>
      </c>
      <c r="BT351" s="10" t="n"/>
      <c r="BU351" s="13">
        <f>Rule_Flags!Q350</f>
        <v/>
      </c>
      <c r="BV351" s="13">
        <f>Rule_Flags!P350</f>
        <v/>
      </c>
      <c r="BW351" s="13">
        <f>IF(Rule_Flags!E350=1,"SITE_CONTROL",IF(Rule_Flags!F350=1,"APPROVALS",IF(Rule_Flags!G350=1,"REPORTS",IF(Rule_Flags!H350=1,"DEFICIENCY",IF(Rule_Flags!I350=1,"UNDERWRITING",IF(Rule_Flags!J350=1,"COMPLIANCE",""))))))</f>
        <v/>
      </c>
      <c r="BX351" s="13">
        <f>IF(BW351="SITE_CONTROL","Site control missing or invalid",IF(BW351="APPROVALS","Required approvals or resolutions incomplete",IF(BW351="REPORTS","Required third-party reports incomplete",IF(BW351="DEFICIENCY","Unresolved deficiency or material deficiency",IF(BW351="UNDERWRITING","Underwriting / feasibility not passed",IF(BW351="COMPLIANCE","Deconcentration, one-mile, LURA, or Chapter 12 issue","Ready under current engine rules"))))))</f>
        <v/>
      </c>
      <c r="BY351" s="13">
        <f>IF(BV351="Determination Notice","Streamlined + DN-ready assumptions satisfied",IF(BV351="Board","Board-required or board-ready assumptions satisfied",""))</f>
        <v/>
      </c>
      <c r="BZ351" s="13">
        <f>IF(AND(BP351="Y",BQ351&lt;&gt;"Y"),"Carryforward project retains queue priority",IF(BQ351="Y","New project enters behind carryforward projects",""))</f>
        <v/>
      </c>
      <c r="CA351" s="13">
        <f>_xludf.RANK.EQ(Rule_Flags!O350,Rule_Flags!$O$3:$O$402,0)</f>
        <v/>
      </c>
      <c r="CB351" s="13">
        <f>IF(OR(BU351="Determination Notice Issued",BU351="Board",BU351="Closed"),"Y","N")</f>
        <v/>
      </c>
      <c r="CC351" s="9" t="n"/>
      <c r="CD351" s="9" t="n"/>
      <c r="CE351" s="9" t="n"/>
      <c r="CF351" s="9" t="n"/>
      <c r="CG351" s="9" t="n"/>
      <c r="CH351" s="9" t="n"/>
    </row>
    <row r="352">
      <c r="A352" s="8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8" t="n"/>
      <c r="L352" s="9" t="n"/>
      <c r="M352" s="8" t="n"/>
      <c r="N352" s="8" t="n"/>
      <c r="O352" s="8" t="n"/>
      <c r="P352" s="8" t="n"/>
      <c r="Q352" s="8" t="n"/>
      <c r="R352" s="9" t="n"/>
      <c r="S352" s="9" t="n"/>
      <c r="T352" s="10" t="n"/>
      <c r="U352" s="10" t="n"/>
      <c r="V352" s="9" t="n"/>
      <c r="W352" s="9" t="n"/>
      <c r="X352" s="9" t="n"/>
      <c r="Y352" s="9" t="n"/>
      <c r="Z352" s="11" t="n"/>
      <c r="AA352" s="11" t="n"/>
      <c r="AB352" s="11" t="n"/>
      <c r="AC352" s="11" t="n"/>
      <c r="AD352" s="11" t="n"/>
      <c r="AE352" s="11" t="n"/>
      <c r="AF352" s="9" t="n"/>
      <c r="AG352" s="9" t="n"/>
      <c r="AH352" s="9" t="n"/>
      <c r="AI352" s="9" t="n"/>
      <c r="AJ352" s="8" t="n"/>
      <c r="AK352" s="9" t="n"/>
      <c r="AL352" s="9" t="n"/>
      <c r="AM352" s="9" t="n"/>
      <c r="AN352" s="9" t="n"/>
      <c r="AO352" s="9" t="n"/>
      <c r="AP352" s="9" t="n"/>
      <c r="AQ352" s="9" t="n"/>
      <c r="AR352" s="9" t="n"/>
      <c r="AS352" s="9" t="n"/>
      <c r="AT352" s="8" t="n"/>
      <c r="AU352" s="8" t="n"/>
      <c r="AV352" s="9" t="n"/>
      <c r="AW352" s="8" t="n"/>
      <c r="AX352" s="9" t="n"/>
      <c r="AY352" s="9" t="n"/>
      <c r="AZ352" s="9" t="n"/>
      <c r="BA352" s="9" t="n"/>
      <c r="BB352" s="9" t="n"/>
      <c r="BC352" s="9" t="n"/>
      <c r="BD352" s="9" t="n"/>
      <c r="BE352" s="9" t="n"/>
      <c r="BF352" s="9" t="n"/>
      <c r="BG352" s="9" t="n"/>
      <c r="BH352" s="9" t="n"/>
      <c r="BI352" s="9" t="n"/>
      <c r="BJ352" s="9" t="n"/>
      <c r="BK352" s="9" t="n"/>
      <c r="BL352" s="9" t="n"/>
      <c r="BM352" s="9" t="n"/>
      <c r="BN352" s="9" t="n"/>
      <c r="BO352" s="8" t="n"/>
      <c r="BP352" s="9" t="n"/>
      <c r="BQ352" s="9" t="n"/>
      <c r="BR352" s="13">
        <f>IF(COUNTIF(AI352:BM352,"N")+COUNTBLANK(AI352:BM352)=0,"Y","N")</f>
        <v/>
      </c>
      <c r="BS352" s="13">
        <f>IF(AND(BR352="Y",OR(L352="Submitted",L352="Under Review")),"Y",IF(L352="Closed","Y","N"))</f>
        <v/>
      </c>
      <c r="BT352" s="10" t="n"/>
      <c r="BU352" s="13">
        <f>Rule_Flags!Q351</f>
        <v/>
      </c>
      <c r="BV352" s="13">
        <f>Rule_Flags!P351</f>
        <v/>
      </c>
      <c r="BW352" s="13">
        <f>IF(Rule_Flags!E351=1,"SITE_CONTROL",IF(Rule_Flags!F351=1,"APPROVALS",IF(Rule_Flags!G351=1,"REPORTS",IF(Rule_Flags!H351=1,"DEFICIENCY",IF(Rule_Flags!I351=1,"UNDERWRITING",IF(Rule_Flags!J351=1,"COMPLIANCE",""))))))</f>
        <v/>
      </c>
      <c r="BX352" s="13">
        <f>IF(BW352="SITE_CONTROL","Site control missing or invalid",IF(BW352="APPROVALS","Required approvals or resolutions incomplete",IF(BW352="REPORTS","Required third-party reports incomplete",IF(BW352="DEFICIENCY","Unresolved deficiency or material deficiency",IF(BW352="UNDERWRITING","Underwriting / feasibility not passed",IF(BW352="COMPLIANCE","Deconcentration, one-mile, LURA, or Chapter 12 issue","Ready under current engine rules"))))))</f>
        <v/>
      </c>
      <c r="BY352" s="13">
        <f>IF(BV352="Determination Notice","Streamlined + DN-ready assumptions satisfied",IF(BV352="Board","Board-required or board-ready assumptions satisfied",""))</f>
        <v/>
      </c>
      <c r="BZ352" s="13">
        <f>IF(AND(BP352="Y",BQ352&lt;&gt;"Y"),"Carryforward project retains queue priority",IF(BQ352="Y","New project enters behind carryforward projects",""))</f>
        <v/>
      </c>
      <c r="CA352" s="13">
        <f>_xludf.RANK.EQ(Rule_Flags!O351,Rule_Flags!$O$3:$O$402,0)</f>
        <v/>
      </c>
      <c r="CB352" s="13">
        <f>IF(OR(BU352="Determination Notice Issued",BU352="Board",BU352="Closed"),"Y","N")</f>
        <v/>
      </c>
      <c r="CC352" s="9" t="n"/>
      <c r="CD352" s="9" t="n"/>
      <c r="CE352" s="9" t="n"/>
      <c r="CF352" s="9" t="n"/>
      <c r="CG352" s="9" t="n"/>
      <c r="CH352" s="9" t="n"/>
    </row>
    <row r="353">
      <c r="A353" s="8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8" t="n"/>
      <c r="L353" s="9" t="n"/>
      <c r="M353" s="8" t="n"/>
      <c r="N353" s="8" t="n"/>
      <c r="O353" s="8" t="n"/>
      <c r="P353" s="8" t="n"/>
      <c r="Q353" s="8" t="n"/>
      <c r="R353" s="9" t="n"/>
      <c r="S353" s="9" t="n"/>
      <c r="T353" s="10" t="n"/>
      <c r="U353" s="10" t="n"/>
      <c r="V353" s="9" t="n"/>
      <c r="W353" s="9" t="n"/>
      <c r="X353" s="9" t="n"/>
      <c r="Y353" s="9" t="n"/>
      <c r="Z353" s="11" t="n"/>
      <c r="AA353" s="11" t="n"/>
      <c r="AB353" s="11" t="n"/>
      <c r="AC353" s="11" t="n"/>
      <c r="AD353" s="11" t="n"/>
      <c r="AE353" s="11" t="n"/>
      <c r="AF353" s="9" t="n"/>
      <c r="AG353" s="9" t="n"/>
      <c r="AH353" s="9" t="n"/>
      <c r="AI353" s="9" t="n"/>
      <c r="AJ353" s="8" t="n"/>
      <c r="AK353" s="9" t="n"/>
      <c r="AL353" s="9" t="n"/>
      <c r="AM353" s="9" t="n"/>
      <c r="AN353" s="9" t="n"/>
      <c r="AO353" s="9" t="n"/>
      <c r="AP353" s="9" t="n"/>
      <c r="AQ353" s="9" t="n"/>
      <c r="AR353" s="9" t="n"/>
      <c r="AS353" s="9" t="n"/>
      <c r="AT353" s="8" t="n"/>
      <c r="AU353" s="8" t="n"/>
      <c r="AV353" s="9" t="n"/>
      <c r="AW353" s="8" t="n"/>
      <c r="AX353" s="9" t="n"/>
      <c r="AY353" s="9" t="n"/>
      <c r="AZ353" s="9" t="n"/>
      <c r="BA353" s="9" t="n"/>
      <c r="BB353" s="9" t="n"/>
      <c r="BC353" s="9" t="n"/>
      <c r="BD353" s="9" t="n"/>
      <c r="BE353" s="9" t="n"/>
      <c r="BF353" s="9" t="n"/>
      <c r="BG353" s="9" t="n"/>
      <c r="BH353" s="9" t="n"/>
      <c r="BI353" s="9" t="n"/>
      <c r="BJ353" s="9" t="n"/>
      <c r="BK353" s="9" t="n"/>
      <c r="BL353" s="9" t="n"/>
      <c r="BM353" s="9" t="n"/>
      <c r="BN353" s="9" t="n"/>
      <c r="BO353" s="8" t="n"/>
      <c r="BP353" s="9" t="n"/>
      <c r="BQ353" s="9" t="n"/>
      <c r="BR353" s="13">
        <f>IF(COUNTIF(AI353:BM353,"N")+COUNTBLANK(AI353:BM353)=0,"Y","N")</f>
        <v/>
      </c>
      <c r="BS353" s="13">
        <f>IF(AND(BR353="Y",OR(L353="Submitted",L353="Under Review")),"Y",IF(L353="Closed","Y","N"))</f>
        <v/>
      </c>
      <c r="BT353" s="10" t="n"/>
      <c r="BU353" s="13">
        <f>Rule_Flags!Q352</f>
        <v/>
      </c>
      <c r="BV353" s="13">
        <f>Rule_Flags!P352</f>
        <v/>
      </c>
      <c r="BW353" s="13">
        <f>IF(Rule_Flags!E352=1,"SITE_CONTROL",IF(Rule_Flags!F352=1,"APPROVALS",IF(Rule_Flags!G352=1,"REPORTS",IF(Rule_Flags!H352=1,"DEFICIENCY",IF(Rule_Flags!I352=1,"UNDERWRITING",IF(Rule_Flags!J352=1,"COMPLIANCE",""))))))</f>
        <v/>
      </c>
      <c r="BX353" s="13">
        <f>IF(BW353="SITE_CONTROL","Site control missing or invalid",IF(BW353="APPROVALS","Required approvals or resolutions incomplete",IF(BW353="REPORTS","Required third-party reports incomplete",IF(BW353="DEFICIENCY","Unresolved deficiency or material deficiency",IF(BW353="UNDERWRITING","Underwriting / feasibility not passed",IF(BW353="COMPLIANCE","Deconcentration, one-mile, LURA, or Chapter 12 issue","Ready under current engine rules"))))))</f>
        <v/>
      </c>
      <c r="BY353" s="13">
        <f>IF(BV353="Determination Notice","Streamlined + DN-ready assumptions satisfied",IF(BV353="Board","Board-required or board-ready assumptions satisfied",""))</f>
        <v/>
      </c>
      <c r="BZ353" s="13">
        <f>IF(AND(BP353="Y",BQ353&lt;&gt;"Y"),"Carryforward project retains queue priority",IF(BQ353="Y","New project enters behind carryforward projects",""))</f>
        <v/>
      </c>
      <c r="CA353" s="13">
        <f>_xludf.RANK.EQ(Rule_Flags!O352,Rule_Flags!$O$3:$O$402,0)</f>
        <v/>
      </c>
      <c r="CB353" s="13">
        <f>IF(OR(BU353="Determination Notice Issued",BU353="Board",BU353="Closed"),"Y","N")</f>
        <v/>
      </c>
      <c r="CC353" s="9" t="n"/>
      <c r="CD353" s="9" t="n"/>
      <c r="CE353" s="9" t="n"/>
      <c r="CF353" s="9" t="n"/>
      <c r="CG353" s="9" t="n"/>
      <c r="CH353" s="9" t="n"/>
    </row>
    <row r="354">
      <c r="A354" s="8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8" t="n"/>
      <c r="L354" s="9" t="n"/>
      <c r="M354" s="8" t="n"/>
      <c r="N354" s="8" t="n"/>
      <c r="O354" s="8" t="n"/>
      <c r="P354" s="8" t="n"/>
      <c r="Q354" s="8" t="n"/>
      <c r="R354" s="9" t="n"/>
      <c r="S354" s="9" t="n"/>
      <c r="T354" s="10" t="n"/>
      <c r="U354" s="10" t="n"/>
      <c r="V354" s="9" t="n"/>
      <c r="W354" s="9" t="n"/>
      <c r="X354" s="9" t="n"/>
      <c r="Y354" s="9" t="n"/>
      <c r="Z354" s="11" t="n"/>
      <c r="AA354" s="11" t="n"/>
      <c r="AB354" s="11" t="n"/>
      <c r="AC354" s="11" t="n"/>
      <c r="AD354" s="11" t="n"/>
      <c r="AE354" s="11" t="n"/>
      <c r="AF354" s="9" t="n"/>
      <c r="AG354" s="9" t="n"/>
      <c r="AH354" s="9" t="n"/>
      <c r="AI354" s="9" t="n"/>
      <c r="AJ354" s="8" t="n"/>
      <c r="AK354" s="9" t="n"/>
      <c r="AL354" s="9" t="n"/>
      <c r="AM354" s="9" t="n"/>
      <c r="AN354" s="9" t="n"/>
      <c r="AO354" s="9" t="n"/>
      <c r="AP354" s="9" t="n"/>
      <c r="AQ354" s="9" t="n"/>
      <c r="AR354" s="9" t="n"/>
      <c r="AS354" s="9" t="n"/>
      <c r="AT354" s="8" t="n"/>
      <c r="AU354" s="8" t="n"/>
      <c r="AV354" s="9" t="n"/>
      <c r="AW354" s="8" t="n"/>
      <c r="AX354" s="9" t="n"/>
      <c r="AY354" s="9" t="n"/>
      <c r="AZ354" s="9" t="n"/>
      <c r="BA354" s="9" t="n"/>
      <c r="BB354" s="9" t="n"/>
      <c r="BC354" s="9" t="n"/>
      <c r="BD354" s="9" t="n"/>
      <c r="BE354" s="9" t="n"/>
      <c r="BF354" s="9" t="n"/>
      <c r="BG354" s="9" t="n"/>
      <c r="BH354" s="9" t="n"/>
      <c r="BI354" s="9" t="n"/>
      <c r="BJ354" s="9" t="n"/>
      <c r="BK354" s="9" t="n"/>
      <c r="BL354" s="9" t="n"/>
      <c r="BM354" s="9" t="n"/>
      <c r="BN354" s="9" t="n"/>
      <c r="BO354" s="8" t="n"/>
      <c r="BP354" s="9" t="n"/>
      <c r="BQ354" s="9" t="n"/>
      <c r="BR354" s="13">
        <f>IF(COUNTIF(AI354:BM354,"N")+COUNTBLANK(AI354:BM354)=0,"Y","N")</f>
        <v/>
      </c>
      <c r="BS354" s="13">
        <f>IF(AND(BR354="Y",OR(L354="Submitted",L354="Under Review")),"Y",IF(L354="Closed","Y","N"))</f>
        <v/>
      </c>
      <c r="BT354" s="10" t="n"/>
      <c r="BU354" s="13">
        <f>Rule_Flags!Q353</f>
        <v/>
      </c>
      <c r="BV354" s="13">
        <f>Rule_Flags!P353</f>
        <v/>
      </c>
      <c r="BW354" s="13">
        <f>IF(Rule_Flags!E353=1,"SITE_CONTROL",IF(Rule_Flags!F353=1,"APPROVALS",IF(Rule_Flags!G353=1,"REPORTS",IF(Rule_Flags!H353=1,"DEFICIENCY",IF(Rule_Flags!I353=1,"UNDERWRITING",IF(Rule_Flags!J353=1,"COMPLIANCE",""))))))</f>
        <v/>
      </c>
      <c r="BX354" s="13">
        <f>IF(BW354="SITE_CONTROL","Site control missing or invalid",IF(BW354="APPROVALS","Required approvals or resolutions incomplete",IF(BW354="REPORTS","Required third-party reports incomplete",IF(BW354="DEFICIENCY","Unresolved deficiency or material deficiency",IF(BW354="UNDERWRITING","Underwriting / feasibility not passed",IF(BW354="COMPLIANCE","Deconcentration, one-mile, LURA, or Chapter 12 issue","Ready under current engine rules"))))))</f>
        <v/>
      </c>
      <c r="BY354" s="13">
        <f>IF(BV354="Determination Notice","Streamlined + DN-ready assumptions satisfied",IF(BV354="Board","Board-required or board-ready assumptions satisfied",""))</f>
        <v/>
      </c>
      <c r="BZ354" s="13">
        <f>IF(AND(BP354="Y",BQ354&lt;&gt;"Y"),"Carryforward project retains queue priority",IF(BQ354="Y","New project enters behind carryforward projects",""))</f>
        <v/>
      </c>
      <c r="CA354" s="13">
        <f>_xludf.RANK.EQ(Rule_Flags!O353,Rule_Flags!$O$3:$O$402,0)</f>
        <v/>
      </c>
      <c r="CB354" s="13">
        <f>IF(OR(BU354="Determination Notice Issued",BU354="Board",BU354="Closed"),"Y","N")</f>
        <v/>
      </c>
      <c r="CC354" s="9" t="n"/>
      <c r="CD354" s="9" t="n"/>
      <c r="CE354" s="9" t="n"/>
      <c r="CF354" s="9" t="n"/>
      <c r="CG354" s="9" t="n"/>
      <c r="CH354" s="9" t="n"/>
    </row>
    <row r="355">
      <c r="A355" s="8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8" t="n"/>
      <c r="L355" s="9" t="n"/>
      <c r="M355" s="8" t="n"/>
      <c r="N355" s="8" t="n"/>
      <c r="O355" s="8" t="n"/>
      <c r="P355" s="8" t="n"/>
      <c r="Q355" s="8" t="n"/>
      <c r="R355" s="9" t="n"/>
      <c r="S355" s="9" t="n"/>
      <c r="T355" s="10" t="n"/>
      <c r="U355" s="10" t="n"/>
      <c r="V355" s="9" t="n"/>
      <c r="W355" s="9" t="n"/>
      <c r="X355" s="9" t="n"/>
      <c r="Y355" s="9" t="n"/>
      <c r="Z355" s="11" t="n"/>
      <c r="AA355" s="11" t="n"/>
      <c r="AB355" s="11" t="n"/>
      <c r="AC355" s="11" t="n"/>
      <c r="AD355" s="11" t="n"/>
      <c r="AE355" s="11" t="n"/>
      <c r="AF355" s="9" t="n"/>
      <c r="AG355" s="9" t="n"/>
      <c r="AH355" s="9" t="n"/>
      <c r="AI355" s="9" t="n"/>
      <c r="AJ355" s="8" t="n"/>
      <c r="AK355" s="9" t="n"/>
      <c r="AL355" s="9" t="n"/>
      <c r="AM355" s="9" t="n"/>
      <c r="AN355" s="9" t="n"/>
      <c r="AO355" s="9" t="n"/>
      <c r="AP355" s="9" t="n"/>
      <c r="AQ355" s="9" t="n"/>
      <c r="AR355" s="9" t="n"/>
      <c r="AS355" s="9" t="n"/>
      <c r="AT355" s="8" t="n"/>
      <c r="AU355" s="8" t="n"/>
      <c r="AV355" s="9" t="n"/>
      <c r="AW355" s="8" t="n"/>
      <c r="AX355" s="9" t="n"/>
      <c r="AY355" s="9" t="n"/>
      <c r="AZ355" s="9" t="n"/>
      <c r="BA355" s="9" t="n"/>
      <c r="BB355" s="9" t="n"/>
      <c r="BC355" s="9" t="n"/>
      <c r="BD355" s="9" t="n"/>
      <c r="BE355" s="9" t="n"/>
      <c r="BF355" s="9" t="n"/>
      <c r="BG355" s="9" t="n"/>
      <c r="BH355" s="9" t="n"/>
      <c r="BI355" s="9" t="n"/>
      <c r="BJ355" s="9" t="n"/>
      <c r="BK355" s="9" t="n"/>
      <c r="BL355" s="9" t="n"/>
      <c r="BM355" s="9" t="n"/>
      <c r="BN355" s="9" t="n"/>
      <c r="BO355" s="8" t="n"/>
      <c r="BP355" s="9" t="n"/>
      <c r="BQ355" s="9" t="n"/>
      <c r="BR355" s="13">
        <f>IF(COUNTIF(AI355:BM355,"N")+COUNTBLANK(AI355:BM355)=0,"Y","N")</f>
        <v/>
      </c>
      <c r="BS355" s="13">
        <f>IF(AND(BR355="Y",OR(L355="Submitted",L355="Under Review")),"Y",IF(L355="Closed","Y","N"))</f>
        <v/>
      </c>
      <c r="BT355" s="10" t="n"/>
      <c r="BU355" s="13">
        <f>Rule_Flags!Q354</f>
        <v/>
      </c>
      <c r="BV355" s="13">
        <f>Rule_Flags!P354</f>
        <v/>
      </c>
      <c r="BW355" s="13">
        <f>IF(Rule_Flags!E354=1,"SITE_CONTROL",IF(Rule_Flags!F354=1,"APPROVALS",IF(Rule_Flags!G354=1,"REPORTS",IF(Rule_Flags!H354=1,"DEFICIENCY",IF(Rule_Flags!I354=1,"UNDERWRITING",IF(Rule_Flags!J354=1,"COMPLIANCE",""))))))</f>
        <v/>
      </c>
      <c r="BX355" s="13">
        <f>IF(BW355="SITE_CONTROL","Site control missing or invalid",IF(BW355="APPROVALS","Required approvals or resolutions incomplete",IF(BW355="REPORTS","Required third-party reports incomplete",IF(BW355="DEFICIENCY","Unresolved deficiency or material deficiency",IF(BW355="UNDERWRITING","Underwriting / feasibility not passed",IF(BW355="COMPLIANCE","Deconcentration, one-mile, LURA, or Chapter 12 issue","Ready under current engine rules"))))))</f>
        <v/>
      </c>
      <c r="BY355" s="13">
        <f>IF(BV355="Determination Notice","Streamlined + DN-ready assumptions satisfied",IF(BV355="Board","Board-required or board-ready assumptions satisfied",""))</f>
        <v/>
      </c>
      <c r="BZ355" s="13">
        <f>IF(AND(BP355="Y",BQ355&lt;&gt;"Y"),"Carryforward project retains queue priority",IF(BQ355="Y","New project enters behind carryforward projects",""))</f>
        <v/>
      </c>
      <c r="CA355" s="13">
        <f>_xludf.RANK.EQ(Rule_Flags!O354,Rule_Flags!$O$3:$O$402,0)</f>
        <v/>
      </c>
      <c r="CB355" s="13">
        <f>IF(OR(BU355="Determination Notice Issued",BU355="Board",BU355="Closed"),"Y","N")</f>
        <v/>
      </c>
      <c r="CC355" s="9" t="n"/>
      <c r="CD355" s="9" t="n"/>
      <c r="CE355" s="9" t="n"/>
      <c r="CF355" s="9" t="n"/>
      <c r="CG355" s="9" t="n"/>
      <c r="CH355" s="9" t="n"/>
    </row>
    <row r="356">
      <c r="A356" s="8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8" t="n"/>
      <c r="L356" s="9" t="n"/>
      <c r="M356" s="8" t="n"/>
      <c r="N356" s="8" t="n"/>
      <c r="O356" s="8" t="n"/>
      <c r="P356" s="8" t="n"/>
      <c r="Q356" s="8" t="n"/>
      <c r="R356" s="9" t="n"/>
      <c r="S356" s="9" t="n"/>
      <c r="T356" s="10" t="n"/>
      <c r="U356" s="10" t="n"/>
      <c r="V356" s="9" t="n"/>
      <c r="W356" s="9" t="n"/>
      <c r="X356" s="9" t="n"/>
      <c r="Y356" s="9" t="n"/>
      <c r="Z356" s="11" t="n"/>
      <c r="AA356" s="11" t="n"/>
      <c r="AB356" s="11" t="n"/>
      <c r="AC356" s="11" t="n"/>
      <c r="AD356" s="11" t="n"/>
      <c r="AE356" s="11" t="n"/>
      <c r="AF356" s="9" t="n"/>
      <c r="AG356" s="9" t="n"/>
      <c r="AH356" s="9" t="n"/>
      <c r="AI356" s="9" t="n"/>
      <c r="AJ356" s="8" t="n"/>
      <c r="AK356" s="9" t="n"/>
      <c r="AL356" s="9" t="n"/>
      <c r="AM356" s="9" t="n"/>
      <c r="AN356" s="9" t="n"/>
      <c r="AO356" s="9" t="n"/>
      <c r="AP356" s="9" t="n"/>
      <c r="AQ356" s="9" t="n"/>
      <c r="AR356" s="9" t="n"/>
      <c r="AS356" s="9" t="n"/>
      <c r="AT356" s="8" t="n"/>
      <c r="AU356" s="8" t="n"/>
      <c r="AV356" s="9" t="n"/>
      <c r="AW356" s="8" t="n"/>
      <c r="AX356" s="9" t="n"/>
      <c r="AY356" s="9" t="n"/>
      <c r="AZ356" s="9" t="n"/>
      <c r="BA356" s="9" t="n"/>
      <c r="BB356" s="9" t="n"/>
      <c r="BC356" s="9" t="n"/>
      <c r="BD356" s="9" t="n"/>
      <c r="BE356" s="9" t="n"/>
      <c r="BF356" s="9" t="n"/>
      <c r="BG356" s="9" t="n"/>
      <c r="BH356" s="9" t="n"/>
      <c r="BI356" s="9" t="n"/>
      <c r="BJ356" s="9" t="n"/>
      <c r="BK356" s="9" t="n"/>
      <c r="BL356" s="9" t="n"/>
      <c r="BM356" s="9" t="n"/>
      <c r="BN356" s="9" t="n"/>
      <c r="BO356" s="8" t="n"/>
      <c r="BP356" s="9" t="n"/>
      <c r="BQ356" s="9" t="n"/>
      <c r="BR356" s="13">
        <f>IF(COUNTIF(AI356:BM356,"N")+COUNTBLANK(AI356:BM356)=0,"Y","N")</f>
        <v/>
      </c>
      <c r="BS356" s="13">
        <f>IF(AND(BR356="Y",OR(L356="Submitted",L356="Under Review")),"Y",IF(L356="Closed","Y","N"))</f>
        <v/>
      </c>
      <c r="BT356" s="10" t="n"/>
      <c r="BU356" s="13">
        <f>Rule_Flags!Q355</f>
        <v/>
      </c>
      <c r="BV356" s="13">
        <f>Rule_Flags!P355</f>
        <v/>
      </c>
      <c r="BW356" s="13">
        <f>IF(Rule_Flags!E355=1,"SITE_CONTROL",IF(Rule_Flags!F355=1,"APPROVALS",IF(Rule_Flags!G355=1,"REPORTS",IF(Rule_Flags!H355=1,"DEFICIENCY",IF(Rule_Flags!I355=1,"UNDERWRITING",IF(Rule_Flags!J355=1,"COMPLIANCE",""))))))</f>
        <v/>
      </c>
      <c r="BX356" s="13">
        <f>IF(BW356="SITE_CONTROL","Site control missing or invalid",IF(BW356="APPROVALS","Required approvals or resolutions incomplete",IF(BW356="REPORTS","Required third-party reports incomplete",IF(BW356="DEFICIENCY","Unresolved deficiency or material deficiency",IF(BW356="UNDERWRITING","Underwriting / feasibility not passed",IF(BW356="COMPLIANCE","Deconcentration, one-mile, LURA, or Chapter 12 issue","Ready under current engine rules"))))))</f>
        <v/>
      </c>
      <c r="BY356" s="13">
        <f>IF(BV356="Determination Notice","Streamlined + DN-ready assumptions satisfied",IF(BV356="Board","Board-required or board-ready assumptions satisfied",""))</f>
        <v/>
      </c>
      <c r="BZ356" s="13">
        <f>IF(AND(BP356="Y",BQ356&lt;&gt;"Y"),"Carryforward project retains queue priority",IF(BQ356="Y","New project enters behind carryforward projects",""))</f>
        <v/>
      </c>
      <c r="CA356" s="13">
        <f>_xludf.RANK.EQ(Rule_Flags!O355,Rule_Flags!$O$3:$O$402,0)</f>
        <v/>
      </c>
      <c r="CB356" s="13">
        <f>IF(OR(BU356="Determination Notice Issued",BU356="Board",BU356="Closed"),"Y","N")</f>
        <v/>
      </c>
      <c r="CC356" s="9" t="n"/>
      <c r="CD356" s="9" t="n"/>
      <c r="CE356" s="9" t="n"/>
      <c r="CF356" s="9" t="n"/>
      <c r="CG356" s="9" t="n"/>
      <c r="CH356" s="9" t="n"/>
    </row>
    <row r="357">
      <c r="A357" s="8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8" t="n"/>
      <c r="L357" s="9" t="n"/>
      <c r="M357" s="8" t="n"/>
      <c r="N357" s="8" t="n"/>
      <c r="O357" s="8" t="n"/>
      <c r="P357" s="8" t="n"/>
      <c r="Q357" s="8" t="n"/>
      <c r="R357" s="9" t="n"/>
      <c r="S357" s="9" t="n"/>
      <c r="T357" s="10" t="n"/>
      <c r="U357" s="10" t="n"/>
      <c r="V357" s="9" t="n"/>
      <c r="W357" s="9" t="n"/>
      <c r="X357" s="9" t="n"/>
      <c r="Y357" s="9" t="n"/>
      <c r="Z357" s="11" t="n"/>
      <c r="AA357" s="11" t="n"/>
      <c r="AB357" s="11" t="n"/>
      <c r="AC357" s="11" t="n"/>
      <c r="AD357" s="11" t="n"/>
      <c r="AE357" s="11" t="n"/>
      <c r="AF357" s="9" t="n"/>
      <c r="AG357" s="9" t="n"/>
      <c r="AH357" s="9" t="n"/>
      <c r="AI357" s="9" t="n"/>
      <c r="AJ357" s="8" t="n"/>
      <c r="AK357" s="9" t="n"/>
      <c r="AL357" s="9" t="n"/>
      <c r="AM357" s="9" t="n"/>
      <c r="AN357" s="9" t="n"/>
      <c r="AO357" s="9" t="n"/>
      <c r="AP357" s="9" t="n"/>
      <c r="AQ357" s="9" t="n"/>
      <c r="AR357" s="9" t="n"/>
      <c r="AS357" s="9" t="n"/>
      <c r="AT357" s="8" t="n"/>
      <c r="AU357" s="8" t="n"/>
      <c r="AV357" s="9" t="n"/>
      <c r="AW357" s="8" t="n"/>
      <c r="AX357" s="9" t="n"/>
      <c r="AY357" s="9" t="n"/>
      <c r="AZ357" s="9" t="n"/>
      <c r="BA357" s="9" t="n"/>
      <c r="BB357" s="9" t="n"/>
      <c r="BC357" s="9" t="n"/>
      <c r="BD357" s="9" t="n"/>
      <c r="BE357" s="9" t="n"/>
      <c r="BF357" s="9" t="n"/>
      <c r="BG357" s="9" t="n"/>
      <c r="BH357" s="9" t="n"/>
      <c r="BI357" s="9" t="n"/>
      <c r="BJ357" s="9" t="n"/>
      <c r="BK357" s="9" t="n"/>
      <c r="BL357" s="9" t="n"/>
      <c r="BM357" s="9" t="n"/>
      <c r="BN357" s="9" t="n"/>
      <c r="BO357" s="8" t="n"/>
      <c r="BP357" s="9" t="n"/>
      <c r="BQ357" s="9" t="n"/>
      <c r="BR357" s="13">
        <f>IF(COUNTIF(AI357:BM357,"N")+COUNTBLANK(AI357:BM357)=0,"Y","N")</f>
        <v/>
      </c>
      <c r="BS357" s="13">
        <f>IF(AND(BR357="Y",OR(L357="Submitted",L357="Under Review")),"Y",IF(L357="Closed","Y","N"))</f>
        <v/>
      </c>
      <c r="BT357" s="10" t="n"/>
      <c r="BU357" s="13">
        <f>Rule_Flags!Q356</f>
        <v/>
      </c>
      <c r="BV357" s="13">
        <f>Rule_Flags!P356</f>
        <v/>
      </c>
      <c r="BW357" s="13">
        <f>IF(Rule_Flags!E356=1,"SITE_CONTROL",IF(Rule_Flags!F356=1,"APPROVALS",IF(Rule_Flags!G356=1,"REPORTS",IF(Rule_Flags!H356=1,"DEFICIENCY",IF(Rule_Flags!I356=1,"UNDERWRITING",IF(Rule_Flags!J356=1,"COMPLIANCE",""))))))</f>
        <v/>
      </c>
      <c r="BX357" s="13">
        <f>IF(BW357="SITE_CONTROL","Site control missing or invalid",IF(BW357="APPROVALS","Required approvals or resolutions incomplete",IF(BW357="REPORTS","Required third-party reports incomplete",IF(BW357="DEFICIENCY","Unresolved deficiency or material deficiency",IF(BW357="UNDERWRITING","Underwriting / feasibility not passed",IF(BW357="COMPLIANCE","Deconcentration, one-mile, LURA, or Chapter 12 issue","Ready under current engine rules"))))))</f>
        <v/>
      </c>
      <c r="BY357" s="13">
        <f>IF(BV357="Determination Notice","Streamlined + DN-ready assumptions satisfied",IF(BV357="Board","Board-required or board-ready assumptions satisfied",""))</f>
        <v/>
      </c>
      <c r="BZ357" s="13">
        <f>IF(AND(BP357="Y",BQ357&lt;&gt;"Y"),"Carryforward project retains queue priority",IF(BQ357="Y","New project enters behind carryforward projects",""))</f>
        <v/>
      </c>
      <c r="CA357" s="13">
        <f>_xludf.RANK.EQ(Rule_Flags!O356,Rule_Flags!$O$3:$O$402,0)</f>
        <v/>
      </c>
      <c r="CB357" s="13">
        <f>IF(OR(BU357="Determination Notice Issued",BU357="Board",BU357="Closed"),"Y","N")</f>
        <v/>
      </c>
      <c r="CC357" s="9" t="n"/>
      <c r="CD357" s="9" t="n"/>
      <c r="CE357" s="9" t="n"/>
      <c r="CF357" s="9" t="n"/>
      <c r="CG357" s="9" t="n"/>
      <c r="CH357" s="9" t="n"/>
    </row>
    <row r="358">
      <c r="A358" s="8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8" t="n"/>
      <c r="L358" s="9" t="n"/>
      <c r="M358" s="8" t="n"/>
      <c r="N358" s="8" t="n"/>
      <c r="O358" s="8" t="n"/>
      <c r="P358" s="8" t="n"/>
      <c r="Q358" s="8" t="n"/>
      <c r="R358" s="9" t="n"/>
      <c r="S358" s="9" t="n"/>
      <c r="T358" s="10" t="n"/>
      <c r="U358" s="10" t="n"/>
      <c r="V358" s="9" t="n"/>
      <c r="W358" s="9" t="n"/>
      <c r="X358" s="9" t="n"/>
      <c r="Y358" s="9" t="n"/>
      <c r="Z358" s="11" t="n"/>
      <c r="AA358" s="11" t="n"/>
      <c r="AB358" s="11" t="n"/>
      <c r="AC358" s="11" t="n"/>
      <c r="AD358" s="11" t="n"/>
      <c r="AE358" s="11" t="n"/>
      <c r="AF358" s="9" t="n"/>
      <c r="AG358" s="9" t="n"/>
      <c r="AH358" s="9" t="n"/>
      <c r="AI358" s="9" t="n"/>
      <c r="AJ358" s="8" t="n"/>
      <c r="AK358" s="9" t="n"/>
      <c r="AL358" s="9" t="n"/>
      <c r="AM358" s="9" t="n"/>
      <c r="AN358" s="9" t="n"/>
      <c r="AO358" s="9" t="n"/>
      <c r="AP358" s="9" t="n"/>
      <c r="AQ358" s="9" t="n"/>
      <c r="AR358" s="9" t="n"/>
      <c r="AS358" s="9" t="n"/>
      <c r="AT358" s="8" t="n"/>
      <c r="AU358" s="8" t="n"/>
      <c r="AV358" s="9" t="n"/>
      <c r="AW358" s="8" t="n"/>
      <c r="AX358" s="9" t="n"/>
      <c r="AY358" s="9" t="n"/>
      <c r="AZ358" s="9" t="n"/>
      <c r="BA358" s="9" t="n"/>
      <c r="BB358" s="9" t="n"/>
      <c r="BC358" s="9" t="n"/>
      <c r="BD358" s="9" t="n"/>
      <c r="BE358" s="9" t="n"/>
      <c r="BF358" s="9" t="n"/>
      <c r="BG358" s="9" t="n"/>
      <c r="BH358" s="9" t="n"/>
      <c r="BI358" s="9" t="n"/>
      <c r="BJ358" s="9" t="n"/>
      <c r="BK358" s="9" t="n"/>
      <c r="BL358" s="9" t="n"/>
      <c r="BM358" s="9" t="n"/>
      <c r="BN358" s="9" t="n"/>
      <c r="BO358" s="8" t="n"/>
      <c r="BP358" s="9" t="n"/>
      <c r="BQ358" s="9" t="n"/>
      <c r="BR358" s="13">
        <f>IF(COUNTIF(AI358:BM358,"N")+COUNTBLANK(AI358:BM358)=0,"Y","N")</f>
        <v/>
      </c>
      <c r="BS358" s="13">
        <f>IF(AND(BR358="Y",OR(L358="Submitted",L358="Under Review")),"Y",IF(L358="Closed","Y","N"))</f>
        <v/>
      </c>
      <c r="BT358" s="10" t="n"/>
      <c r="BU358" s="13">
        <f>Rule_Flags!Q357</f>
        <v/>
      </c>
      <c r="BV358" s="13">
        <f>Rule_Flags!P357</f>
        <v/>
      </c>
      <c r="BW358" s="13">
        <f>IF(Rule_Flags!E357=1,"SITE_CONTROL",IF(Rule_Flags!F357=1,"APPROVALS",IF(Rule_Flags!G357=1,"REPORTS",IF(Rule_Flags!H357=1,"DEFICIENCY",IF(Rule_Flags!I357=1,"UNDERWRITING",IF(Rule_Flags!J357=1,"COMPLIANCE",""))))))</f>
        <v/>
      </c>
      <c r="BX358" s="13">
        <f>IF(BW358="SITE_CONTROL","Site control missing or invalid",IF(BW358="APPROVALS","Required approvals or resolutions incomplete",IF(BW358="REPORTS","Required third-party reports incomplete",IF(BW358="DEFICIENCY","Unresolved deficiency or material deficiency",IF(BW358="UNDERWRITING","Underwriting / feasibility not passed",IF(BW358="COMPLIANCE","Deconcentration, one-mile, LURA, or Chapter 12 issue","Ready under current engine rules"))))))</f>
        <v/>
      </c>
      <c r="BY358" s="13">
        <f>IF(BV358="Determination Notice","Streamlined + DN-ready assumptions satisfied",IF(BV358="Board","Board-required or board-ready assumptions satisfied",""))</f>
        <v/>
      </c>
      <c r="BZ358" s="13">
        <f>IF(AND(BP358="Y",BQ358&lt;&gt;"Y"),"Carryforward project retains queue priority",IF(BQ358="Y","New project enters behind carryforward projects",""))</f>
        <v/>
      </c>
      <c r="CA358" s="13">
        <f>_xludf.RANK.EQ(Rule_Flags!O357,Rule_Flags!$O$3:$O$402,0)</f>
        <v/>
      </c>
      <c r="CB358" s="13">
        <f>IF(OR(BU358="Determination Notice Issued",BU358="Board",BU358="Closed"),"Y","N")</f>
        <v/>
      </c>
      <c r="CC358" s="9" t="n"/>
      <c r="CD358" s="9" t="n"/>
      <c r="CE358" s="9" t="n"/>
      <c r="CF358" s="9" t="n"/>
      <c r="CG358" s="9" t="n"/>
      <c r="CH358" s="9" t="n"/>
    </row>
    <row r="359">
      <c r="A359" s="8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8" t="n"/>
      <c r="L359" s="9" t="n"/>
      <c r="M359" s="8" t="n"/>
      <c r="N359" s="8" t="n"/>
      <c r="O359" s="8" t="n"/>
      <c r="P359" s="8" t="n"/>
      <c r="Q359" s="8" t="n"/>
      <c r="R359" s="9" t="n"/>
      <c r="S359" s="9" t="n"/>
      <c r="T359" s="10" t="n"/>
      <c r="U359" s="10" t="n"/>
      <c r="V359" s="9" t="n"/>
      <c r="W359" s="9" t="n"/>
      <c r="X359" s="9" t="n"/>
      <c r="Y359" s="9" t="n"/>
      <c r="Z359" s="11" t="n"/>
      <c r="AA359" s="11" t="n"/>
      <c r="AB359" s="11" t="n"/>
      <c r="AC359" s="11" t="n"/>
      <c r="AD359" s="11" t="n"/>
      <c r="AE359" s="11" t="n"/>
      <c r="AF359" s="9" t="n"/>
      <c r="AG359" s="9" t="n"/>
      <c r="AH359" s="9" t="n"/>
      <c r="AI359" s="9" t="n"/>
      <c r="AJ359" s="8" t="n"/>
      <c r="AK359" s="9" t="n"/>
      <c r="AL359" s="9" t="n"/>
      <c r="AM359" s="9" t="n"/>
      <c r="AN359" s="9" t="n"/>
      <c r="AO359" s="9" t="n"/>
      <c r="AP359" s="9" t="n"/>
      <c r="AQ359" s="9" t="n"/>
      <c r="AR359" s="9" t="n"/>
      <c r="AS359" s="9" t="n"/>
      <c r="AT359" s="8" t="n"/>
      <c r="AU359" s="8" t="n"/>
      <c r="AV359" s="9" t="n"/>
      <c r="AW359" s="8" t="n"/>
      <c r="AX359" s="9" t="n"/>
      <c r="AY359" s="9" t="n"/>
      <c r="AZ359" s="9" t="n"/>
      <c r="BA359" s="9" t="n"/>
      <c r="BB359" s="9" t="n"/>
      <c r="BC359" s="9" t="n"/>
      <c r="BD359" s="9" t="n"/>
      <c r="BE359" s="9" t="n"/>
      <c r="BF359" s="9" t="n"/>
      <c r="BG359" s="9" t="n"/>
      <c r="BH359" s="9" t="n"/>
      <c r="BI359" s="9" t="n"/>
      <c r="BJ359" s="9" t="n"/>
      <c r="BK359" s="9" t="n"/>
      <c r="BL359" s="9" t="n"/>
      <c r="BM359" s="9" t="n"/>
      <c r="BN359" s="9" t="n"/>
      <c r="BO359" s="8" t="n"/>
      <c r="BP359" s="9" t="n"/>
      <c r="BQ359" s="9" t="n"/>
      <c r="BR359" s="13">
        <f>IF(COUNTIF(AI359:BM359,"N")+COUNTBLANK(AI359:BM359)=0,"Y","N")</f>
        <v/>
      </c>
      <c r="BS359" s="13">
        <f>IF(AND(BR359="Y",OR(L359="Submitted",L359="Under Review")),"Y",IF(L359="Closed","Y","N"))</f>
        <v/>
      </c>
      <c r="BT359" s="10" t="n"/>
      <c r="BU359" s="13">
        <f>Rule_Flags!Q358</f>
        <v/>
      </c>
      <c r="BV359" s="13">
        <f>Rule_Flags!P358</f>
        <v/>
      </c>
      <c r="BW359" s="13">
        <f>IF(Rule_Flags!E358=1,"SITE_CONTROL",IF(Rule_Flags!F358=1,"APPROVALS",IF(Rule_Flags!G358=1,"REPORTS",IF(Rule_Flags!H358=1,"DEFICIENCY",IF(Rule_Flags!I358=1,"UNDERWRITING",IF(Rule_Flags!J358=1,"COMPLIANCE",""))))))</f>
        <v/>
      </c>
      <c r="BX359" s="13">
        <f>IF(BW359="SITE_CONTROL","Site control missing or invalid",IF(BW359="APPROVALS","Required approvals or resolutions incomplete",IF(BW359="REPORTS","Required third-party reports incomplete",IF(BW359="DEFICIENCY","Unresolved deficiency or material deficiency",IF(BW359="UNDERWRITING","Underwriting / feasibility not passed",IF(BW359="COMPLIANCE","Deconcentration, one-mile, LURA, or Chapter 12 issue","Ready under current engine rules"))))))</f>
        <v/>
      </c>
      <c r="BY359" s="13">
        <f>IF(BV359="Determination Notice","Streamlined + DN-ready assumptions satisfied",IF(BV359="Board","Board-required or board-ready assumptions satisfied",""))</f>
        <v/>
      </c>
      <c r="BZ359" s="13">
        <f>IF(AND(BP359="Y",BQ359&lt;&gt;"Y"),"Carryforward project retains queue priority",IF(BQ359="Y","New project enters behind carryforward projects",""))</f>
        <v/>
      </c>
      <c r="CA359" s="13">
        <f>_xludf.RANK.EQ(Rule_Flags!O358,Rule_Flags!$O$3:$O$402,0)</f>
        <v/>
      </c>
      <c r="CB359" s="13">
        <f>IF(OR(BU359="Determination Notice Issued",BU359="Board",BU359="Closed"),"Y","N")</f>
        <v/>
      </c>
      <c r="CC359" s="9" t="n"/>
      <c r="CD359" s="9" t="n"/>
      <c r="CE359" s="9" t="n"/>
      <c r="CF359" s="9" t="n"/>
      <c r="CG359" s="9" t="n"/>
      <c r="CH359" s="9" t="n"/>
    </row>
    <row r="360">
      <c r="A360" s="8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8" t="n"/>
      <c r="L360" s="9" t="n"/>
      <c r="M360" s="8" t="n"/>
      <c r="N360" s="8" t="n"/>
      <c r="O360" s="8" t="n"/>
      <c r="P360" s="8" t="n"/>
      <c r="Q360" s="8" t="n"/>
      <c r="R360" s="9" t="n"/>
      <c r="S360" s="9" t="n"/>
      <c r="T360" s="10" t="n"/>
      <c r="U360" s="10" t="n"/>
      <c r="V360" s="9" t="n"/>
      <c r="W360" s="9" t="n"/>
      <c r="X360" s="9" t="n"/>
      <c r="Y360" s="9" t="n"/>
      <c r="Z360" s="11" t="n"/>
      <c r="AA360" s="11" t="n"/>
      <c r="AB360" s="11" t="n"/>
      <c r="AC360" s="11" t="n"/>
      <c r="AD360" s="11" t="n"/>
      <c r="AE360" s="11" t="n"/>
      <c r="AF360" s="9" t="n"/>
      <c r="AG360" s="9" t="n"/>
      <c r="AH360" s="9" t="n"/>
      <c r="AI360" s="9" t="n"/>
      <c r="AJ360" s="8" t="n"/>
      <c r="AK360" s="9" t="n"/>
      <c r="AL360" s="9" t="n"/>
      <c r="AM360" s="9" t="n"/>
      <c r="AN360" s="9" t="n"/>
      <c r="AO360" s="9" t="n"/>
      <c r="AP360" s="9" t="n"/>
      <c r="AQ360" s="9" t="n"/>
      <c r="AR360" s="9" t="n"/>
      <c r="AS360" s="9" t="n"/>
      <c r="AT360" s="8" t="n"/>
      <c r="AU360" s="8" t="n"/>
      <c r="AV360" s="9" t="n"/>
      <c r="AW360" s="8" t="n"/>
      <c r="AX360" s="9" t="n"/>
      <c r="AY360" s="9" t="n"/>
      <c r="AZ360" s="9" t="n"/>
      <c r="BA360" s="9" t="n"/>
      <c r="BB360" s="9" t="n"/>
      <c r="BC360" s="9" t="n"/>
      <c r="BD360" s="9" t="n"/>
      <c r="BE360" s="9" t="n"/>
      <c r="BF360" s="9" t="n"/>
      <c r="BG360" s="9" t="n"/>
      <c r="BH360" s="9" t="n"/>
      <c r="BI360" s="9" t="n"/>
      <c r="BJ360" s="9" t="n"/>
      <c r="BK360" s="9" t="n"/>
      <c r="BL360" s="9" t="n"/>
      <c r="BM360" s="9" t="n"/>
      <c r="BN360" s="9" t="n"/>
      <c r="BO360" s="8" t="n"/>
      <c r="BP360" s="9" t="n"/>
      <c r="BQ360" s="9" t="n"/>
      <c r="BR360" s="13">
        <f>IF(COUNTIF(AI360:BM360,"N")+COUNTBLANK(AI360:BM360)=0,"Y","N")</f>
        <v/>
      </c>
      <c r="BS360" s="13">
        <f>IF(AND(BR360="Y",OR(L360="Submitted",L360="Under Review")),"Y",IF(L360="Closed","Y","N"))</f>
        <v/>
      </c>
      <c r="BT360" s="10" t="n"/>
      <c r="BU360" s="13">
        <f>Rule_Flags!Q359</f>
        <v/>
      </c>
      <c r="BV360" s="13">
        <f>Rule_Flags!P359</f>
        <v/>
      </c>
      <c r="BW360" s="13">
        <f>IF(Rule_Flags!E359=1,"SITE_CONTROL",IF(Rule_Flags!F359=1,"APPROVALS",IF(Rule_Flags!G359=1,"REPORTS",IF(Rule_Flags!H359=1,"DEFICIENCY",IF(Rule_Flags!I359=1,"UNDERWRITING",IF(Rule_Flags!J359=1,"COMPLIANCE",""))))))</f>
        <v/>
      </c>
      <c r="BX360" s="13">
        <f>IF(BW360="SITE_CONTROL","Site control missing or invalid",IF(BW360="APPROVALS","Required approvals or resolutions incomplete",IF(BW360="REPORTS","Required third-party reports incomplete",IF(BW360="DEFICIENCY","Unresolved deficiency or material deficiency",IF(BW360="UNDERWRITING","Underwriting / feasibility not passed",IF(BW360="COMPLIANCE","Deconcentration, one-mile, LURA, or Chapter 12 issue","Ready under current engine rules"))))))</f>
        <v/>
      </c>
      <c r="BY360" s="13">
        <f>IF(BV360="Determination Notice","Streamlined + DN-ready assumptions satisfied",IF(BV360="Board","Board-required or board-ready assumptions satisfied",""))</f>
        <v/>
      </c>
      <c r="BZ360" s="13">
        <f>IF(AND(BP360="Y",BQ360&lt;&gt;"Y"),"Carryforward project retains queue priority",IF(BQ360="Y","New project enters behind carryforward projects",""))</f>
        <v/>
      </c>
      <c r="CA360" s="13">
        <f>_xludf.RANK.EQ(Rule_Flags!O359,Rule_Flags!$O$3:$O$402,0)</f>
        <v/>
      </c>
      <c r="CB360" s="13">
        <f>IF(OR(BU360="Determination Notice Issued",BU360="Board",BU360="Closed"),"Y","N")</f>
        <v/>
      </c>
      <c r="CC360" s="9" t="n"/>
      <c r="CD360" s="9" t="n"/>
      <c r="CE360" s="9" t="n"/>
      <c r="CF360" s="9" t="n"/>
      <c r="CG360" s="9" t="n"/>
      <c r="CH360" s="9" t="n"/>
    </row>
    <row r="361">
      <c r="A361" s="8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8" t="n"/>
      <c r="L361" s="9" t="n"/>
      <c r="M361" s="8" t="n"/>
      <c r="N361" s="8" t="n"/>
      <c r="O361" s="8" t="n"/>
      <c r="P361" s="8" t="n"/>
      <c r="Q361" s="8" t="n"/>
      <c r="R361" s="9" t="n"/>
      <c r="S361" s="9" t="n"/>
      <c r="T361" s="10" t="n"/>
      <c r="U361" s="10" t="n"/>
      <c r="V361" s="9" t="n"/>
      <c r="W361" s="9" t="n"/>
      <c r="X361" s="9" t="n"/>
      <c r="Y361" s="9" t="n"/>
      <c r="Z361" s="11" t="n"/>
      <c r="AA361" s="11" t="n"/>
      <c r="AB361" s="11" t="n"/>
      <c r="AC361" s="11" t="n"/>
      <c r="AD361" s="11" t="n"/>
      <c r="AE361" s="11" t="n"/>
      <c r="AF361" s="9" t="n"/>
      <c r="AG361" s="9" t="n"/>
      <c r="AH361" s="9" t="n"/>
      <c r="AI361" s="9" t="n"/>
      <c r="AJ361" s="8" t="n"/>
      <c r="AK361" s="9" t="n"/>
      <c r="AL361" s="9" t="n"/>
      <c r="AM361" s="9" t="n"/>
      <c r="AN361" s="9" t="n"/>
      <c r="AO361" s="9" t="n"/>
      <c r="AP361" s="9" t="n"/>
      <c r="AQ361" s="9" t="n"/>
      <c r="AR361" s="9" t="n"/>
      <c r="AS361" s="9" t="n"/>
      <c r="AT361" s="8" t="n"/>
      <c r="AU361" s="8" t="n"/>
      <c r="AV361" s="9" t="n"/>
      <c r="AW361" s="8" t="n"/>
      <c r="AX361" s="9" t="n"/>
      <c r="AY361" s="9" t="n"/>
      <c r="AZ361" s="9" t="n"/>
      <c r="BA361" s="9" t="n"/>
      <c r="BB361" s="9" t="n"/>
      <c r="BC361" s="9" t="n"/>
      <c r="BD361" s="9" t="n"/>
      <c r="BE361" s="9" t="n"/>
      <c r="BF361" s="9" t="n"/>
      <c r="BG361" s="9" t="n"/>
      <c r="BH361" s="9" t="n"/>
      <c r="BI361" s="9" t="n"/>
      <c r="BJ361" s="9" t="n"/>
      <c r="BK361" s="9" t="n"/>
      <c r="BL361" s="9" t="n"/>
      <c r="BM361" s="9" t="n"/>
      <c r="BN361" s="9" t="n"/>
      <c r="BO361" s="8" t="n"/>
      <c r="BP361" s="9" t="n"/>
      <c r="BQ361" s="9" t="n"/>
      <c r="BR361" s="13">
        <f>IF(COUNTIF(AI361:BM361,"N")+COUNTBLANK(AI361:BM361)=0,"Y","N")</f>
        <v/>
      </c>
      <c r="BS361" s="13">
        <f>IF(AND(BR361="Y",OR(L361="Submitted",L361="Under Review")),"Y",IF(L361="Closed","Y","N"))</f>
        <v/>
      </c>
      <c r="BT361" s="10" t="n"/>
      <c r="BU361" s="13">
        <f>Rule_Flags!Q360</f>
        <v/>
      </c>
      <c r="BV361" s="13">
        <f>Rule_Flags!P360</f>
        <v/>
      </c>
      <c r="BW361" s="13">
        <f>IF(Rule_Flags!E360=1,"SITE_CONTROL",IF(Rule_Flags!F360=1,"APPROVALS",IF(Rule_Flags!G360=1,"REPORTS",IF(Rule_Flags!H360=1,"DEFICIENCY",IF(Rule_Flags!I360=1,"UNDERWRITING",IF(Rule_Flags!J360=1,"COMPLIANCE",""))))))</f>
        <v/>
      </c>
      <c r="BX361" s="13">
        <f>IF(BW361="SITE_CONTROL","Site control missing or invalid",IF(BW361="APPROVALS","Required approvals or resolutions incomplete",IF(BW361="REPORTS","Required third-party reports incomplete",IF(BW361="DEFICIENCY","Unresolved deficiency or material deficiency",IF(BW361="UNDERWRITING","Underwriting / feasibility not passed",IF(BW361="COMPLIANCE","Deconcentration, one-mile, LURA, or Chapter 12 issue","Ready under current engine rules"))))))</f>
        <v/>
      </c>
      <c r="BY361" s="13">
        <f>IF(BV361="Determination Notice","Streamlined + DN-ready assumptions satisfied",IF(BV361="Board","Board-required or board-ready assumptions satisfied",""))</f>
        <v/>
      </c>
      <c r="BZ361" s="13">
        <f>IF(AND(BP361="Y",BQ361&lt;&gt;"Y"),"Carryforward project retains queue priority",IF(BQ361="Y","New project enters behind carryforward projects",""))</f>
        <v/>
      </c>
      <c r="CA361" s="13">
        <f>_xludf.RANK.EQ(Rule_Flags!O360,Rule_Flags!$O$3:$O$402,0)</f>
        <v/>
      </c>
      <c r="CB361" s="13">
        <f>IF(OR(BU361="Determination Notice Issued",BU361="Board",BU361="Closed"),"Y","N")</f>
        <v/>
      </c>
      <c r="CC361" s="9" t="n"/>
      <c r="CD361" s="9" t="n"/>
      <c r="CE361" s="9" t="n"/>
      <c r="CF361" s="9" t="n"/>
      <c r="CG361" s="9" t="n"/>
      <c r="CH361" s="9" t="n"/>
    </row>
    <row r="362">
      <c r="A362" s="8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8" t="n"/>
      <c r="L362" s="9" t="n"/>
      <c r="M362" s="8" t="n"/>
      <c r="N362" s="8" t="n"/>
      <c r="O362" s="8" t="n"/>
      <c r="P362" s="8" t="n"/>
      <c r="Q362" s="8" t="n"/>
      <c r="R362" s="9" t="n"/>
      <c r="S362" s="9" t="n"/>
      <c r="T362" s="10" t="n"/>
      <c r="U362" s="10" t="n"/>
      <c r="V362" s="9" t="n"/>
      <c r="W362" s="9" t="n"/>
      <c r="X362" s="9" t="n"/>
      <c r="Y362" s="9" t="n"/>
      <c r="Z362" s="11" t="n"/>
      <c r="AA362" s="11" t="n"/>
      <c r="AB362" s="11" t="n"/>
      <c r="AC362" s="11" t="n"/>
      <c r="AD362" s="11" t="n"/>
      <c r="AE362" s="11" t="n"/>
      <c r="AF362" s="9" t="n"/>
      <c r="AG362" s="9" t="n"/>
      <c r="AH362" s="9" t="n"/>
      <c r="AI362" s="9" t="n"/>
      <c r="AJ362" s="8" t="n"/>
      <c r="AK362" s="9" t="n"/>
      <c r="AL362" s="9" t="n"/>
      <c r="AM362" s="9" t="n"/>
      <c r="AN362" s="9" t="n"/>
      <c r="AO362" s="9" t="n"/>
      <c r="AP362" s="9" t="n"/>
      <c r="AQ362" s="9" t="n"/>
      <c r="AR362" s="9" t="n"/>
      <c r="AS362" s="9" t="n"/>
      <c r="AT362" s="8" t="n"/>
      <c r="AU362" s="8" t="n"/>
      <c r="AV362" s="9" t="n"/>
      <c r="AW362" s="8" t="n"/>
      <c r="AX362" s="9" t="n"/>
      <c r="AY362" s="9" t="n"/>
      <c r="AZ362" s="9" t="n"/>
      <c r="BA362" s="9" t="n"/>
      <c r="BB362" s="9" t="n"/>
      <c r="BC362" s="9" t="n"/>
      <c r="BD362" s="9" t="n"/>
      <c r="BE362" s="9" t="n"/>
      <c r="BF362" s="9" t="n"/>
      <c r="BG362" s="9" t="n"/>
      <c r="BH362" s="9" t="n"/>
      <c r="BI362" s="9" t="n"/>
      <c r="BJ362" s="9" t="n"/>
      <c r="BK362" s="9" t="n"/>
      <c r="BL362" s="9" t="n"/>
      <c r="BM362" s="9" t="n"/>
      <c r="BN362" s="9" t="n"/>
      <c r="BO362" s="8" t="n"/>
      <c r="BP362" s="9" t="n"/>
      <c r="BQ362" s="9" t="n"/>
      <c r="BR362" s="13">
        <f>IF(COUNTIF(AI362:BM362,"N")+COUNTBLANK(AI362:BM362)=0,"Y","N")</f>
        <v/>
      </c>
      <c r="BS362" s="13">
        <f>IF(AND(BR362="Y",OR(L362="Submitted",L362="Under Review")),"Y",IF(L362="Closed","Y","N"))</f>
        <v/>
      </c>
      <c r="BT362" s="10" t="n"/>
      <c r="BU362" s="13">
        <f>Rule_Flags!Q361</f>
        <v/>
      </c>
      <c r="BV362" s="13">
        <f>Rule_Flags!P361</f>
        <v/>
      </c>
      <c r="BW362" s="13">
        <f>IF(Rule_Flags!E361=1,"SITE_CONTROL",IF(Rule_Flags!F361=1,"APPROVALS",IF(Rule_Flags!G361=1,"REPORTS",IF(Rule_Flags!H361=1,"DEFICIENCY",IF(Rule_Flags!I361=1,"UNDERWRITING",IF(Rule_Flags!J361=1,"COMPLIANCE",""))))))</f>
        <v/>
      </c>
      <c r="BX362" s="13">
        <f>IF(BW362="SITE_CONTROL","Site control missing or invalid",IF(BW362="APPROVALS","Required approvals or resolutions incomplete",IF(BW362="REPORTS","Required third-party reports incomplete",IF(BW362="DEFICIENCY","Unresolved deficiency or material deficiency",IF(BW362="UNDERWRITING","Underwriting / feasibility not passed",IF(BW362="COMPLIANCE","Deconcentration, one-mile, LURA, or Chapter 12 issue","Ready under current engine rules"))))))</f>
        <v/>
      </c>
      <c r="BY362" s="13">
        <f>IF(BV362="Determination Notice","Streamlined + DN-ready assumptions satisfied",IF(BV362="Board","Board-required or board-ready assumptions satisfied",""))</f>
        <v/>
      </c>
      <c r="BZ362" s="13">
        <f>IF(AND(BP362="Y",BQ362&lt;&gt;"Y"),"Carryforward project retains queue priority",IF(BQ362="Y","New project enters behind carryforward projects",""))</f>
        <v/>
      </c>
      <c r="CA362" s="13">
        <f>_xludf.RANK.EQ(Rule_Flags!O361,Rule_Flags!$O$3:$O$402,0)</f>
        <v/>
      </c>
      <c r="CB362" s="13">
        <f>IF(OR(BU362="Determination Notice Issued",BU362="Board",BU362="Closed"),"Y","N")</f>
        <v/>
      </c>
      <c r="CC362" s="9" t="n"/>
      <c r="CD362" s="9" t="n"/>
      <c r="CE362" s="9" t="n"/>
      <c r="CF362" s="9" t="n"/>
      <c r="CG362" s="9" t="n"/>
      <c r="CH362" s="9" t="n"/>
    </row>
    <row r="363">
      <c r="A363" s="8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8" t="n"/>
      <c r="L363" s="9" t="n"/>
      <c r="M363" s="8" t="n"/>
      <c r="N363" s="8" t="n"/>
      <c r="O363" s="8" t="n"/>
      <c r="P363" s="8" t="n"/>
      <c r="Q363" s="8" t="n"/>
      <c r="R363" s="9" t="n"/>
      <c r="S363" s="9" t="n"/>
      <c r="T363" s="10" t="n"/>
      <c r="U363" s="10" t="n"/>
      <c r="V363" s="9" t="n"/>
      <c r="W363" s="9" t="n"/>
      <c r="X363" s="9" t="n"/>
      <c r="Y363" s="9" t="n"/>
      <c r="Z363" s="11" t="n"/>
      <c r="AA363" s="11" t="n"/>
      <c r="AB363" s="11" t="n"/>
      <c r="AC363" s="11" t="n"/>
      <c r="AD363" s="11" t="n"/>
      <c r="AE363" s="11" t="n"/>
      <c r="AF363" s="9" t="n"/>
      <c r="AG363" s="9" t="n"/>
      <c r="AH363" s="9" t="n"/>
      <c r="AI363" s="9" t="n"/>
      <c r="AJ363" s="8" t="n"/>
      <c r="AK363" s="9" t="n"/>
      <c r="AL363" s="9" t="n"/>
      <c r="AM363" s="9" t="n"/>
      <c r="AN363" s="9" t="n"/>
      <c r="AO363" s="9" t="n"/>
      <c r="AP363" s="9" t="n"/>
      <c r="AQ363" s="9" t="n"/>
      <c r="AR363" s="9" t="n"/>
      <c r="AS363" s="9" t="n"/>
      <c r="AT363" s="8" t="n"/>
      <c r="AU363" s="8" t="n"/>
      <c r="AV363" s="9" t="n"/>
      <c r="AW363" s="8" t="n"/>
      <c r="AX363" s="9" t="n"/>
      <c r="AY363" s="9" t="n"/>
      <c r="AZ363" s="9" t="n"/>
      <c r="BA363" s="9" t="n"/>
      <c r="BB363" s="9" t="n"/>
      <c r="BC363" s="9" t="n"/>
      <c r="BD363" s="9" t="n"/>
      <c r="BE363" s="9" t="n"/>
      <c r="BF363" s="9" t="n"/>
      <c r="BG363" s="9" t="n"/>
      <c r="BH363" s="9" t="n"/>
      <c r="BI363" s="9" t="n"/>
      <c r="BJ363" s="9" t="n"/>
      <c r="BK363" s="9" t="n"/>
      <c r="BL363" s="9" t="n"/>
      <c r="BM363" s="9" t="n"/>
      <c r="BN363" s="9" t="n"/>
      <c r="BO363" s="8" t="n"/>
      <c r="BP363" s="9" t="n"/>
      <c r="BQ363" s="9" t="n"/>
      <c r="BR363" s="13">
        <f>IF(COUNTIF(AI363:BM363,"N")+COUNTBLANK(AI363:BM363)=0,"Y","N")</f>
        <v/>
      </c>
      <c r="BS363" s="13">
        <f>IF(AND(BR363="Y",OR(L363="Submitted",L363="Under Review")),"Y",IF(L363="Closed","Y","N"))</f>
        <v/>
      </c>
      <c r="BT363" s="10" t="n"/>
      <c r="BU363" s="13">
        <f>Rule_Flags!Q362</f>
        <v/>
      </c>
      <c r="BV363" s="13">
        <f>Rule_Flags!P362</f>
        <v/>
      </c>
      <c r="BW363" s="13">
        <f>IF(Rule_Flags!E362=1,"SITE_CONTROL",IF(Rule_Flags!F362=1,"APPROVALS",IF(Rule_Flags!G362=1,"REPORTS",IF(Rule_Flags!H362=1,"DEFICIENCY",IF(Rule_Flags!I362=1,"UNDERWRITING",IF(Rule_Flags!J362=1,"COMPLIANCE",""))))))</f>
        <v/>
      </c>
      <c r="BX363" s="13">
        <f>IF(BW363="SITE_CONTROL","Site control missing or invalid",IF(BW363="APPROVALS","Required approvals or resolutions incomplete",IF(BW363="REPORTS","Required third-party reports incomplete",IF(BW363="DEFICIENCY","Unresolved deficiency or material deficiency",IF(BW363="UNDERWRITING","Underwriting / feasibility not passed",IF(BW363="COMPLIANCE","Deconcentration, one-mile, LURA, or Chapter 12 issue","Ready under current engine rules"))))))</f>
        <v/>
      </c>
      <c r="BY363" s="13">
        <f>IF(BV363="Determination Notice","Streamlined + DN-ready assumptions satisfied",IF(BV363="Board","Board-required or board-ready assumptions satisfied",""))</f>
        <v/>
      </c>
      <c r="BZ363" s="13">
        <f>IF(AND(BP363="Y",BQ363&lt;&gt;"Y"),"Carryforward project retains queue priority",IF(BQ363="Y","New project enters behind carryforward projects",""))</f>
        <v/>
      </c>
      <c r="CA363" s="13">
        <f>_xludf.RANK.EQ(Rule_Flags!O362,Rule_Flags!$O$3:$O$402,0)</f>
        <v/>
      </c>
      <c r="CB363" s="13">
        <f>IF(OR(BU363="Determination Notice Issued",BU363="Board",BU363="Closed"),"Y","N")</f>
        <v/>
      </c>
      <c r="CC363" s="9" t="n"/>
      <c r="CD363" s="9" t="n"/>
      <c r="CE363" s="9" t="n"/>
      <c r="CF363" s="9" t="n"/>
      <c r="CG363" s="9" t="n"/>
      <c r="CH363" s="9" t="n"/>
    </row>
    <row r="364">
      <c r="A364" s="8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8" t="n"/>
      <c r="L364" s="9" t="n"/>
      <c r="M364" s="8" t="n"/>
      <c r="N364" s="8" t="n"/>
      <c r="O364" s="8" t="n"/>
      <c r="P364" s="8" t="n"/>
      <c r="Q364" s="8" t="n"/>
      <c r="R364" s="9" t="n"/>
      <c r="S364" s="9" t="n"/>
      <c r="T364" s="10" t="n"/>
      <c r="U364" s="10" t="n"/>
      <c r="V364" s="9" t="n"/>
      <c r="W364" s="9" t="n"/>
      <c r="X364" s="9" t="n"/>
      <c r="Y364" s="9" t="n"/>
      <c r="Z364" s="11" t="n"/>
      <c r="AA364" s="11" t="n"/>
      <c r="AB364" s="11" t="n"/>
      <c r="AC364" s="11" t="n"/>
      <c r="AD364" s="11" t="n"/>
      <c r="AE364" s="11" t="n"/>
      <c r="AF364" s="9" t="n"/>
      <c r="AG364" s="9" t="n"/>
      <c r="AH364" s="9" t="n"/>
      <c r="AI364" s="9" t="n"/>
      <c r="AJ364" s="8" t="n"/>
      <c r="AK364" s="9" t="n"/>
      <c r="AL364" s="9" t="n"/>
      <c r="AM364" s="9" t="n"/>
      <c r="AN364" s="9" t="n"/>
      <c r="AO364" s="9" t="n"/>
      <c r="AP364" s="9" t="n"/>
      <c r="AQ364" s="9" t="n"/>
      <c r="AR364" s="9" t="n"/>
      <c r="AS364" s="9" t="n"/>
      <c r="AT364" s="8" t="n"/>
      <c r="AU364" s="8" t="n"/>
      <c r="AV364" s="9" t="n"/>
      <c r="AW364" s="8" t="n"/>
      <c r="AX364" s="9" t="n"/>
      <c r="AY364" s="9" t="n"/>
      <c r="AZ364" s="9" t="n"/>
      <c r="BA364" s="9" t="n"/>
      <c r="BB364" s="9" t="n"/>
      <c r="BC364" s="9" t="n"/>
      <c r="BD364" s="9" t="n"/>
      <c r="BE364" s="9" t="n"/>
      <c r="BF364" s="9" t="n"/>
      <c r="BG364" s="9" t="n"/>
      <c r="BH364" s="9" t="n"/>
      <c r="BI364" s="9" t="n"/>
      <c r="BJ364" s="9" t="n"/>
      <c r="BK364" s="9" t="n"/>
      <c r="BL364" s="9" t="n"/>
      <c r="BM364" s="9" t="n"/>
      <c r="BN364" s="9" t="n"/>
      <c r="BO364" s="8" t="n"/>
      <c r="BP364" s="9" t="n"/>
      <c r="BQ364" s="9" t="n"/>
      <c r="BR364" s="13">
        <f>IF(COUNTIF(AI364:BM364,"N")+COUNTBLANK(AI364:BM364)=0,"Y","N")</f>
        <v/>
      </c>
      <c r="BS364" s="13">
        <f>IF(AND(BR364="Y",OR(L364="Submitted",L364="Under Review")),"Y",IF(L364="Closed","Y","N"))</f>
        <v/>
      </c>
      <c r="BT364" s="10" t="n"/>
      <c r="BU364" s="13">
        <f>Rule_Flags!Q363</f>
        <v/>
      </c>
      <c r="BV364" s="13">
        <f>Rule_Flags!P363</f>
        <v/>
      </c>
      <c r="BW364" s="13">
        <f>IF(Rule_Flags!E363=1,"SITE_CONTROL",IF(Rule_Flags!F363=1,"APPROVALS",IF(Rule_Flags!G363=1,"REPORTS",IF(Rule_Flags!H363=1,"DEFICIENCY",IF(Rule_Flags!I363=1,"UNDERWRITING",IF(Rule_Flags!J363=1,"COMPLIANCE",""))))))</f>
        <v/>
      </c>
      <c r="BX364" s="13">
        <f>IF(BW364="SITE_CONTROL","Site control missing or invalid",IF(BW364="APPROVALS","Required approvals or resolutions incomplete",IF(BW364="REPORTS","Required third-party reports incomplete",IF(BW364="DEFICIENCY","Unresolved deficiency or material deficiency",IF(BW364="UNDERWRITING","Underwriting / feasibility not passed",IF(BW364="COMPLIANCE","Deconcentration, one-mile, LURA, or Chapter 12 issue","Ready under current engine rules"))))))</f>
        <v/>
      </c>
      <c r="BY364" s="13">
        <f>IF(BV364="Determination Notice","Streamlined + DN-ready assumptions satisfied",IF(BV364="Board","Board-required or board-ready assumptions satisfied",""))</f>
        <v/>
      </c>
      <c r="BZ364" s="13">
        <f>IF(AND(BP364="Y",BQ364&lt;&gt;"Y"),"Carryforward project retains queue priority",IF(BQ364="Y","New project enters behind carryforward projects",""))</f>
        <v/>
      </c>
      <c r="CA364" s="13">
        <f>_xludf.RANK.EQ(Rule_Flags!O363,Rule_Flags!$O$3:$O$402,0)</f>
        <v/>
      </c>
      <c r="CB364" s="13">
        <f>IF(OR(BU364="Determination Notice Issued",BU364="Board",BU364="Closed"),"Y","N")</f>
        <v/>
      </c>
      <c r="CC364" s="9" t="n"/>
      <c r="CD364" s="9" t="n"/>
      <c r="CE364" s="9" t="n"/>
      <c r="CF364" s="9" t="n"/>
      <c r="CG364" s="9" t="n"/>
      <c r="CH364" s="9" t="n"/>
    </row>
    <row r="365">
      <c r="A365" s="8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8" t="n"/>
      <c r="L365" s="9" t="n"/>
      <c r="M365" s="8" t="n"/>
      <c r="N365" s="8" t="n"/>
      <c r="O365" s="8" t="n"/>
      <c r="P365" s="8" t="n"/>
      <c r="Q365" s="8" t="n"/>
      <c r="R365" s="9" t="n"/>
      <c r="S365" s="9" t="n"/>
      <c r="T365" s="10" t="n"/>
      <c r="U365" s="10" t="n"/>
      <c r="V365" s="9" t="n"/>
      <c r="W365" s="9" t="n"/>
      <c r="X365" s="9" t="n"/>
      <c r="Y365" s="9" t="n"/>
      <c r="Z365" s="11" t="n"/>
      <c r="AA365" s="11" t="n"/>
      <c r="AB365" s="11" t="n"/>
      <c r="AC365" s="11" t="n"/>
      <c r="AD365" s="11" t="n"/>
      <c r="AE365" s="11" t="n"/>
      <c r="AF365" s="9" t="n"/>
      <c r="AG365" s="9" t="n"/>
      <c r="AH365" s="9" t="n"/>
      <c r="AI365" s="9" t="n"/>
      <c r="AJ365" s="8" t="n"/>
      <c r="AK365" s="9" t="n"/>
      <c r="AL365" s="9" t="n"/>
      <c r="AM365" s="9" t="n"/>
      <c r="AN365" s="9" t="n"/>
      <c r="AO365" s="9" t="n"/>
      <c r="AP365" s="9" t="n"/>
      <c r="AQ365" s="9" t="n"/>
      <c r="AR365" s="9" t="n"/>
      <c r="AS365" s="9" t="n"/>
      <c r="AT365" s="8" t="n"/>
      <c r="AU365" s="8" t="n"/>
      <c r="AV365" s="9" t="n"/>
      <c r="AW365" s="8" t="n"/>
      <c r="AX365" s="9" t="n"/>
      <c r="AY365" s="9" t="n"/>
      <c r="AZ365" s="9" t="n"/>
      <c r="BA365" s="9" t="n"/>
      <c r="BB365" s="9" t="n"/>
      <c r="BC365" s="9" t="n"/>
      <c r="BD365" s="9" t="n"/>
      <c r="BE365" s="9" t="n"/>
      <c r="BF365" s="9" t="n"/>
      <c r="BG365" s="9" t="n"/>
      <c r="BH365" s="9" t="n"/>
      <c r="BI365" s="9" t="n"/>
      <c r="BJ365" s="9" t="n"/>
      <c r="BK365" s="9" t="n"/>
      <c r="BL365" s="9" t="n"/>
      <c r="BM365" s="9" t="n"/>
      <c r="BN365" s="9" t="n"/>
      <c r="BO365" s="8" t="n"/>
      <c r="BP365" s="9" t="n"/>
      <c r="BQ365" s="9" t="n"/>
      <c r="BR365" s="13">
        <f>IF(COUNTIF(AI365:BM365,"N")+COUNTBLANK(AI365:BM365)=0,"Y","N")</f>
        <v/>
      </c>
      <c r="BS365" s="13">
        <f>IF(AND(BR365="Y",OR(L365="Submitted",L365="Under Review")),"Y",IF(L365="Closed","Y","N"))</f>
        <v/>
      </c>
      <c r="BT365" s="10" t="n"/>
      <c r="BU365" s="13">
        <f>Rule_Flags!Q364</f>
        <v/>
      </c>
      <c r="BV365" s="13">
        <f>Rule_Flags!P364</f>
        <v/>
      </c>
      <c r="BW365" s="13">
        <f>IF(Rule_Flags!E364=1,"SITE_CONTROL",IF(Rule_Flags!F364=1,"APPROVALS",IF(Rule_Flags!G364=1,"REPORTS",IF(Rule_Flags!H364=1,"DEFICIENCY",IF(Rule_Flags!I364=1,"UNDERWRITING",IF(Rule_Flags!J364=1,"COMPLIANCE",""))))))</f>
        <v/>
      </c>
      <c r="BX365" s="13">
        <f>IF(BW365="SITE_CONTROL","Site control missing or invalid",IF(BW365="APPROVALS","Required approvals or resolutions incomplete",IF(BW365="REPORTS","Required third-party reports incomplete",IF(BW365="DEFICIENCY","Unresolved deficiency or material deficiency",IF(BW365="UNDERWRITING","Underwriting / feasibility not passed",IF(BW365="COMPLIANCE","Deconcentration, one-mile, LURA, or Chapter 12 issue","Ready under current engine rules"))))))</f>
        <v/>
      </c>
      <c r="BY365" s="13">
        <f>IF(BV365="Determination Notice","Streamlined + DN-ready assumptions satisfied",IF(BV365="Board","Board-required or board-ready assumptions satisfied",""))</f>
        <v/>
      </c>
      <c r="BZ365" s="13">
        <f>IF(AND(BP365="Y",BQ365&lt;&gt;"Y"),"Carryforward project retains queue priority",IF(BQ365="Y","New project enters behind carryforward projects",""))</f>
        <v/>
      </c>
      <c r="CA365" s="13">
        <f>_xludf.RANK.EQ(Rule_Flags!O364,Rule_Flags!$O$3:$O$402,0)</f>
        <v/>
      </c>
      <c r="CB365" s="13">
        <f>IF(OR(BU365="Determination Notice Issued",BU365="Board",BU365="Closed"),"Y","N")</f>
        <v/>
      </c>
      <c r="CC365" s="9" t="n"/>
      <c r="CD365" s="9" t="n"/>
      <c r="CE365" s="9" t="n"/>
      <c r="CF365" s="9" t="n"/>
      <c r="CG365" s="9" t="n"/>
      <c r="CH365" s="9" t="n"/>
    </row>
    <row r="366">
      <c r="A366" s="8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8" t="n"/>
      <c r="L366" s="9" t="n"/>
      <c r="M366" s="8" t="n"/>
      <c r="N366" s="8" t="n"/>
      <c r="O366" s="8" t="n"/>
      <c r="P366" s="8" t="n"/>
      <c r="Q366" s="8" t="n"/>
      <c r="R366" s="9" t="n"/>
      <c r="S366" s="9" t="n"/>
      <c r="T366" s="10" t="n"/>
      <c r="U366" s="10" t="n"/>
      <c r="V366" s="9" t="n"/>
      <c r="W366" s="9" t="n"/>
      <c r="X366" s="9" t="n"/>
      <c r="Y366" s="9" t="n"/>
      <c r="Z366" s="11" t="n"/>
      <c r="AA366" s="11" t="n"/>
      <c r="AB366" s="11" t="n"/>
      <c r="AC366" s="11" t="n"/>
      <c r="AD366" s="11" t="n"/>
      <c r="AE366" s="11" t="n"/>
      <c r="AF366" s="9" t="n"/>
      <c r="AG366" s="9" t="n"/>
      <c r="AH366" s="9" t="n"/>
      <c r="AI366" s="9" t="n"/>
      <c r="AJ366" s="8" t="n"/>
      <c r="AK366" s="9" t="n"/>
      <c r="AL366" s="9" t="n"/>
      <c r="AM366" s="9" t="n"/>
      <c r="AN366" s="9" t="n"/>
      <c r="AO366" s="9" t="n"/>
      <c r="AP366" s="9" t="n"/>
      <c r="AQ366" s="9" t="n"/>
      <c r="AR366" s="9" t="n"/>
      <c r="AS366" s="9" t="n"/>
      <c r="AT366" s="8" t="n"/>
      <c r="AU366" s="8" t="n"/>
      <c r="AV366" s="9" t="n"/>
      <c r="AW366" s="8" t="n"/>
      <c r="AX366" s="9" t="n"/>
      <c r="AY366" s="9" t="n"/>
      <c r="AZ366" s="9" t="n"/>
      <c r="BA366" s="9" t="n"/>
      <c r="BB366" s="9" t="n"/>
      <c r="BC366" s="9" t="n"/>
      <c r="BD366" s="9" t="n"/>
      <c r="BE366" s="9" t="n"/>
      <c r="BF366" s="9" t="n"/>
      <c r="BG366" s="9" t="n"/>
      <c r="BH366" s="9" t="n"/>
      <c r="BI366" s="9" t="n"/>
      <c r="BJ366" s="9" t="n"/>
      <c r="BK366" s="9" t="n"/>
      <c r="BL366" s="9" t="n"/>
      <c r="BM366" s="9" t="n"/>
      <c r="BN366" s="9" t="n"/>
      <c r="BO366" s="8" t="n"/>
      <c r="BP366" s="9" t="n"/>
      <c r="BQ366" s="9" t="n"/>
      <c r="BR366" s="13">
        <f>IF(COUNTIF(AI366:BM366,"N")+COUNTBLANK(AI366:BM366)=0,"Y","N")</f>
        <v/>
      </c>
      <c r="BS366" s="13">
        <f>IF(AND(BR366="Y",OR(L366="Submitted",L366="Under Review")),"Y",IF(L366="Closed","Y","N"))</f>
        <v/>
      </c>
      <c r="BT366" s="10" t="n"/>
      <c r="BU366" s="13">
        <f>Rule_Flags!Q365</f>
        <v/>
      </c>
      <c r="BV366" s="13">
        <f>Rule_Flags!P365</f>
        <v/>
      </c>
      <c r="BW366" s="13">
        <f>IF(Rule_Flags!E365=1,"SITE_CONTROL",IF(Rule_Flags!F365=1,"APPROVALS",IF(Rule_Flags!G365=1,"REPORTS",IF(Rule_Flags!H365=1,"DEFICIENCY",IF(Rule_Flags!I365=1,"UNDERWRITING",IF(Rule_Flags!J365=1,"COMPLIANCE",""))))))</f>
        <v/>
      </c>
      <c r="BX366" s="13">
        <f>IF(BW366="SITE_CONTROL","Site control missing or invalid",IF(BW366="APPROVALS","Required approvals or resolutions incomplete",IF(BW366="REPORTS","Required third-party reports incomplete",IF(BW366="DEFICIENCY","Unresolved deficiency or material deficiency",IF(BW366="UNDERWRITING","Underwriting / feasibility not passed",IF(BW366="COMPLIANCE","Deconcentration, one-mile, LURA, or Chapter 12 issue","Ready under current engine rules"))))))</f>
        <v/>
      </c>
      <c r="BY366" s="13">
        <f>IF(BV366="Determination Notice","Streamlined + DN-ready assumptions satisfied",IF(BV366="Board","Board-required or board-ready assumptions satisfied",""))</f>
        <v/>
      </c>
      <c r="BZ366" s="13">
        <f>IF(AND(BP366="Y",BQ366&lt;&gt;"Y"),"Carryforward project retains queue priority",IF(BQ366="Y","New project enters behind carryforward projects",""))</f>
        <v/>
      </c>
      <c r="CA366" s="13">
        <f>_xludf.RANK.EQ(Rule_Flags!O365,Rule_Flags!$O$3:$O$402,0)</f>
        <v/>
      </c>
      <c r="CB366" s="13">
        <f>IF(OR(BU366="Determination Notice Issued",BU366="Board",BU366="Closed"),"Y","N")</f>
        <v/>
      </c>
      <c r="CC366" s="9" t="n"/>
      <c r="CD366" s="9" t="n"/>
      <c r="CE366" s="9" t="n"/>
      <c r="CF366" s="9" t="n"/>
      <c r="CG366" s="9" t="n"/>
      <c r="CH366" s="9" t="n"/>
    </row>
    <row r="367">
      <c r="A367" s="8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8" t="n"/>
      <c r="L367" s="9" t="n"/>
      <c r="M367" s="8" t="n"/>
      <c r="N367" s="8" t="n"/>
      <c r="O367" s="8" t="n"/>
      <c r="P367" s="8" t="n"/>
      <c r="Q367" s="8" t="n"/>
      <c r="R367" s="9" t="n"/>
      <c r="S367" s="9" t="n"/>
      <c r="T367" s="10" t="n"/>
      <c r="U367" s="10" t="n"/>
      <c r="V367" s="9" t="n"/>
      <c r="W367" s="9" t="n"/>
      <c r="X367" s="9" t="n"/>
      <c r="Y367" s="9" t="n"/>
      <c r="Z367" s="11" t="n"/>
      <c r="AA367" s="11" t="n"/>
      <c r="AB367" s="11" t="n"/>
      <c r="AC367" s="11" t="n"/>
      <c r="AD367" s="11" t="n"/>
      <c r="AE367" s="11" t="n"/>
      <c r="AF367" s="9" t="n"/>
      <c r="AG367" s="9" t="n"/>
      <c r="AH367" s="9" t="n"/>
      <c r="AI367" s="9" t="n"/>
      <c r="AJ367" s="8" t="n"/>
      <c r="AK367" s="9" t="n"/>
      <c r="AL367" s="9" t="n"/>
      <c r="AM367" s="9" t="n"/>
      <c r="AN367" s="9" t="n"/>
      <c r="AO367" s="9" t="n"/>
      <c r="AP367" s="9" t="n"/>
      <c r="AQ367" s="9" t="n"/>
      <c r="AR367" s="9" t="n"/>
      <c r="AS367" s="9" t="n"/>
      <c r="AT367" s="8" t="n"/>
      <c r="AU367" s="8" t="n"/>
      <c r="AV367" s="9" t="n"/>
      <c r="AW367" s="8" t="n"/>
      <c r="AX367" s="9" t="n"/>
      <c r="AY367" s="9" t="n"/>
      <c r="AZ367" s="9" t="n"/>
      <c r="BA367" s="9" t="n"/>
      <c r="BB367" s="9" t="n"/>
      <c r="BC367" s="9" t="n"/>
      <c r="BD367" s="9" t="n"/>
      <c r="BE367" s="9" t="n"/>
      <c r="BF367" s="9" t="n"/>
      <c r="BG367" s="9" t="n"/>
      <c r="BH367" s="9" t="n"/>
      <c r="BI367" s="9" t="n"/>
      <c r="BJ367" s="9" t="n"/>
      <c r="BK367" s="9" t="n"/>
      <c r="BL367" s="9" t="n"/>
      <c r="BM367" s="9" t="n"/>
      <c r="BN367" s="9" t="n"/>
      <c r="BO367" s="8" t="n"/>
      <c r="BP367" s="9" t="n"/>
      <c r="BQ367" s="9" t="n"/>
      <c r="BR367" s="13">
        <f>IF(COUNTIF(AI367:BM367,"N")+COUNTBLANK(AI367:BM367)=0,"Y","N")</f>
        <v/>
      </c>
      <c r="BS367" s="13">
        <f>IF(AND(BR367="Y",OR(L367="Submitted",L367="Under Review")),"Y",IF(L367="Closed","Y","N"))</f>
        <v/>
      </c>
      <c r="BT367" s="10" t="n"/>
      <c r="BU367" s="13">
        <f>Rule_Flags!Q366</f>
        <v/>
      </c>
      <c r="BV367" s="13">
        <f>Rule_Flags!P366</f>
        <v/>
      </c>
      <c r="BW367" s="13">
        <f>IF(Rule_Flags!E366=1,"SITE_CONTROL",IF(Rule_Flags!F366=1,"APPROVALS",IF(Rule_Flags!G366=1,"REPORTS",IF(Rule_Flags!H366=1,"DEFICIENCY",IF(Rule_Flags!I366=1,"UNDERWRITING",IF(Rule_Flags!J366=1,"COMPLIANCE",""))))))</f>
        <v/>
      </c>
      <c r="BX367" s="13">
        <f>IF(BW367="SITE_CONTROL","Site control missing or invalid",IF(BW367="APPROVALS","Required approvals or resolutions incomplete",IF(BW367="REPORTS","Required third-party reports incomplete",IF(BW367="DEFICIENCY","Unresolved deficiency or material deficiency",IF(BW367="UNDERWRITING","Underwriting / feasibility not passed",IF(BW367="COMPLIANCE","Deconcentration, one-mile, LURA, or Chapter 12 issue","Ready under current engine rules"))))))</f>
        <v/>
      </c>
      <c r="BY367" s="13">
        <f>IF(BV367="Determination Notice","Streamlined + DN-ready assumptions satisfied",IF(BV367="Board","Board-required or board-ready assumptions satisfied",""))</f>
        <v/>
      </c>
      <c r="BZ367" s="13">
        <f>IF(AND(BP367="Y",BQ367&lt;&gt;"Y"),"Carryforward project retains queue priority",IF(BQ367="Y","New project enters behind carryforward projects",""))</f>
        <v/>
      </c>
      <c r="CA367" s="13">
        <f>_xludf.RANK.EQ(Rule_Flags!O366,Rule_Flags!$O$3:$O$402,0)</f>
        <v/>
      </c>
      <c r="CB367" s="13">
        <f>IF(OR(BU367="Determination Notice Issued",BU367="Board",BU367="Closed"),"Y","N")</f>
        <v/>
      </c>
      <c r="CC367" s="9" t="n"/>
      <c r="CD367" s="9" t="n"/>
      <c r="CE367" s="9" t="n"/>
      <c r="CF367" s="9" t="n"/>
      <c r="CG367" s="9" t="n"/>
      <c r="CH367" s="9" t="n"/>
    </row>
    <row r="368">
      <c r="A368" s="8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8" t="n"/>
      <c r="L368" s="9" t="n"/>
      <c r="M368" s="8" t="n"/>
      <c r="N368" s="8" t="n"/>
      <c r="O368" s="8" t="n"/>
      <c r="P368" s="8" t="n"/>
      <c r="Q368" s="8" t="n"/>
      <c r="R368" s="9" t="n"/>
      <c r="S368" s="9" t="n"/>
      <c r="T368" s="10" t="n"/>
      <c r="U368" s="10" t="n"/>
      <c r="V368" s="9" t="n"/>
      <c r="W368" s="9" t="n"/>
      <c r="X368" s="9" t="n"/>
      <c r="Y368" s="9" t="n"/>
      <c r="Z368" s="11" t="n"/>
      <c r="AA368" s="11" t="n"/>
      <c r="AB368" s="11" t="n"/>
      <c r="AC368" s="11" t="n"/>
      <c r="AD368" s="11" t="n"/>
      <c r="AE368" s="11" t="n"/>
      <c r="AF368" s="9" t="n"/>
      <c r="AG368" s="9" t="n"/>
      <c r="AH368" s="9" t="n"/>
      <c r="AI368" s="9" t="n"/>
      <c r="AJ368" s="8" t="n"/>
      <c r="AK368" s="9" t="n"/>
      <c r="AL368" s="9" t="n"/>
      <c r="AM368" s="9" t="n"/>
      <c r="AN368" s="9" t="n"/>
      <c r="AO368" s="9" t="n"/>
      <c r="AP368" s="9" t="n"/>
      <c r="AQ368" s="9" t="n"/>
      <c r="AR368" s="9" t="n"/>
      <c r="AS368" s="9" t="n"/>
      <c r="AT368" s="8" t="n"/>
      <c r="AU368" s="8" t="n"/>
      <c r="AV368" s="9" t="n"/>
      <c r="AW368" s="8" t="n"/>
      <c r="AX368" s="9" t="n"/>
      <c r="AY368" s="9" t="n"/>
      <c r="AZ368" s="9" t="n"/>
      <c r="BA368" s="9" t="n"/>
      <c r="BB368" s="9" t="n"/>
      <c r="BC368" s="9" t="n"/>
      <c r="BD368" s="9" t="n"/>
      <c r="BE368" s="9" t="n"/>
      <c r="BF368" s="9" t="n"/>
      <c r="BG368" s="9" t="n"/>
      <c r="BH368" s="9" t="n"/>
      <c r="BI368" s="9" t="n"/>
      <c r="BJ368" s="9" t="n"/>
      <c r="BK368" s="9" t="n"/>
      <c r="BL368" s="9" t="n"/>
      <c r="BM368" s="9" t="n"/>
      <c r="BN368" s="9" t="n"/>
      <c r="BO368" s="8" t="n"/>
      <c r="BP368" s="9" t="n"/>
      <c r="BQ368" s="9" t="n"/>
      <c r="BR368" s="13">
        <f>IF(COUNTIF(AI368:BM368,"N")+COUNTBLANK(AI368:BM368)=0,"Y","N")</f>
        <v/>
      </c>
      <c r="BS368" s="13">
        <f>IF(AND(BR368="Y",OR(L368="Submitted",L368="Under Review")),"Y",IF(L368="Closed","Y","N"))</f>
        <v/>
      </c>
      <c r="BT368" s="10" t="n"/>
      <c r="BU368" s="13">
        <f>Rule_Flags!Q367</f>
        <v/>
      </c>
      <c r="BV368" s="13">
        <f>Rule_Flags!P367</f>
        <v/>
      </c>
      <c r="BW368" s="13">
        <f>IF(Rule_Flags!E367=1,"SITE_CONTROL",IF(Rule_Flags!F367=1,"APPROVALS",IF(Rule_Flags!G367=1,"REPORTS",IF(Rule_Flags!H367=1,"DEFICIENCY",IF(Rule_Flags!I367=1,"UNDERWRITING",IF(Rule_Flags!J367=1,"COMPLIANCE",""))))))</f>
        <v/>
      </c>
      <c r="BX368" s="13">
        <f>IF(BW368="SITE_CONTROL","Site control missing or invalid",IF(BW368="APPROVALS","Required approvals or resolutions incomplete",IF(BW368="REPORTS","Required third-party reports incomplete",IF(BW368="DEFICIENCY","Unresolved deficiency or material deficiency",IF(BW368="UNDERWRITING","Underwriting / feasibility not passed",IF(BW368="COMPLIANCE","Deconcentration, one-mile, LURA, or Chapter 12 issue","Ready under current engine rules"))))))</f>
        <v/>
      </c>
      <c r="BY368" s="13">
        <f>IF(BV368="Determination Notice","Streamlined + DN-ready assumptions satisfied",IF(BV368="Board","Board-required or board-ready assumptions satisfied",""))</f>
        <v/>
      </c>
      <c r="BZ368" s="13">
        <f>IF(AND(BP368="Y",BQ368&lt;&gt;"Y"),"Carryforward project retains queue priority",IF(BQ368="Y","New project enters behind carryforward projects",""))</f>
        <v/>
      </c>
      <c r="CA368" s="13">
        <f>_xludf.RANK.EQ(Rule_Flags!O367,Rule_Flags!$O$3:$O$402,0)</f>
        <v/>
      </c>
      <c r="CB368" s="13">
        <f>IF(OR(BU368="Determination Notice Issued",BU368="Board",BU368="Closed"),"Y","N")</f>
        <v/>
      </c>
      <c r="CC368" s="9" t="n"/>
      <c r="CD368" s="9" t="n"/>
      <c r="CE368" s="9" t="n"/>
      <c r="CF368" s="9" t="n"/>
      <c r="CG368" s="9" t="n"/>
      <c r="CH368" s="9" t="n"/>
    </row>
    <row r="369">
      <c r="A369" s="8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8" t="n"/>
      <c r="L369" s="9" t="n"/>
      <c r="M369" s="8" t="n"/>
      <c r="N369" s="8" t="n"/>
      <c r="O369" s="8" t="n"/>
      <c r="P369" s="8" t="n"/>
      <c r="Q369" s="8" t="n"/>
      <c r="R369" s="9" t="n"/>
      <c r="S369" s="9" t="n"/>
      <c r="T369" s="10" t="n"/>
      <c r="U369" s="10" t="n"/>
      <c r="V369" s="9" t="n"/>
      <c r="W369" s="9" t="n"/>
      <c r="X369" s="9" t="n"/>
      <c r="Y369" s="9" t="n"/>
      <c r="Z369" s="11" t="n"/>
      <c r="AA369" s="11" t="n"/>
      <c r="AB369" s="11" t="n"/>
      <c r="AC369" s="11" t="n"/>
      <c r="AD369" s="11" t="n"/>
      <c r="AE369" s="11" t="n"/>
      <c r="AF369" s="9" t="n"/>
      <c r="AG369" s="9" t="n"/>
      <c r="AH369" s="9" t="n"/>
      <c r="AI369" s="9" t="n"/>
      <c r="AJ369" s="8" t="n"/>
      <c r="AK369" s="9" t="n"/>
      <c r="AL369" s="9" t="n"/>
      <c r="AM369" s="9" t="n"/>
      <c r="AN369" s="9" t="n"/>
      <c r="AO369" s="9" t="n"/>
      <c r="AP369" s="9" t="n"/>
      <c r="AQ369" s="9" t="n"/>
      <c r="AR369" s="9" t="n"/>
      <c r="AS369" s="9" t="n"/>
      <c r="AT369" s="8" t="n"/>
      <c r="AU369" s="8" t="n"/>
      <c r="AV369" s="9" t="n"/>
      <c r="AW369" s="8" t="n"/>
      <c r="AX369" s="9" t="n"/>
      <c r="AY369" s="9" t="n"/>
      <c r="AZ369" s="9" t="n"/>
      <c r="BA369" s="9" t="n"/>
      <c r="BB369" s="9" t="n"/>
      <c r="BC369" s="9" t="n"/>
      <c r="BD369" s="9" t="n"/>
      <c r="BE369" s="9" t="n"/>
      <c r="BF369" s="9" t="n"/>
      <c r="BG369" s="9" t="n"/>
      <c r="BH369" s="9" t="n"/>
      <c r="BI369" s="9" t="n"/>
      <c r="BJ369" s="9" t="n"/>
      <c r="BK369" s="9" t="n"/>
      <c r="BL369" s="9" t="n"/>
      <c r="BM369" s="9" t="n"/>
      <c r="BN369" s="9" t="n"/>
      <c r="BO369" s="8" t="n"/>
      <c r="BP369" s="9" t="n"/>
      <c r="BQ369" s="9" t="n"/>
      <c r="BR369" s="13">
        <f>IF(COUNTIF(AI369:BM369,"N")+COUNTBLANK(AI369:BM369)=0,"Y","N")</f>
        <v/>
      </c>
      <c r="BS369" s="13">
        <f>IF(AND(BR369="Y",OR(L369="Submitted",L369="Under Review")),"Y",IF(L369="Closed","Y","N"))</f>
        <v/>
      </c>
      <c r="BT369" s="10" t="n"/>
      <c r="BU369" s="13">
        <f>Rule_Flags!Q368</f>
        <v/>
      </c>
      <c r="BV369" s="13">
        <f>Rule_Flags!P368</f>
        <v/>
      </c>
      <c r="BW369" s="13">
        <f>IF(Rule_Flags!E368=1,"SITE_CONTROL",IF(Rule_Flags!F368=1,"APPROVALS",IF(Rule_Flags!G368=1,"REPORTS",IF(Rule_Flags!H368=1,"DEFICIENCY",IF(Rule_Flags!I368=1,"UNDERWRITING",IF(Rule_Flags!J368=1,"COMPLIANCE",""))))))</f>
        <v/>
      </c>
      <c r="BX369" s="13">
        <f>IF(BW369="SITE_CONTROL","Site control missing or invalid",IF(BW369="APPROVALS","Required approvals or resolutions incomplete",IF(BW369="REPORTS","Required third-party reports incomplete",IF(BW369="DEFICIENCY","Unresolved deficiency or material deficiency",IF(BW369="UNDERWRITING","Underwriting / feasibility not passed",IF(BW369="COMPLIANCE","Deconcentration, one-mile, LURA, or Chapter 12 issue","Ready under current engine rules"))))))</f>
        <v/>
      </c>
      <c r="BY369" s="13">
        <f>IF(BV369="Determination Notice","Streamlined + DN-ready assumptions satisfied",IF(BV369="Board","Board-required or board-ready assumptions satisfied",""))</f>
        <v/>
      </c>
      <c r="BZ369" s="13">
        <f>IF(AND(BP369="Y",BQ369&lt;&gt;"Y"),"Carryforward project retains queue priority",IF(BQ369="Y","New project enters behind carryforward projects",""))</f>
        <v/>
      </c>
      <c r="CA369" s="13">
        <f>_xludf.RANK.EQ(Rule_Flags!O368,Rule_Flags!$O$3:$O$402,0)</f>
        <v/>
      </c>
      <c r="CB369" s="13">
        <f>IF(OR(BU369="Determination Notice Issued",BU369="Board",BU369="Closed"),"Y","N")</f>
        <v/>
      </c>
      <c r="CC369" s="9" t="n"/>
      <c r="CD369" s="9" t="n"/>
      <c r="CE369" s="9" t="n"/>
      <c r="CF369" s="9" t="n"/>
      <c r="CG369" s="9" t="n"/>
      <c r="CH369" s="9" t="n"/>
    </row>
    <row r="370">
      <c r="A370" s="8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8" t="n"/>
      <c r="L370" s="9" t="n"/>
      <c r="M370" s="8" t="n"/>
      <c r="N370" s="8" t="n"/>
      <c r="O370" s="8" t="n"/>
      <c r="P370" s="8" t="n"/>
      <c r="Q370" s="8" t="n"/>
      <c r="R370" s="9" t="n"/>
      <c r="S370" s="9" t="n"/>
      <c r="T370" s="10" t="n"/>
      <c r="U370" s="10" t="n"/>
      <c r="V370" s="9" t="n"/>
      <c r="W370" s="9" t="n"/>
      <c r="X370" s="9" t="n"/>
      <c r="Y370" s="9" t="n"/>
      <c r="Z370" s="11" t="n"/>
      <c r="AA370" s="11" t="n"/>
      <c r="AB370" s="11" t="n"/>
      <c r="AC370" s="11" t="n"/>
      <c r="AD370" s="11" t="n"/>
      <c r="AE370" s="11" t="n"/>
      <c r="AF370" s="9" t="n"/>
      <c r="AG370" s="9" t="n"/>
      <c r="AH370" s="9" t="n"/>
      <c r="AI370" s="9" t="n"/>
      <c r="AJ370" s="8" t="n"/>
      <c r="AK370" s="9" t="n"/>
      <c r="AL370" s="9" t="n"/>
      <c r="AM370" s="9" t="n"/>
      <c r="AN370" s="9" t="n"/>
      <c r="AO370" s="9" t="n"/>
      <c r="AP370" s="9" t="n"/>
      <c r="AQ370" s="9" t="n"/>
      <c r="AR370" s="9" t="n"/>
      <c r="AS370" s="9" t="n"/>
      <c r="AT370" s="8" t="n"/>
      <c r="AU370" s="8" t="n"/>
      <c r="AV370" s="9" t="n"/>
      <c r="AW370" s="8" t="n"/>
      <c r="AX370" s="9" t="n"/>
      <c r="AY370" s="9" t="n"/>
      <c r="AZ370" s="9" t="n"/>
      <c r="BA370" s="9" t="n"/>
      <c r="BB370" s="9" t="n"/>
      <c r="BC370" s="9" t="n"/>
      <c r="BD370" s="9" t="n"/>
      <c r="BE370" s="9" t="n"/>
      <c r="BF370" s="9" t="n"/>
      <c r="BG370" s="9" t="n"/>
      <c r="BH370" s="9" t="n"/>
      <c r="BI370" s="9" t="n"/>
      <c r="BJ370" s="9" t="n"/>
      <c r="BK370" s="9" t="n"/>
      <c r="BL370" s="9" t="n"/>
      <c r="BM370" s="9" t="n"/>
      <c r="BN370" s="9" t="n"/>
      <c r="BO370" s="8" t="n"/>
      <c r="BP370" s="9" t="n"/>
      <c r="BQ370" s="9" t="n"/>
      <c r="BR370" s="13">
        <f>IF(COUNTIF(AI370:BM370,"N")+COUNTBLANK(AI370:BM370)=0,"Y","N")</f>
        <v/>
      </c>
      <c r="BS370" s="13">
        <f>IF(AND(BR370="Y",OR(L370="Submitted",L370="Under Review")),"Y",IF(L370="Closed","Y","N"))</f>
        <v/>
      </c>
      <c r="BT370" s="10" t="n"/>
      <c r="BU370" s="13">
        <f>Rule_Flags!Q369</f>
        <v/>
      </c>
      <c r="BV370" s="13">
        <f>Rule_Flags!P369</f>
        <v/>
      </c>
      <c r="BW370" s="13">
        <f>IF(Rule_Flags!E369=1,"SITE_CONTROL",IF(Rule_Flags!F369=1,"APPROVALS",IF(Rule_Flags!G369=1,"REPORTS",IF(Rule_Flags!H369=1,"DEFICIENCY",IF(Rule_Flags!I369=1,"UNDERWRITING",IF(Rule_Flags!J369=1,"COMPLIANCE",""))))))</f>
        <v/>
      </c>
      <c r="BX370" s="13">
        <f>IF(BW370="SITE_CONTROL","Site control missing or invalid",IF(BW370="APPROVALS","Required approvals or resolutions incomplete",IF(BW370="REPORTS","Required third-party reports incomplete",IF(BW370="DEFICIENCY","Unresolved deficiency or material deficiency",IF(BW370="UNDERWRITING","Underwriting / feasibility not passed",IF(BW370="COMPLIANCE","Deconcentration, one-mile, LURA, or Chapter 12 issue","Ready under current engine rules"))))))</f>
        <v/>
      </c>
      <c r="BY370" s="13">
        <f>IF(BV370="Determination Notice","Streamlined + DN-ready assumptions satisfied",IF(BV370="Board","Board-required or board-ready assumptions satisfied",""))</f>
        <v/>
      </c>
      <c r="BZ370" s="13">
        <f>IF(AND(BP370="Y",BQ370&lt;&gt;"Y"),"Carryforward project retains queue priority",IF(BQ370="Y","New project enters behind carryforward projects",""))</f>
        <v/>
      </c>
      <c r="CA370" s="13">
        <f>_xludf.RANK.EQ(Rule_Flags!O369,Rule_Flags!$O$3:$O$402,0)</f>
        <v/>
      </c>
      <c r="CB370" s="13">
        <f>IF(OR(BU370="Determination Notice Issued",BU370="Board",BU370="Closed"),"Y","N")</f>
        <v/>
      </c>
      <c r="CC370" s="9" t="n"/>
      <c r="CD370" s="9" t="n"/>
      <c r="CE370" s="9" t="n"/>
      <c r="CF370" s="9" t="n"/>
      <c r="CG370" s="9" t="n"/>
      <c r="CH370" s="9" t="n"/>
    </row>
    <row r="371">
      <c r="A371" s="8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8" t="n"/>
      <c r="L371" s="9" t="n"/>
      <c r="M371" s="8" t="n"/>
      <c r="N371" s="8" t="n"/>
      <c r="O371" s="8" t="n"/>
      <c r="P371" s="8" t="n"/>
      <c r="Q371" s="8" t="n"/>
      <c r="R371" s="9" t="n"/>
      <c r="S371" s="9" t="n"/>
      <c r="T371" s="10" t="n"/>
      <c r="U371" s="10" t="n"/>
      <c r="V371" s="9" t="n"/>
      <c r="W371" s="9" t="n"/>
      <c r="X371" s="9" t="n"/>
      <c r="Y371" s="9" t="n"/>
      <c r="Z371" s="11" t="n"/>
      <c r="AA371" s="11" t="n"/>
      <c r="AB371" s="11" t="n"/>
      <c r="AC371" s="11" t="n"/>
      <c r="AD371" s="11" t="n"/>
      <c r="AE371" s="11" t="n"/>
      <c r="AF371" s="9" t="n"/>
      <c r="AG371" s="9" t="n"/>
      <c r="AH371" s="9" t="n"/>
      <c r="AI371" s="9" t="n"/>
      <c r="AJ371" s="8" t="n"/>
      <c r="AK371" s="9" t="n"/>
      <c r="AL371" s="9" t="n"/>
      <c r="AM371" s="9" t="n"/>
      <c r="AN371" s="9" t="n"/>
      <c r="AO371" s="9" t="n"/>
      <c r="AP371" s="9" t="n"/>
      <c r="AQ371" s="9" t="n"/>
      <c r="AR371" s="9" t="n"/>
      <c r="AS371" s="9" t="n"/>
      <c r="AT371" s="8" t="n"/>
      <c r="AU371" s="8" t="n"/>
      <c r="AV371" s="9" t="n"/>
      <c r="AW371" s="8" t="n"/>
      <c r="AX371" s="9" t="n"/>
      <c r="AY371" s="9" t="n"/>
      <c r="AZ371" s="9" t="n"/>
      <c r="BA371" s="9" t="n"/>
      <c r="BB371" s="9" t="n"/>
      <c r="BC371" s="9" t="n"/>
      <c r="BD371" s="9" t="n"/>
      <c r="BE371" s="9" t="n"/>
      <c r="BF371" s="9" t="n"/>
      <c r="BG371" s="9" t="n"/>
      <c r="BH371" s="9" t="n"/>
      <c r="BI371" s="9" t="n"/>
      <c r="BJ371" s="9" t="n"/>
      <c r="BK371" s="9" t="n"/>
      <c r="BL371" s="9" t="n"/>
      <c r="BM371" s="9" t="n"/>
      <c r="BN371" s="9" t="n"/>
      <c r="BO371" s="8" t="n"/>
      <c r="BP371" s="9" t="n"/>
      <c r="BQ371" s="9" t="n"/>
      <c r="BR371" s="13">
        <f>IF(COUNTIF(AI371:BM371,"N")+COUNTBLANK(AI371:BM371)=0,"Y","N")</f>
        <v/>
      </c>
      <c r="BS371" s="13">
        <f>IF(AND(BR371="Y",OR(L371="Submitted",L371="Under Review")),"Y",IF(L371="Closed","Y","N"))</f>
        <v/>
      </c>
      <c r="BT371" s="10" t="n"/>
      <c r="BU371" s="13">
        <f>Rule_Flags!Q370</f>
        <v/>
      </c>
      <c r="BV371" s="13">
        <f>Rule_Flags!P370</f>
        <v/>
      </c>
      <c r="BW371" s="13">
        <f>IF(Rule_Flags!E370=1,"SITE_CONTROL",IF(Rule_Flags!F370=1,"APPROVALS",IF(Rule_Flags!G370=1,"REPORTS",IF(Rule_Flags!H370=1,"DEFICIENCY",IF(Rule_Flags!I370=1,"UNDERWRITING",IF(Rule_Flags!J370=1,"COMPLIANCE",""))))))</f>
        <v/>
      </c>
      <c r="BX371" s="13">
        <f>IF(BW371="SITE_CONTROL","Site control missing or invalid",IF(BW371="APPROVALS","Required approvals or resolutions incomplete",IF(BW371="REPORTS","Required third-party reports incomplete",IF(BW371="DEFICIENCY","Unresolved deficiency or material deficiency",IF(BW371="UNDERWRITING","Underwriting / feasibility not passed",IF(BW371="COMPLIANCE","Deconcentration, one-mile, LURA, or Chapter 12 issue","Ready under current engine rules"))))))</f>
        <v/>
      </c>
      <c r="BY371" s="13">
        <f>IF(BV371="Determination Notice","Streamlined + DN-ready assumptions satisfied",IF(BV371="Board","Board-required or board-ready assumptions satisfied",""))</f>
        <v/>
      </c>
      <c r="BZ371" s="13">
        <f>IF(AND(BP371="Y",BQ371&lt;&gt;"Y"),"Carryforward project retains queue priority",IF(BQ371="Y","New project enters behind carryforward projects",""))</f>
        <v/>
      </c>
      <c r="CA371" s="13">
        <f>_xludf.RANK.EQ(Rule_Flags!O370,Rule_Flags!$O$3:$O$402,0)</f>
        <v/>
      </c>
      <c r="CB371" s="13">
        <f>IF(OR(BU371="Determination Notice Issued",BU371="Board",BU371="Closed"),"Y","N")</f>
        <v/>
      </c>
      <c r="CC371" s="9" t="n"/>
      <c r="CD371" s="9" t="n"/>
      <c r="CE371" s="9" t="n"/>
      <c r="CF371" s="9" t="n"/>
      <c r="CG371" s="9" t="n"/>
      <c r="CH371" s="9" t="n"/>
    </row>
    <row r="372">
      <c r="A372" s="8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8" t="n"/>
      <c r="L372" s="9" t="n"/>
      <c r="M372" s="8" t="n"/>
      <c r="N372" s="8" t="n"/>
      <c r="O372" s="8" t="n"/>
      <c r="P372" s="8" t="n"/>
      <c r="Q372" s="8" t="n"/>
      <c r="R372" s="9" t="n"/>
      <c r="S372" s="9" t="n"/>
      <c r="T372" s="10" t="n"/>
      <c r="U372" s="10" t="n"/>
      <c r="V372" s="9" t="n"/>
      <c r="W372" s="9" t="n"/>
      <c r="X372" s="9" t="n"/>
      <c r="Y372" s="9" t="n"/>
      <c r="Z372" s="11" t="n"/>
      <c r="AA372" s="11" t="n"/>
      <c r="AB372" s="11" t="n"/>
      <c r="AC372" s="11" t="n"/>
      <c r="AD372" s="11" t="n"/>
      <c r="AE372" s="11" t="n"/>
      <c r="AF372" s="9" t="n"/>
      <c r="AG372" s="9" t="n"/>
      <c r="AH372" s="9" t="n"/>
      <c r="AI372" s="9" t="n"/>
      <c r="AJ372" s="8" t="n"/>
      <c r="AK372" s="9" t="n"/>
      <c r="AL372" s="9" t="n"/>
      <c r="AM372" s="9" t="n"/>
      <c r="AN372" s="9" t="n"/>
      <c r="AO372" s="9" t="n"/>
      <c r="AP372" s="9" t="n"/>
      <c r="AQ372" s="9" t="n"/>
      <c r="AR372" s="9" t="n"/>
      <c r="AS372" s="9" t="n"/>
      <c r="AT372" s="8" t="n"/>
      <c r="AU372" s="8" t="n"/>
      <c r="AV372" s="9" t="n"/>
      <c r="AW372" s="8" t="n"/>
      <c r="AX372" s="9" t="n"/>
      <c r="AY372" s="9" t="n"/>
      <c r="AZ372" s="9" t="n"/>
      <c r="BA372" s="9" t="n"/>
      <c r="BB372" s="9" t="n"/>
      <c r="BC372" s="9" t="n"/>
      <c r="BD372" s="9" t="n"/>
      <c r="BE372" s="9" t="n"/>
      <c r="BF372" s="9" t="n"/>
      <c r="BG372" s="9" t="n"/>
      <c r="BH372" s="9" t="n"/>
      <c r="BI372" s="9" t="n"/>
      <c r="BJ372" s="9" t="n"/>
      <c r="BK372" s="9" t="n"/>
      <c r="BL372" s="9" t="n"/>
      <c r="BM372" s="9" t="n"/>
      <c r="BN372" s="9" t="n"/>
      <c r="BO372" s="8" t="n"/>
      <c r="BP372" s="9" t="n"/>
      <c r="BQ372" s="9" t="n"/>
      <c r="BR372" s="13">
        <f>IF(COUNTIF(AI372:BM372,"N")+COUNTBLANK(AI372:BM372)=0,"Y","N")</f>
        <v/>
      </c>
      <c r="BS372" s="13">
        <f>IF(AND(BR372="Y",OR(L372="Submitted",L372="Under Review")),"Y",IF(L372="Closed","Y","N"))</f>
        <v/>
      </c>
      <c r="BT372" s="10" t="n"/>
      <c r="BU372" s="13">
        <f>Rule_Flags!Q371</f>
        <v/>
      </c>
      <c r="BV372" s="13">
        <f>Rule_Flags!P371</f>
        <v/>
      </c>
      <c r="BW372" s="13">
        <f>IF(Rule_Flags!E371=1,"SITE_CONTROL",IF(Rule_Flags!F371=1,"APPROVALS",IF(Rule_Flags!G371=1,"REPORTS",IF(Rule_Flags!H371=1,"DEFICIENCY",IF(Rule_Flags!I371=1,"UNDERWRITING",IF(Rule_Flags!J371=1,"COMPLIANCE",""))))))</f>
        <v/>
      </c>
      <c r="BX372" s="13">
        <f>IF(BW372="SITE_CONTROL","Site control missing or invalid",IF(BW372="APPROVALS","Required approvals or resolutions incomplete",IF(BW372="REPORTS","Required third-party reports incomplete",IF(BW372="DEFICIENCY","Unresolved deficiency or material deficiency",IF(BW372="UNDERWRITING","Underwriting / feasibility not passed",IF(BW372="COMPLIANCE","Deconcentration, one-mile, LURA, or Chapter 12 issue","Ready under current engine rules"))))))</f>
        <v/>
      </c>
      <c r="BY372" s="13">
        <f>IF(BV372="Determination Notice","Streamlined + DN-ready assumptions satisfied",IF(BV372="Board","Board-required or board-ready assumptions satisfied",""))</f>
        <v/>
      </c>
      <c r="BZ372" s="13">
        <f>IF(AND(BP372="Y",BQ372&lt;&gt;"Y"),"Carryforward project retains queue priority",IF(BQ372="Y","New project enters behind carryforward projects",""))</f>
        <v/>
      </c>
      <c r="CA372" s="13">
        <f>_xludf.RANK.EQ(Rule_Flags!O371,Rule_Flags!$O$3:$O$402,0)</f>
        <v/>
      </c>
      <c r="CB372" s="13">
        <f>IF(OR(BU372="Determination Notice Issued",BU372="Board",BU372="Closed"),"Y","N")</f>
        <v/>
      </c>
      <c r="CC372" s="9" t="n"/>
      <c r="CD372" s="9" t="n"/>
      <c r="CE372" s="9" t="n"/>
      <c r="CF372" s="9" t="n"/>
      <c r="CG372" s="9" t="n"/>
      <c r="CH372" s="9" t="n"/>
    </row>
    <row r="373">
      <c r="A373" s="8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8" t="n"/>
      <c r="L373" s="9" t="n"/>
      <c r="M373" s="8" t="n"/>
      <c r="N373" s="8" t="n"/>
      <c r="O373" s="8" t="n"/>
      <c r="P373" s="8" t="n"/>
      <c r="Q373" s="8" t="n"/>
      <c r="R373" s="9" t="n"/>
      <c r="S373" s="9" t="n"/>
      <c r="T373" s="10" t="n"/>
      <c r="U373" s="10" t="n"/>
      <c r="V373" s="9" t="n"/>
      <c r="W373" s="9" t="n"/>
      <c r="X373" s="9" t="n"/>
      <c r="Y373" s="9" t="n"/>
      <c r="Z373" s="11" t="n"/>
      <c r="AA373" s="11" t="n"/>
      <c r="AB373" s="11" t="n"/>
      <c r="AC373" s="11" t="n"/>
      <c r="AD373" s="11" t="n"/>
      <c r="AE373" s="11" t="n"/>
      <c r="AF373" s="9" t="n"/>
      <c r="AG373" s="9" t="n"/>
      <c r="AH373" s="9" t="n"/>
      <c r="AI373" s="9" t="n"/>
      <c r="AJ373" s="8" t="n"/>
      <c r="AK373" s="9" t="n"/>
      <c r="AL373" s="9" t="n"/>
      <c r="AM373" s="9" t="n"/>
      <c r="AN373" s="9" t="n"/>
      <c r="AO373" s="9" t="n"/>
      <c r="AP373" s="9" t="n"/>
      <c r="AQ373" s="9" t="n"/>
      <c r="AR373" s="9" t="n"/>
      <c r="AS373" s="9" t="n"/>
      <c r="AT373" s="8" t="n"/>
      <c r="AU373" s="8" t="n"/>
      <c r="AV373" s="9" t="n"/>
      <c r="AW373" s="8" t="n"/>
      <c r="AX373" s="9" t="n"/>
      <c r="AY373" s="9" t="n"/>
      <c r="AZ373" s="9" t="n"/>
      <c r="BA373" s="9" t="n"/>
      <c r="BB373" s="9" t="n"/>
      <c r="BC373" s="9" t="n"/>
      <c r="BD373" s="9" t="n"/>
      <c r="BE373" s="9" t="n"/>
      <c r="BF373" s="9" t="n"/>
      <c r="BG373" s="9" t="n"/>
      <c r="BH373" s="9" t="n"/>
      <c r="BI373" s="9" t="n"/>
      <c r="BJ373" s="9" t="n"/>
      <c r="BK373" s="9" t="n"/>
      <c r="BL373" s="9" t="n"/>
      <c r="BM373" s="9" t="n"/>
      <c r="BN373" s="9" t="n"/>
      <c r="BO373" s="8" t="n"/>
      <c r="BP373" s="9" t="n"/>
      <c r="BQ373" s="9" t="n"/>
      <c r="BR373" s="13">
        <f>IF(COUNTIF(AI373:BM373,"N")+COUNTBLANK(AI373:BM373)=0,"Y","N")</f>
        <v/>
      </c>
      <c r="BS373" s="13">
        <f>IF(AND(BR373="Y",OR(L373="Submitted",L373="Under Review")),"Y",IF(L373="Closed","Y","N"))</f>
        <v/>
      </c>
      <c r="BT373" s="10" t="n"/>
      <c r="BU373" s="13">
        <f>Rule_Flags!Q372</f>
        <v/>
      </c>
      <c r="BV373" s="13">
        <f>Rule_Flags!P372</f>
        <v/>
      </c>
      <c r="BW373" s="13">
        <f>IF(Rule_Flags!E372=1,"SITE_CONTROL",IF(Rule_Flags!F372=1,"APPROVALS",IF(Rule_Flags!G372=1,"REPORTS",IF(Rule_Flags!H372=1,"DEFICIENCY",IF(Rule_Flags!I372=1,"UNDERWRITING",IF(Rule_Flags!J372=1,"COMPLIANCE",""))))))</f>
        <v/>
      </c>
      <c r="BX373" s="13">
        <f>IF(BW373="SITE_CONTROL","Site control missing or invalid",IF(BW373="APPROVALS","Required approvals or resolutions incomplete",IF(BW373="REPORTS","Required third-party reports incomplete",IF(BW373="DEFICIENCY","Unresolved deficiency or material deficiency",IF(BW373="UNDERWRITING","Underwriting / feasibility not passed",IF(BW373="COMPLIANCE","Deconcentration, one-mile, LURA, or Chapter 12 issue","Ready under current engine rules"))))))</f>
        <v/>
      </c>
      <c r="BY373" s="13">
        <f>IF(BV373="Determination Notice","Streamlined + DN-ready assumptions satisfied",IF(BV373="Board","Board-required or board-ready assumptions satisfied",""))</f>
        <v/>
      </c>
      <c r="BZ373" s="13">
        <f>IF(AND(BP373="Y",BQ373&lt;&gt;"Y"),"Carryforward project retains queue priority",IF(BQ373="Y","New project enters behind carryforward projects",""))</f>
        <v/>
      </c>
      <c r="CA373" s="13">
        <f>_xludf.RANK.EQ(Rule_Flags!O372,Rule_Flags!$O$3:$O$402,0)</f>
        <v/>
      </c>
      <c r="CB373" s="13">
        <f>IF(OR(BU373="Determination Notice Issued",BU373="Board",BU373="Closed"),"Y","N")</f>
        <v/>
      </c>
      <c r="CC373" s="9" t="n"/>
      <c r="CD373" s="9" t="n"/>
      <c r="CE373" s="9" t="n"/>
      <c r="CF373" s="9" t="n"/>
      <c r="CG373" s="9" t="n"/>
      <c r="CH373" s="9" t="n"/>
    </row>
    <row r="374">
      <c r="A374" s="8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8" t="n"/>
      <c r="L374" s="9" t="n"/>
      <c r="M374" s="8" t="n"/>
      <c r="N374" s="8" t="n"/>
      <c r="O374" s="8" t="n"/>
      <c r="P374" s="8" t="n"/>
      <c r="Q374" s="8" t="n"/>
      <c r="R374" s="9" t="n"/>
      <c r="S374" s="9" t="n"/>
      <c r="T374" s="10" t="n"/>
      <c r="U374" s="10" t="n"/>
      <c r="V374" s="9" t="n"/>
      <c r="W374" s="9" t="n"/>
      <c r="X374" s="9" t="n"/>
      <c r="Y374" s="9" t="n"/>
      <c r="Z374" s="11" t="n"/>
      <c r="AA374" s="11" t="n"/>
      <c r="AB374" s="11" t="n"/>
      <c r="AC374" s="11" t="n"/>
      <c r="AD374" s="11" t="n"/>
      <c r="AE374" s="11" t="n"/>
      <c r="AF374" s="9" t="n"/>
      <c r="AG374" s="9" t="n"/>
      <c r="AH374" s="9" t="n"/>
      <c r="AI374" s="9" t="n"/>
      <c r="AJ374" s="8" t="n"/>
      <c r="AK374" s="9" t="n"/>
      <c r="AL374" s="9" t="n"/>
      <c r="AM374" s="9" t="n"/>
      <c r="AN374" s="9" t="n"/>
      <c r="AO374" s="9" t="n"/>
      <c r="AP374" s="9" t="n"/>
      <c r="AQ374" s="9" t="n"/>
      <c r="AR374" s="9" t="n"/>
      <c r="AS374" s="9" t="n"/>
      <c r="AT374" s="8" t="n"/>
      <c r="AU374" s="8" t="n"/>
      <c r="AV374" s="9" t="n"/>
      <c r="AW374" s="8" t="n"/>
      <c r="AX374" s="9" t="n"/>
      <c r="AY374" s="9" t="n"/>
      <c r="AZ374" s="9" t="n"/>
      <c r="BA374" s="9" t="n"/>
      <c r="BB374" s="9" t="n"/>
      <c r="BC374" s="9" t="n"/>
      <c r="BD374" s="9" t="n"/>
      <c r="BE374" s="9" t="n"/>
      <c r="BF374" s="9" t="n"/>
      <c r="BG374" s="9" t="n"/>
      <c r="BH374" s="9" t="n"/>
      <c r="BI374" s="9" t="n"/>
      <c r="BJ374" s="9" t="n"/>
      <c r="BK374" s="9" t="n"/>
      <c r="BL374" s="9" t="n"/>
      <c r="BM374" s="9" t="n"/>
      <c r="BN374" s="9" t="n"/>
      <c r="BO374" s="8" t="n"/>
      <c r="BP374" s="9" t="n"/>
      <c r="BQ374" s="9" t="n"/>
      <c r="BR374" s="13">
        <f>IF(COUNTIF(AI374:BM374,"N")+COUNTBLANK(AI374:BM374)=0,"Y","N")</f>
        <v/>
      </c>
      <c r="BS374" s="13">
        <f>IF(AND(BR374="Y",OR(L374="Submitted",L374="Under Review")),"Y",IF(L374="Closed","Y","N"))</f>
        <v/>
      </c>
      <c r="BT374" s="10" t="n"/>
      <c r="BU374" s="13">
        <f>Rule_Flags!Q373</f>
        <v/>
      </c>
      <c r="BV374" s="13">
        <f>Rule_Flags!P373</f>
        <v/>
      </c>
      <c r="BW374" s="13">
        <f>IF(Rule_Flags!E373=1,"SITE_CONTROL",IF(Rule_Flags!F373=1,"APPROVALS",IF(Rule_Flags!G373=1,"REPORTS",IF(Rule_Flags!H373=1,"DEFICIENCY",IF(Rule_Flags!I373=1,"UNDERWRITING",IF(Rule_Flags!J373=1,"COMPLIANCE",""))))))</f>
        <v/>
      </c>
      <c r="BX374" s="13">
        <f>IF(BW374="SITE_CONTROL","Site control missing or invalid",IF(BW374="APPROVALS","Required approvals or resolutions incomplete",IF(BW374="REPORTS","Required third-party reports incomplete",IF(BW374="DEFICIENCY","Unresolved deficiency or material deficiency",IF(BW374="UNDERWRITING","Underwriting / feasibility not passed",IF(BW374="COMPLIANCE","Deconcentration, one-mile, LURA, or Chapter 12 issue","Ready under current engine rules"))))))</f>
        <v/>
      </c>
      <c r="BY374" s="13">
        <f>IF(BV374="Determination Notice","Streamlined + DN-ready assumptions satisfied",IF(BV374="Board","Board-required or board-ready assumptions satisfied",""))</f>
        <v/>
      </c>
      <c r="BZ374" s="13">
        <f>IF(AND(BP374="Y",BQ374&lt;&gt;"Y"),"Carryforward project retains queue priority",IF(BQ374="Y","New project enters behind carryforward projects",""))</f>
        <v/>
      </c>
      <c r="CA374" s="13">
        <f>_xludf.RANK.EQ(Rule_Flags!O373,Rule_Flags!$O$3:$O$402,0)</f>
        <v/>
      </c>
      <c r="CB374" s="13">
        <f>IF(OR(BU374="Determination Notice Issued",BU374="Board",BU374="Closed"),"Y","N")</f>
        <v/>
      </c>
      <c r="CC374" s="9" t="n"/>
      <c r="CD374" s="9" t="n"/>
      <c r="CE374" s="9" t="n"/>
      <c r="CF374" s="9" t="n"/>
      <c r="CG374" s="9" t="n"/>
      <c r="CH374" s="9" t="n"/>
    </row>
    <row r="375">
      <c r="A375" s="8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8" t="n"/>
      <c r="L375" s="9" t="n"/>
      <c r="M375" s="8" t="n"/>
      <c r="N375" s="8" t="n"/>
      <c r="O375" s="8" t="n"/>
      <c r="P375" s="8" t="n"/>
      <c r="Q375" s="8" t="n"/>
      <c r="R375" s="9" t="n"/>
      <c r="S375" s="9" t="n"/>
      <c r="T375" s="10" t="n"/>
      <c r="U375" s="10" t="n"/>
      <c r="V375" s="9" t="n"/>
      <c r="W375" s="9" t="n"/>
      <c r="X375" s="9" t="n"/>
      <c r="Y375" s="9" t="n"/>
      <c r="Z375" s="11" t="n"/>
      <c r="AA375" s="11" t="n"/>
      <c r="AB375" s="11" t="n"/>
      <c r="AC375" s="11" t="n"/>
      <c r="AD375" s="11" t="n"/>
      <c r="AE375" s="11" t="n"/>
      <c r="AF375" s="9" t="n"/>
      <c r="AG375" s="9" t="n"/>
      <c r="AH375" s="9" t="n"/>
      <c r="AI375" s="9" t="n"/>
      <c r="AJ375" s="8" t="n"/>
      <c r="AK375" s="9" t="n"/>
      <c r="AL375" s="9" t="n"/>
      <c r="AM375" s="9" t="n"/>
      <c r="AN375" s="9" t="n"/>
      <c r="AO375" s="9" t="n"/>
      <c r="AP375" s="9" t="n"/>
      <c r="AQ375" s="9" t="n"/>
      <c r="AR375" s="9" t="n"/>
      <c r="AS375" s="9" t="n"/>
      <c r="AT375" s="8" t="n"/>
      <c r="AU375" s="8" t="n"/>
      <c r="AV375" s="9" t="n"/>
      <c r="AW375" s="8" t="n"/>
      <c r="AX375" s="9" t="n"/>
      <c r="AY375" s="9" t="n"/>
      <c r="AZ375" s="9" t="n"/>
      <c r="BA375" s="9" t="n"/>
      <c r="BB375" s="9" t="n"/>
      <c r="BC375" s="9" t="n"/>
      <c r="BD375" s="9" t="n"/>
      <c r="BE375" s="9" t="n"/>
      <c r="BF375" s="9" t="n"/>
      <c r="BG375" s="9" t="n"/>
      <c r="BH375" s="9" t="n"/>
      <c r="BI375" s="9" t="n"/>
      <c r="BJ375" s="9" t="n"/>
      <c r="BK375" s="9" t="n"/>
      <c r="BL375" s="9" t="n"/>
      <c r="BM375" s="9" t="n"/>
      <c r="BN375" s="9" t="n"/>
      <c r="BO375" s="8" t="n"/>
      <c r="BP375" s="9" t="n"/>
      <c r="BQ375" s="9" t="n"/>
      <c r="BR375" s="13">
        <f>IF(COUNTIF(AI375:BM375,"N")+COUNTBLANK(AI375:BM375)=0,"Y","N")</f>
        <v/>
      </c>
      <c r="BS375" s="13">
        <f>IF(AND(BR375="Y",OR(L375="Submitted",L375="Under Review")),"Y",IF(L375="Closed","Y","N"))</f>
        <v/>
      </c>
      <c r="BT375" s="10" t="n"/>
      <c r="BU375" s="13">
        <f>Rule_Flags!Q374</f>
        <v/>
      </c>
      <c r="BV375" s="13">
        <f>Rule_Flags!P374</f>
        <v/>
      </c>
      <c r="BW375" s="13">
        <f>IF(Rule_Flags!E374=1,"SITE_CONTROL",IF(Rule_Flags!F374=1,"APPROVALS",IF(Rule_Flags!G374=1,"REPORTS",IF(Rule_Flags!H374=1,"DEFICIENCY",IF(Rule_Flags!I374=1,"UNDERWRITING",IF(Rule_Flags!J374=1,"COMPLIANCE",""))))))</f>
        <v/>
      </c>
      <c r="BX375" s="13">
        <f>IF(BW375="SITE_CONTROL","Site control missing or invalid",IF(BW375="APPROVALS","Required approvals or resolutions incomplete",IF(BW375="REPORTS","Required third-party reports incomplete",IF(BW375="DEFICIENCY","Unresolved deficiency or material deficiency",IF(BW375="UNDERWRITING","Underwriting / feasibility not passed",IF(BW375="COMPLIANCE","Deconcentration, one-mile, LURA, or Chapter 12 issue","Ready under current engine rules"))))))</f>
        <v/>
      </c>
      <c r="BY375" s="13">
        <f>IF(BV375="Determination Notice","Streamlined + DN-ready assumptions satisfied",IF(BV375="Board","Board-required or board-ready assumptions satisfied",""))</f>
        <v/>
      </c>
      <c r="BZ375" s="13">
        <f>IF(AND(BP375="Y",BQ375&lt;&gt;"Y"),"Carryforward project retains queue priority",IF(BQ375="Y","New project enters behind carryforward projects",""))</f>
        <v/>
      </c>
      <c r="CA375" s="13">
        <f>_xludf.RANK.EQ(Rule_Flags!O374,Rule_Flags!$O$3:$O$402,0)</f>
        <v/>
      </c>
      <c r="CB375" s="13">
        <f>IF(OR(BU375="Determination Notice Issued",BU375="Board",BU375="Closed"),"Y","N")</f>
        <v/>
      </c>
      <c r="CC375" s="9" t="n"/>
      <c r="CD375" s="9" t="n"/>
      <c r="CE375" s="9" t="n"/>
      <c r="CF375" s="9" t="n"/>
      <c r="CG375" s="9" t="n"/>
      <c r="CH375" s="9" t="n"/>
    </row>
    <row r="376">
      <c r="A376" s="8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8" t="n"/>
      <c r="L376" s="9" t="n"/>
      <c r="M376" s="8" t="n"/>
      <c r="N376" s="8" t="n"/>
      <c r="O376" s="8" t="n"/>
      <c r="P376" s="8" t="n"/>
      <c r="Q376" s="8" t="n"/>
      <c r="R376" s="9" t="n"/>
      <c r="S376" s="9" t="n"/>
      <c r="T376" s="10" t="n"/>
      <c r="U376" s="10" t="n"/>
      <c r="V376" s="9" t="n"/>
      <c r="W376" s="9" t="n"/>
      <c r="X376" s="9" t="n"/>
      <c r="Y376" s="9" t="n"/>
      <c r="Z376" s="11" t="n"/>
      <c r="AA376" s="11" t="n"/>
      <c r="AB376" s="11" t="n"/>
      <c r="AC376" s="11" t="n"/>
      <c r="AD376" s="11" t="n"/>
      <c r="AE376" s="11" t="n"/>
      <c r="AF376" s="9" t="n"/>
      <c r="AG376" s="9" t="n"/>
      <c r="AH376" s="9" t="n"/>
      <c r="AI376" s="9" t="n"/>
      <c r="AJ376" s="8" t="n"/>
      <c r="AK376" s="9" t="n"/>
      <c r="AL376" s="9" t="n"/>
      <c r="AM376" s="9" t="n"/>
      <c r="AN376" s="9" t="n"/>
      <c r="AO376" s="9" t="n"/>
      <c r="AP376" s="9" t="n"/>
      <c r="AQ376" s="9" t="n"/>
      <c r="AR376" s="9" t="n"/>
      <c r="AS376" s="9" t="n"/>
      <c r="AT376" s="8" t="n"/>
      <c r="AU376" s="8" t="n"/>
      <c r="AV376" s="9" t="n"/>
      <c r="AW376" s="8" t="n"/>
      <c r="AX376" s="9" t="n"/>
      <c r="AY376" s="9" t="n"/>
      <c r="AZ376" s="9" t="n"/>
      <c r="BA376" s="9" t="n"/>
      <c r="BB376" s="9" t="n"/>
      <c r="BC376" s="9" t="n"/>
      <c r="BD376" s="9" t="n"/>
      <c r="BE376" s="9" t="n"/>
      <c r="BF376" s="9" t="n"/>
      <c r="BG376" s="9" t="n"/>
      <c r="BH376" s="9" t="n"/>
      <c r="BI376" s="9" t="n"/>
      <c r="BJ376" s="9" t="n"/>
      <c r="BK376" s="9" t="n"/>
      <c r="BL376" s="9" t="n"/>
      <c r="BM376" s="9" t="n"/>
      <c r="BN376" s="9" t="n"/>
      <c r="BO376" s="8" t="n"/>
      <c r="BP376" s="9" t="n"/>
      <c r="BQ376" s="9" t="n"/>
      <c r="BR376" s="13">
        <f>IF(COUNTIF(AI376:BM376,"N")+COUNTBLANK(AI376:BM376)=0,"Y","N")</f>
        <v/>
      </c>
      <c r="BS376" s="13">
        <f>IF(AND(BR376="Y",OR(L376="Submitted",L376="Under Review")),"Y",IF(L376="Closed","Y","N"))</f>
        <v/>
      </c>
      <c r="BT376" s="10" t="n"/>
      <c r="BU376" s="13">
        <f>Rule_Flags!Q375</f>
        <v/>
      </c>
      <c r="BV376" s="13">
        <f>Rule_Flags!P375</f>
        <v/>
      </c>
      <c r="BW376" s="13">
        <f>IF(Rule_Flags!E375=1,"SITE_CONTROL",IF(Rule_Flags!F375=1,"APPROVALS",IF(Rule_Flags!G375=1,"REPORTS",IF(Rule_Flags!H375=1,"DEFICIENCY",IF(Rule_Flags!I375=1,"UNDERWRITING",IF(Rule_Flags!J375=1,"COMPLIANCE",""))))))</f>
        <v/>
      </c>
      <c r="BX376" s="13">
        <f>IF(BW376="SITE_CONTROL","Site control missing or invalid",IF(BW376="APPROVALS","Required approvals or resolutions incomplete",IF(BW376="REPORTS","Required third-party reports incomplete",IF(BW376="DEFICIENCY","Unresolved deficiency or material deficiency",IF(BW376="UNDERWRITING","Underwriting / feasibility not passed",IF(BW376="COMPLIANCE","Deconcentration, one-mile, LURA, or Chapter 12 issue","Ready under current engine rules"))))))</f>
        <v/>
      </c>
      <c r="BY376" s="13">
        <f>IF(BV376="Determination Notice","Streamlined + DN-ready assumptions satisfied",IF(BV376="Board","Board-required or board-ready assumptions satisfied",""))</f>
        <v/>
      </c>
      <c r="BZ376" s="13">
        <f>IF(AND(BP376="Y",BQ376&lt;&gt;"Y"),"Carryforward project retains queue priority",IF(BQ376="Y","New project enters behind carryforward projects",""))</f>
        <v/>
      </c>
      <c r="CA376" s="13">
        <f>_xludf.RANK.EQ(Rule_Flags!O375,Rule_Flags!$O$3:$O$402,0)</f>
        <v/>
      </c>
      <c r="CB376" s="13">
        <f>IF(OR(BU376="Determination Notice Issued",BU376="Board",BU376="Closed"),"Y","N")</f>
        <v/>
      </c>
      <c r="CC376" s="9" t="n"/>
      <c r="CD376" s="9" t="n"/>
      <c r="CE376" s="9" t="n"/>
      <c r="CF376" s="9" t="n"/>
      <c r="CG376" s="9" t="n"/>
      <c r="CH376" s="9" t="n"/>
    </row>
    <row r="377">
      <c r="A377" s="8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8" t="n"/>
      <c r="L377" s="9" t="n"/>
      <c r="M377" s="8" t="n"/>
      <c r="N377" s="8" t="n"/>
      <c r="O377" s="8" t="n"/>
      <c r="P377" s="8" t="n"/>
      <c r="Q377" s="8" t="n"/>
      <c r="R377" s="9" t="n"/>
      <c r="S377" s="9" t="n"/>
      <c r="T377" s="10" t="n"/>
      <c r="U377" s="10" t="n"/>
      <c r="V377" s="9" t="n"/>
      <c r="W377" s="9" t="n"/>
      <c r="X377" s="9" t="n"/>
      <c r="Y377" s="9" t="n"/>
      <c r="Z377" s="11" t="n"/>
      <c r="AA377" s="11" t="n"/>
      <c r="AB377" s="11" t="n"/>
      <c r="AC377" s="11" t="n"/>
      <c r="AD377" s="11" t="n"/>
      <c r="AE377" s="11" t="n"/>
      <c r="AF377" s="9" t="n"/>
      <c r="AG377" s="9" t="n"/>
      <c r="AH377" s="9" t="n"/>
      <c r="AI377" s="9" t="n"/>
      <c r="AJ377" s="8" t="n"/>
      <c r="AK377" s="9" t="n"/>
      <c r="AL377" s="9" t="n"/>
      <c r="AM377" s="9" t="n"/>
      <c r="AN377" s="9" t="n"/>
      <c r="AO377" s="9" t="n"/>
      <c r="AP377" s="9" t="n"/>
      <c r="AQ377" s="9" t="n"/>
      <c r="AR377" s="9" t="n"/>
      <c r="AS377" s="9" t="n"/>
      <c r="AT377" s="8" t="n"/>
      <c r="AU377" s="8" t="n"/>
      <c r="AV377" s="9" t="n"/>
      <c r="AW377" s="8" t="n"/>
      <c r="AX377" s="9" t="n"/>
      <c r="AY377" s="9" t="n"/>
      <c r="AZ377" s="9" t="n"/>
      <c r="BA377" s="9" t="n"/>
      <c r="BB377" s="9" t="n"/>
      <c r="BC377" s="9" t="n"/>
      <c r="BD377" s="9" t="n"/>
      <c r="BE377" s="9" t="n"/>
      <c r="BF377" s="9" t="n"/>
      <c r="BG377" s="9" t="n"/>
      <c r="BH377" s="9" t="n"/>
      <c r="BI377" s="9" t="n"/>
      <c r="BJ377" s="9" t="n"/>
      <c r="BK377" s="9" t="n"/>
      <c r="BL377" s="9" t="n"/>
      <c r="BM377" s="9" t="n"/>
      <c r="BN377" s="9" t="n"/>
      <c r="BO377" s="8" t="n"/>
      <c r="BP377" s="9" t="n"/>
      <c r="BQ377" s="9" t="n"/>
      <c r="BR377" s="13">
        <f>IF(COUNTIF(AI377:BM377,"N")+COUNTBLANK(AI377:BM377)=0,"Y","N")</f>
        <v/>
      </c>
      <c r="BS377" s="13">
        <f>IF(AND(BR377="Y",OR(L377="Submitted",L377="Under Review")),"Y",IF(L377="Closed","Y","N"))</f>
        <v/>
      </c>
      <c r="BT377" s="10" t="n"/>
      <c r="BU377" s="13">
        <f>Rule_Flags!Q376</f>
        <v/>
      </c>
      <c r="BV377" s="13">
        <f>Rule_Flags!P376</f>
        <v/>
      </c>
      <c r="BW377" s="13">
        <f>IF(Rule_Flags!E376=1,"SITE_CONTROL",IF(Rule_Flags!F376=1,"APPROVALS",IF(Rule_Flags!G376=1,"REPORTS",IF(Rule_Flags!H376=1,"DEFICIENCY",IF(Rule_Flags!I376=1,"UNDERWRITING",IF(Rule_Flags!J376=1,"COMPLIANCE",""))))))</f>
        <v/>
      </c>
      <c r="BX377" s="13">
        <f>IF(BW377="SITE_CONTROL","Site control missing or invalid",IF(BW377="APPROVALS","Required approvals or resolutions incomplete",IF(BW377="REPORTS","Required third-party reports incomplete",IF(BW377="DEFICIENCY","Unresolved deficiency or material deficiency",IF(BW377="UNDERWRITING","Underwriting / feasibility not passed",IF(BW377="COMPLIANCE","Deconcentration, one-mile, LURA, or Chapter 12 issue","Ready under current engine rules"))))))</f>
        <v/>
      </c>
      <c r="BY377" s="13">
        <f>IF(BV377="Determination Notice","Streamlined + DN-ready assumptions satisfied",IF(BV377="Board","Board-required or board-ready assumptions satisfied",""))</f>
        <v/>
      </c>
      <c r="BZ377" s="13">
        <f>IF(AND(BP377="Y",BQ377&lt;&gt;"Y"),"Carryforward project retains queue priority",IF(BQ377="Y","New project enters behind carryforward projects",""))</f>
        <v/>
      </c>
      <c r="CA377" s="13">
        <f>_xludf.RANK.EQ(Rule_Flags!O376,Rule_Flags!$O$3:$O$402,0)</f>
        <v/>
      </c>
      <c r="CB377" s="13">
        <f>IF(OR(BU377="Determination Notice Issued",BU377="Board",BU377="Closed"),"Y","N")</f>
        <v/>
      </c>
      <c r="CC377" s="9" t="n"/>
      <c r="CD377" s="9" t="n"/>
      <c r="CE377" s="9" t="n"/>
      <c r="CF377" s="9" t="n"/>
      <c r="CG377" s="9" t="n"/>
      <c r="CH377" s="9" t="n"/>
    </row>
    <row r="378">
      <c r="A378" s="8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8" t="n"/>
      <c r="L378" s="9" t="n"/>
      <c r="M378" s="8" t="n"/>
      <c r="N378" s="8" t="n"/>
      <c r="O378" s="8" t="n"/>
      <c r="P378" s="8" t="n"/>
      <c r="Q378" s="8" t="n"/>
      <c r="R378" s="9" t="n"/>
      <c r="S378" s="9" t="n"/>
      <c r="T378" s="10" t="n"/>
      <c r="U378" s="10" t="n"/>
      <c r="V378" s="9" t="n"/>
      <c r="W378" s="9" t="n"/>
      <c r="X378" s="9" t="n"/>
      <c r="Y378" s="9" t="n"/>
      <c r="Z378" s="11" t="n"/>
      <c r="AA378" s="11" t="n"/>
      <c r="AB378" s="11" t="n"/>
      <c r="AC378" s="11" t="n"/>
      <c r="AD378" s="11" t="n"/>
      <c r="AE378" s="11" t="n"/>
      <c r="AF378" s="9" t="n"/>
      <c r="AG378" s="9" t="n"/>
      <c r="AH378" s="9" t="n"/>
      <c r="AI378" s="9" t="n"/>
      <c r="AJ378" s="8" t="n"/>
      <c r="AK378" s="9" t="n"/>
      <c r="AL378" s="9" t="n"/>
      <c r="AM378" s="9" t="n"/>
      <c r="AN378" s="9" t="n"/>
      <c r="AO378" s="9" t="n"/>
      <c r="AP378" s="9" t="n"/>
      <c r="AQ378" s="9" t="n"/>
      <c r="AR378" s="9" t="n"/>
      <c r="AS378" s="9" t="n"/>
      <c r="AT378" s="8" t="n"/>
      <c r="AU378" s="8" t="n"/>
      <c r="AV378" s="9" t="n"/>
      <c r="AW378" s="8" t="n"/>
      <c r="AX378" s="9" t="n"/>
      <c r="AY378" s="9" t="n"/>
      <c r="AZ378" s="9" t="n"/>
      <c r="BA378" s="9" t="n"/>
      <c r="BB378" s="9" t="n"/>
      <c r="BC378" s="9" t="n"/>
      <c r="BD378" s="9" t="n"/>
      <c r="BE378" s="9" t="n"/>
      <c r="BF378" s="9" t="n"/>
      <c r="BG378" s="9" t="n"/>
      <c r="BH378" s="9" t="n"/>
      <c r="BI378" s="9" t="n"/>
      <c r="BJ378" s="9" t="n"/>
      <c r="BK378" s="9" t="n"/>
      <c r="BL378" s="9" t="n"/>
      <c r="BM378" s="9" t="n"/>
      <c r="BN378" s="9" t="n"/>
      <c r="BO378" s="8" t="n"/>
      <c r="BP378" s="9" t="n"/>
      <c r="BQ378" s="9" t="n"/>
      <c r="BR378" s="13">
        <f>IF(COUNTIF(AI378:BM378,"N")+COUNTBLANK(AI378:BM378)=0,"Y","N")</f>
        <v/>
      </c>
      <c r="BS378" s="13">
        <f>IF(AND(BR378="Y",OR(L378="Submitted",L378="Under Review")),"Y",IF(L378="Closed","Y","N"))</f>
        <v/>
      </c>
      <c r="BT378" s="10" t="n"/>
      <c r="BU378" s="13">
        <f>Rule_Flags!Q377</f>
        <v/>
      </c>
      <c r="BV378" s="13">
        <f>Rule_Flags!P377</f>
        <v/>
      </c>
      <c r="BW378" s="13">
        <f>IF(Rule_Flags!E377=1,"SITE_CONTROL",IF(Rule_Flags!F377=1,"APPROVALS",IF(Rule_Flags!G377=1,"REPORTS",IF(Rule_Flags!H377=1,"DEFICIENCY",IF(Rule_Flags!I377=1,"UNDERWRITING",IF(Rule_Flags!J377=1,"COMPLIANCE",""))))))</f>
        <v/>
      </c>
      <c r="BX378" s="13">
        <f>IF(BW378="SITE_CONTROL","Site control missing or invalid",IF(BW378="APPROVALS","Required approvals or resolutions incomplete",IF(BW378="REPORTS","Required third-party reports incomplete",IF(BW378="DEFICIENCY","Unresolved deficiency or material deficiency",IF(BW378="UNDERWRITING","Underwriting / feasibility not passed",IF(BW378="COMPLIANCE","Deconcentration, one-mile, LURA, or Chapter 12 issue","Ready under current engine rules"))))))</f>
        <v/>
      </c>
      <c r="BY378" s="13">
        <f>IF(BV378="Determination Notice","Streamlined + DN-ready assumptions satisfied",IF(BV378="Board","Board-required or board-ready assumptions satisfied",""))</f>
        <v/>
      </c>
      <c r="BZ378" s="13">
        <f>IF(AND(BP378="Y",BQ378&lt;&gt;"Y"),"Carryforward project retains queue priority",IF(BQ378="Y","New project enters behind carryforward projects",""))</f>
        <v/>
      </c>
      <c r="CA378" s="13">
        <f>_xludf.RANK.EQ(Rule_Flags!O377,Rule_Flags!$O$3:$O$402,0)</f>
        <v/>
      </c>
      <c r="CB378" s="13">
        <f>IF(OR(BU378="Determination Notice Issued",BU378="Board",BU378="Closed"),"Y","N")</f>
        <v/>
      </c>
      <c r="CC378" s="9" t="n"/>
      <c r="CD378" s="9" t="n"/>
      <c r="CE378" s="9" t="n"/>
      <c r="CF378" s="9" t="n"/>
      <c r="CG378" s="9" t="n"/>
      <c r="CH378" s="9" t="n"/>
    </row>
    <row r="379">
      <c r="A379" s="8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8" t="n"/>
      <c r="L379" s="9" t="n"/>
      <c r="M379" s="8" t="n"/>
      <c r="N379" s="8" t="n"/>
      <c r="O379" s="8" t="n"/>
      <c r="P379" s="8" t="n"/>
      <c r="Q379" s="8" t="n"/>
      <c r="R379" s="9" t="n"/>
      <c r="S379" s="9" t="n"/>
      <c r="T379" s="10" t="n"/>
      <c r="U379" s="10" t="n"/>
      <c r="V379" s="9" t="n"/>
      <c r="W379" s="9" t="n"/>
      <c r="X379" s="9" t="n"/>
      <c r="Y379" s="9" t="n"/>
      <c r="Z379" s="11" t="n"/>
      <c r="AA379" s="11" t="n"/>
      <c r="AB379" s="11" t="n"/>
      <c r="AC379" s="11" t="n"/>
      <c r="AD379" s="11" t="n"/>
      <c r="AE379" s="11" t="n"/>
      <c r="AF379" s="9" t="n"/>
      <c r="AG379" s="9" t="n"/>
      <c r="AH379" s="9" t="n"/>
      <c r="AI379" s="9" t="n"/>
      <c r="AJ379" s="8" t="n"/>
      <c r="AK379" s="9" t="n"/>
      <c r="AL379" s="9" t="n"/>
      <c r="AM379" s="9" t="n"/>
      <c r="AN379" s="9" t="n"/>
      <c r="AO379" s="9" t="n"/>
      <c r="AP379" s="9" t="n"/>
      <c r="AQ379" s="9" t="n"/>
      <c r="AR379" s="9" t="n"/>
      <c r="AS379" s="9" t="n"/>
      <c r="AT379" s="8" t="n"/>
      <c r="AU379" s="8" t="n"/>
      <c r="AV379" s="9" t="n"/>
      <c r="AW379" s="8" t="n"/>
      <c r="AX379" s="9" t="n"/>
      <c r="AY379" s="9" t="n"/>
      <c r="AZ379" s="9" t="n"/>
      <c r="BA379" s="9" t="n"/>
      <c r="BB379" s="9" t="n"/>
      <c r="BC379" s="9" t="n"/>
      <c r="BD379" s="9" t="n"/>
      <c r="BE379" s="9" t="n"/>
      <c r="BF379" s="9" t="n"/>
      <c r="BG379" s="9" t="n"/>
      <c r="BH379" s="9" t="n"/>
      <c r="BI379" s="9" t="n"/>
      <c r="BJ379" s="9" t="n"/>
      <c r="BK379" s="9" t="n"/>
      <c r="BL379" s="9" t="n"/>
      <c r="BM379" s="9" t="n"/>
      <c r="BN379" s="9" t="n"/>
      <c r="BO379" s="8" t="n"/>
      <c r="BP379" s="9" t="n"/>
      <c r="BQ379" s="9" t="n"/>
      <c r="BR379" s="13">
        <f>IF(COUNTIF(AI379:BM379,"N")+COUNTBLANK(AI379:BM379)=0,"Y","N")</f>
        <v/>
      </c>
      <c r="BS379" s="13">
        <f>IF(AND(BR379="Y",OR(L379="Submitted",L379="Under Review")),"Y",IF(L379="Closed","Y","N"))</f>
        <v/>
      </c>
      <c r="BT379" s="10" t="n"/>
      <c r="BU379" s="13">
        <f>Rule_Flags!Q378</f>
        <v/>
      </c>
      <c r="BV379" s="13">
        <f>Rule_Flags!P378</f>
        <v/>
      </c>
      <c r="BW379" s="13">
        <f>IF(Rule_Flags!E378=1,"SITE_CONTROL",IF(Rule_Flags!F378=1,"APPROVALS",IF(Rule_Flags!G378=1,"REPORTS",IF(Rule_Flags!H378=1,"DEFICIENCY",IF(Rule_Flags!I378=1,"UNDERWRITING",IF(Rule_Flags!J378=1,"COMPLIANCE",""))))))</f>
        <v/>
      </c>
      <c r="BX379" s="13">
        <f>IF(BW379="SITE_CONTROL","Site control missing or invalid",IF(BW379="APPROVALS","Required approvals or resolutions incomplete",IF(BW379="REPORTS","Required third-party reports incomplete",IF(BW379="DEFICIENCY","Unresolved deficiency or material deficiency",IF(BW379="UNDERWRITING","Underwriting / feasibility not passed",IF(BW379="COMPLIANCE","Deconcentration, one-mile, LURA, or Chapter 12 issue","Ready under current engine rules"))))))</f>
        <v/>
      </c>
      <c r="BY379" s="13">
        <f>IF(BV379="Determination Notice","Streamlined + DN-ready assumptions satisfied",IF(BV379="Board","Board-required or board-ready assumptions satisfied",""))</f>
        <v/>
      </c>
      <c r="BZ379" s="13">
        <f>IF(AND(BP379="Y",BQ379&lt;&gt;"Y"),"Carryforward project retains queue priority",IF(BQ379="Y","New project enters behind carryforward projects",""))</f>
        <v/>
      </c>
      <c r="CA379" s="13">
        <f>_xludf.RANK.EQ(Rule_Flags!O378,Rule_Flags!$O$3:$O$402,0)</f>
        <v/>
      </c>
      <c r="CB379" s="13">
        <f>IF(OR(BU379="Determination Notice Issued",BU379="Board",BU379="Closed"),"Y","N")</f>
        <v/>
      </c>
      <c r="CC379" s="9" t="n"/>
      <c r="CD379" s="9" t="n"/>
      <c r="CE379" s="9" t="n"/>
      <c r="CF379" s="9" t="n"/>
      <c r="CG379" s="9" t="n"/>
      <c r="CH379" s="9" t="n"/>
    </row>
    <row r="380">
      <c r="A380" s="8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8" t="n"/>
      <c r="L380" s="9" t="n"/>
      <c r="M380" s="8" t="n"/>
      <c r="N380" s="8" t="n"/>
      <c r="O380" s="8" t="n"/>
      <c r="P380" s="8" t="n"/>
      <c r="Q380" s="8" t="n"/>
      <c r="R380" s="9" t="n"/>
      <c r="S380" s="9" t="n"/>
      <c r="T380" s="10" t="n"/>
      <c r="U380" s="10" t="n"/>
      <c r="V380" s="9" t="n"/>
      <c r="W380" s="9" t="n"/>
      <c r="X380" s="9" t="n"/>
      <c r="Y380" s="9" t="n"/>
      <c r="Z380" s="11" t="n"/>
      <c r="AA380" s="11" t="n"/>
      <c r="AB380" s="11" t="n"/>
      <c r="AC380" s="11" t="n"/>
      <c r="AD380" s="11" t="n"/>
      <c r="AE380" s="11" t="n"/>
      <c r="AF380" s="9" t="n"/>
      <c r="AG380" s="9" t="n"/>
      <c r="AH380" s="9" t="n"/>
      <c r="AI380" s="9" t="n"/>
      <c r="AJ380" s="8" t="n"/>
      <c r="AK380" s="9" t="n"/>
      <c r="AL380" s="9" t="n"/>
      <c r="AM380" s="9" t="n"/>
      <c r="AN380" s="9" t="n"/>
      <c r="AO380" s="9" t="n"/>
      <c r="AP380" s="9" t="n"/>
      <c r="AQ380" s="9" t="n"/>
      <c r="AR380" s="9" t="n"/>
      <c r="AS380" s="9" t="n"/>
      <c r="AT380" s="8" t="n"/>
      <c r="AU380" s="8" t="n"/>
      <c r="AV380" s="9" t="n"/>
      <c r="AW380" s="8" t="n"/>
      <c r="AX380" s="9" t="n"/>
      <c r="AY380" s="9" t="n"/>
      <c r="AZ380" s="9" t="n"/>
      <c r="BA380" s="9" t="n"/>
      <c r="BB380" s="9" t="n"/>
      <c r="BC380" s="9" t="n"/>
      <c r="BD380" s="9" t="n"/>
      <c r="BE380" s="9" t="n"/>
      <c r="BF380" s="9" t="n"/>
      <c r="BG380" s="9" t="n"/>
      <c r="BH380" s="9" t="n"/>
      <c r="BI380" s="9" t="n"/>
      <c r="BJ380" s="9" t="n"/>
      <c r="BK380" s="9" t="n"/>
      <c r="BL380" s="9" t="n"/>
      <c r="BM380" s="9" t="n"/>
      <c r="BN380" s="9" t="n"/>
      <c r="BO380" s="8" t="n"/>
      <c r="BP380" s="9" t="n"/>
      <c r="BQ380" s="9" t="n"/>
      <c r="BR380" s="13">
        <f>IF(COUNTIF(AI380:BM380,"N")+COUNTBLANK(AI380:BM380)=0,"Y","N")</f>
        <v/>
      </c>
      <c r="BS380" s="13">
        <f>IF(AND(BR380="Y",OR(L380="Submitted",L380="Under Review")),"Y",IF(L380="Closed","Y","N"))</f>
        <v/>
      </c>
      <c r="BT380" s="10" t="n"/>
      <c r="BU380" s="13">
        <f>Rule_Flags!Q379</f>
        <v/>
      </c>
      <c r="BV380" s="13">
        <f>Rule_Flags!P379</f>
        <v/>
      </c>
      <c r="BW380" s="13">
        <f>IF(Rule_Flags!E379=1,"SITE_CONTROL",IF(Rule_Flags!F379=1,"APPROVALS",IF(Rule_Flags!G379=1,"REPORTS",IF(Rule_Flags!H379=1,"DEFICIENCY",IF(Rule_Flags!I379=1,"UNDERWRITING",IF(Rule_Flags!J379=1,"COMPLIANCE",""))))))</f>
        <v/>
      </c>
      <c r="BX380" s="13">
        <f>IF(BW380="SITE_CONTROL","Site control missing or invalid",IF(BW380="APPROVALS","Required approvals or resolutions incomplete",IF(BW380="REPORTS","Required third-party reports incomplete",IF(BW380="DEFICIENCY","Unresolved deficiency or material deficiency",IF(BW380="UNDERWRITING","Underwriting / feasibility not passed",IF(BW380="COMPLIANCE","Deconcentration, one-mile, LURA, or Chapter 12 issue","Ready under current engine rules"))))))</f>
        <v/>
      </c>
      <c r="BY380" s="13">
        <f>IF(BV380="Determination Notice","Streamlined + DN-ready assumptions satisfied",IF(BV380="Board","Board-required or board-ready assumptions satisfied",""))</f>
        <v/>
      </c>
      <c r="BZ380" s="13">
        <f>IF(AND(BP380="Y",BQ380&lt;&gt;"Y"),"Carryforward project retains queue priority",IF(BQ380="Y","New project enters behind carryforward projects",""))</f>
        <v/>
      </c>
      <c r="CA380" s="13">
        <f>_xludf.RANK.EQ(Rule_Flags!O379,Rule_Flags!$O$3:$O$402,0)</f>
        <v/>
      </c>
      <c r="CB380" s="13">
        <f>IF(OR(BU380="Determination Notice Issued",BU380="Board",BU380="Closed"),"Y","N")</f>
        <v/>
      </c>
      <c r="CC380" s="9" t="n"/>
      <c r="CD380" s="9" t="n"/>
      <c r="CE380" s="9" t="n"/>
      <c r="CF380" s="9" t="n"/>
      <c r="CG380" s="9" t="n"/>
      <c r="CH380" s="9" t="n"/>
    </row>
    <row r="381">
      <c r="A381" s="8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8" t="n"/>
      <c r="L381" s="9" t="n"/>
      <c r="M381" s="8" t="n"/>
      <c r="N381" s="8" t="n"/>
      <c r="O381" s="8" t="n"/>
      <c r="P381" s="8" t="n"/>
      <c r="Q381" s="8" t="n"/>
      <c r="R381" s="9" t="n"/>
      <c r="S381" s="9" t="n"/>
      <c r="T381" s="10" t="n"/>
      <c r="U381" s="10" t="n"/>
      <c r="V381" s="9" t="n"/>
      <c r="W381" s="9" t="n"/>
      <c r="X381" s="9" t="n"/>
      <c r="Y381" s="9" t="n"/>
      <c r="Z381" s="11" t="n"/>
      <c r="AA381" s="11" t="n"/>
      <c r="AB381" s="11" t="n"/>
      <c r="AC381" s="11" t="n"/>
      <c r="AD381" s="11" t="n"/>
      <c r="AE381" s="11" t="n"/>
      <c r="AF381" s="9" t="n"/>
      <c r="AG381" s="9" t="n"/>
      <c r="AH381" s="9" t="n"/>
      <c r="AI381" s="9" t="n"/>
      <c r="AJ381" s="8" t="n"/>
      <c r="AK381" s="9" t="n"/>
      <c r="AL381" s="9" t="n"/>
      <c r="AM381" s="9" t="n"/>
      <c r="AN381" s="9" t="n"/>
      <c r="AO381" s="9" t="n"/>
      <c r="AP381" s="9" t="n"/>
      <c r="AQ381" s="9" t="n"/>
      <c r="AR381" s="9" t="n"/>
      <c r="AS381" s="9" t="n"/>
      <c r="AT381" s="8" t="n"/>
      <c r="AU381" s="8" t="n"/>
      <c r="AV381" s="9" t="n"/>
      <c r="AW381" s="8" t="n"/>
      <c r="AX381" s="9" t="n"/>
      <c r="AY381" s="9" t="n"/>
      <c r="AZ381" s="9" t="n"/>
      <c r="BA381" s="9" t="n"/>
      <c r="BB381" s="9" t="n"/>
      <c r="BC381" s="9" t="n"/>
      <c r="BD381" s="9" t="n"/>
      <c r="BE381" s="9" t="n"/>
      <c r="BF381" s="9" t="n"/>
      <c r="BG381" s="9" t="n"/>
      <c r="BH381" s="9" t="n"/>
      <c r="BI381" s="9" t="n"/>
      <c r="BJ381" s="9" t="n"/>
      <c r="BK381" s="9" t="n"/>
      <c r="BL381" s="9" t="n"/>
      <c r="BM381" s="9" t="n"/>
      <c r="BN381" s="9" t="n"/>
      <c r="BO381" s="8" t="n"/>
      <c r="BP381" s="9" t="n"/>
      <c r="BQ381" s="9" t="n"/>
      <c r="BR381" s="13">
        <f>IF(COUNTIF(AI381:BM381,"N")+COUNTBLANK(AI381:BM381)=0,"Y","N")</f>
        <v/>
      </c>
      <c r="BS381" s="13">
        <f>IF(AND(BR381="Y",OR(L381="Submitted",L381="Under Review")),"Y",IF(L381="Closed","Y","N"))</f>
        <v/>
      </c>
      <c r="BT381" s="10" t="n"/>
      <c r="BU381" s="13">
        <f>Rule_Flags!Q380</f>
        <v/>
      </c>
      <c r="BV381" s="13">
        <f>Rule_Flags!P380</f>
        <v/>
      </c>
      <c r="BW381" s="13">
        <f>IF(Rule_Flags!E380=1,"SITE_CONTROL",IF(Rule_Flags!F380=1,"APPROVALS",IF(Rule_Flags!G380=1,"REPORTS",IF(Rule_Flags!H380=1,"DEFICIENCY",IF(Rule_Flags!I380=1,"UNDERWRITING",IF(Rule_Flags!J380=1,"COMPLIANCE",""))))))</f>
        <v/>
      </c>
      <c r="BX381" s="13">
        <f>IF(BW381="SITE_CONTROL","Site control missing or invalid",IF(BW381="APPROVALS","Required approvals or resolutions incomplete",IF(BW381="REPORTS","Required third-party reports incomplete",IF(BW381="DEFICIENCY","Unresolved deficiency or material deficiency",IF(BW381="UNDERWRITING","Underwriting / feasibility not passed",IF(BW381="COMPLIANCE","Deconcentration, one-mile, LURA, or Chapter 12 issue","Ready under current engine rules"))))))</f>
        <v/>
      </c>
      <c r="BY381" s="13">
        <f>IF(BV381="Determination Notice","Streamlined + DN-ready assumptions satisfied",IF(BV381="Board","Board-required or board-ready assumptions satisfied",""))</f>
        <v/>
      </c>
      <c r="BZ381" s="13">
        <f>IF(AND(BP381="Y",BQ381&lt;&gt;"Y"),"Carryforward project retains queue priority",IF(BQ381="Y","New project enters behind carryforward projects",""))</f>
        <v/>
      </c>
      <c r="CA381" s="13">
        <f>_xludf.RANK.EQ(Rule_Flags!O380,Rule_Flags!$O$3:$O$402,0)</f>
        <v/>
      </c>
      <c r="CB381" s="13">
        <f>IF(OR(BU381="Determination Notice Issued",BU381="Board",BU381="Closed"),"Y","N")</f>
        <v/>
      </c>
      <c r="CC381" s="9" t="n"/>
      <c r="CD381" s="9" t="n"/>
      <c r="CE381" s="9" t="n"/>
      <c r="CF381" s="9" t="n"/>
      <c r="CG381" s="9" t="n"/>
      <c r="CH381" s="9" t="n"/>
    </row>
    <row r="382">
      <c r="A382" s="8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8" t="n"/>
      <c r="L382" s="9" t="n"/>
      <c r="M382" s="8" t="n"/>
      <c r="N382" s="8" t="n"/>
      <c r="O382" s="8" t="n"/>
      <c r="P382" s="8" t="n"/>
      <c r="Q382" s="8" t="n"/>
      <c r="R382" s="9" t="n"/>
      <c r="S382" s="9" t="n"/>
      <c r="T382" s="10" t="n"/>
      <c r="U382" s="10" t="n"/>
      <c r="V382" s="9" t="n"/>
      <c r="W382" s="9" t="n"/>
      <c r="X382" s="9" t="n"/>
      <c r="Y382" s="9" t="n"/>
      <c r="Z382" s="11" t="n"/>
      <c r="AA382" s="11" t="n"/>
      <c r="AB382" s="11" t="n"/>
      <c r="AC382" s="11" t="n"/>
      <c r="AD382" s="11" t="n"/>
      <c r="AE382" s="11" t="n"/>
      <c r="AF382" s="9" t="n"/>
      <c r="AG382" s="9" t="n"/>
      <c r="AH382" s="9" t="n"/>
      <c r="AI382" s="9" t="n"/>
      <c r="AJ382" s="8" t="n"/>
      <c r="AK382" s="9" t="n"/>
      <c r="AL382" s="9" t="n"/>
      <c r="AM382" s="9" t="n"/>
      <c r="AN382" s="9" t="n"/>
      <c r="AO382" s="9" t="n"/>
      <c r="AP382" s="9" t="n"/>
      <c r="AQ382" s="9" t="n"/>
      <c r="AR382" s="9" t="n"/>
      <c r="AS382" s="9" t="n"/>
      <c r="AT382" s="8" t="n"/>
      <c r="AU382" s="8" t="n"/>
      <c r="AV382" s="9" t="n"/>
      <c r="AW382" s="8" t="n"/>
      <c r="AX382" s="9" t="n"/>
      <c r="AY382" s="9" t="n"/>
      <c r="AZ382" s="9" t="n"/>
      <c r="BA382" s="9" t="n"/>
      <c r="BB382" s="9" t="n"/>
      <c r="BC382" s="9" t="n"/>
      <c r="BD382" s="9" t="n"/>
      <c r="BE382" s="9" t="n"/>
      <c r="BF382" s="9" t="n"/>
      <c r="BG382" s="9" t="n"/>
      <c r="BH382" s="9" t="n"/>
      <c r="BI382" s="9" t="n"/>
      <c r="BJ382" s="9" t="n"/>
      <c r="BK382" s="9" t="n"/>
      <c r="BL382" s="9" t="n"/>
      <c r="BM382" s="9" t="n"/>
      <c r="BN382" s="9" t="n"/>
      <c r="BO382" s="8" t="n"/>
      <c r="BP382" s="9" t="n"/>
      <c r="BQ382" s="9" t="n"/>
      <c r="BR382" s="13">
        <f>IF(COUNTIF(AI382:BM382,"N")+COUNTBLANK(AI382:BM382)=0,"Y","N")</f>
        <v/>
      </c>
      <c r="BS382" s="13">
        <f>IF(AND(BR382="Y",OR(L382="Submitted",L382="Under Review")),"Y",IF(L382="Closed","Y","N"))</f>
        <v/>
      </c>
      <c r="BT382" s="10" t="n"/>
      <c r="BU382" s="13">
        <f>Rule_Flags!Q381</f>
        <v/>
      </c>
      <c r="BV382" s="13">
        <f>Rule_Flags!P381</f>
        <v/>
      </c>
      <c r="BW382" s="13">
        <f>IF(Rule_Flags!E381=1,"SITE_CONTROL",IF(Rule_Flags!F381=1,"APPROVALS",IF(Rule_Flags!G381=1,"REPORTS",IF(Rule_Flags!H381=1,"DEFICIENCY",IF(Rule_Flags!I381=1,"UNDERWRITING",IF(Rule_Flags!J381=1,"COMPLIANCE",""))))))</f>
        <v/>
      </c>
      <c r="BX382" s="13">
        <f>IF(BW382="SITE_CONTROL","Site control missing or invalid",IF(BW382="APPROVALS","Required approvals or resolutions incomplete",IF(BW382="REPORTS","Required third-party reports incomplete",IF(BW382="DEFICIENCY","Unresolved deficiency or material deficiency",IF(BW382="UNDERWRITING","Underwriting / feasibility not passed",IF(BW382="COMPLIANCE","Deconcentration, one-mile, LURA, or Chapter 12 issue","Ready under current engine rules"))))))</f>
        <v/>
      </c>
      <c r="BY382" s="13">
        <f>IF(BV382="Determination Notice","Streamlined + DN-ready assumptions satisfied",IF(BV382="Board","Board-required or board-ready assumptions satisfied",""))</f>
        <v/>
      </c>
      <c r="BZ382" s="13">
        <f>IF(AND(BP382="Y",BQ382&lt;&gt;"Y"),"Carryforward project retains queue priority",IF(BQ382="Y","New project enters behind carryforward projects",""))</f>
        <v/>
      </c>
      <c r="CA382" s="13">
        <f>_xludf.RANK.EQ(Rule_Flags!O381,Rule_Flags!$O$3:$O$402,0)</f>
        <v/>
      </c>
      <c r="CB382" s="13">
        <f>IF(OR(BU382="Determination Notice Issued",BU382="Board",BU382="Closed"),"Y","N")</f>
        <v/>
      </c>
      <c r="CC382" s="9" t="n"/>
      <c r="CD382" s="9" t="n"/>
      <c r="CE382" s="9" t="n"/>
      <c r="CF382" s="9" t="n"/>
      <c r="CG382" s="9" t="n"/>
      <c r="CH382" s="9" t="n"/>
    </row>
    <row r="383">
      <c r="A383" s="8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8" t="n"/>
      <c r="L383" s="9" t="n"/>
      <c r="M383" s="8" t="n"/>
      <c r="N383" s="8" t="n"/>
      <c r="O383" s="8" t="n"/>
      <c r="P383" s="8" t="n"/>
      <c r="Q383" s="8" t="n"/>
      <c r="R383" s="9" t="n"/>
      <c r="S383" s="9" t="n"/>
      <c r="T383" s="10" t="n"/>
      <c r="U383" s="10" t="n"/>
      <c r="V383" s="9" t="n"/>
      <c r="W383" s="9" t="n"/>
      <c r="X383" s="9" t="n"/>
      <c r="Y383" s="9" t="n"/>
      <c r="Z383" s="11" t="n"/>
      <c r="AA383" s="11" t="n"/>
      <c r="AB383" s="11" t="n"/>
      <c r="AC383" s="11" t="n"/>
      <c r="AD383" s="11" t="n"/>
      <c r="AE383" s="11" t="n"/>
      <c r="AF383" s="9" t="n"/>
      <c r="AG383" s="9" t="n"/>
      <c r="AH383" s="9" t="n"/>
      <c r="AI383" s="9" t="n"/>
      <c r="AJ383" s="8" t="n"/>
      <c r="AK383" s="9" t="n"/>
      <c r="AL383" s="9" t="n"/>
      <c r="AM383" s="9" t="n"/>
      <c r="AN383" s="9" t="n"/>
      <c r="AO383" s="9" t="n"/>
      <c r="AP383" s="9" t="n"/>
      <c r="AQ383" s="9" t="n"/>
      <c r="AR383" s="9" t="n"/>
      <c r="AS383" s="9" t="n"/>
      <c r="AT383" s="8" t="n"/>
      <c r="AU383" s="8" t="n"/>
      <c r="AV383" s="9" t="n"/>
      <c r="AW383" s="8" t="n"/>
      <c r="AX383" s="9" t="n"/>
      <c r="AY383" s="9" t="n"/>
      <c r="AZ383" s="9" t="n"/>
      <c r="BA383" s="9" t="n"/>
      <c r="BB383" s="9" t="n"/>
      <c r="BC383" s="9" t="n"/>
      <c r="BD383" s="9" t="n"/>
      <c r="BE383" s="9" t="n"/>
      <c r="BF383" s="9" t="n"/>
      <c r="BG383" s="9" t="n"/>
      <c r="BH383" s="9" t="n"/>
      <c r="BI383" s="9" t="n"/>
      <c r="BJ383" s="9" t="n"/>
      <c r="BK383" s="9" t="n"/>
      <c r="BL383" s="9" t="n"/>
      <c r="BM383" s="9" t="n"/>
      <c r="BN383" s="9" t="n"/>
      <c r="BO383" s="8" t="n"/>
      <c r="BP383" s="9" t="n"/>
      <c r="BQ383" s="9" t="n"/>
      <c r="BR383" s="13">
        <f>IF(COUNTIF(AI383:BM383,"N")+COUNTBLANK(AI383:BM383)=0,"Y","N")</f>
        <v/>
      </c>
      <c r="BS383" s="13">
        <f>IF(AND(BR383="Y",OR(L383="Submitted",L383="Under Review")),"Y",IF(L383="Closed","Y","N"))</f>
        <v/>
      </c>
      <c r="BT383" s="10" t="n"/>
      <c r="BU383" s="13">
        <f>Rule_Flags!Q382</f>
        <v/>
      </c>
      <c r="BV383" s="13">
        <f>Rule_Flags!P382</f>
        <v/>
      </c>
      <c r="BW383" s="13">
        <f>IF(Rule_Flags!E382=1,"SITE_CONTROL",IF(Rule_Flags!F382=1,"APPROVALS",IF(Rule_Flags!G382=1,"REPORTS",IF(Rule_Flags!H382=1,"DEFICIENCY",IF(Rule_Flags!I382=1,"UNDERWRITING",IF(Rule_Flags!J382=1,"COMPLIANCE",""))))))</f>
        <v/>
      </c>
      <c r="BX383" s="13">
        <f>IF(BW383="SITE_CONTROL","Site control missing or invalid",IF(BW383="APPROVALS","Required approvals or resolutions incomplete",IF(BW383="REPORTS","Required third-party reports incomplete",IF(BW383="DEFICIENCY","Unresolved deficiency or material deficiency",IF(BW383="UNDERWRITING","Underwriting / feasibility not passed",IF(BW383="COMPLIANCE","Deconcentration, one-mile, LURA, or Chapter 12 issue","Ready under current engine rules"))))))</f>
        <v/>
      </c>
      <c r="BY383" s="13">
        <f>IF(BV383="Determination Notice","Streamlined + DN-ready assumptions satisfied",IF(BV383="Board","Board-required or board-ready assumptions satisfied",""))</f>
        <v/>
      </c>
      <c r="BZ383" s="13">
        <f>IF(AND(BP383="Y",BQ383&lt;&gt;"Y"),"Carryforward project retains queue priority",IF(BQ383="Y","New project enters behind carryforward projects",""))</f>
        <v/>
      </c>
      <c r="CA383" s="13">
        <f>_xludf.RANK.EQ(Rule_Flags!O382,Rule_Flags!$O$3:$O$402,0)</f>
        <v/>
      </c>
      <c r="CB383" s="13">
        <f>IF(OR(BU383="Determination Notice Issued",BU383="Board",BU383="Closed"),"Y","N")</f>
        <v/>
      </c>
      <c r="CC383" s="9" t="n"/>
      <c r="CD383" s="9" t="n"/>
      <c r="CE383" s="9" t="n"/>
      <c r="CF383" s="9" t="n"/>
      <c r="CG383" s="9" t="n"/>
      <c r="CH383" s="9" t="n"/>
    </row>
    <row r="384">
      <c r="A384" s="8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8" t="n"/>
      <c r="L384" s="9" t="n"/>
      <c r="M384" s="8" t="n"/>
      <c r="N384" s="8" t="n"/>
      <c r="O384" s="8" t="n"/>
      <c r="P384" s="8" t="n"/>
      <c r="Q384" s="8" t="n"/>
      <c r="R384" s="9" t="n"/>
      <c r="S384" s="9" t="n"/>
      <c r="T384" s="10" t="n"/>
      <c r="U384" s="10" t="n"/>
      <c r="V384" s="9" t="n"/>
      <c r="W384" s="9" t="n"/>
      <c r="X384" s="9" t="n"/>
      <c r="Y384" s="9" t="n"/>
      <c r="Z384" s="11" t="n"/>
      <c r="AA384" s="11" t="n"/>
      <c r="AB384" s="11" t="n"/>
      <c r="AC384" s="11" t="n"/>
      <c r="AD384" s="11" t="n"/>
      <c r="AE384" s="11" t="n"/>
      <c r="AF384" s="9" t="n"/>
      <c r="AG384" s="9" t="n"/>
      <c r="AH384" s="9" t="n"/>
      <c r="AI384" s="9" t="n"/>
      <c r="AJ384" s="8" t="n"/>
      <c r="AK384" s="9" t="n"/>
      <c r="AL384" s="9" t="n"/>
      <c r="AM384" s="9" t="n"/>
      <c r="AN384" s="9" t="n"/>
      <c r="AO384" s="9" t="n"/>
      <c r="AP384" s="9" t="n"/>
      <c r="AQ384" s="9" t="n"/>
      <c r="AR384" s="9" t="n"/>
      <c r="AS384" s="9" t="n"/>
      <c r="AT384" s="8" t="n"/>
      <c r="AU384" s="8" t="n"/>
      <c r="AV384" s="9" t="n"/>
      <c r="AW384" s="8" t="n"/>
      <c r="AX384" s="9" t="n"/>
      <c r="AY384" s="9" t="n"/>
      <c r="AZ384" s="9" t="n"/>
      <c r="BA384" s="9" t="n"/>
      <c r="BB384" s="9" t="n"/>
      <c r="BC384" s="9" t="n"/>
      <c r="BD384" s="9" t="n"/>
      <c r="BE384" s="9" t="n"/>
      <c r="BF384" s="9" t="n"/>
      <c r="BG384" s="9" t="n"/>
      <c r="BH384" s="9" t="n"/>
      <c r="BI384" s="9" t="n"/>
      <c r="BJ384" s="9" t="n"/>
      <c r="BK384" s="9" t="n"/>
      <c r="BL384" s="9" t="n"/>
      <c r="BM384" s="9" t="n"/>
      <c r="BN384" s="9" t="n"/>
      <c r="BO384" s="8" t="n"/>
      <c r="BP384" s="9" t="n"/>
      <c r="BQ384" s="9" t="n"/>
      <c r="BR384" s="13">
        <f>IF(COUNTIF(AI384:BM384,"N")+COUNTBLANK(AI384:BM384)=0,"Y","N")</f>
        <v/>
      </c>
      <c r="BS384" s="13">
        <f>IF(AND(BR384="Y",OR(L384="Submitted",L384="Under Review")),"Y",IF(L384="Closed","Y","N"))</f>
        <v/>
      </c>
      <c r="BT384" s="10" t="n"/>
      <c r="BU384" s="13">
        <f>Rule_Flags!Q383</f>
        <v/>
      </c>
      <c r="BV384" s="13">
        <f>Rule_Flags!P383</f>
        <v/>
      </c>
      <c r="BW384" s="13">
        <f>IF(Rule_Flags!E383=1,"SITE_CONTROL",IF(Rule_Flags!F383=1,"APPROVALS",IF(Rule_Flags!G383=1,"REPORTS",IF(Rule_Flags!H383=1,"DEFICIENCY",IF(Rule_Flags!I383=1,"UNDERWRITING",IF(Rule_Flags!J383=1,"COMPLIANCE",""))))))</f>
        <v/>
      </c>
      <c r="BX384" s="13">
        <f>IF(BW384="SITE_CONTROL","Site control missing or invalid",IF(BW384="APPROVALS","Required approvals or resolutions incomplete",IF(BW384="REPORTS","Required third-party reports incomplete",IF(BW384="DEFICIENCY","Unresolved deficiency or material deficiency",IF(BW384="UNDERWRITING","Underwriting / feasibility not passed",IF(BW384="COMPLIANCE","Deconcentration, one-mile, LURA, or Chapter 12 issue","Ready under current engine rules"))))))</f>
        <v/>
      </c>
      <c r="BY384" s="13">
        <f>IF(BV384="Determination Notice","Streamlined + DN-ready assumptions satisfied",IF(BV384="Board","Board-required or board-ready assumptions satisfied",""))</f>
        <v/>
      </c>
      <c r="BZ384" s="13">
        <f>IF(AND(BP384="Y",BQ384&lt;&gt;"Y"),"Carryforward project retains queue priority",IF(BQ384="Y","New project enters behind carryforward projects",""))</f>
        <v/>
      </c>
      <c r="CA384" s="13">
        <f>_xludf.RANK.EQ(Rule_Flags!O383,Rule_Flags!$O$3:$O$402,0)</f>
        <v/>
      </c>
      <c r="CB384" s="13">
        <f>IF(OR(BU384="Determination Notice Issued",BU384="Board",BU384="Closed"),"Y","N")</f>
        <v/>
      </c>
      <c r="CC384" s="9" t="n"/>
      <c r="CD384" s="9" t="n"/>
      <c r="CE384" s="9" t="n"/>
      <c r="CF384" s="9" t="n"/>
      <c r="CG384" s="9" t="n"/>
      <c r="CH384" s="9" t="n"/>
    </row>
    <row r="385">
      <c r="A385" s="8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8" t="n"/>
      <c r="L385" s="9" t="n"/>
      <c r="M385" s="8" t="n"/>
      <c r="N385" s="8" t="n"/>
      <c r="O385" s="8" t="n"/>
      <c r="P385" s="8" t="n"/>
      <c r="Q385" s="8" t="n"/>
      <c r="R385" s="9" t="n"/>
      <c r="S385" s="9" t="n"/>
      <c r="T385" s="10" t="n"/>
      <c r="U385" s="10" t="n"/>
      <c r="V385" s="9" t="n"/>
      <c r="W385" s="9" t="n"/>
      <c r="X385" s="9" t="n"/>
      <c r="Y385" s="9" t="n"/>
      <c r="Z385" s="11" t="n"/>
      <c r="AA385" s="11" t="n"/>
      <c r="AB385" s="11" t="n"/>
      <c r="AC385" s="11" t="n"/>
      <c r="AD385" s="11" t="n"/>
      <c r="AE385" s="11" t="n"/>
      <c r="AF385" s="9" t="n"/>
      <c r="AG385" s="9" t="n"/>
      <c r="AH385" s="9" t="n"/>
      <c r="AI385" s="9" t="n"/>
      <c r="AJ385" s="8" t="n"/>
      <c r="AK385" s="9" t="n"/>
      <c r="AL385" s="9" t="n"/>
      <c r="AM385" s="9" t="n"/>
      <c r="AN385" s="9" t="n"/>
      <c r="AO385" s="9" t="n"/>
      <c r="AP385" s="9" t="n"/>
      <c r="AQ385" s="9" t="n"/>
      <c r="AR385" s="9" t="n"/>
      <c r="AS385" s="9" t="n"/>
      <c r="AT385" s="8" t="n"/>
      <c r="AU385" s="8" t="n"/>
      <c r="AV385" s="9" t="n"/>
      <c r="AW385" s="8" t="n"/>
      <c r="AX385" s="9" t="n"/>
      <c r="AY385" s="9" t="n"/>
      <c r="AZ385" s="9" t="n"/>
      <c r="BA385" s="9" t="n"/>
      <c r="BB385" s="9" t="n"/>
      <c r="BC385" s="9" t="n"/>
      <c r="BD385" s="9" t="n"/>
      <c r="BE385" s="9" t="n"/>
      <c r="BF385" s="9" t="n"/>
      <c r="BG385" s="9" t="n"/>
      <c r="BH385" s="9" t="n"/>
      <c r="BI385" s="9" t="n"/>
      <c r="BJ385" s="9" t="n"/>
      <c r="BK385" s="9" t="n"/>
      <c r="BL385" s="9" t="n"/>
      <c r="BM385" s="9" t="n"/>
      <c r="BN385" s="9" t="n"/>
      <c r="BO385" s="8" t="n"/>
      <c r="BP385" s="9" t="n"/>
      <c r="BQ385" s="9" t="n"/>
      <c r="BR385" s="13">
        <f>IF(COUNTIF(AI385:BM385,"N")+COUNTBLANK(AI385:BM385)=0,"Y","N")</f>
        <v/>
      </c>
      <c r="BS385" s="13">
        <f>IF(AND(BR385="Y",OR(L385="Submitted",L385="Under Review")),"Y",IF(L385="Closed","Y","N"))</f>
        <v/>
      </c>
      <c r="BT385" s="10" t="n"/>
      <c r="BU385" s="13">
        <f>Rule_Flags!Q384</f>
        <v/>
      </c>
      <c r="BV385" s="13">
        <f>Rule_Flags!P384</f>
        <v/>
      </c>
      <c r="BW385" s="13">
        <f>IF(Rule_Flags!E384=1,"SITE_CONTROL",IF(Rule_Flags!F384=1,"APPROVALS",IF(Rule_Flags!G384=1,"REPORTS",IF(Rule_Flags!H384=1,"DEFICIENCY",IF(Rule_Flags!I384=1,"UNDERWRITING",IF(Rule_Flags!J384=1,"COMPLIANCE",""))))))</f>
        <v/>
      </c>
      <c r="BX385" s="13">
        <f>IF(BW385="SITE_CONTROL","Site control missing or invalid",IF(BW385="APPROVALS","Required approvals or resolutions incomplete",IF(BW385="REPORTS","Required third-party reports incomplete",IF(BW385="DEFICIENCY","Unresolved deficiency or material deficiency",IF(BW385="UNDERWRITING","Underwriting / feasibility not passed",IF(BW385="COMPLIANCE","Deconcentration, one-mile, LURA, or Chapter 12 issue","Ready under current engine rules"))))))</f>
        <v/>
      </c>
      <c r="BY385" s="13">
        <f>IF(BV385="Determination Notice","Streamlined + DN-ready assumptions satisfied",IF(BV385="Board","Board-required or board-ready assumptions satisfied",""))</f>
        <v/>
      </c>
      <c r="BZ385" s="13">
        <f>IF(AND(BP385="Y",BQ385&lt;&gt;"Y"),"Carryforward project retains queue priority",IF(BQ385="Y","New project enters behind carryforward projects",""))</f>
        <v/>
      </c>
      <c r="CA385" s="13">
        <f>_xludf.RANK.EQ(Rule_Flags!O384,Rule_Flags!$O$3:$O$402,0)</f>
        <v/>
      </c>
      <c r="CB385" s="13">
        <f>IF(OR(BU385="Determination Notice Issued",BU385="Board",BU385="Closed"),"Y","N")</f>
        <v/>
      </c>
      <c r="CC385" s="9" t="n"/>
      <c r="CD385" s="9" t="n"/>
      <c r="CE385" s="9" t="n"/>
      <c r="CF385" s="9" t="n"/>
      <c r="CG385" s="9" t="n"/>
      <c r="CH385" s="9" t="n"/>
    </row>
    <row r="386">
      <c r="A386" s="8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8" t="n"/>
      <c r="L386" s="9" t="n"/>
      <c r="M386" s="8" t="n"/>
      <c r="N386" s="8" t="n"/>
      <c r="O386" s="8" t="n"/>
      <c r="P386" s="8" t="n"/>
      <c r="Q386" s="8" t="n"/>
      <c r="R386" s="9" t="n"/>
      <c r="S386" s="9" t="n"/>
      <c r="T386" s="10" t="n"/>
      <c r="U386" s="10" t="n"/>
      <c r="V386" s="9" t="n"/>
      <c r="W386" s="9" t="n"/>
      <c r="X386" s="9" t="n"/>
      <c r="Y386" s="9" t="n"/>
      <c r="Z386" s="11" t="n"/>
      <c r="AA386" s="11" t="n"/>
      <c r="AB386" s="11" t="n"/>
      <c r="AC386" s="11" t="n"/>
      <c r="AD386" s="11" t="n"/>
      <c r="AE386" s="11" t="n"/>
      <c r="AF386" s="9" t="n"/>
      <c r="AG386" s="9" t="n"/>
      <c r="AH386" s="9" t="n"/>
      <c r="AI386" s="9" t="n"/>
      <c r="AJ386" s="8" t="n"/>
      <c r="AK386" s="9" t="n"/>
      <c r="AL386" s="9" t="n"/>
      <c r="AM386" s="9" t="n"/>
      <c r="AN386" s="9" t="n"/>
      <c r="AO386" s="9" t="n"/>
      <c r="AP386" s="9" t="n"/>
      <c r="AQ386" s="9" t="n"/>
      <c r="AR386" s="9" t="n"/>
      <c r="AS386" s="9" t="n"/>
      <c r="AT386" s="8" t="n"/>
      <c r="AU386" s="8" t="n"/>
      <c r="AV386" s="9" t="n"/>
      <c r="AW386" s="8" t="n"/>
      <c r="AX386" s="9" t="n"/>
      <c r="AY386" s="9" t="n"/>
      <c r="AZ386" s="9" t="n"/>
      <c r="BA386" s="9" t="n"/>
      <c r="BB386" s="9" t="n"/>
      <c r="BC386" s="9" t="n"/>
      <c r="BD386" s="9" t="n"/>
      <c r="BE386" s="9" t="n"/>
      <c r="BF386" s="9" t="n"/>
      <c r="BG386" s="9" t="n"/>
      <c r="BH386" s="9" t="n"/>
      <c r="BI386" s="9" t="n"/>
      <c r="BJ386" s="9" t="n"/>
      <c r="BK386" s="9" t="n"/>
      <c r="BL386" s="9" t="n"/>
      <c r="BM386" s="9" t="n"/>
      <c r="BN386" s="9" t="n"/>
      <c r="BO386" s="8" t="n"/>
      <c r="BP386" s="9" t="n"/>
      <c r="BQ386" s="9" t="n"/>
      <c r="BR386" s="13">
        <f>IF(COUNTIF(AI386:BM386,"N")+COUNTBLANK(AI386:BM386)=0,"Y","N")</f>
        <v/>
      </c>
      <c r="BS386" s="13">
        <f>IF(AND(BR386="Y",OR(L386="Submitted",L386="Under Review")),"Y",IF(L386="Closed","Y","N"))</f>
        <v/>
      </c>
      <c r="BT386" s="10" t="n"/>
      <c r="BU386" s="13">
        <f>Rule_Flags!Q385</f>
        <v/>
      </c>
      <c r="BV386" s="13">
        <f>Rule_Flags!P385</f>
        <v/>
      </c>
      <c r="BW386" s="13">
        <f>IF(Rule_Flags!E385=1,"SITE_CONTROL",IF(Rule_Flags!F385=1,"APPROVALS",IF(Rule_Flags!G385=1,"REPORTS",IF(Rule_Flags!H385=1,"DEFICIENCY",IF(Rule_Flags!I385=1,"UNDERWRITING",IF(Rule_Flags!J385=1,"COMPLIANCE",""))))))</f>
        <v/>
      </c>
      <c r="BX386" s="13">
        <f>IF(BW386="SITE_CONTROL","Site control missing or invalid",IF(BW386="APPROVALS","Required approvals or resolutions incomplete",IF(BW386="REPORTS","Required third-party reports incomplete",IF(BW386="DEFICIENCY","Unresolved deficiency or material deficiency",IF(BW386="UNDERWRITING","Underwriting / feasibility not passed",IF(BW386="COMPLIANCE","Deconcentration, one-mile, LURA, or Chapter 12 issue","Ready under current engine rules"))))))</f>
        <v/>
      </c>
      <c r="BY386" s="13">
        <f>IF(BV386="Determination Notice","Streamlined + DN-ready assumptions satisfied",IF(BV386="Board","Board-required or board-ready assumptions satisfied",""))</f>
        <v/>
      </c>
      <c r="BZ386" s="13">
        <f>IF(AND(BP386="Y",BQ386&lt;&gt;"Y"),"Carryforward project retains queue priority",IF(BQ386="Y","New project enters behind carryforward projects",""))</f>
        <v/>
      </c>
      <c r="CA386" s="13">
        <f>_xludf.RANK.EQ(Rule_Flags!O385,Rule_Flags!$O$3:$O$402,0)</f>
        <v/>
      </c>
      <c r="CB386" s="13">
        <f>IF(OR(BU386="Determination Notice Issued",BU386="Board",BU386="Closed"),"Y","N")</f>
        <v/>
      </c>
      <c r="CC386" s="9" t="n"/>
      <c r="CD386" s="9" t="n"/>
      <c r="CE386" s="9" t="n"/>
      <c r="CF386" s="9" t="n"/>
      <c r="CG386" s="9" t="n"/>
      <c r="CH386" s="9" t="n"/>
    </row>
    <row r="387">
      <c r="A387" s="8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8" t="n"/>
      <c r="L387" s="9" t="n"/>
      <c r="M387" s="8" t="n"/>
      <c r="N387" s="8" t="n"/>
      <c r="O387" s="8" t="n"/>
      <c r="P387" s="8" t="n"/>
      <c r="Q387" s="8" t="n"/>
      <c r="R387" s="9" t="n"/>
      <c r="S387" s="9" t="n"/>
      <c r="T387" s="10" t="n"/>
      <c r="U387" s="10" t="n"/>
      <c r="V387" s="9" t="n"/>
      <c r="W387" s="9" t="n"/>
      <c r="X387" s="9" t="n"/>
      <c r="Y387" s="9" t="n"/>
      <c r="Z387" s="11" t="n"/>
      <c r="AA387" s="11" t="n"/>
      <c r="AB387" s="11" t="n"/>
      <c r="AC387" s="11" t="n"/>
      <c r="AD387" s="11" t="n"/>
      <c r="AE387" s="11" t="n"/>
      <c r="AF387" s="9" t="n"/>
      <c r="AG387" s="9" t="n"/>
      <c r="AH387" s="9" t="n"/>
      <c r="AI387" s="9" t="n"/>
      <c r="AJ387" s="8" t="n"/>
      <c r="AK387" s="9" t="n"/>
      <c r="AL387" s="9" t="n"/>
      <c r="AM387" s="9" t="n"/>
      <c r="AN387" s="9" t="n"/>
      <c r="AO387" s="9" t="n"/>
      <c r="AP387" s="9" t="n"/>
      <c r="AQ387" s="9" t="n"/>
      <c r="AR387" s="9" t="n"/>
      <c r="AS387" s="9" t="n"/>
      <c r="AT387" s="8" t="n"/>
      <c r="AU387" s="8" t="n"/>
      <c r="AV387" s="9" t="n"/>
      <c r="AW387" s="8" t="n"/>
      <c r="AX387" s="9" t="n"/>
      <c r="AY387" s="9" t="n"/>
      <c r="AZ387" s="9" t="n"/>
      <c r="BA387" s="9" t="n"/>
      <c r="BB387" s="9" t="n"/>
      <c r="BC387" s="9" t="n"/>
      <c r="BD387" s="9" t="n"/>
      <c r="BE387" s="9" t="n"/>
      <c r="BF387" s="9" t="n"/>
      <c r="BG387" s="9" t="n"/>
      <c r="BH387" s="9" t="n"/>
      <c r="BI387" s="9" t="n"/>
      <c r="BJ387" s="9" t="n"/>
      <c r="BK387" s="9" t="n"/>
      <c r="BL387" s="9" t="n"/>
      <c r="BM387" s="9" t="n"/>
      <c r="BN387" s="9" t="n"/>
      <c r="BO387" s="8" t="n"/>
      <c r="BP387" s="9" t="n"/>
      <c r="BQ387" s="9" t="n"/>
      <c r="BR387" s="13">
        <f>IF(COUNTIF(AI387:BM387,"N")+COUNTBLANK(AI387:BM387)=0,"Y","N")</f>
        <v/>
      </c>
      <c r="BS387" s="13">
        <f>IF(AND(BR387="Y",OR(L387="Submitted",L387="Under Review")),"Y",IF(L387="Closed","Y","N"))</f>
        <v/>
      </c>
      <c r="BT387" s="10" t="n"/>
      <c r="BU387" s="13">
        <f>Rule_Flags!Q386</f>
        <v/>
      </c>
      <c r="BV387" s="13">
        <f>Rule_Flags!P386</f>
        <v/>
      </c>
      <c r="BW387" s="13">
        <f>IF(Rule_Flags!E386=1,"SITE_CONTROL",IF(Rule_Flags!F386=1,"APPROVALS",IF(Rule_Flags!G386=1,"REPORTS",IF(Rule_Flags!H386=1,"DEFICIENCY",IF(Rule_Flags!I386=1,"UNDERWRITING",IF(Rule_Flags!J386=1,"COMPLIANCE",""))))))</f>
        <v/>
      </c>
      <c r="BX387" s="13">
        <f>IF(BW387="SITE_CONTROL","Site control missing or invalid",IF(BW387="APPROVALS","Required approvals or resolutions incomplete",IF(BW387="REPORTS","Required third-party reports incomplete",IF(BW387="DEFICIENCY","Unresolved deficiency or material deficiency",IF(BW387="UNDERWRITING","Underwriting / feasibility not passed",IF(BW387="COMPLIANCE","Deconcentration, one-mile, LURA, or Chapter 12 issue","Ready under current engine rules"))))))</f>
        <v/>
      </c>
      <c r="BY387" s="13">
        <f>IF(BV387="Determination Notice","Streamlined + DN-ready assumptions satisfied",IF(BV387="Board","Board-required or board-ready assumptions satisfied",""))</f>
        <v/>
      </c>
      <c r="BZ387" s="13">
        <f>IF(AND(BP387="Y",BQ387&lt;&gt;"Y"),"Carryforward project retains queue priority",IF(BQ387="Y","New project enters behind carryforward projects",""))</f>
        <v/>
      </c>
      <c r="CA387" s="13">
        <f>_xludf.RANK.EQ(Rule_Flags!O386,Rule_Flags!$O$3:$O$402,0)</f>
        <v/>
      </c>
      <c r="CB387" s="13">
        <f>IF(OR(BU387="Determination Notice Issued",BU387="Board",BU387="Closed"),"Y","N")</f>
        <v/>
      </c>
      <c r="CC387" s="9" t="n"/>
      <c r="CD387" s="9" t="n"/>
      <c r="CE387" s="9" t="n"/>
      <c r="CF387" s="9" t="n"/>
      <c r="CG387" s="9" t="n"/>
      <c r="CH387" s="9" t="n"/>
    </row>
    <row r="388">
      <c r="A388" s="8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8" t="n"/>
      <c r="L388" s="9" t="n"/>
      <c r="M388" s="8" t="n"/>
      <c r="N388" s="8" t="n"/>
      <c r="O388" s="8" t="n"/>
      <c r="P388" s="8" t="n"/>
      <c r="Q388" s="8" t="n"/>
      <c r="R388" s="9" t="n"/>
      <c r="S388" s="9" t="n"/>
      <c r="T388" s="10" t="n"/>
      <c r="U388" s="10" t="n"/>
      <c r="V388" s="9" t="n"/>
      <c r="W388" s="9" t="n"/>
      <c r="X388" s="9" t="n"/>
      <c r="Y388" s="9" t="n"/>
      <c r="Z388" s="11" t="n"/>
      <c r="AA388" s="11" t="n"/>
      <c r="AB388" s="11" t="n"/>
      <c r="AC388" s="11" t="n"/>
      <c r="AD388" s="11" t="n"/>
      <c r="AE388" s="11" t="n"/>
      <c r="AF388" s="9" t="n"/>
      <c r="AG388" s="9" t="n"/>
      <c r="AH388" s="9" t="n"/>
      <c r="AI388" s="9" t="n"/>
      <c r="AJ388" s="8" t="n"/>
      <c r="AK388" s="9" t="n"/>
      <c r="AL388" s="9" t="n"/>
      <c r="AM388" s="9" t="n"/>
      <c r="AN388" s="9" t="n"/>
      <c r="AO388" s="9" t="n"/>
      <c r="AP388" s="9" t="n"/>
      <c r="AQ388" s="9" t="n"/>
      <c r="AR388" s="9" t="n"/>
      <c r="AS388" s="9" t="n"/>
      <c r="AT388" s="8" t="n"/>
      <c r="AU388" s="8" t="n"/>
      <c r="AV388" s="9" t="n"/>
      <c r="AW388" s="8" t="n"/>
      <c r="AX388" s="9" t="n"/>
      <c r="AY388" s="9" t="n"/>
      <c r="AZ388" s="9" t="n"/>
      <c r="BA388" s="9" t="n"/>
      <c r="BB388" s="9" t="n"/>
      <c r="BC388" s="9" t="n"/>
      <c r="BD388" s="9" t="n"/>
      <c r="BE388" s="9" t="n"/>
      <c r="BF388" s="9" t="n"/>
      <c r="BG388" s="9" t="n"/>
      <c r="BH388" s="9" t="n"/>
      <c r="BI388" s="9" t="n"/>
      <c r="BJ388" s="9" t="n"/>
      <c r="BK388" s="9" t="n"/>
      <c r="BL388" s="9" t="n"/>
      <c r="BM388" s="9" t="n"/>
      <c r="BN388" s="9" t="n"/>
      <c r="BO388" s="8" t="n"/>
      <c r="BP388" s="9" t="n"/>
      <c r="BQ388" s="9" t="n"/>
      <c r="BR388" s="13">
        <f>IF(COUNTIF(AI388:BM388,"N")+COUNTBLANK(AI388:BM388)=0,"Y","N")</f>
        <v/>
      </c>
      <c r="BS388" s="13">
        <f>IF(AND(BR388="Y",OR(L388="Submitted",L388="Under Review")),"Y",IF(L388="Closed","Y","N"))</f>
        <v/>
      </c>
      <c r="BT388" s="10" t="n"/>
      <c r="BU388" s="13">
        <f>Rule_Flags!Q387</f>
        <v/>
      </c>
      <c r="BV388" s="13">
        <f>Rule_Flags!P387</f>
        <v/>
      </c>
      <c r="BW388" s="13">
        <f>IF(Rule_Flags!E387=1,"SITE_CONTROL",IF(Rule_Flags!F387=1,"APPROVALS",IF(Rule_Flags!G387=1,"REPORTS",IF(Rule_Flags!H387=1,"DEFICIENCY",IF(Rule_Flags!I387=1,"UNDERWRITING",IF(Rule_Flags!J387=1,"COMPLIANCE",""))))))</f>
        <v/>
      </c>
      <c r="BX388" s="13">
        <f>IF(BW388="SITE_CONTROL","Site control missing or invalid",IF(BW388="APPROVALS","Required approvals or resolutions incomplete",IF(BW388="REPORTS","Required third-party reports incomplete",IF(BW388="DEFICIENCY","Unresolved deficiency or material deficiency",IF(BW388="UNDERWRITING","Underwriting / feasibility not passed",IF(BW388="COMPLIANCE","Deconcentration, one-mile, LURA, or Chapter 12 issue","Ready under current engine rules"))))))</f>
        <v/>
      </c>
      <c r="BY388" s="13">
        <f>IF(BV388="Determination Notice","Streamlined + DN-ready assumptions satisfied",IF(BV388="Board","Board-required or board-ready assumptions satisfied",""))</f>
        <v/>
      </c>
      <c r="BZ388" s="13">
        <f>IF(AND(BP388="Y",BQ388&lt;&gt;"Y"),"Carryforward project retains queue priority",IF(BQ388="Y","New project enters behind carryforward projects",""))</f>
        <v/>
      </c>
      <c r="CA388" s="13">
        <f>_xludf.RANK.EQ(Rule_Flags!O387,Rule_Flags!$O$3:$O$402,0)</f>
        <v/>
      </c>
      <c r="CB388" s="13">
        <f>IF(OR(BU388="Determination Notice Issued",BU388="Board",BU388="Closed"),"Y","N")</f>
        <v/>
      </c>
      <c r="CC388" s="9" t="n"/>
      <c r="CD388" s="9" t="n"/>
      <c r="CE388" s="9" t="n"/>
      <c r="CF388" s="9" t="n"/>
      <c r="CG388" s="9" t="n"/>
      <c r="CH388" s="9" t="n"/>
    </row>
    <row r="389">
      <c r="A389" s="8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8" t="n"/>
      <c r="L389" s="9" t="n"/>
      <c r="M389" s="8" t="n"/>
      <c r="N389" s="8" t="n"/>
      <c r="O389" s="8" t="n"/>
      <c r="P389" s="8" t="n"/>
      <c r="Q389" s="8" t="n"/>
      <c r="R389" s="9" t="n"/>
      <c r="S389" s="9" t="n"/>
      <c r="T389" s="10" t="n"/>
      <c r="U389" s="10" t="n"/>
      <c r="V389" s="9" t="n"/>
      <c r="W389" s="9" t="n"/>
      <c r="X389" s="9" t="n"/>
      <c r="Y389" s="9" t="n"/>
      <c r="Z389" s="11" t="n"/>
      <c r="AA389" s="11" t="n"/>
      <c r="AB389" s="11" t="n"/>
      <c r="AC389" s="11" t="n"/>
      <c r="AD389" s="11" t="n"/>
      <c r="AE389" s="11" t="n"/>
      <c r="AF389" s="9" t="n"/>
      <c r="AG389" s="9" t="n"/>
      <c r="AH389" s="9" t="n"/>
      <c r="AI389" s="9" t="n"/>
      <c r="AJ389" s="8" t="n"/>
      <c r="AK389" s="9" t="n"/>
      <c r="AL389" s="9" t="n"/>
      <c r="AM389" s="9" t="n"/>
      <c r="AN389" s="9" t="n"/>
      <c r="AO389" s="9" t="n"/>
      <c r="AP389" s="9" t="n"/>
      <c r="AQ389" s="9" t="n"/>
      <c r="AR389" s="9" t="n"/>
      <c r="AS389" s="9" t="n"/>
      <c r="AT389" s="8" t="n"/>
      <c r="AU389" s="8" t="n"/>
      <c r="AV389" s="9" t="n"/>
      <c r="AW389" s="8" t="n"/>
      <c r="AX389" s="9" t="n"/>
      <c r="AY389" s="9" t="n"/>
      <c r="AZ389" s="9" t="n"/>
      <c r="BA389" s="9" t="n"/>
      <c r="BB389" s="9" t="n"/>
      <c r="BC389" s="9" t="n"/>
      <c r="BD389" s="9" t="n"/>
      <c r="BE389" s="9" t="n"/>
      <c r="BF389" s="9" t="n"/>
      <c r="BG389" s="9" t="n"/>
      <c r="BH389" s="9" t="n"/>
      <c r="BI389" s="9" t="n"/>
      <c r="BJ389" s="9" t="n"/>
      <c r="BK389" s="9" t="n"/>
      <c r="BL389" s="9" t="n"/>
      <c r="BM389" s="9" t="n"/>
      <c r="BN389" s="9" t="n"/>
      <c r="BO389" s="8" t="n"/>
      <c r="BP389" s="9" t="n"/>
      <c r="BQ389" s="9" t="n"/>
      <c r="BR389" s="13">
        <f>IF(COUNTIF(AI389:BM389,"N")+COUNTBLANK(AI389:BM389)=0,"Y","N")</f>
        <v/>
      </c>
      <c r="BS389" s="13">
        <f>IF(AND(BR389="Y",OR(L389="Submitted",L389="Under Review")),"Y",IF(L389="Closed","Y","N"))</f>
        <v/>
      </c>
      <c r="BT389" s="10" t="n"/>
      <c r="BU389" s="13">
        <f>Rule_Flags!Q388</f>
        <v/>
      </c>
      <c r="BV389" s="13">
        <f>Rule_Flags!P388</f>
        <v/>
      </c>
      <c r="BW389" s="13">
        <f>IF(Rule_Flags!E388=1,"SITE_CONTROL",IF(Rule_Flags!F388=1,"APPROVALS",IF(Rule_Flags!G388=1,"REPORTS",IF(Rule_Flags!H388=1,"DEFICIENCY",IF(Rule_Flags!I388=1,"UNDERWRITING",IF(Rule_Flags!J388=1,"COMPLIANCE",""))))))</f>
        <v/>
      </c>
      <c r="BX389" s="13">
        <f>IF(BW389="SITE_CONTROL","Site control missing or invalid",IF(BW389="APPROVALS","Required approvals or resolutions incomplete",IF(BW389="REPORTS","Required third-party reports incomplete",IF(BW389="DEFICIENCY","Unresolved deficiency or material deficiency",IF(BW389="UNDERWRITING","Underwriting / feasibility not passed",IF(BW389="COMPLIANCE","Deconcentration, one-mile, LURA, or Chapter 12 issue","Ready under current engine rules"))))))</f>
        <v/>
      </c>
      <c r="BY389" s="13">
        <f>IF(BV389="Determination Notice","Streamlined + DN-ready assumptions satisfied",IF(BV389="Board","Board-required or board-ready assumptions satisfied",""))</f>
        <v/>
      </c>
      <c r="BZ389" s="13">
        <f>IF(AND(BP389="Y",BQ389&lt;&gt;"Y"),"Carryforward project retains queue priority",IF(BQ389="Y","New project enters behind carryforward projects",""))</f>
        <v/>
      </c>
      <c r="CA389" s="13">
        <f>_xludf.RANK.EQ(Rule_Flags!O388,Rule_Flags!$O$3:$O$402,0)</f>
        <v/>
      </c>
      <c r="CB389" s="13">
        <f>IF(OR(BU389="Determination Notice Issued",BU389="Board",BU389="Closed"),"Y","N")</f>
        <v/>
      </c>
      <c r="CC389" s="9" t="n"/>
      <c r="CD389" s="9" t="n"/>
      <c r="CE389" s="9" t="n"/>
      <c r="CF389" s="9" t="n"/>
      <c r="CG389" s="9" t="n"/>
      <c r="CH389" s="9" t="n"/>
    </row>
    <row r="390">
      <c r="A390" s="8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8" t="n"/>
      <c r="L390" s="9" t="n"/>
      <c r="M390" s="8" t="n"/>
      <c r="N390" s="8" t="n"/>
      <c r="O390" s="8" t="n"/>
      <c r="P390" s="8" t="n"/>
      <c r="Q390" s="8" t="n"/>
      <c r="R390" s="9" t="n"/>
      <c r="S390" s="9" t="n"/>
      <c r="T390" s="10" t="n"/>
      <c r="U390" s="10" t="n"/>
      <c r="V390" s="9" t="n"/>
      <c r="W390" s="9" t="n"/>
      <c r="X390" s="9" t="n"/>
      <c r="Y390" s="9" t="n"/>
      <c r="Z390" s="11" t="n"/>
      <c r="AA390" s="11" t="n"/>
      <c r="AB390" s="11" t="n"/>
      <c r="AC390" s="11" t="n"/>
      <c r="AD390" s="11" t="n"/>
      <c r="AE390" s="11" t="n"/>
      <c r="AF390" s="9" t="n"/>
      <c r="AG390" s="9" t="n"/>
      <c r="AH390" s="9" t="n"/>
      <c r="AI390" s="9" t="n"/>
      <c r="AJ390" s="8" t="n"/>
      <c r="AK390" s="9" t="n"/>
      <c r="AL390" s="9" t="n"/>
      <c r="AM390" s="9" t="n"/>
      <c r="AN390" s="9" t="n"/>
      <c r="AO390" s="9" t="n"/>
      <c r="AP390" s="9" t="n"/>
      <c r="AQ390" s="9" t="n"/>
      <c r="AR390" s="9" t="n"/>
      <c r="AS390" s="9" t="n"/>
      <c r="AT390" s="8" t="n"/>
      <c r="AU390" s="8" t="n"/>
      <c r="AV390" s="9" t="n"/>
      <c r="AW390" s="8" t="n"/>
      <c r="AX390" s="9" t="n"/>
      <c r="AY390" s="9" t="n"/>
      <c r="AZ390" s="9" t="n"/>
      <c r="BA390" s="9" t="n"/>
      <c r="BB390" s="9" t="n"/>
      <c r="BC390" s="9" t="n"/>
      <c r="BD390" s="9" t="n"/>
      <c r="BE390" s="9" t="n"/>
      <c r="BF390" s="9" t="n"/>
      <c r="BG390" s="9" t="n"/>
      <c r="BH390" s="9" t="n"/>
      <c r="BI390" s="9" t="n"/>
      <c r="BJ390" s="9" t="n"/>
      <c r="BK390" s="9" t="n"/>
      <c r="BL390" s="9" t="n"/>
      <c r="BM390" s="9" t="n"/>
      <c r="BN390" s="9" t="n"/>
      <c r="BO390" s="8" t="n"/>
      <c r="BP390" s="9" t="n"/>
      <c r="BQ390" s="9" t="n"/>
      <c r="BR390" s="13">
        <f>IF(COUNTIF(AI390:BM390,"N")+COUNTBLANK(AI390:BM390)=0,"Y","N")</f>
        <v/>
      </c>
      <c r="BS390" s="13">
        <f>IF(AND(BR390="Y",OR(L390="Submitted",L390="Under Review")),"Y",IF(L390="Closed","Y","N"))</f>
        <v/>
      </c>
      <c r="BT390" s="10" t="n"/>
      <c r="BU390" s="13">
        <f>Rule_Flags!Q389</f>
        <v/>
      </c>
      <c r="BV390" s="13">
        <f>Rule_Flags!P389</f>
        <v/>
      </c>
      <c r="BW390" s="13">
        <f>IF(Rule_Flags!E389=1,"SITE_CONTROL",IF(Rule_Flags!F389=1,"APPROVALS",IF(Rule_Flags!G389=1,"REPORTS",IF(Rule_Flags!H389=1,"DEFICIENCY",IF(Rule_Flags!I389=1,"UNDERWRITING",IF(Rule_Flags!J389=1,"COMPLIANCE",""))))))</f>
        <v/>
      </c>
      <c r="BX390" s="13">
        <f>IF(BW390="SITE_CONTROL","Site control missing or invalid",IF(BW390="APPROVALS","Required approvals or resolutions incomplete",IF(BW390="REPORTS","Required third-party reports incomplete",IF(BW390="DEFICIENCY","Unresolved deficiency or material deficiency",IF(BW390="UNDERWRITING","Underwriting / feasibility not passed",IF(BW390="COMPLIANCE","Deconcentration, one-mile, LURA, or Chapter 12 issue","Ready under current engine rules"))))))</f>
        <v/>
      </c>
      <c r="BY390" s="13">
        <f>IF(BV390="Determination Notice","Streamlined + DN-ready assumptions satisfied",IF(BV390="Board","Board-required or board-ready assumptions satisfied",""))</f>
        <v/>
      </c>
      <c r="BZ390" s="13">
        <f>IF(AND(BP390="Y",BQ390&lt;&gt;"Y"),"Carryforward project retains queue priority",IF(BQ390="Y","New project enters behind carryforward projects",""))</f>
        <v/>
      </c>
      <c r="CA390" s="13">
        <f>_xludf.RANK.EQ(Rule_Flags!O389,Rule_Flags!$O$3:$O$402,0)</f>
        <v/>
      </c>
      <c r="CB390" s="13">
        <f>IF(OR(BU390="Determination Notice Issued",BU390="Board",BU390="Closed"),"Y","N")</f>
        <v/>
      </c>
      <c r="CC390" s="9" t="n"/>
      <c r="CD390" s="9" t="n"/>
      <c r="CE390" s="9" t="n"/>
      <c r="CF390" s="9" t="n"/>
      <c r="CG390" s="9" t="n"/>
      <c r="CH390" s="9" t="n"/>
    </row>
    <row r="391">
      <c r="A391" s="8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8" t="n"/>
      <c r="L391" s="9" t="n"/>
      <c r="M391" s="8" t="n"/>
      <c r="N391" s="8" t="n"/>
      <c r="O391" s="8" t="n"/>
      <c r="P391" s="8" t="n"/>
      <c r="Q391" s="8" t="n"/>
      <c r="R391" s="9" t="n"/>
      <c r="S391" s="9" t="n"/>
      <c r="T391" s="10" t="n"/>
      <c r="U391" s="10" t="n"/>
      <c r="V391" s="9" t="n"/>
      <c r="W391" s="9" t="n"/>
      <c r="X391" s="9" t="n"/>
      <c r="Y391" s="9" t="n"/>
      <c r="Z391" s="11" t="n"/>
      <c r="AA391" s="11" t="n"/>
      <c r="AB391" s="11" t="n"/>
      <c r="AC391" s="11" t="n"/>
      <c r="AD391" s="11" t="n"/>
      <c r="AE391" s="11" t="n"/>
      <c r="AF391" s="9" t="n"/>
      <c r="AG391" s="9" t="n"/>
      <c r="AH391" s="9" t="n"/>
      <c r="AI391" s="9" t="n"/>
      <c r="AJ391" s="8" t="n"/>
      <c r="AK391" s="9" t="n"/>
      <c r="AL391" s="9" t="n"/>
      <c r="AM391" s="9" t="n"/>
      <c r="AN391" s="9" t="n"/>
      <c r="AO391" s="9" t="n"/>
      <c r="AP391" s="9" t="n"/>
      <c r="AQ391" s="9" t="n"/>
      <c r="AR391" s="9" t="n"/>
      <c r="AS391" s="9" t="n"/>
      <c r="AT391" s="8" t="n"/>
      <c r="AU391" s="8" t="n"/>
      <c r="AV391" s="9" t="n"/>
      <c r="AW391" s="8" t="n"/>
      <c r="AX391" s="9" t="n"/>
      <c r="AY391" s="9" t="n"/>
      <c r="AZ391" s="9" t="n"/>
      <c r="BA391" s="9" t="n"/>
      <c r="BB391" s="9" t="n"/>
      <c r="BC391" s="9" t="n"/>
      <c r="BD391" s="9" t="n"/>
      <c r="BE391" s="9" t="n"/>
      <c r="BF391" s="9" t="n"/>
      <c r="BG391" s="9" t="n"/>
      <c r="BH391" s="9" t="n"/>
      <c r="BI391" s="9" t="n"/>
      <c r="BJ391" s="9" t="n"/>
      <c r="BK391" s="9" t="n"/>
      <c r="BL391" s="9" t="n"/>
      <c r="BM391" s="9" t="n"/>
      <c r="BN391" s="9" t="n"/>
      <c r="BO391" s="8" t="n"/>
      <c r="BP391" s="9" t="n"/>
      <c r="BQ391" s="9" t="n"/>
      <c r="BR391" s="13">
        <f>IF(COUNTIF(AI391:BM391,"N")+COUNTBLANK(AI391:BM391)=0,"Y","N")</f>
        <v/>
      </c>
      <c r="BS391" s="13">
        <f>IF(AND(BR391="Y",OR(L391="Submitted",L391="Under Review")),"Y",IF(L391="Closed","Y","N"))</f>
        <v/>
      </c>
      <c r="BT391" s="10" t="n"/>
      <c r="BU391" s="13">
        <f>Rule_Flags!Q390</f>
        <v/>
      </c>
      <c r="BV391" s="13">
        <f>Rule_Flags!P390</f>
        <v/>
      </c>
      <c r="BW391" s="13">
        <f>IF(Rule_Flags!E390=1,"SITE_CONTROL",IF(Rule_Flags!F390=1,"APPROVALS",IF(Rule_Flags!G390=1,"REPORTS",IF(Rule_Flags!H390=1,"DEFICIENCY",IF(Rule_Flags!I390=1,"UNDERWRITING",IF(Rule_Flags!J390=1,"COMPLIANCE",""))))))</f>
        <v/>
      </c>
      <c r="BX391" s="13">
        <f>IF(BW391="SITE_CONTROL","Site control missing or invalid",IF(BW391="APPROVALS","Required approvals or resolutions incomplete",IF(BW391="REPORTS","Required third-party reports incomplete",IF(BW391="DEFICIENCY","Unresolved deficiency or material deficiency",IF(BW391="UNDERWRITING","Underwriting / feasibility not passed",IF(BW391="COMPLIANCE","Deconcentration, one-mile, LURA, or Chapter 12 issue","Ready under current engine rules"))))))</f>
        <v/>
      </c>
      <c r="BY391" s="13">
        <f>IF(BV391="Determination Notice","Streamlined + DN-ready assumptions satisfied",IF(BV391="Board","Board-required or board-ready assumptions satisfied",""))</f>
        <v/>
      </c>
      <c r="BZ391" s="13">
        <f>IF(AND(BP391="Y",BQ391&lt;&gt;"Y"),"Carryforward project retains queue priority",IF(BQ391="Y","New project enters behind carryforward projects",""))</f>
        <v/>
      </c>
      <c r="CA391" s="13">
        <f>_xludf.RANK.EQ(Rule_Flags!O390,Rule_Flags!$O$3:$O$402,0)</f>
        <v/>
      </c>
      <c r="CB391" s="13">
        <f>IF(OR(BU391="Determination Notice Issued",BU391="Board",BU391="Closed"),"Y","N")</f>
        <v/>
      </c>
      <c r="CC391" s="9" t="n"/>
      <c r="CD391" s="9" t="n"/>
      <c r="CE391" s="9" t="n"/>
      <c r="CF391" s="9" t="n"/>
      <c r="CG391" s="9" t="n"/>
      <c r="CH391" s="9" t="n"/>
    </row>
    <row r="392">
      <c r="A392" s="8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8" t="n"/>
      <c r="L392" s="9" t="n"/>
      <c r="M392" s="8" t="n"/>
      <c r="N392" s="8" t="n"/>
      <c r="O392" s="8" t="n"/>
      <c r="P392" s="8" t="n"/>
      <c r="Q392" s="8" t="n"/>
      <c r="R392" s="9" t="n"/>
      <c r="S392" s="9" t="n"/>
      <c r="T392" s="10" t="n"/>
      <c r="U392" s="10" t="n"/>
      <c r="V392" s="9" t="n"/>
      <c r="W392" s="9" t="n"/>
      <c r="X392" s="9" t="n"/>
      <c r="Y392" s="9" t="n"/>
      <c r="Z392" s="11" t="n"/>
      <c r="AA392" s="11" t="n"/>
      <c r="AB392" s="11" t="n"/>
      <c r="AC392" s="11" t="n"/>
      <c r="AD392" s="11" t="n"/>
      <c r="AE392" s="11" t="n"/>
      <c r="AF392" s="9" t="n"/>
      <c r="AG392" s="9" t="n"/>
      <c r="AH392" s="9" t="n"/>
      <c r="AI392" s="9" t="n"/>
      <c r="AJ392" s="8" t="n"/>
      <c r="AK392" s="9" t="n"/>
      <c r="AL392" s="9" t="n"/>
      <c r="AM392" s="9" t="n"/>
      <c r="AN392" s="9" t="n"/>
      <c r="AO392" s="9" t="n"/>
      <c r="AP392" s="9" t="n"/>
      <c r="AQ392" s="9" t="n"/>
      <c r="AR392" s="9" t="n"/>
      <c r="AS392" s="9" t="n"/>
      <c r="AT392" s="8" t="n"/>
      <c r="AU392" s="8" t="n"/>
      <c r="AV392" s="9" t="n"/>
      <c r="AW392" s="8" t="n"/>
      <c r="AX392" s="9" t="n"/>
      <c r="AY392" s="9" t="n"/>
      <c r="AZ392" s="9" t="n"/>
      <c r="BA392" s="9" t="n"/>
      <c r="BB392" s="9" t="n"/>
      <c r="BC392" s="9" t="n"/>
      <c r="BD392" s="9" t="n"/>
      <c r="BE392" s="9" t="n"/>
      <c r="BF392" s="9" t="n"/>
      <c r="BG392" s="9" t="n"/>
      <c r="BH392" s="9" t="n"/>
      <c r="BI392" s="9" t="n"/>
      <c r="BJ392" s="9" t="n"/>
      <c r="BK392" s="9" t="n"/>
      <c r="BL392" s="9" t="n"/>
      <c r="BM392" s="9" t="n"/>
      <c r="BN392" s="9" t="n"/>
      <c r="BO392" s="8" t="n"/>
      <c r="BP392" s="9" t="n"/>
      <c r="BQ392" s="9" t="n"/>
      <c r="BR392" s="13">
        <f>IF(COUNTIF(AI392:BM392,"N")+COUNTBLANK(AI392:BM392)=0,"Y","N")</f>
        <v/>
      </c>
      <c r="BS392" s="13">
        <f>IF(AND(BR392="Y",OR(L392="Submitted",L392="Under Review")),"Y",IF(L392="Closed","Y","N"))</f>
        <v/>
      </c>
      <c r="BT392" s="10" t="n"/>
      <c r="BU392" s="13">
        <f>Rule_Flags!Q391</f>
        <v/>
      </c>
      <c r="BV392" s="13">
        <f>Rule_Flags!P391</f>
        <v/>
      </c>
      <c r="BW392" s="13">
        <f>IF(Rule_Flags!E391=1,"SITE_CONTROL",IF(Rule_Flags!F391=1,"APPROVALS",IF(Rule_Flags!G391=1,"REPORTS",IF(Rule_Flags!H391=1,"DEFICIENCY",IF(Rule_Flags!I391=1,"UNDERWRITING",IF(Rule_Flags!J391=1,"COMPLIANCE",""))))))</f>
        <v/>
      </c>
      <c r="BX392" s="13">
        <f>IF(BW392="SITE_CONTROL","Site control missing or invalid",IF(BW392="APPROVALS","Required approvals or resolutions incomplete",IF(BW392="REPORTS","Required third-party reports incomplete",IF(BW392="DEFICIENCY","Unresolved deficiency or material deficiency",IF(BW392="UNDERWRITING","Underwriting / feasibility not passed",IF(BW392="COMPLIANCE","Deconcentration, one-mile, LURA, or Chapter 12 issue","Ready under current engine rules"))))))</f>
        <v/>
      </c>
      <c r="BY392" s="13">
        <f>IF(BV392="Determination Notice","Streamlined + DN-ready assumptions satisfied",IF(BV392="Board","Board-required or board-ready assumptions satisfied",""))</f>
        <v/>
      </c>
      <c r="BZ392" s="13">
        <f>IF(AND(BP392="Y",BQ392&lt;&gt;"Y"),"Carryforward project retains queue priority",IF(BQ392="Y","New project enters behind carryforward projects",""))</f>
        <v/>
      </c>
      <c r="CA392" s="13">
        <f>_xludf.RANK.EQ(Rule_Flags!O391,Rule_Flags!$O$3:$O$402,0)</f>
        <v/>
      </c>
      <c r="CB392" s="13">
        <f>IF(OR(BU392="Determination Notice Issued",BU392="Board",BU392="Closed"),"Y","N")</f>
        <v/>
      </c>
      <c r="CC392" s="9" t="n"/>
      <c r="CD392" s="9" t="n"/>
      <c r="CE392" s="9" t="n"/>
      <c r="CF392" s="9" t="n"/>
      <c r="CG392" s="9" t="n"/>
      <c r="CH392" s="9" t="n"/>
    </row>
    <row r="393">
      <c r="A393" s="8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8" t="n"/>
      <c r="L393" s="9" t="n"/>
      <c r="M393" s="8" t="n"/>
      <c r="N393" s="8" t="n"/>
      <c r="O393" s="8" t="n"/>
      <c r="P393" s="8" t="n"/>
      <c r="Q393" s="8" t="n"/>
      <c r="R393" s="9" t="n"/>
      <c r="S393" s="9" t="n"/>
      <c r="T393" s="10" t="n"/>
      <c r="U393" s="10" t="n"/>
      <c r="V393" s="9" t="n"/>
      <c r="W393" s="9" t="n"/>
      <c r="X393" s="9" t="n"/>
      <c r="Y393" s="9" t="n"/>
      <c r="Z393" s="11" t="n"/>
      <c r="AA393" s="11" t="n"/>
      <c r="AB393" s="11" t="n"/>
      <c r="AC393" s="11" t="n"/>
      <c r="AD393" s="11" t="n"/>
      <c r="AE393" s="11" t="n"/>
      <c r="AF393" s="9" t="n"/>
      <c r="AG393" s="9" t="n"/>
      <c r="AH393" s="9" t="n"/>
      <c r="AI393" s="9" t="n"/>
      <c r="AJ393" s="8" t="n"/>
      <c r="AK393" s="9" t="n"/>
      <c r="AL393" s="9" t="n"/>
      <c r="AM393" s="9" t="n"/>
      <c r="AN393" s="9" t="n"/>
      <c r="AO393" s="9" t="n"/>
      <c r="AP393" s="9" t="n"/>
      <c r="AQ393" s="9" t="n"/>
      <c r="AR393" s="9" t="n"/>
      <c r="AS393" s="9" t="n"/>
      <c r="AT393" s="8" t="n"/>
      <c r="AU393" s="8" t="n"/>
      <c r="AV393" s="9" t="n"/>
      <c r="AW393" s="8" t="n"/>
      <c r="AX393" s="9" t="n"/>
      <c r="AY393" s="9" t="n"/>
      <c r="AZ393" s="9" t="n"/>
      <c r="BA393" s="9" t="n"/>
      <c r="BB393" s="9" t="n"/>
      <c r="BC393" s="9" t="n"/>
      <c r="BD393" s="9" t="n"/>
      <c r="BE393" s="9" t="n"/>
      <c r="BF393" s="9" t="n"/>
      <c r="BG393" s="9" t="n"/>
      <c r="BH393" s="9" t="n"/>
      <c r="BI393" s="9" t="n"/>
      <c r="BJ393" s="9" t="n"/>
      <c r="BK393" s="9" t="n"/>
      <c r="BL393" s="9" t="n"/>
      <c r="BM393" s="9" t="n"/>
      <c r="BN393" s="9" t="n"/>
      <c r="BO393" s="8" t="n"/>
      <c r="BP393" s="9" t="n"/>
      <c r="BQ393" s="9" t="n"/>
      <c r="BR393" s="13">
        <f>IF(COUNTIF(AI393:BM393,"N")+COUNTBLANK(AI393:BM393)=0,"Y","N")</f>
        <v/>
      </c>
      <c r="BS393" s="13">
        <f>IF(AND(BR393="Y",OR(L393="Submitted",L393="Under Review")),"Y",IF(L393="Closed","Y","N"))</f>
        <v/>
      </c>
      <c r="BT393" s="10" t="n"/>
      <c r="BU393" s="13">
        <f>Rule_Flags!Q392</f>
        <v/>
      </c>
      <c r="BV393" s="13">
        <f>Rule_Flags!P392</f>
        <v/>
      </c>
      <c r="BW393" s="13">
        <f>IF(Rule_Flags!E392=1,"SITE_CONTROL",IF(Rule_Flags!F392=1,"APPROVALS",IF(Rule_Flags!G392=1,"REPORTS",IF(Rule_Flags!H392=1,"DEFICIENCY",IF(Rule_Flags!I392=1,"UNDERWRITING",IF(Rule_Flags!J392=1,"COMPLIANCE",""))))))</f>
        <v/>
      </c>
      <c r="BX393" s="13">
        <f>IF(BW393="SITE_CONTROL","Site control missing or invalid",IF(BW393="APPROVALS","Required approvals or resolutions incomplete",IF(BW393="REPORTS","Required third-party reports incomplete",IF(BW393="DEFICIENCY","Unresolved deficiency or material deficiency",IF(BW393="UNDERWRITING","Underwriting / feasibility not passed",IF(BW393="COMPLIANCE","Deconcentration, one-mile, LURA, or Chapter 12 issue","Ready under current engine rules"))))))</f>
        <v/>
      </c>
      <c r="BY393" s="13">
        <f>IF(BV393="Determination Notice","Streamlined + DN-ready assumptions satisfied",IF(BV393="Board","Board-required or board-ready assumptions satisfied",""))</f>
        <v/>
      </c>
      <c r="BZ393" s="13">
        <f>IF(AND(BP393="Y",BQ393&lt;&gt;"Y"),"Carryforward project retains queue priority",IF(BQ393="Y","New project enters behind carryforward projects",""))</f>
        <v/>
      </c>
      <c r="CA393" s="13">
        <f>_xludf.RANK.EQ(Rule_Flags!O392,Rule_Flags!$O$3:$O$402,0)</f>
        <v/>
      </c>
      <c r="CB393" s="13">
        <f>IF(OR(BU393="Determination Notice Issued",BU393="Board",BU393="Closed"),"Y","N")</f>
        <v/>
      </c>
      <c r="CC393" s="9" t="n"/>
      <c r="CD393" s="9" t="n"/>
      <c r="CE393" s="9" t="n"/>
      <c r="CF393" s="9" t="n"/>
      <c r="CG393" s="9" t="n"/>
      <c r="CH393" s="9" t="n"/>
    </row>
    <row r="394">
      <c r="A394" s="8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8" t="n"/>
      <c r="L394" s="9" t="n"/>
      <c r="M394" s="8" t="n"/>
      <c r="N394" s="8" t="n"/>
      <c r="O394" s="8" t="n"/>
      <c r="P394" s="8" t="n"/>
      <c r="Q394" s="8" t="n"/>
      <c r="R394" s="9" t="n"/>
      <c r="S394" s="9" t="n"/>
      <c r="T394" s="10" t="n"/>
      <c r="U394" s="10" t="n"/>
      <c r="V394" s="9" t="n"/>
      <c r="W394" s="9" t="n"/>
      <c r="X394" s="9" t="n"/>
      <c r="Y394" s="9" t="n"/>
      <c r="Z394" s="11" t="n"/>
      <c r="AA394" s="11" t="n"/>
      <c r="AB394" s="11" t="n"/>
      <c r="AC394" s="11" t="n"/>
      <c r="AD394" s="11" t="n"/>
      <c r="AE394" s="11" t="n"/>
      <c r="AF394" s="9" t="n"/>
      <c r="AG394" s="9" t="n"/>
      <c r="AH394" s="9" t="n"/>
      <c r="AI394" s="9" t="n"/>
      <c r="AJ394" s="8" t="n"/>
      <c r="AK394" s="9" t="n"/>
      <c r="AL394" s="9" t="n"/>
      <c r="AM394" s="9" t="n"/>
      <c r="AN394" s="9" t="n"/>
      <c r="AO394" s="9" t="n"/>
      <c r="AP394" s="9" t="n"/>
      <c r="AQ394" s="9" t="n"/>
      <c r="AR394" s="9" t="n"/>
      <c r="AS394" s="9" t="n"/>
      <c r="AT394" s="8" t="n"/>
      <c r="AU394" s="8" t="n"/>
      <c r="AV394" s="9" t="n"/>
      <c r="AW394" s="8" t="n"/>
      <c r="AX394" s="9" t="n"/>
      <c r="AY394" s="9" t="n"/>
      <c r="AZ394" s="9" t="n"/>
      <c r="BA394" s="9" t="n"/>
      <c r="BB394" s="9" t="n"/>
      <c r="BC394" s="9" t="n"/>
      <c r="BD394" s="9" t="n"/>
      <c r="BE394" s="9" t="n"/>
      <c r="BF394" s="9" t="n"/>
      <c r="BG394" s="9" t="n"/>
      <c r="BH394" s="9" t="n"/>
      <c r="BI394" s="9" t="n"/>
      <c r="BJ394" s="9" t="n"/>
      <c r="BK394" s="9" t="n"/>
      <c r="BL394" s="9" t="n"/>
      <c r="BM394" s="9" t="n"/>
      <c r="BN394" s="9" t="n"/>
      <c r="BO394" s="8" t="n"/>
      <c r="BP394" s="9" t="n"/>
      <c r="BQ394" s="9" t="n"/>
      <c r="BR394" s="13">
        <f>IF(COUNTIF(AI394:BM394,"N")+COUNTBLANK(AI394:BM394)=0,"Y","N")</f>
        <v/>
      </c>
      <c r="BS394" s="13">
        <f>IF(AND(BR394="Y",OR(L394="Submitted",L394="Under Review")),"Y",IF(L394="Closed","Y","N"))</f>
        <v/>
      </c>
      <c r="BT394" s="10" t="n"/>
      <c r="BU394" s="13">
        <f>Rule_Flags!Q393</f>
        <v/>
      </c>
      <c r="BV394" s="13">
        <f>Rule_Flags!P393</f>
        <v/>
      </c>
      <c r="BW394" s="13">
        <f>IF(Rule_Flags!E393=1,"SITE_CONTROL",IF(Rule_Flags!F393=1,"APPROVALS",IF(Rule_Flags!G393=1,"REPORTS",IF(Rule_Flags!H393=1,"DEFICIENCY",IF(Rule_Flags!I393=1,"UNDERWRITING",IF(Rule_Flags!J393=1,"COMPLIANCE",""))))))</f>
        <v/>
      </c>
      <c r="BX394" s="13">
        <f>IF(BW394="SITE_CONTROL","Site control missing or invalid",IF(BW394="APPROVALS","Required approvals or resolutions incomplete",IF(BW394="REPORTS","Required third-party reports incomplete",IF(BW394="DEFICIENCY","Unresolved deficiency or material deficiency",IF(BW394="UNDERWRITING","Underwriting / feasibility not passed",IF(BW394="COMPLIANCE","Deconcentration, one-mile, LURA, or Chapter 12 issue","Ready under current engine rules"))))))</f>
        <v/>
      </c>
      <c r="BY394" s="13">
        <f>IF(BV394="Determination Notice","Streamlined + DN-ready assumptions satisfied",IF(BV394="Board","Board-required or board-ready assumptions satisfied",""))</f>
        <v/>
      </c>
      <c r="BZ394" s="13">
        <f>IF(AND(BP394="Y",BQ394&lt;&gt;"Y"),"Carryforward project retains queue priority",IF(BQ394="Y","New project enters behind carryforward projects",""))</f>
        <v/>
      </c>
      <c r="CA394" s="13">
        <f>_xludf.RANK.EQ(Rule_Flags!O393,Rule_Flags!$O$3:$O$402,0)</f>
        <v/>
      </c>
      <c r="CB394" s="13">
        <f>IF(OR(BU394="Determination Notice Issued",BU394="Board",BU394="Closed"),"Y","N")</f>
        <v/>
      </c>
      <c r="CC394" s="9" t="n"/>
      <c r="CD394" s="9" t="n"/>
      <c r="CE394" s="9" t="n"/>
      <c r="CF394" s="9" t="n"/>
      <c r="CG394" s="9" t="n"/>
      <c r="CH394" s="9" t="n"/>
    </row>
    <row r="395">
      <c r="A395" s="8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8" t="n"/>
      <c r="L395" s="9" t="n"/>
      <c r="M395" s="8" t="n"/>
      <c r="N395" s="8" t="n"/>
      <c r="O395" s="8" t="n"/>
      <c r="P395" s="8" t="n"/>
      <c r="Q395" s="8" t="n"/>
      <c r="R395" s="9" t="n"/>
      <c r="S395" s="9" t="n"/>
      <c r="T395" s="10" t="n"/>
      <c r="U395" s="10" t="n"/>
      <c r="V395" s="9" t="n"/>
      <c r="W395" s="9" t="n"/>
      <c r="X395" s="9" t="n"/>
      <c r="Y395" s="9" t="n"/>
      <c r="Z395" s="11" t="n"/>
      <c r="AA395" s="11" t="n"/>
      <c r="AB395" s="11" t="n"/>
      <c r="AC395" s="11" t="n"/>
      <c r="AD395" s="11" t="n"/>
      <c r="AE395" s="11" t="n"/>
      <c r="AF395" s="9" t="n"/>
      <c r="AG395" s="9" t="n"/>
      <c r="AH395" s="9" t="n"/>
      <c r="AI395" s="9" t="n"/>
      <c r="AJ395" s="8" t="n"/>
      <c r="AK395" s="9" t="n"/>
      <c r="AL395" s="9" t="n"/>
      <c r="AM395" s="9" t="n"/>
      <c r="AN395" s="9" t="n"/>
      <c r="AO395" s="9" t="n"/>
      <c r="AP395" s="9" t="n"/>
      <c r="AQ395" s="9" t="n"/>
      <c r="AR395" s="9" t="n"/>
      <c r="AS395" s="9" t="n"/>
      <c r="AT395" s="8" t="n"/>
      <c r="AU395" s="8" t="n"/>
      <c r="AV395" s="9" t="n"/>
      <c r="AW395" s="8" t="n"/>
      <c r="AX395" s="9" t="n"/>
      <c r="AY395" s="9" t="n"/>
      <c r="AZ395" s="9" t="n"/>
      <c r="BA395" s="9" t="n"/>
      <c r="BB395" s="9" t="n"/>
      <c r="BC395" s="9" t="n"/>
      <c r="BD395" s="9" t="n"/>
      <c r="BE395" s="9" t="n"/>
      <c r="BF395" s="9" t="n"/>
      <c r="BG395" s="9" t="n"/>
      <c r="BH395" s="9" t="n"/>
      <c r="BI395" s="9" t="n"/>
      <c r="BJ395" s="9" t="n"/>
      <c r="BK395" s="9" t="n"/>
      <c r="BL395" s="9" t="n"/>
      <c r="BM395" s="9" t="n"/>
      <c r="BN395" s="9" t="n"/>
      <c r="BO395" s="8" t="n"/>
      <c r="BP395" s="9" t="n"/>
      <c r="BQ395" s="9" t="n"/>
      <c r="BR395" s="13">
        <f>IF(COUNTIF(AI395:BM395,"N")+COUNTBLANK(AI395:BM395)=0,"Y","N")</f>
        <v/>
      </c>
      <c r="BS395" s="13">
        <f>IF(AND(BR395="Y",OR(L395="Submitted",L395="Under Review")),"Y",IF(L395="Closed","Y","N"))</f>
        <v/>
      </c>
      <c r="BT395" s="10" t="n"/>
      <c r="BU395" s="13">
        <f>Rule_Flags!Q394</f>
        <v/>
      </c>
      <c r="BV395" s="13">
        <f>Rule_Flags!P394</f>
        <v/>
      </c>
      <c r="BW395" s="13">
        <f>IF(Rule_Flags!E394=1,"SITE_CONTROL",IF(Rule_Flags!F394=1,"APPROVALS",IF(Rule_Flags!G394=1,"REPORTS",IF(Rule_Flags!H394=1,"DEFICIENCY",IF(Rule_Flags!I394=1,"UNDERWRITING",IF(Rule_Flags!J394=1,"COMPLIANCE",""))))))</f>
        <v/>
      </c>
      <c r="BX395" s="13">
        <f>IF(BW395="SITE_CONTROL","Site control missing or invalid",IF(BW395="APPROVALS","Required approvals or resolutions incomplete",IF(BW395="REPORTS","Required third-party reports incomplete",IF(BW395="DEFICIENCY","Unresolved deficiency or material deficiency",IF(BW395="UNDERWRITING","Underwriting / feasibility not passed",IF(BW395="COMPLIANCE","Deconcentration, one-mile, LURA, or Chapter 12 issue","Ready under current engine rules"))))))</f>
        <v/>
      </c>
      <c r="BY395" s="13">
        <f>IF(BV395="Determination Notice","Streamlined + DN-ready assumptions satisfied",IF(BV395="Board","Board-required or board-ready assumptions satisfied",""))</f>
        <v/>
      </c>
      <c r="BZ395" s="13">
        <f>IF(AND(BP395="Y",BQ395&lt;&gt;"Y"),"Carryforward project retains queue priority",IF(BQ395="Y","New project enters behind carryforward projects",""))</f>
        <v/>
      </c>
      <c r="CA395" s="13">
        <f>_xludf.RANK.EQ(Rule_Flags!O394,Rule_Flags!$O$3:$O$402,0)</f>
        <v/>
      </c>
      <c r="CB395" s="13">
        <f>IF(OR(BU395="Determination Notice Issued",BU395="Board",BU395="Closed"),"Y","N")</f>
        <v/>
      </c>
      <c r="CC395" s="9" t="n"/>
      <c r="CD395" s="9" t="n"/>
      <c r="CE395" s="9" t="n"/>
      <c r="CF395" s="9" t="n"/>
      <c r="CG395" s="9" t="n"/>
      <c r="CH395" s="9" t="n"/>
    </row>
    <row r="396">
      <c r="A396" s="8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8" t="n"/>
      <c r="L396" s="9" t="n"/>
      <c r="M396" s="8" t="n"/>
      <c r="N396" s="8" t="n"/>
      <c r="O396" s="8" t="n"/>
      <c r="P396" s="8" t="n"/>
      <c r="Q396" s="8" t="n"/>
      <c r="R396" s="9" t="n"/>
      <c r="S396" s="9" t="n"/>
      <c r="T396" s="10" t="n"/>
      <c r="U396" s="10" t="n"/>
      <c r="V396" s="9" t="n"/>
      <c r="W396" s="9" t="n"/>
      <c r="X396" s="9" t="n"/>
      <c r="Y396" s="9" t="n"/>
      <c r="Z396" s="11" t="n"/>
      <c r="AA396" s="11" t="n"/>
      <c r="AB396" s="11" t="n"/>
      <c r="AC396" s="11" t="n"/>
      <c r="AD396" s="11" t="n"/>
      <c r="AE396" s="11" t="n"/>
      <c r="AF396" s="9" t="n"/>
      <c r="AG396" s="9" t="n"/>
      <c r="AH396" s="9" t="n"/>
      <c r="AI396" s="9" t="n"/>
      <c r="AJ396" s="8" t="n"/>
      <c r="AK396" s="9" t="n"/>
      <c r="AL396" s="9" t="n"/>
      <c r="AM396" s="9" t="n"/>
      <c r="AN396" s="9" t="n"/>
      <c r="AO396" s="9" t="n"/>
      <c r="AP396" s="9" t="n"/>
      <c r="AQ396" s="9" t="n"/>
      <c r="AR396" s="9" t="n"/>
      <c r="AS396" s="9" t="n"/>
      <c r="AT396" s="8" t="n"/>
      <c r="AU396" s="8" t="n"/>
      <c r="AV396" s="9" t="n"/>
      <c r="AW396" s="8" t="n"/>
      <c r="AX396" s="9" t="n"/>
      <c r="AY396" s="9" t="n"/>
      <c r="AZ396" s="9" t="n"/>
      <c r="BA396" s="9" t="n"/>
      <c r="BB396" s="9" t="n"/>
      <c r="BC396" s="9" t="n"/>
      <c r="BD396" s="9" t="n"/>
      <c r="BE396" s="9" t="n"/>
      <c r="BF396" s="9" t="n"/>
      <c r="BG396" s="9" t="n"/>
      <c r="BH396" s="9" t="n"/>
      <c r="BI396" s="9" t="n"/>
      <c r="BJ396" s="9" t="n"/>
      <c r="BK396" s="9" t="n"/>
      <c r="BL396" s="9" t="n"/>
      <c r="BM396" s="9" t="n"/>
      <c r="BN396" s="9" t="n"/>
      <c r="BO396" s="8" t="n"/>
      <c r="BP396" s="9" t="n"/>
      <c r="BQ396" s="9" t="n"/>
      <c r="BR396" s="13">
        <f>IF(COUNTIF(AI396:BM396,"N")+COUNTBLANK(AI396:BM396)=0,"Y","N")</f>
        <v/>
      </c>
      <c r="BS396" s="13">
        <f>IF(AND(BR396="Y",OR(L396="Submitted",L396="Under Review")),"Y",IF(L396="Closed","Y","N"))</f>
        <v/>
      </c>
      <c r="BT396" s="10" t="n"/>
      <c r="BU396" s="13">
        <f>Rule_Flags!Q395</f>
        <v/>
      </c>
      <c r="BV396" s="13">
        <f>Rule_Flags!P395</f>
        <v/>
      </c>
      <c r="BW396" s="13">
        <f>IF(Rule_Flags!E395=1,"SITE_CONTROL",IF(Rule_Flags!F395=1,"APPROVALS",IF(Rule_Flags!G395=1,"REPORTS",IF(Rule_Flags!H395=1,"DEFICIENCY",IF(Rule_Flags!I395=1,"UNDERWRITING",IF(Rule_Flags!J395=1,"COMPLIANCE",""))))))</f>
        <v/>
      </c>
      <c r="BX396" s="13">
        <f>IF(BW396="SITE_CONTROL","Site control missing or invalid",IF(BW396="APPROVALS","Required approvals or resolutions incomplete",IF(BW396="REPORTS","Required third-party reports incomplete",IF(BW396="DEFICIENCY","Unresolved deficiency or material deficiency",IF(BW396="UNDERWRITING","Underwriting / feasibility not passed",IF(BW396="COMPLIANCE","Deconcentration, one-mile, LURA, or Chapter 12 issue","Ready under current engine rules"))))))</f>
        <v/>
      </c>
      <c r="BY396" s="13">
        <f>IF(BV396="Determination Notice","Streamlined + DN-ready assumptions satisfied",IF(BV396="Board","Board-required or board-ready assumptions satisfied",""))</f>
        <v/>
      </c>
      <c r="BZ396" s="13">
        <f>IF(AND(BP396="Y",BQ396&lt;&gt;"Y"),"Carryforward project retains queue priority",IF(BQ396="Y","New project enters behind carryforward projects",""))</f>
        <v/>
      </c>
      <c r="CA396" s="13">
        <f>_xludf.RANK.EQ(Rule_Flags!O395,Rule_Flags!$O$3:$O$402,0)</f>
        <v/>
      </c>
      <c r="CB396" s="13">
        <f>IF(OR(BU396="Determination Notice Issued",BU396="Board",BU396="Closed"),"Y","N")</f>
        <v/>
      </c>
      <c r="CC396" s="9" t="n"/>
      <c r="CD396" s="9" t="n"/>
      <c r="CE396" s="9" t="n"/>
      <c r="CF396" s="9" t="n"/>
      <c r="CG396" s="9" t="n"/>
      <c r="CH396" s="9" t="n"/>
    </row>
    <row r="397">
      <c r="A397" s="8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8" t="n"/>
      <c r="L397" s="9" t="n"/>
      <c r="M397" s="8" t="n"/>
      <c r="N397" s="8" t="n"/>
      <c r="O397" s="8" t="n"/>
      <c r="P397" s="8" t="n"/>
      <c r="Q397" s="8" t="n"/>
      <c r="R397" s="9" t="n"/>
      <c r="S397" s="9" t="n"/>
      <c r="T397" s="10" t="n"/>
      <c r="U397" s="10" t="n"/>
      <c r="V397" s="9" t="n"/>
      <c r="W397" s="9" t="n"/>
      <c r="X397" s="9" t="n"/>
      <c r="Y397" s="9" t="n"/>
      <c r="Z397" s="11" t="n"/>
      <c r="AA397" s="11" t="n"/>
      <c r="AB397" s="11" t="n"/>
      <c r="AC397" s="11" t="n"/>
      <c r="AD397" s="11" t="n"/>
      <c r="AE397" s="11" t="n"/>
      <c r="AF397" s="9" t="n"/>
      <c r="AG397" s="9" t="n"/>
      <c r="AH397" s="9" t="n"/>
      <c r="AI397" s="9" t="n"/>
      <c r="AJ397" s="8" t="n"/>
      <c r="AK397" s="9" t="n"/>
      <c r="AL397" s="9" t="n"/>
      <c r="AM397" s="9" t="n"/>
      <c r="AN397" s="9" t="n"/>
      <c r="AO397" s="9" t="n"/>
      <c r="AP397" s="9" t="n"/>
      <c r="AQ397" s="9" t="n"/>
      <c r="AR397" s="9" t="n"/>
      <c r="AS397" s="9" t="n"/>
      <c r="AT397" s="8" t="n"/>
      <c r="AU397" s="8" t="n"/>
      <c r="AV397" s="9" t="n"/>
      <c r="AW397" s="8" t="n"/>
      <c r="AX397" s="9" t="n"/>
      <c r="AY397" s="9" t="n"/>
      <c r="AZ397" s="9" t="n"/>
      <c r="BA397" s="9" t="n"/>
      <c r="BB397" s="9" t="n"/>
      <c r="BC397" s="9" t="n"/>
      <c r="BD397" s="9" t="n"/>
      <c r="BE397" s="9" t="n"/>
      <c r="BF397" s="9" t="n"/>
      <c r="BG397" s="9" t="n"/>
      <c r="BH397" s="9" t="n"/>
      <c r="BI397" s="9" t="n"/>
      <c r="BJ397" s="9" t="n"/>
      <c r="BK397" s="9" t="n"/>
      <c r="BL397" s="9" t="n"/>
      <c r="BM397" s="9" t="n"/>
      <c r="BN397" s="9" t="n"/>
      <c r="BO397" s="8" t="n"/>
      <c r="BP397" s="9" t="n"/>
      <c r="BQ397" s="9" t="n"/>
      <c r="BR397" s="13">
        <f>IF(COUNTIF(AI397:BM397,"N")+COUNTBLANK(AI397:BM397)=0,"Y","N")</f>
        <v/>
      </c>
      <c r="BS397" s="13">
        <f>IF(AND(BR397="Y",OR(L397="Submitted",L397="Under Review")),"Y",IF(L397="Closed","Y","N"))</f>
        <v/>
      </c>
      <c r="BT397" s="10" t="n"/>
      <c r="BU397" s="13">
        <f>Rule_Flags!Q396</f>
        <v/>
      </c>
      <c r="BV397" s="13">
        <f>Rule_Flags!P396</f>
        <v/>
      </c>
      <c r="BW397" s="13">
        <f>IF(Rule_Flags!E396=1,"SITE_CONTROL",IF(Rule_Flags!F396=1,"APPROVALS",IF(Rule_Flags!G396=1,"REPORTS",IF(Rule_Flags!H396=1,"DEFICIENCY",IF(Rule_Flags!I396=1,"UNDERWRITING",IF(Rule_Flags!J396=1,"COMPLIANCE",""))))))</f>
        <v/>
      </c>
      <c r="BX397" s="13">
        <f>IF(BW397="SITE_CONTROL","Site control missing or invalid",IF(BW397="APPROVALS","Required approvals or resolutions incomplete",IF(BW397="REPORTS","Required third-party reports incomplete",IF(BW397="DEFICIENCY","Unresolved deficiency or material deficiency",IF(BW397="UNDERWRITING","Underwriting / feasibility not passed",IF(BW397="COMPLIANCE","Deconcentration, one-mile, LURA, or Chapter 12 issue","Ready under current engine rules"))))))</f>
        <v/>
      </c>
      <c r="BY397" s="13">
        <f>IF(BV397="Determination Notice","Streamlined + DN-ready assumptions satisfied",IF(BV397="Board","Board-required or board-ready assumptions satisfied",""))</f>
        <v/>
      </c>
      <c r="BZ397" s="13">
        <f>IF(AND(BP397="Y",BQ397&lt;&gt;"Y"),"Carryforward project retains queue priority",IF(BQ397="Y","New project enters behind carryforward projects",""))</f>
        <v/>
      </c>
      <c r="CA397" s="13">
        <f>_xludf.RANK.EQ(Rule_Flags!O396,Rule_Flags!$O$3:$O$402,0)</f>
        <v/>
      </c>
      <c r="CB397" s="13">
        <f>IF(OR(BU397="Determination Notice Issued",BU397="Board",BU397="Closed"),"Y","N")</f>
        <v/>
      </c>
      <c r="CC397" s="9" t="n"/>
      <c r="CD397" s="9" t="n"/>
      <c r="CE397" s="9" t="n"/>
      <c r="CF397" s="9" t="n"/>
      <c r="CG397" s="9" t="n"/>
      <c r="CH397" s="9" t="n"/>
    </row>
    <row r="398">
      <c r="A398" s="8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8" t="n"/>
      <c r="L398" s="9" t="n"/>
      <c r="M398" s="8" t="n"/>
      <c r="N398" s="8" t="n"/>
      <c r="O398" s="8" t="n"/>
      <c r="P398" s="8" t="n"/>
      <c r="Q398" s="8" t="n"/>
      <c r="R398" s="9" t="n"/>
      <c r="S398" s="9" t="n"/>
      <c r="T398" s="10" t="n"/>
      <c r="U398" s="10" t="n"/>
      <c r="V398" s="9" t="n"/>
      <c r="W398" s="9" t="n"/>
      <c r="X398" s="9" t="n"/>
      <c r="Y398" s="9" t="n"/>
      <c r="Z398" s="11" t="n"/>
      <c r="AA398" s="11" t="n"/>
      <c r="AB398" s="11" t="n"/>
      <c r="AC398" s="11" t="n"/>
      <c r="AD398" s="11" t="n"/>
      <c r="AE398" s="11" t="n"/>
      <c r="AF398" s="9" t="n"/>
      <c r="AG398" s="9" t="n"/>
      <c r="AH398" s="9" t="n"/>
      <c r="AI398" s="9" t="n"/>
      <c r="AJ398" s="8" t="n"/>
      <c r="AK398" s="9" t="n"/>
      <c r="AL398" s="9" t="n"/>
      <c r="AM398" s="9" t="n"/>
      <c r="AN398" s="9" t="n"/>
      <c r="AO398" s="9" t="n"/>
      <c r="AP398" s="9" t="n"/>
      <c r="AQ398" s="9" t="n"/>
      <c r="AR398" s="9" t="n"/>
      <c r="AS398" s="9" t="n"/>
      <c r="AT398" s="8" t="n"/>
      <c r="AU398" s="8" t="n"/>
      <c r="AV398" s="9" t="n"/>
      <c r="AW398" s="8" t="n"/>
      <c r="AX398" s="9" t="n"/>
      <c r="AY398" s="9" t="n"/>
      <c r="AZ398" s="9" t="n"/>
      <c r="BA398" s="9" t="n"/>
      <c r="BB398" s="9" t="n"/>
      <c r="BC398" s="9" t="n"/>
      <c r="BD398" s="9" t="n"/>
      <c r="BE398" s="9" t="n"/>
      <c r="BF398" s="9" t="n"/>
      <c r="BG398" s="9" t="n"/>
      <c r="BH398" s="9" t="n"/>
      <c r="BI398" s="9" t="n"/>
      <c r="BJ398" s="9" t="n"/>
      <c r="BK398" s="9" t="n"/>
      <c r="BL398" s="9" t="n"/>
      <c r="BM398" s="9" t="n"/>
      <c r="BN398" s="9" t="n"/>
      <c r="BO398" s="8" t="n"/>
      <c r="BP398" s="9" t="n"/>
      <c r="BQ398" s="9" t="n"/>
      <c r="BR398" s="13">
        <f>IF(COUNTIF(AI398:BM398,"N")+COUNTBLANK(AI398:BM398)=0,"Y","N")</f>
        <v/>
      </c>
      <c r="BS398" s="13">
        <f>IF(AND(BR398="Y",OR(L398="Submitted",L398="Under Review")),"Y",IF(L398="Closed","Y","N"))</f>
        <v/>
      </c>
      <c r="BT398" s="10" t="n"/>
      <c r="BU398" s="13">
        <f>Rule_Flags!Q397</f>
        <v/>
      </c>
      <c r="BV398" s="13">
        <f>Rule_Flags!P397</f>
        <v/>
      </c>
      <c r="BW398" s="13">
        <f>IF(Rule_Flags!E397=1,"SITE_CONTROL",IF(Rule_Flags!F397=1,"APPROVALS",IF(Rule_Flags!G397=1,"REPORTS",IF(Rule_Flags!H397=1,"DEFICIENCY",IF(Rule_Flags!I397=1,"UNDERWRITING",IF(Rule_Flags!J397=1,"COMPLIANCE",""))))))</f>
        <v/>
      </c>
      <c r="BX398" s="13">
        <f>IF(BW398="SITE_CONTROL","Site control missing or invalid",IF(BW398="APPROVALS","Required approvals or resolutions incomplete",IF(BW398="REPORTS","Required third-party reports incomplete",IF(BW398="DEFICIENCY","Unresolved deficiency or material deficiency",IF(BW398="UNDERWRITING","Underwriting / feasibility not passed",IF(BW398="COMPLIANCE","Deconcentration, one-mile, LURA, or Chapter 12 issue","Ready under current engine rules"))))))</f>
        <v/>
      </c>
      <c r="BY398" s="13">
        <f>IF(BV398="Determination Notice","Streamlined + DN-ready assumptions satisfied",IF(BV398="Board","Board-required or board-ready assumptions satisfied",""))</f>
        <v/>
      </c>
      <c r="BZ398" s="13">
        <f>IF(AND(BP398="Y",BQ398&lt;&gt;"Y"),"Carryforward project retains queue priority",IF(BQ398="Y","New project enters behind carryforward projects",""))</f>
        <v/>
      </c>
      <c r="CA398" s="13">
        <f>_xludf.RANK.EQ(Rule_Flags!O397,Rule_Flags!$O$3:$O$402,0)</f>
        <v/>
      </c>
      <c r="CB398" s="13">
        <f>IF(OR(BU398="Determination Notice Issued",BU398="Board",BU398="Closed"),"Y","N")</f>
        <v/>
      </c>
      <c r="CC398" s="9" t="n"/>
      <c r="CD398" s="9" t="n"/>
      <c r="CE398" s="9" t="n"/>
      <c r="CF398" s="9" t="n"/>
      <c r="CG398" s="9" t="n"/>
      <c r="CH398" s="9" t="n"/>
    </row>
    <row r="399">
      <c r="A399" s="8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8" t="n"/>
      <c r="L399" s="9" t="n"/>
      <c r="M399" s="8" t="n"/>
      <c r="N399" s="8" t="n"/>
      <c r="O399" s="8" t="n"/>
      <c r="P399" s="8" t="n"/>
      <c r="Q399" s="8" t="n"/>
      <c r="R399" s="9" t="n"/>
      <c r="S399" s="9" t="n"/>
      <c r="T399" s="10" t="n"/>
      <c r="U399" s="10" t="n"/>
      <c r="V399" s="9" t="n"/>
      <c r="W399" s="9" t="n"/>
      <c r="X399" s="9" t="n"/>
      <c r="Y399" s="9" t="n"/>
      <c r="Z399" s="11" t="n"/>
      <c r="AA399" s="11" t="n"/>
      <c r="AB399" s="11" t="n"/>
      <c r="AC399" s="11" t="n"/>
      <c r="AD399" s="11" t="n"/>
      <c r="AE399" s="11" t="n"/>
      <c r="AF399" s="9" t="n"/>
      <c r="AG399" s="9" t="n"/>
      <c r="AH399" s="9" t="n"/>
      <c r="AI399" s="9" t="n"/>
      <c r="AJ399" s="8" t="n"/>
      <c r="AK399" s="9" t="n"/>
      <c r="AL399" s="9" t="n"/>
      <c r="AM399" s="9" t="n"/>
      <c r="AN399" s="9" t="n"/>
      <c r="AO399" s="9" t="n"/>
      <c r="AP399" s="9" t="n"/>
      <c r="AQ399" s="9" t="n"/>
      <c r="AR399" s="9" t="n"/>
      <c r="AS399" s="9" t="n"/>
      <c r="AT399" s="8" t="n"/>
      <c r="AU399" s="8" t="n"/>
      <c r="AV399" s="9" t="n"/>
      <c r="AW399" s="8" t="n"/>
      <c r="AX399" s="9" t="n"/>
      <c r="AY399" s="9" t="n"/>
      <c r="AZ399" s="9" t="n"/>
      <c r="BA399" s="9" t="n"/>
      <c r="BB399" s="9" t="n"/>
      <c r="BC399" s="9" t="n"/>
      <c r="BD399" s="9" t="n"/>
      <c r="BE399" s="9" t="n"/>
      <c r="BF399" s="9" t="n"/>
      <c r="BG399" s="9" t="n"/>
      <c r="BH399" s="9" t="n"/>
      <c r="BI399" s="9" t="n"/>
      <c r="BJ399" s="9" t="n"/>
      <c r="BK399" s="9" t="n"/>
      <c r="BL399" s="9" t="n"/>
      <c r="BM399" s="9" t="n"/>
      <c r="BN399" s="9" t="n"/>
      <c r="BO399" s="8" t="n"/>
      <c r="BP399" s="9" t="n"/>
      <c r="BQ399" s="9" t="n"/>
      <c r="BR399" s="13">
        <f>IF(COUNTIF(AI399:BM399,"N")+COUNTBLANK(AI399:BM399)=0,"Y","N")</f>
        <v/>
      </c>
      <c r="BS399" s="13">
        <f>IF(AND(BR399="Y",OR(L399="Submitted",L399="Under Review")),"Y",IF(L399="Closed","Y","N"))</f>
        <v/>
      </c>
      <c r="BT399" s="10" t="n"/>
      <c r="BU399" s="13">
        <f>Rule_Flags!Q398</f>
        <v/>
      </c>
      <c r="BV399" s="13">
        <f>Rule_Flags!P398</f>
        <v/>
      </c>
      <c r="BW399" s="13">
        <f>IF(Rule_Flags!E398=1,"SITE_CONTROL",IF(Rule_Flags!F398=1,"APPROVALS",IF(Rule_Flags!G398=1,"REPORTS",IF(Rule_Flags!H398=1,"DEFICIENCY",IF(Rule_Flags!I398=1,"UNDERWRITING",IF(Rule_Flags!J398=1,"COMPLIANCE",""))))))</f>
        <v/>
      </c>
      <c r="BX399" s="13">
        <f>IF(BW399="SITE_CONTROL","Site control missing or invalid",IF(BW399="APPROVALS","Required approvals or resolutions incomplete",IF(BW399="REPORTS","Required third-party reports incomplete",IF(BW399="DEFICIENCY","Unresolved deficiency or material deficiency",IF(BW399="UNDERWRITING","Underwriting / feasibility not passed",IF(BW399="COMPLIANCE","Deconcentration, one-mile, LURA, or Chapter 12 issue","Ready under current engine rules"))))))</f>
        <v/>
      </c>
      <c r="BY399" s="13">
        <f>IF(BV399="Determination Notice","Streamlined + DN-ready assumptions satisfied",IF(BV399="Board","Board-required or board-ready assumptions satisfied",""))</f>
        <v/>
      </c>
      <c r="BZ399" s="13">
        <f>IF(AND(BP399="Y",BQ399&lt;&gt;"Y"),"Carryforward project retains queue priority",IF(BQ399="Y","New project enters behind carryforward projects",""))</f>
        <v/>
      </c>
      <c r="CA399" s="13">
        <f>_xludf.RANK.EQ(Rule_Flags!O398,Rule_Flags!$O$3:$O$402,0)</f>
        <v/>
      </c>
      <c r="CB399" s="13">
        <f>IF(OR(BU399="Determination Notice Issued",BU399="Board",BU399="Closed"),"Y","N")</f>
        <v/>
      </c>
      <c r="CC399" s="9" t="n"/>
      <c r="CD399" s="9" t="n"/>
      <c r="CE399" s="9" t="n"/>
      <c r="CF399" s="9" t="n"/>
      <c r="CG399" s="9" t="n"/>
      <c r="CH399" s="9" t="n"/>
    </row>
    <row r="400">
      <c r="A400" s="8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8" t="n"/>
      <c r="L400" s="9" t="n"/>
      <c r="M400" s="8" t="n"/>
      <c r="N400" s="8" t="n"/>
      <c r="O400" s="8" t="n"/>
      <c r="P400" s="8" t="n"/>
      <c r="Q400" s="8" t="n"/>
      <c r="R400" s="9" t="n"/>
      <c r="S400" s="9" t="n"/>
      <c r="T400" s="10" t="n"/>
      <c r="U400" s="10" t="n"/>
      <c r="V400" s="9" t="n"/>
      <c r="W400" s="9" t="n"/>
      <c r="X400" s="9" t="n"/>
      <c r="Y400" s="9" t="n"/>
      <c r="Z400" s="11" t="n"/>
      <c r="AA400" s="11" t="n"/>
      <c r="AB400" s="11" t="n"/>
      <c r="AC400" s="11" t="n"/>
      <c r="AD400" s="11" t="n"/>
      <c r="AE400" s="11" t="n"/>
      <c r="AF400" s="9" t="n"/>
      <c r="AG400" s="9" t="n"/>
      <c r="AH400" s="9" t="n"/>
      <c r="AI400" s="9" t="n"/>
      <c r="AJ400" s="8" t="n"/>
      <c r="AK400" s="9" t="n"/>
      <c r="AL400" s="9" t="n"/>
      <c r="AM400" s="9" t="n"/>
      <c r="AN400" s="9" t="n"/>
      <c r="AO400" s="9" t="n"/>
      <c r="AP400" s="9" t="n"/>
      <c r="AQ400" s="9" t="n"/>
      <c r="AR400" s="9" t="n"/>
      <c r="AS400" s="9" t="n"/>
      <c r="AT400" s="8" t="n"/>
      <c r="AU400" s="8" t="n"/>
      <c r="AV400" s="9" t="n"/>
      <c r="AW400" s="8" t="n"/>
      <c r="AX400" s="9" t="n"/>
      <c r="AY400" s="9" t="n"/>
      <c r="AZ400" s="9" t="n"/>
      <c r="BA400" s="9" t="n"/>
      <c r="BB400" s="9" t="n"/>
      <c r="BC400" s="9" t="n"/>
      <c r="BD400" s="9" t="n"/>
      <c r="BE400" s="9" t="n"/>
      <c r="BF400" s="9" t="n"/>
      <c r="BG400" s="9" t="n"/>
      <c r="BH400" s="9" t="n"/>
      <c r="BI400" s="9" t="n"/>
      <c r="BJ400" s="9" t="n"/>
      <c r="BK400" s="9" t="n"/>
      <c r="BL400" s="9" t="n"/>
      <c r="BM400" s="9" t="n"/>
      <c r="BN400" s="9" t="n"/>
      <c r="BO400" s="8" t="n"/>
      <c r="BP400" s="9" t="n"/>
      <c r="BQ400" s="9" t="n"/>
      <c r="BR400" s="13">
        <f>IF(COUNTIF(AI400:BM400,"N")+COUNTBLANK(AI400:BM400)=0,"Y","N")</f>
        <v/>
      </c>
      <c r="BS400" s="13">
        <f>IF(AND(BR400="Y",OR(L400="Submitted",L400="Under Review")),"Y",IF(L400="Closed","Y","N"))</f>
        <v/>
      </c>
      <c r="BT400" s="10" t="n"/>
      <c r="BU400" s="13">
        <f>Rule_Flags!Q399</f>
        <v/>
      </c>
      <c r="BV400" s="13">
        <f>Rule_Flags!P399</f>
        <v/>
      </c>
      <c r="BW400" s="13">
        <f>IF(Rule_Flags!E399=1,"SITE_CONTROL",IF(Rule_Flags!F399=1,"APPROVALS",IF(Rule_Flags!G399=1,"REPORTS",IF(Rule_Flags!H399=1,"DEFICIENCY",IF(Rule_Flags!I399=1,"UNDERWRITING",IF(Rule_Flags!J399=1,"COMPLIANCE",""))))))</f>
        <v/>
      </c>
      <c r="BX400" s="13">
        <f>IF(BW400="SITE_CONTROL","Site control missing or invalid",IF(BW400="APPROVALS","Required approvals or resolutions incomplete",IF(BW400="REPORTS","Required third-party reports incomplete",IF(BW400="DEFICIENCY","Unresolved deficiency or material deficiency",IF(BW400="UNDERWRITING","Underwriting / feasibility not passed",IF(BW400="COMPLIANCE","Deconcentration, one-mile, LURA, or Chapter 12 issue","Ready under current engine rules"))))))</f>
        <v/>
      </c>
      <c r="BY400" s="13">
        <f>IF(BV400="Determination Notice","Streamlined + DN-ready assumptions satisfied",IF(BV400="Board","Board-required or board-ready assumptions satisfied",""))</f>
        <v/>
      </c>
      <c r="BZ400" s="13">
        <f>IF(AND(BP400="Y",BQ400&lt;&gt;"Y"),"Carryforward project retains queue priority",IF(BQ400="Y","New project enters behind carryforward projects",""))</f>
        <v/>
      </c>
      <c r="CA400" s="13">
        <f>_xludf.RANK.EQ(Rule_Flags!O399,Rule_Flags!$O$3:$O$402,0)</f>
        <v/>
      </c>
      <c r="CB400" s="13">
        <f>IF(OR(BU400="Determination Notice Issued",BU400="Board",BU400="Closed"),"Y","N")</f>
        <v/>
      </c>
      <c r="CC400" s="9" t="n"/>
      <c r="CD400" s="9" t="n"/>
      <c r="CE400" s="9" t="n"/>
      <c r="CF400" s="9" t="n"/>
      <c r="CG400" s="9" t="n"/>
      <c r="CH400" s="9" t="n"/>
    </row>
    <row r="401">
      <c r="A401" s="8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8" t="n"/>
      <c r="L401" s="9" t="n"/>
      <c r="M401" s="8" t="n"/>
      <c r="N401" s="8" t="n"/>
      <c r="O401" s="8" t="n"/>
      <c r="P401" s="8" t="n"/>
      <c r="Q401" s="8" t="n"/>
      <c r="R401" s="9" t="n"/>
      <c r="S401" s="9" t="n"/>
      <c r="T401" s="10" t="n"/>
      <c r="U401" s="10" t="n"/>
      <c r="V401" s="9" t="n"/>
      <c r="W401" s="9" t="n"/>
      <c r="X401" s="9" t="n"/>
      <c r="Y401" s="9" t="n"/>
      <c r="Z401" s="11" t="n"/>
      <c r="AA401" s="11" t="n"/>
      <c r="AB401" s="11" t="n"/>
      <c r="AC401" s="11" t="n"/>
      <c r="AD401" s="11" t="n"/>
      <c r="AE401" s="11" t="n"/>
      <c r="AF401" s="9" t="n"/>
      <c r="AG401" s="9" t="n"/>
      <c r="AH401" s="9" t="n"/>
      <c r="AI401" s="9" t="n"/>
      <c r="AJ401" s="8" t="n"/>
      <c r="AK401" s="9" t="n"/>
      <c r="AL401" s="9" t="n"/>
      <c r="AM401" s="9" t="n"/>
      <c r="AN401" s="9" t="n"/>
      <c r="AO401" s="9" t="n"/>
      <c r="AP401" s="9" t="n"/>
      <c r="AQ401" s="9" t="n"/>
      <c r="AR401" s="9" t="n"/>
      <c r="AS401" s="9" t="n"/>
      <c r="AT401" s="8" t="n"/>
      <c r="AU401" s="8" t="n"/>
      <c r="AV401" s="9" t="n"/>
      <c r="AW401" s="8" t="n"/>
      <c r="AX401" s="9" t="n"/>
      <c r="AY401" s="9" t="n"/>
      <c r="AZ401" s="9" t="n"/>
      <c r="BA401" s="9" t="n"/>
      <c r="BB401" s="9" t="n"/>
      <c r="BC401" s="9" t="n"/>
      <c r="BD401" s="9" t="n"/>
      <c r="BE401" s="9" t="n"/>
      <c r="BF401" s="9" t="n"/>
      <c r="BG401" s="9" t="n"/>
      <c r="BH401" s="9" t="n"/>
      <c r="BI401" s="9" t="n"/>
      <c r="BJ401" s="9" t="n"/>
      <c r="BK401" s="9" t="n"/>
      <c r="BL401" s="9" t="n"/>
      <c r="BM401" s="9" t="n"/>
      <c r="BN401" s="9" t="n"/>
      <c r="BO401" s="8" t="n"/>
      <c r="BP401" s="9" t="n"/>
      <c r="BQ401" s="9" t="n"/>
      <c r="BR401" s="13">
        <f>IF(COUNTIF(AI401:BM401,"N")+COUNTBLANK(AI401:BM401)=0,"Y","N")</f>
        <v/>
      </c>
      <c r="BS401" s="13">
        <f>IF(AND(BR401="Y",OR(L401="Submitted",L401="Under Review")),"Y",IF(L401="Closed","Y","N"))</f>
        <v/>
      </c>
      <c r="BT401" s="10" t="n"/>
      <c r="BU401" s="13">
        <f>Rule_Flags!Q400</f>
        <v/>
      </c>
      <c r="BV401" s="13">
        <f>Rule_Flags!P400</f>
        <v/>
      </c>
      <c r="BW401" s="13">
        <f>IF(Rule_Flags!E400=1,"SITE_CONTROL",IF(Rule_Flags!F400=1,"APPROVALS",IF(Rule_Flags!G400=1,"REPORTS",IF(Rule_Flags!H400=1,"DEFICIENCY",IF(Rule_Flags!I400=1,"UNDERWRITING",IF(Rule_Flags!J400=1,"COMPLIANCE",""))))))</f>
        <v/>
      </c>
      <c r="BX401" s="13">
        <f>IF(BW401="SITE_CONTROL","Site control missing or invalid",IF(BW401="APPROVALS","Required approvals or resolutions incomplete",IF(BW401="REPORTS","Required third-party reports incomplete",IF(BW401="DEFICIENCY","Unresolved deficiency or material deficiency",IF(BW401="UNDERWRITING","Underwriting / feasibility not passed",IF(BW401="COMPLIANCE","Deconcentration, one-mile, LURA, or Chapter 12 issue","Ready under current engine rules"))))))</f>
        <v/>
      </c>
      <c r="BY401" s="13">
        <f>IF(BV401="Determination Notice","Streamlined + DN-ready assumptions satisfied",IF(BV401="Board","Board-required or board-ready assumptions satisfied",""))</f>
        <v/>
      </c>
      <c r="BZ401" s="13">
        <f>IF(AND(BP401="Y",BQ401&lt;&gt;"Y"),"Carryforward project retains queue priority",IF(BQ401="Y","New project enters behind carryforward projects",""))</f>
        <v/>
      </c>
      <c r="CA401" s="13">
        <f>_xludf.RANK.EQ(Rule_Flags!O400,Rule_Flags!$O$3:$O$402,0)</f>
        <v/>
      </c>
      <c r="CB401" s="13">
        <f>IF(OR(BU401="Determination Notice Issued",BU401="Board",BU401="Closed"),"Y","N")</f>
        <v/>
      </c>
      <c r="CC401" s="9" t="n"/>
      <c r="CD401" s="9" t="n"/>
      <c r="CE401" s="9" t="n"/>
      <c r="CF401" s="9" t="n"/>
      <c r="CG401" s="9" t="n"/>
      <c r="CH401" s="9" t="n"/>
    </row>
    <row r="402">
      <c r="A402" s="8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8" t="n"/>
      <c r="L402" s="9" t="n"/>
      <c r="M402" s="8" t="n"/>
      <c r="N402" s="8" t="n"/>
      <c r="O402" s="8" t="n"/>
      <c r="P402" s="8" t="n"/>
      <c r="Q402" s="8" t="n"/>
      <c r="R402" s="9" t="n"/>
      <c r="S402" s="9" t="n"/>
      <c r="T402" s="10" t="n"/>
      <c r="U402" s="10" t="n"/>
      <c r="V402" s="9" t="n"/>
      <c r="W402" s="9" t="n"/>
      <c r="X402" s="9" t="n"/>
      <c r="Y402" s="9" t="n"/>
      <c r="Z402" s="11" t="n"/>
      <c r="AA402" s="11" t="n"/>
      <c r="AB402" s="11" t="n"/>
      <c r="AC402" s="11" t="n"/>
      <c r="AD402" s="11" t="n"/>
      <c r="AE402" s="11" t="n"/>
      <c r="AF402" s="9" t="n"/>
      <c r="AG402" s="9" t="n"/>
      <c r="AH402" s="9" t="n"/>
      <c r="AI402" s="9" t="n"/>
      <c r="AJ402" s="8" t="n"/>
      <c r="AK402" s="9" t="n"/>
      <c r="AL402" s="9" t="n"/>
      <c r="AM402" s="9" t="n"/>
      <c r="AN402" s="9" t="n"/>
      <c r="AO402" s="9" t="n"/>
      <c r="AP402" s="9" t="n"/>
      <c r="AQ402" s="9" t="n"/>
      <c r="AR402" s="9" t="n"/>
      <c r="AS402" s="9" t="n"/>
      <c r="AT402" s="8" t="n"/>
      <c r="AU402" s="8" t="n"/>
      <c r="AV402" s="9" t="n"/>
      <c r="AW402" s="8" t="n"/>
      <c r="AX402" s="9" t="n"/>
      <c r="AY402" s="9" t="n"/>
      <c r="AZ402" s="9" t="n"/>
      <c r="BA402" s="9" t="n"/>
      <c r="BB402" s="9" t="n"/>
      <c r="BC402" s="9" t="n"/>
      <c r="BD402" s="9" t="n"/>
      <c r="BE402" s="9" t="n"/>
      <c r="BF402" s="9" t="n"/>
      <c r="BG402" s="9" t="n"/>
      <c r="BH402" s="9" t="n"/>
      <c r="BI402" s="9" t="n"/>
      <c r="BJ402" s="9" t="n"/>
      <c r="BK402" s="9" t="n"/>
      <c r="BL402" s="9" t="n"/>
      <c r="BM402" s="9" t="n"/>
      <c r="BN402" s="9" t="n"/>
      <c r="BO402" s="8" t="n"/>
      <c r="BP402" s="9" t="n"/>
      <c r="BQ402" s="9" t="n"/>
      <c r="BR402" s="13">
        <f>IF(COUNTIF(AI402:BM402,"N")+COUNTBLANK(AI402:BM402)=0,"Y","N")</f>
        <v/>
      </c>
      <c r="BS402" s="13">
        <f>IF(AND(BR402="Y",OR(L402="Submitted",L402="Under Review")),"Y",IF(L402="Closed","Y","N"))</f>
        <v/>
      </c>
      <c r="BT402" s="10" t="n"/>
      <c r="BU402" s="13">
        <f>Rule_Flags!Q401</f>
        <v/>
      </c>
      <c r="BV402" s="13">
        <f>Rule_Flags!P401</f>
        <v/>
      </c>
      <c r="BW402" s="13">
        <f>IF(Rule_Flags!E401=1,"SITE_CONTROL",IF(Rule_Flags!F401=1,"APPROVALS",IF(Rule_Flags!G401=1,"REPORTS",IF(Rule_Flags!H401=1,"DEFICIENCY",IF(Rule_Flags!I401=1,"UNDERWRITING",IF(Rule_Flags!J401=1,"COMPLIANCE",""))))))</f>
        <v/>
      </c>
      <c r="BX402" s="13">
        <f>IF(BW402="SITE_CONTROL","Site control missing or invalid",IF(BW402="APPROVALS","Required approvals or resolutions incomplete",IF(BW402="REPORTS","Required third-party reports incomplete",IF(BW402="DEFICIENCY","Unresolved deficiency or material deficiency",IF(BW402="UNDERWRITING","Underwriting / feasibility not passed",IF(BW402="COMPLIANCE","Deconcentration, one-mile, LURA, or Chapter 12 issue","Ready under current engine rules"))))))</f>
        <v/>
      </c>
      <c r="BY402" s="13">
        <f>IF(BV402="Determination Notice","Streamlined + DN-ready assumptions satisfied",IF(BV402="Board","Board-required or board-ready assumptions satisfied",""))</f>
        <v/>
      </c>
      <c r="BZ402" s="13">
        <f>IF(AND(BP402="Y",BQ402&lt;&gt;"Y"),"Carryforward project retains queue priority",IF(BQ402="Y","New project enters behind carryforward projects",""))</f>
        <v/>
      </c>
      <c r="CA402" s="13">
        <f>_xludf.RANK.EQ(Rule_Flags!O401,Rule_Flags!$O$3:$O$402,0)</f>
        <v/>
      </c>
      <c r="CB402" s="13">
        <f>IF(OR(BU402="Determination Notice Issued",BU402="Board",BU402="Closed"),"Y","N")</f>
        <v/>
      </c>
      <c r="CC402" s="9" t="n"/>
      <c r="CD402" s="9" t="n"/>
      <c r="CE402" s="9" t="n"/>
      <c r="CF402" s="9" t="n"/>
      <c r="CG402" s="9" t="n"/>
      <c r="CH402" s="9" t="n"/>
    </row>
    <row r="403">
      <c r="A403" s="8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8" t="n"/>
      <c r="L403" s="9" t="n"/>
      <c r="M403" s="8" t="n"/>
      <c r="N403" s="8" t="n"/>
      <c r="O403" s="8" t="n"/>
      <c r="P403" s="8" t="n"/>
      <c r="Q403" s="8" t="n"/>
      <c r="R403" s="9" t="n"/>
      <c r="S403" s="9" t="n"/>
      <c r="T403" s="10" t="n"/>
      <c r="U403" s="10" t="n"/>
      <c r="V403" s="9" t="n"/>
      <c r="W403" s="9" t="n"/>
      <c r="X403" s="9" t="n"/>
      <c r="Y403" s="9" t="n"/>
      <c r="Z403" s="11" t="n"/>
      <c r="AA403" s="11" t="n"/>
      <c r="AB403" s="11" t="n"/>
      <c r="AC403" s="11" t="n"/>
      <c r="AD403" s="11" t="n"/>
      <c r="AE403" s="11" t="n"/>
      <c r="AF403" s="9" t="n"/>
      <c r="AG403" s="9" t="n"/>
      <c r="AH403" s="9" t="n"/>
      <c r="AI403" s="9" t="n"/>
      <c r="AJ403" s="8" t="n"/>
      <c r="AK403" s="9" t="n"/>
      <c r="AL403" s="9" t="n"/>
      <c r="AM403" s="9" t="n"/>
      <c r="AN403" s="9" t="n"/>
      <c r="AO403" s="9" t="n"/>
      <c r="AP403" s="9" t="n"/>
      <c r="AQ403" s="9" t="n"/>
      <c r="AR403" s="9" t="n"/>
      <c r="AS403" s="9" t="n"/>
      <c r="AT403" s="8" t="n"/>
      <c r="AU403" s="8" t="n"/>
      <c r="AV403" s="9" t="n"/>
      <c r="AW403" s="8" t="n"/>
      <c r="AX403" s="9" t="n"/>
      <c r="AY403" s="9" t="n"/>
      <c r="AZ403" s="9" t="n"/>
      <c r="BA403" s="9" t="n"/>
      <c r="BB403" s="9" t="n"/>
      <c r="BC403" s="9" t="n"/>
      <c r="BD403" s="9" t="n"/>
      <c r="BE403" s="9" t="n"/>
      <c r="BF403" s="9" t="n"/>
      <c r="BG403" s="9" t="n"/>
      <c r="BH403" s="9" t="n"/>
      <c r="BI403" s="9" t="n"/>
      <c r="BJ403" s="9" t="n"/>
      <c r="BK403" s="9" t="n"/>
      <c r="BL403" s="9" t="n"/>
      <c r="BM403" s="9" t="n"/>
      <c r="BN403" s="9" t="n"/>
      <c r="BO403" s="8" t="n"/>
      <c r="BP403" s="9" t="n"/>
      <c r="BQ403" s="9" t="n"/>
      <c r="BR403" s="13">
        <f>IF(COUNTIF(AI403:BM403,"N")+COUNTBLANK(AI403:BM403)=0,"Y","N")</f>
        <v/>
      </c>
      <c r="BS403" s="13">
        <f>IF(AND(BR403="Y",OR(L403="Submitted",L403="Under Review")),"Y",IF(L403="Closed","Y","N"))</f>
        <v/>
      </c>
      <c r="BT403" s="10" t="n"/>
      <c r="BU403" s="13">
        <f>Rule_Flags!Q402</f>
        <v/>
      </c>
      <c r="BV403" s="13">
        <f>Rule_Flags!P402</f>
        <v/>
      </c>
      <c r="BW403" s="13">
        <f>IF(Rule_Flags!E402=1,"SITE_CONTROL",IF(Rule_Flags!F402=1,"APPROVALS",IF(Rule_Flags!G402=1,"REPORTS",IF(Rule_Flags!H402=1,"DEFICIENCY",IF(Rule_Flags!I402=1,"UNDERWRITING",IF(Rule_Flags!J402=1,"COMPLIANCE",""))))))</f>
        <v/>
      </c>
      <c r="BX403" s="13">
        <f>IF(BW403="SITE_CONTROL","Site control missing or invalid",IF(BW403="APPROVALS","Required approvals or resolutions incomplete",IF(BW403="REPORTS","Required third-party reports incomplete",IF(BW403="DEFICIENCY","Unresolved deficiency or material deficiency",IF(BW403="UNDERWRITING","Underwriting / feasibility not passed",IF(BW403="COMPLIANCE","Deconcentration, one-mile, LURA, or Chapter 12 issue","Ready under current engine rules"))))))</f>
        <v/>
      </c>
      <c r="BY403" s="13">
        <f>IF(BV403="Determination Notice","Streamlined + DN-ready assumptions satisfied",IF(BV403="Board","Board-required or board-ready assumptions satisfied",""))</f>
        <v/>
      </c>
      <c r="BZ403" s="13">
        <f>IF(AND(BP403="Y",BQ403&lt;&gt;"Y"),"Carryforward project retains queue priority",IF(BQ403="Y","New project enters behind carryforward projects",""))</f>
        <v/>
      </c>
      <c r="CA403" s="13">
        <f>_xludf.RANK.EQ(Rule_Flags!O402,Rule_Flags!$O$3:$O$402,0)</f>
        <v/>
      </c>
      <c r="CB403" s="13">
        <f>IF(OR(BU403="Determination Notice Issued",BU403="Board",BU403="Closed"),"Y","N")</f>
        <v/>
      </c>
      <c r="CC403" s="9" t="n"/>
      <c r="CD403" s="9" t="n"/>
      <c r="CE403" s="9" t="n"/>
      <c r="CF403" s="9" t="n"/>
      <c r="CG403" s="9" t="n"/>
      <c r="CH403" s="9" t="n"/>
    </row>
  </sheetData>
  <mergeCells count="11">
    <mergeCell ref="BU2:CB2"/>
    <mergeCell ref="R2:W2"/>
    <mergeCell ref="BO2:BT2"/>
    <mergeCell ref="AI2:BA2"/>
    <mergeCell ref="CC2:CH2"/>
    <mergeCell ref="A1:CH1"/>
    <mergeCell ref="X2:AH2"/>
    <mergeCell ref="BB2:BI2"/>
    <mergeCell ref="BJ2:BN2"/>
    <mergeCell ref="A2:J2"/>
    <mergeCell ref="K2:Q2"/>
  </mergeCells>
  <conditionalFormatting sqref="V4:W403">
    <cfRule type="cellIs" priority="13" operator="equal" dxfId="2">
      <formula>"Y"</formula>
    </cfRule>
    <cfRule type="cellIs" priority="14" operator="equal" dxfId="1">
      <formula>"N"</formula>
    </cfRule>
    <cfRule type="cellIs" priority="15" operator="equal" dxfId="0">
      <formula>"Conditional"</formula>
    </cfRule>
  </conditionalFormatting>
  <conditionalFormatting sqref="AF4:AI403">
    <cfRule type="cellIs" priority="1" operator="equal" dxfId="2">
      <formula>"Y"</formula>
    </cfRule>
    <cfRule type="cellIs" priority="2" operator="equal" dxfId="1">
      <formula>"N"</formula>
    </cfRule>
    <cfRule type="cellIs" priority="3" operator="equal" dxfId="0">
      <formula>"Conditional"</formula>
    </cfRule>
  </conditionalFormatting>
  <conditionalFormatting sqref="AK4:AS403">
    <cfRule type="cellIs" priority="4" operator="equal" dxfId="2">
      <formula>"Y"</formula>
    </cfRule>
    <cfRule type="cellIs" priority="5" operator="equal" dxfId="1">
      <formula>"N"</formula>
    </cfRule>
    <cfRule type="cellIs" priority="6" operator="equal" dxfId="0">
      <formula>"Conditional"</formula>
    </cfRule>
  </conditionalFormatting>
  <conditionalFormatting sqref="AV4:AV403">
    <cfRule type="cellIs" priority="7" operator="equal" dxfId="2">
      <formula>"Y"</formula>
    </cfRule>
    <cfRule type="cellIs" priority="8" operator="equal" dxfId="1">
      <formula>"N"</formula>
    </cfRule>
    <cfRule type="cellIs" priority="9" operator="equal" dxfId="0">
      <formula>"Conditional"</formula>
    </cfRule>
  </conditionalFormatting>
  <conditionalFormatting sqref="AX4:BN403">
    <cfRule type="cellIs" priority="10" operator="equal" dxfId="2">
      <formula>"Y"</formula>
    </cfRule>
    <cfRule type="cellIs" priority="11" operator="equal" dxfId="1">
      <formula>"N"</formula>
    </cfRule>
    <cfRule type="cellIs" priority="12" operator="equal" dxfId="0">
      <formula>"Conditional"</formula>
    </cfRule>
  </conditionalFormatting>
  <conditionalFormatting sqref="BP4:BS403">
    <cfRule type="cellIs" priority="19" operator="equal" dxfId="2">
      <formula>"Y"</formula>
    </cfRule>
    <cfRule type="cellIs" priority="20" operator="equal" dxfId="1">
      <formula>"N"</formula>
    </cfRule>
    <cfRule type="cellIs" priority="21" operator="equal" dxfId="0">
      <formula>"Conditional"</formula>
    </cfRule>
  </conditionalFormatting>
  <conditionalFormatting sqref="BU4:BU94 BU96:BU403">
    <cfRule type="expression" priority="139" dxfId="26">
      <formula>$BU4="No Advancement"</formula>
    </cfRule>
    <cfRule type="expression" priority="140" dxfId="25">
      <formula>OR($BU4="Board",$BU4="Determination Notice Issued",$BU4="Closed")</formula>
    </cfRule>
    <cfRule type="expression" priority="141" dxfId="24">
      <formula>$BU4="Under Review"</formula>
    </cfRule>
  </conditionalFormatting>
  <conditionalFormatting sqref="CB4:CB403">
    <cfRule type="cellIs" priority="22" operator="equal" dxfId="2">
      <formula>"Y"</formula>
    </cfRule>
    <cfRule type="cellIs" priority="23" operator="equal" dxfId="1">
      <formula>"N"</formula>
    </cfRule>
    <cfRule type="cellIs" priority="24" operator="equal" dxfId="0">
      <formula>"Conditional"</formula>
    </cfRule>
  </conditionalFormatting>
  <dataValidations count="8">
    <dataValidation sqref="V4:W403 AF4:AI403 AK4:AS403 AV4:AV403 AX4:BN403 BP4:BQ403" showDropDown="0" showInputMessage="0" showErrorMessage="0" allowBlank="1" errorTitle="Invalid value" error="Select a value from the dropdown list." promptTitle="Allowed values" prompt="Choose a value from the yes_no list." type="list">
      <formula1>yes_no</formula1>
    </dataValidation>
    <dataValidation sqref="L4:L403" showDropDown="0" showInputMessage="0" showErrorMessage="0" allowBlank="1" errorTitle="Invalid value" error="Select a value from the dropdown list." promptTitle="Allowed values" prompt="Choose a value from the application_status_current list." type="list">
      <formula1>application_status_current</formula1>
    </dataValidation>
    <dataValidation sqref="R4:R403" showDropDown="0" showInputMessage="0" showErrorMessage="0" allowBlank="1" errorTitle="Invalid value" error="Select a value from the dropdown list." promptTitle="Allowed values" prompt="Choose a value from the construction_type list." type="list">
      <formula1>construction_type</formula1>
    </dataValidation>
    <dataValidation sqref="S4:S403" showDropDown="0" showInputMessage="0" showErrorMessage="0" allowBlank="1" errorTitle="Invalid value" error="Select a value from the dropdown list." promptTitle="Allowed values" prompt="Choose a value from the target_population list." type="list">
      <formula1>target_population</formula1>
    </dataValidation>
    <dataValidation sqref="Y4:Y403" showDropDown="0" showInputMessage="0" showErrorMessage="0" allowBlank="1" errorTitle="Invalid value" error="Select a value from the dropdown list." promptTitle="Allowed values" prompt="Choose a value from the bond_issuer_type list." type="list">
      <formula1>bond_issuer_type</formula1>
    </dataValidation>
    <dataValidation sqref="BU4:BU403" showDropDown="0" showInputMessage="0" showErrorMessage="0" allowBlank="1" errorTitle="Invalid value" error="Select a value from the dropdown list." promptTitle="Allowed values" prompt="Choose a value from the predicted_next_status list." type="list">
      <formula1>predicted_next_status</formula1>
    </dataValidation>
    <dataValidation sqref="BV4:BV403" showDropDown="0" showInputMessage="0" showErrorMessage="0" allowBlank="1" errorTitle="Invalid value" error="Select a value from the dropdown list." promptTitle="Allowed values" prompt="Choose a value from the predicted_next_path list." type="list">
      <formula1>predicted_next_path</formula1>
    </dataValidation>
    <dataValidation sqref="CB4:CB403" showDropDown="0" showInputMessage="0" showErrorMessage="0" allowBlank="1" errorTitle="Invalid value" error="Select a value from the dropdown list." promptTitle="Allowed values" prompt="Choose a value from the predicted_advance_flag list." type="list">
      <formula1>predicted_advance_flag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70AD47"/>
    <outlinePr summaryBelow="1" summaryRight="1"/>
    <pageSetUpPr/>
  </sheetPr>
  <dimension ref="A1:CN4"/>
  <sheetViews>
    <sheetView showGridLines="0" tabSelected="1" topLeftCell="S1" workbookViewId="0">
      <selection activeCell="Z5" sqref="Z5"/>
    </sheetView>
  </sheetViews>
  <sheetFormatPr baseColWidth="8" defaultRowHeight="14.5"/>
  <cols>
    <col width="13" customWidth="1" style="23" min="1" max="1"/>
    <col width="24" customWidth="1" style="23" min="2" max="2"/>
    <col width="14" customWidth="1" style="23" min="3" max="4"/>
    <col width="24" customWidth="1" style="23" min="5" max="5"/>
    <col width="18" customWidth="1" style="23" min="6" max="7"/>
    <col width="16" customWidth="1" style="23" min="8" max="8"/>
    <col width="24" customWidth="1" style="23" min="9" max="9"/>
    <col width="14" customWidth="1" style="23" min="10" max="10"/>
    <col width="13" customWidth="1" style="23" min="11" max="11"/>
    <col width="15" customWidth="1" style="23" min="12" max="12"/>
    <col width="13" customWidth="1" style="23" min="13" max="17"/>
    <col width="15" customWidth="1" style="23" min="18" max="19"/>
    <col width="11" customWidth="1" style="23" min="20" max="23"/>
    <col width="18" customWidth="1" style="23" min="24" max="24"/>
    <col width="15" customWidth="1" style="23" min="25" max="25"/>
    <col width="14" customWidth="1" style="23" min="26" max="31"/>
    <col width="11" customWidth="1" style="23" min="32" max="35"/>
    <col width="13" customWidth="1" style="23" min="36" max="36"/>
    <col width="11" customWidth="1" style="23" min="37" max="45"/>
    <col width="13" customWidth="1" style="23" min="46" max="47"/>
    <col width="11" customWidth="1" style="23" min="48" max="48"/>
    <col width="13" customWidth="1" style="23" min="49" max="49"/>
    <col width="11" customWidth="1" style="23" min="50" max="66"/>
    <col width="13" customWidth="1" style="23" min="67" max="67"/>
    <col width="11" customWidth="1" style="23" min="68" max="69"/>
    <col width="13" customWidth="1" style="23" min="70" max="71"/>
    <col width="11" customWidth="1" style="23" min="72" max="72"/>
    <col width="20" customWidth="1" style="23" min="73" max="73"/>
    <col width="18" customWidth="1" style="23" min="74" max="75"/>
    <col width="28" customWidth="1" style="23" min="76" max="76"/>
    <col width="24" customWidth="1" style="23" min="77" max="78"/>
    <col width="14" customWidth="1" style="23" min="79" max="79"/>
    <col width="15" customWidth="1" style="23" min="80" max="80"/>
    <col width="24" customWidth="1" style="23" min="81" max="81"/>
    <col width="18" customWidth="1" style="23" min="82" max="83"/>
    <col width="26" customWidth="1" style="23" min="84" max="84"/>
    <col width="18" customWidth="1" style="23" min="85" max="87"/>
    <col width="18" customWidth="1" style="23" min="87" max="87"/>
    <col width="14" customWidth="1" style="23" min="88" max="88"/>
    <col width="16" customWidth="1" style="23" min="89" max="90"/>
    <col width="16" customWidth="1" style="23" min="90" max="90"/>
    <col width="22" customWidth="1" style="23" min="91" max="91"/>
    <col width="52" customWidth="1" style="23" min="92" max="92"/>
  </cols>
  <sheetData>
    <row r="1" ht="22" customHeight="1" s="23">
      <c r="A1" s="22" t="inlineStr">
        <is>
          <t>Texas 2025 4% + Tax-Exempt Bond Simulator - Hypothetical Project</t>
        </is>
      </c>
    </row>
    <row r="2" ht="22" customHeight="1" s="23">
      <c r="A2" s="37" t="inlineStr">
        <is>
          <t>Identity &amp; Snapshot</t>
        </is>
      </c>
      <c r="B2" s="25" t="n"/>
      <c r="C2" s="25" t="n"/>
      <c r="D2" s="25" t="n"/>
      <c r="E2" s="25" t="n"/>
      <c r="F2" s="25" t="n"/>
      <c r="G2" s="25" t="n"/>
      <c r="H2" s="25" t="n"/>
      <c r="I2" s="25" t="n"/>
      <c r="J2" s="26" t="n"/>
      <c r="K2" s="32" t="inlineStr">
        <is>
          <t>Current Public Process</t>
        </is>
      </c>
      <c r="L2" s="25" t="n"/>
      <c r="M2" s="25" t="n"/>
      <c r="N2" s="25" t="n"/>
      <c r="O2" s="25" t="n"/>
      <c r="P2" s="25" t="n"/>
      <c r="Q2" s="26" t="n"/>
      <c r="R2" s="30" t="inlineStr">
        <is>
          <t>Project Characteristics</t>
        </is>
      </c>
      <c r="S2" s="25" t="n"/>
      <c r="T2" s="25" t="n"/>
      <c r="U2" s="25" t="n"/>
      <c r="V2" s="25" t="n"/>
      <c r="W2" s="26" t="n"/>
      <c r="X2" s="34" t="inlineStr">
        <is>
          <t>Bond &amp; Credit Structure</t>
        </is>
      </c>
      <c r="Y2" s="25" t="n"/>
      <c r="Z2" s="25" t="n"/>
      <c r="AA2" s="25" t="n"/>
      <c r="AB2" s="25" t="n"/>
      <c r="AC2" s="25" t="n"/>
      <c r="AD2" s="25" t="n"/>
      <c r="AE2" s="25" t="n"/>
      <c r="AF2" s="25" t="n"/>
      <c r="AG2" s="25" t="n"/>
      <c r="AH2" s="26" t="n"/>
      <c r="AI2" s="33" t="inlineStr">
        <is>
          <t>Manual QAP Thresholds</t>
        </is>
      </c>
      <c r="AJ2" s="25" t="n"/>
      <c r="AK2" s="25" t="n"/>
      <c r="AL2" s="25" t="n"/>
      <c r="AM2" s="25" t="n"/>
      <c r="AN2" s="25" t="n"/>
      <c r="AO2" s="25" t="n"/>
      <c r="AP2" s="25" t="n"/>
      <c r="AQ2" s="25" t="n"/>
      <c r="AR2" s="25" t="n"/>
      <c r="AS2" s="25" t="n"/>
      <c r="AT2" s="25" t="n"/>
      <c r="AU2" s="25" t="n"/>
      <c r="AV2" s="25" t="n"/>
      <c r="AW2" s="25" t="n"/>
      <c r="AX2" s="25" t="n"/>
      <c r="AY2" s="25" t="n"/>
      <c r="AZ2" s="25" t="n"/>
      <c r="BA2" s="26" t="n"/>
      <c r="BB2" s="35" t="inlineStr">
        <is>
          <t>Site / Deconcentration</t>
        </is>
      </c>
      <c r="BC2" s="25" t="n"/>
      <c r="BD2" s="25" t="n"/>
      <c r="BE2" s="25" t="n"/>
      <c r="BF2" s="25" t="n"/>
      <c r="BG2" s="25" t="n"/>
      <c r="BH2" s="25" t="n"/>
      <c r="BI2" s="26" t="n"/>
      <c r="BJ2" s="36" t="inlineStr">
        <is>
          <t>Path Selection</t>
        </is>
      </c>
      <c r="BK2" s="25" t="n"/>
      <c r="BL2" s="25" t="n"/>
      <c r="BM2" s="25" t="n"/>
      <c r="BN2" s="26" t="n"/>
      <c r="BO2" s="31" t="inlineStr">
        <is>
          <t>Queue / Priority</t>
        </is>
      </c>
      <c r="BP2" s="25" t="n"/>
      <c r="BQ2" s="25" t="n"/>
      <c r="BR2" s="25" t="n"/>
      <c r="BS2" s="25" t="n"/>
      <c r="BT2" s="26" t="n"/>
      <c r="BU2" s="29" t="inlineStr">
        <is>
          <t>Engine Outputs</t>
        </is>
      </c>
      <c r="BV2" s="25" t="n"/>
      <c r="BW2" s="25" t="n"/>
      <c r="BX2" s="25" t="n"/>
      <c r="BY2" s="25" t="n"/>
      <c r="BZ2" s="25" t="n"/>
      <c r="CA2" s="25" t="n"/>
      <c r="CB2" s="26" t="n"/>
      <c r="CC2" s="32" t="inlineStr">
        <is>
          <t>Notes &amp; Contacts</t>
        </is>
      </c>
      <c r="CD2" s="25" t="n"/>
      <c r="CE2" s="25" t="n"/>
      <c r="CF2" s="25" t="n"/>
      <c r="CG2" s="25" t="n"/>
      <c r="CH2" s="26" t="n"/>
    </row>
    <row r="3" ht="80" customHeight="1" s="23">
      <c r="A3" s="7" t="inlineStr">
        <is>
          <t>snapshot_date</t>
        </is>
      </c>
      <c r="B3" s="7" t="inlineStr">
        <is>
          <t>application_source_log</t>
        </is>
      </c>
      <c r="C3" s="7" t="inlineStr">
        <is>
          <t>tdhca_number</t>
        </is>
      </c>
      <c r="D3" s="7" t="inlineStr">
        <is>
          <t>previous_tdhca_number</t>
        </is>
      </c>
      <c r="E3" s="7" t="inlineStr">
        <is>
          <t>development_name</t>
        </is>
      </c>
      <c r="F3" s="7" t="inlineStr">
        <is>
          <t>development_city</t>
        </is>
      </c>
      <c r="G3" s="7" t="inlineStr">
        <is>
          <t>development_county</t>
        </is>
      </c>
      <c r="H3" s="7" t="inlineStr">
        <is>
          <t>development_region</t>
        </is>
      </c>
      <c r="I3" s="7" t="inlineStr">
        <is>
          <t>development_address</t>
        </is>
      </c>
      <c r="J3" s="7" t="inlineStr">
        <is>
          <t>zip_code</t>
        </is>
      </c>
      <c r="K3" s="7" t="inlineStr">
        <is>
          <t>full_application_submission_date</t>
        </is>
      </c>
      <c r="L3" s="7" t="inlineStr">
        <is>
          <t>application_status_current</t>
        </is>
      </c>
      <c r="M3" s="7" t="inlineStr">
        <is>
          <t>board_meeting_date_current</t>
        </is>
      </c>
      <c r="N3" s="7" t="inlineStr">
        <is>
          <t>determination_notice_issuance_date_current</t>
        </is>
      </c>
      <c r="O3" s="7" t="inlineStr">
        <is>
          <t>bond_reservation_date_current</t>
        </is>
      </c>
      <c r="P3" s="7" t="inlineStr">
        <is>
          <t>bond_expiration_date_current</t>
        </is>
      </c>
      <c r="Q3" s="7" t="inlineStr">
        <is>
          <t>closed_date_current</t>
        </is>
      </c>
      <c r="R3" s="7" t="inlineStr">
        <is>
          <t>construction_type</t>
        </is>
      </c>
      <c r="S3" s="7" t="inlineStr">
        <is>
          <t>target_population</t>
        </is>
      </c>
      <c r="T3" s="7" t="inlineStr">
        <is>
          <t>total_units</t>
        </is>
      </c>
      <c r="U3" s="7" t="inlineStr">
        <is>
          <t>total_low_income_units</t>
        </is>
      </c>
      <c r="V3" s="7" t="inlineStr">
        <is>
          <t>scattered_site_flag</t>
        </is>
      </c>
      <c r="W3" s="7" t="inlineStr">
        <is>
          <t>existing_residential_development_flag</t>
        </is>
      </c>
      <c r="X3" s="7" t="inlineStr">
        <is>
          <t>bond_issuer</t>
        </is>
      </c>
      <c r="Y3" s="7" t="inlineStr">
        <is>
          <t>bond_issuer_type</t>
        </is>
      </c>
      <c r="Z3" s="7" t="inlineStr">
        <is>
          <t>bond_reservation_amount_requested</t>
        </is>
      </c>
      <c r="AA3" s="7" t="inlineStr">
        <is>
          <t>bond_amount_recommended</t>
        </is>
      </c>
      <c r="AB3" s="7" t="inlineStr">
        <is>
          <t>requested_htc_amount</t>
        </is>
      </c>
      <c r="AC3" s="7" t="inlineStr">
        <is>
          <t>recommended_htc_amount</t>
        </is>
      </c>
      <c r="AD3" s="7" t="inlineStr">
        <is>
          <t>requested_state_tax_credit_amount</t>
        </is>
      </c>
      <c r="AE3" s="7" t="inlineStr">
        <is>
          <t>recommended_state_tax_credit_amount</t>
        </is>
      </c>
      <c r="AF3" s="7" t="inlineStr">
        <is>
          <t>direct_loan_request_flag</t>
        </is>
      </c>
      <c r="AG3" s="7" t="inlineStr">
        <is>
          <t>property_tax_exemption_flag</t>
        </is>
      </c>
      <c r="AH3" s="7" t="inlineStr">
        <is>
          <t>pfc_structure_flag</t>
        </is>
      </c>
      <c r="AI3" s="7" t="inlineStr">
        <is>
          <t>site_control_valid_flag</t>
        </is>
      </c>
      <c r="AJ3" s="7" t="inlineStr">
        <is>
          <t>site_control_document_date</t>
        </is>
      </c>
      <c r="AK3" s="7" t="inlineStr">
        <is>
          <t>resolutions_complete_flag</t>
        </is>
      </c>
      <c r="AL3" s="7" t="inlineStr">
        <is>
          <t>local_approval_complete_flag</t>
        </is>
      </c>
      <c r="AM3" s="7" t="inlineStr">
        <is>
          <t>third_party_reports_complete_flag</t>
        </is>
      </c>
      <c r="AN3" s="7" t="inlineStr">
        <is>
          <t>esa_complete_flag</t>
        </is>
      </c>
      <c r="AO3" s="7" t="inlineStr">
        <is>
          <t>market_analysis_complete_flag</t>
        </is>
      </c>
      <c r="AP3" s="7" t="inlineStr">
        <is>
          <t>appraisal_complete_flag</t>
        </is>
      </c>
      <c r="AQ3" s="7" t="inlineStr">
        <is>
          <t>scr_complete_flag</t>
        </is>
      </c>
      <c r="AR3" s="7" t="inlineStr">
        <is>
          <t>feasibility_report_complete_flag</t>
        </is>
      </c>
      <c r="AS3" s="7" t="inlineStr">
        <is>
          <t>deficiency_notice_issued_flag</t>
        </is>
      </c>
      <c r="AT3" s="7" t="inlineStr">
        <is>
          <t>deficiency_notice_date</t>
        </is>
      </c>
      <c r="AU3" s="7" t="inlineStr">
        <is>
          <t>deficiency_response_due_date</t>
        </is>
      </c>
      <c r="AV3" s="7" t="inlineStr">
        <is>
          <t>deficiency_cleared_flag</t>
        </is>
      </c>
      <c r="AW3" s="7" t="inlineStr">
        <is>
          <t>deficiency_cleared_date</t>
        </is>
      </c>
      <c r="AX3" s="7" t="inlineStr">
        <is>
          <t>material_deficiency_flag</t>
        </is>
      </c>
      <c r="AY3" s="7" t="inlineStr">
        <is>
          <t>underwriting_complete_flag</t>
        </is>
      </c>
      <c r="AZ3" s="7" t="inlineStr">
        <is>
          <t>underwriting_pass_flag</t>
        </is>
      </c>
      <c r="BA3" s="7" t="inlineStr">
        <is>
          <t>financial_feasible_flag</t>
        </is>
      </c>
      <c r="BB3" s="7" t="inlineStr">
        <is>
          <t>deconcentration_compliant_flag</t>
        </is>
      </c>
      <c r="BC3" s="7" t="inlineStr">
        <is>
          <t>one_mile_rule_compliant_flag</t>
        </is>
      </c>
      <c r="BD3" s="7" t="inlineStr">
        <is>
          <t>two_mile_same_year_rule_relevant_flag</t>
        </is>
      </c>
      <c r="BE3" s="7" t="inlineStr">
        <is>
          <t>existing_lura_conflict_flag</t>
        </is>
      </c>
      <c r="BF3" s="7" t="inlineStr">
        <is>
          <t>rural_area_flag</t>
        </is>
      </c>
      <c r="BG3" s="7" t="inlineStr">
        <is>
          <t>urban_area_flag</t>
        </is>
      </c>
      <c r="BH3" s="7" t="inlineStr">
        <is>
          <t>qct_flag</t>
        </is>
      </c>
      <c r="BI3" s="7" t="inlineStr">
        <is>
          <t>high_opportunity_override_flag</t>
        </is>
      </c>
      <c r="BJ3" s="7" t="inlineStr">
        <is>
          <t>streamlined_eligible_flag</t>
        </is>
      </c>
      <c r="BK3" s="7" t="inlineStr">
        <is>
          <t>board_review_required_flag</t>
        </is>
      </c>
      <c r="BL3" s="7" t="inlineStr">
        <is>
          <t>chapter12_issue_flag</t>
        </is>
      </c>
      <c r="BM3" s="7" t="inlineStr">
        <is>
          <t>ready_for_determination_notice_flag</t>
        </is>
      </c>
      <c r="BN3" s="7" t="inlineStr">
        <is>
          <t>ready_for_board_flag</t>
        </is>
      </c>
      <c r="BO3" s="7" t="inlineStr">
        <is>
          <t>pipeline_entry_date</t>
        </is>
      </c>
      <c r="BP3" s="7" t="inlineStr">
        <is>
          <t>carryforward_from_prior_log_flag</t>
        </is>
      </c>
      <c r="BQ3" s="7" t="inlineStr">
        <is>
          <t>new_project_this_snapshot_flag</t>
        </is>
      </c>
      <c r="BR3" s="7" t="inlineStr">
        <is>
          <t>all_manual_boxes_checked_flag</t>
        </is>
      </c>
      <c r="BS3" s="7" t="inlineStr">
        <is>
          <t>project_ready_now_flag</t>
        </is>
      </c>
      <c r="BT3" s="7" t="inlineStr">
        <is>
          <t>pipeline_seniority_rank_manual</t>
        </is>
      </c>
      <c r="BU3" s="7" t="inlineStr">
        <is>
          <t>predicted_next_status</t>
        </is>
      </c>
      <c r="BV3" s="7" t="inlineStr">
        <is>
          <t>predicted_next_path</t>
        </is>
      </c>
      <c r="BW3" s="7" t="inlineStr">
        <is>
          <t>predicted_blocker_code</t>
        </is>
      </c>
      <c r="BX3" s="7" t="inlineStr">
        <is>
          <t>predicted_reason_1</t>
        </is>
      </c>
      <c r="BY3" s="7" t="inlineStr">
        <is>
          <t>predicted_reason_2</t>
        </is>
      </c>
      <c r="BZ3" s="7" t="inlineStr">
        <is>
          <t>predicted_reason_3</t>
        </is>
      </c>
      <c r="CA3" s="7" t="inlineStr">
        <is>
          <t>predicted_relative_rank</t>
        </is>
      </c>
      <c r="CB3" s="7" t="inlineStr">
        <is>
          <t>predicted_advance_flag</t>
        </is>
      </c>
      <c r="CC3" s="7" t="inlineStr">
        <is>
          <t>notes</t>
        </is>
      </c>
      <c r="CD3" s="7" t="inlineStr">
        <is>
          <t>applicant_contact</t>
        </is>
      </c>
      <c r="CE3" s="7" t="inlineStr">
        <is>
          <t>applicant_phone</t>
        </is>
      </c>
      <c r="CF3" s="7" t="inlineStr">
        <is>
          <t>applicant_email</t>
        </is>
      </c>
      <c r="CG3" s="7" t="inlineStr">
        <is>
          <t>bond_issuer_contact</t>
        </is>
      </c>
      <c r="CH3" s="7" t="inlineStr">
        <is>
          <t>bond_issuer_phone</t>
        </is>
      </c>
      <c r="CI3" s="7" t="inlineStr">
        <is>
          <t>allocation_eligible_flag</t>
        </is>
      </c>
      <c r="CJ3" s="7" t="inlineStr">
        <is>
          <t>allocation_priority_date</t>
        </is>
      </c>
      <c r="CK3" s="7" t="inlineStr">
        <is>
          <t>simulated_queue_rank</t>
        </is>
      </c>
      <c r="CL3" s="7" t="inlineStr">
        <is>
          <t>simulated_funded_flag</t>
        </is>
      </c>
      <c r="CM3" s="7" t="inlineStr">
        <is>
          <t>simulated_remaining_capacity_after</t>
        </is>
      </c>
      <c r="CN3" s="7" t="inlineStr">
        <is>
          <t>simulated_funding_reason</t>
        </is>
      </c>
    </row>
    <row r="4">
      <c r="A4" s="8" t="n"/>
      <c r="B4" s="9" t="n"/>
      <c r="C4" s="9" t="n"/>
      <c r="D4" s="9" t="n"/>
      <c r="E4" s="9" t="inlineStr">
        <is>
          <t>Jimbo's Apartment</t>
        </is>
      </c>
      <c r="F4" s="9" t="inlineStr">
        <is>
          <t>Houston</t>
        </is>
      </c>
      <c r="G4" s="9" t="n"/>
      <c r="H4" s="9" t="n"/>
      <c r="I4" s="9" t="n"/>
      <c r="J4" s="9" t="n"/>
      <c r="K4" s="8" t="n"/>
      <c r="L4" s="9" t="n"/>
      <c r="M4" s="8" t="n"/>
      <c r="N4" s="8" t="n"/>
      <c r="O4" s="8" t="n"/>
      <c r="P4" s="8" t="n"/>
      <c r="Q4" s="8" t="n"/>
      <c r="R4" s="9" t="inlineStr">
        <is>
          <t>New Construction</t>
        </is>
      </c>
      <c r="S4" s="9" t="n"/>
      <c r="T4" s="10" t="n">
        <v>100</v>
      </c>
      <c r="U4" s="10" t="n"/>
      <c r="V4" s="9" t="n"/>
      <c r="W4" s="9" t="n"/>
      <c r="X4" s="9" t="n"/>
      <c r="Y4" s="9" t="n"/>
      <c r="Z4" s="11" t="n">
        <v>10</v>
      </c>
      <c r="AA4" s="11" t="n"/>
      <c r="AB4" s="11" t="n">
        <v>10</v>
      </c>
      <c r="AC4" s="11" t="n"/>
      <c r="AD4" s="11" t="n"/>
      <c r="AE4" s="11" t="n"/>
      <c r="AF4" s="9" t="n"/>
      <c r="AG4" s="9" t="n"/>
      <c r="AH4" s="9" t="n"/>
      <c r="AI4" s="9" t="inlineStr">
        <is>
          <t>Y</t>
        </is>
      </c>
      <c r="AJ4" s="8" t="n"/>
      <c r="AK4" s="9" t="inlineStr">
        <is>
          <t>Y</t>
        </is>
      </c>
      <c r="AL4" s="9" t="inlineStr">
        <is>
          <t>Y</t>
        </is>
      </c>
      <c r="AM4" s="9" t="inlineStr">
        <is>
          <t>Y</t>
        </is>
      </c>
      <c r="AN4" s="9" t="n"/>
      <c r="AO4" s="9" t="n"/>
      <c r="AP4" s="9" t="n"/>
      <c r="AQ4" s="9" t="n"/>
      <c r="AR4" s="9" t="n"/>
      <c r="AS4" s="9" t="inlineStr">
        <is>
          <t>N</t>
        </is>
      </c>
      <c r="AT4" s="8" t="n"/>
      <c r="AU4" s="8" t="n"/>
      <c r="AV4" s="9" t="n"/>
      <c r="AW4" s="8" t="n"/>
      <c r="AX4" s="9" t="inlineStr">
        <is>
          <t>N</t>
        </is>
      </c>
      <c r="AY4" s="9" t="inlineStr">
        <is>
          <t>Y</t>
        </is>
      </c>
      <c r="AZ4" s="9" t="inlineStr">
        <is>
          <t>Y</t>
        </is>
      </c>
      <c r="BA4" s="9" t="inlineStr">
        <is>
          <t>Y</t>
        </is>
      </c>
      <c r="BB4" s="9" t="inlineStr">
        <is>
          <t>Y</t>
        </is>
      </c>
      <c r="BC4" s="9" t="inlineStr">
        <is>
          <t>Y</t>
        </is>
      </c>
      <c r="BD4" s="9" t="n"/>
      <c r="BE4" s="9" t="inlineStr">
        <is>
          <t>N</t>
        </is>
      </c>
      <c r="BF4" s="9" t="n"/>
      <c r="BG4" s="9" t="n"/>
      <c r="BH4" s="9" t="n"/>
      <c r="BI4" s="9" t="n"/>
      <c r="BJ4" s="9" t="inlineStr">
        <is>
          <t>Y</t>
        </is>
      </c>
      <c r="BK4" s="9" t="inlineStr">
        <is>
          <t>N</t>
        </is>
      </c>
      <c r="BL4" s="9" t="inlineStr">
        <is>
          <t>N</t>
        </is>
      </c>
      <c r="BM4" s="9" t="inlineStr">
        <is>
          <t>Y</t>
        </is>
      </c>
      <c r="BN4" s="9" t="inlineStr">
        <is>
          <t>Y</t>
        </is>
      </c>
      <c r="BO4" s="8" t="n"/>
      <c r="BP4" s="9" t="inlineStr">
        <is>
          <t>N</t>
        </is>
      </c>
      <c r="BQ4" s="9" t="inlineStr">
        <is>
          <t>Y</t>
        </is>
      </c>
      <c r="BR4" s="12">
        <f>IF(COUNTIF(AI4:BM4,"N")+COUNTBLANK(AI4:BM4)=0,"Y","N")</f>
        <v/>
      </c>
      <c r="BS4" s="12">
        <f>IF(AND(BR4="Y",OR(L4="Submitted",L4="Under Review")),"Y",IF(L4="Closed","Y","N"))</f>
        <v/>
      </c>
      <c r="BT4" s="10" t="n"/>
      <c r="BU4" s="13">
        <f>IF(L4="Closed","Closed",IF(OR(L4="Withdrawn",L4="Terminated"),L4,IF(OR(AI4="N",AI4="",AK4="N",AK4="",AL4="N",AL4="",AM4="N",AM4="",AX4="Y",AND(AS4="Y",AV4&lt;&gt;"Y"),AZ4="N",AZ4="",BA4="N",BA4="",BB4="N",BB4="",BC4="N",BE4="Y",BL4="Y"),"No Advancement",IF(AND(BJ4="Y",BM4="Y",BK4&lt;&gt;"Y"),"Determination Notice Issued",IF(OR(BN4="Y",BK4="Y"),"Board","Under Review")))))</f>
        <v/>
      </c>
      <c r="BV4" s="13">
        <f>IF(BU4="Determination Notice Issued","Determination Notice",IF(BU4="Board","Board",IF(BU4="No Advancement","Blocked","Under Review")))</f>
        <v/>
      </c>
      <c r="BW4" s="13">
        <f>IF(OR(AI4="N",AI4=""),"SITE_CONTROL",IF(OR(AK4="N",AK4="",AL4="N",AL4=""),"APPROVALS",IF(OR(AM4="N",AM4=""),"REPORTS",IF(OR(AX4="Y",AND(AS4="Y",AV4&lt;&gt;"Y")),"DEFICIENCY",IF(OR(AZ4="N",AZ4="",BA4="N",BA4=""),"UNDERWRITING",IF(OR(BB4="N",BB4="",BC4="N",BE4="Y",BL4="Y"),"COMPLIANCE",""))))))</f>
        <v/>
      </c>
      <c r="BX4" s="13">
        <f>IF(BW4="","Ready under current engine rules",BW4)</f>
        <v/>
      </c>
      <c r="BY4" s="13" t="n"/>
      <c r="BZ4" s="13" t="n"/>
      <c r="CA4" s="14">
        <f>1</f>
        <v/>
      </c>
      <c r="CB4" s="13">
        <f>IF(OR(BU4="Determination Notice Issued",BU4="Board",BU4="Closed"),"Y","N")</f>
        <v/>
      </c>
      <c r="CC4" s="9" t="n"/>
      <c r="CD4" s="9" t="n"/>
      <c r="CE4" s="9" t="n"/>
      <c r="CF4" s="9" t="n"/>
      <c r="CG4" s="9" t="n"/>
      <c r="CH4" s="9" t="n"/>
      <c r="CI4" s="8" t="inlineStr">
        <is>
          <t>Y</t>
        </is>
      </c>
      <c r="CJ4" s="8" t="n"/>
      <c r="CK4" s="8" t="n">
        <v>34</v>
      </c>
      <c r="CL4" s="8" t="inlineStr">
        <is>
          <t>Y</t>
        </is>
      </c>
      <c r="CM4" s="8" t="n">
        <v>6884114</v>
      </c>
      <c r="CN4" s="8" t="inlineStr">
        <is>
          <t>Funded within current simulated capacity.</t>
        </is>
      </c>
    </row>
  </sheetData>
  <mergeCells count="11">
    <mergeCell ref="BU2:CB2"/>
    <mergeCell ref="R2:W2"/>
    <mergeCell ref="BO2:BT2"/>
    <mergeCell ref="AI2:BA2"/>
    <mergeCell ref="CC2:CH2"/>
    <mergeCell ref="A1:CH1"/>
    <mergeCell ref="X2:AH2"/>
    <mergeCell ref="BB2:BI2"/>
    <mergeCell ref="BJ2:BN2"/>
    <mergeCell ref="A2:J2"/>
    <mergeCell ref="K2:Q2"/>
  </mergeCells>
  <conditionalFormatting sqref="V4:W4">
    <cfRule type="cellIs" priority="13" operator="equal" dxfId="2">
      <formula>"Y"</formula>
    </cfRule>
    <cfRule type="cellIs" priority="14" operator="equal" dxfId="1">
      <formula>"N"</formula>
    </cfRule>
    <cfRule type="cellIs" priority="15" operator="equal" dxfId="0">
      <formula>"Conditional"</formula>
    </cfRule>
  </conditionalFormatting>
  <conditionalFormatting sqref="AF4:AI4">
    <cfRule type="cellIs" priority="1" operator="equal" dxfId="2">
      <formula>"Y"</formula>
    </cfRule>
    <cfRule type="cellIs" priority="2" operator="equal" dxfId="1">
      <formula>"N"</formula>
    </cfRule>
    <cfRule type="cellIs" priority="3" operator="equal" dxfId="0">
      <formula>"Conditional"</formula>
    </cfRule>
  </conditionalFormatting>
  <conditionalFormatting sqref="AK4:AS4">
    <cfRule type="cellIs" priority="4" operator="equal" dxfId="2">
      <formula>"Y"</formula>
    </cfRule>
    <cfRule type="cellIs" priority="5" operator="equal" dxfId="1">
      <formula>"N"</formula>
    </cfRule>
    <cfRule type="cellIs" priority="6" operator="equal" dxfId="0">
      <formula>"Conditional"</formula>
    </cfRule>
  </conditionalFormatting>
  <conditionalFormatting sqref="AV4">
    <cfRule type="cellIs" priority="7" operator="equal" dxfId="2">
      <formula>"Y"</formula>
    </cfRule>
    <cfRule type="cellIs" priority="8" operator="equal" dxfId="1">
      <formula>"N"</formula>
    </cfRule>
    <cfRule type="cellIs" priority="9" operator="equal" dxfId="0">
      <formula>"Conditional"</formula>
    </cfRule>
  </conditionalFormatting>
  <conditionalFormatting sqref="AX4:BN4">
    <cfRule type="cellIs" priority="10" operator="equal" dxfId="2">
      <formula>"Y"</formula>
    </cfRule>
    <cfRule type="cellIs" priority="11" operator="equal" dxfId="1">
      <formula>"N"</formula>
    </cfRule>
    <cfRule type="cellIs" priority="12" operator="equal" dxfId="0">
      <formula>"Conditional"</formula>
    </cfRule>
  </conditionalFormatting>
  <conditionalFormatting sqref="BP4:BS4">
    <cfRule type="cellIs" priority="16" operator="equal" dxfId="2">
      <formula>"Y"</formula>
    </cfRule>
    <cfRule type="cellIs" priority="17" operator="equal" dxfId="1">
      <formula>"N"</formula>
    </cfRule>
    <cfRule type="cellIs" priority="18" operator="equal" dxfId="0">
      <formula>"Conditional"</formula>
    </cfRule>
  </conditionalFormatting>
  <conditionalFormatting sqref="CB4">
    <cfRule type="cellIs" priority="145" operator="equal" dxfId="2">
      <formula>"Y"</formula>
    </cfRule>
    <cfRule type="cellIs" priority="146" operator="equal" dxfId="1">
      <formula>"N"</formula>
    </cfRule>
    <cfRule type="cellIs" priority="147" operator="equal" dxfId="0">
      <formula>"Conditional"</formula>
    </cfRule>
  </conditionalFormatting>
  <dataValidations count="8">
    <dataValidation sqref="V4:W4 AF4:AI4 AK4:AS4 AV4 AX4:BN4 BP4:BQ4" showDropDown="0" showInputMessage="0" showErrorMessage="0" allowBlank="1" errorTitle="Invalid value" error="Select a value from the dropdown list." promptTitle="Allowed values" prompt="Choose a value from the yes_no list." type="list">
      <formula1>yes_no</formula1>
    </dataValidation>
    <dataValidation sqref="L4" showDropDown="0" showInputMessage="0" showErrorMessage="0" allowBlank="1" errorTitle="Invalid value" error="Select a value from the dropdown list." promptTitle="Allowed values" prompt="Choose a value from the application_status_current list." type="list">
      <formula1>application_status_current</formula1>
    </dataValidation>
    <dataValidation sqref="R4" showDropDown="0" showInputMessage="0" showErrorMessage="0" allowBlank="1" errorTitle="Invalid value" error="Select a value from the dropdown list." promptTitle="Allowed values" prompt="Choose a value from the construction_type list." type="list">
      <formula1>construction_type</formula1>
    </dataValidation>
    <dataValidation sqref="S4" showDropDown="0" showInputMessage="0" showErrorMessage="0" allowBlank="1" errorTitle="Invalid value" error="Select a value from the dropdown list." promptTitle="Allowed values" prompt="Choose a value from the target_population list." type="list">
      <formula1>target_population</formula1>
    </dataValidation>
    <dataValidation sqref="Y4" showDropDown="0" showInputMessage="0" showErrorMessage="0" allowBlank="1" errorTitle="Invalid value" error="Select a value from the dropdown list." promptTitle="Allowed values" prompt="Choose a value from the bond_issuer_type list." type="list">
      <formula1>bond_issuer_type</formula1>
    </dataValidation>
    <dataValidation sqref="BU4" showDropDown="0" showInputMessage="0" showErrorMessage="0" allowBlank="1" errorTitle="Invalid value" error="Select a value from the dropdown list." promptTitle="Allowed values" prompt="Choose a value from the predicted_next_status list." type="list">
      <formula1>predicted_next_status</formula1>
    </dataValidation>
    <dataValidation sqref="BV4" showDropDown="0" showInputMessage="0" showErrorMessage="0" allowBlank="1" errorTitle="Invalid value" error="Select a value from the dropdown list." promptTitle="Allowed values" prompt="Choose a value from the predicted_next_path list." type="list">
      <formula1>predicted_next_path</formula1>
    </dataValidation>
    <dataValidation sqref="CB4" showDropDown="0" showInputMessage="0" showErrorMessage="0" allowBlank="1" errorTitle="Invalid value" error="Select a value from the dropdown list." promptTitle="Allowed values" prompt="Choose a value from the predicted_advance_flag list." type="list">
      <formula1>predicted_advance_flag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C00000"/>
    <outlinePr summaryBelow="1" summaryRight="1"/>
    <pageSetUpPr/>
  </sheetPr>
  <dimension ref="A1:Q402"/>
  <sheetViews>
    <sheetView showGridLines="0" topLeftCell="A101" workbookViewId="0">
      <selection activeCell="K3" sqref="K3"/>
    </sheetView>
  </sheetViews>
  <sheetFormatPr baseColWidth="8" defaultRowHeight="14.5"/>
  <cols>
    <col width="22" customWidth="1" style="23" min="1" max="12"/>
    <col width="18" customWidth="1" style="23" min="13" max="16"/>
    <col width="18" customWidth="1" style="23" min="14" max="14"/>
    <col width="18" customWidth="1" style="23" min="15" max="15"/>
    <col width="18" customWidth="1" style="23" min="16" max="16"/>
    <col width="48" customWidth="1" style="23" min="17" max="17"/>
  </cols>
  <sheetData>
    <row r="1">
      <c r="A1" s="22" t="inlineStr">
        <is>
          <t>Rules Output / Engine Results</t>
        </is>
      </c>
      <c r="N1" s="7" t="inlineStr">
        <is>
          <t>Engine notes</t>
        </is>
      </c>
    </row>
    <row r="2" ht="43.5" customHeight="1" s="23">
      <c r="A2" s="3" t="inlineStr">
        <is>
          <t>tdhca_number</t>
        </is>
      </c>
      <c r="B2" s="3" t="inlineStr">
        <is>
          <t>development_name</t>
        </is>
      </c>
      <c r="C2" s="3" t="inlineStr">
        <is>
          <t>status_current</t>
        </is>
      </c>
      <c r="D2" s="3" t="inlineStr">
        <is>
          <t>status_predicted</t>
        </is>
      </c>
      <c r="E2" s="3" t="inlineStr">
        <is>
          <t>path_predicted</t>
        </is>
      </c>
      <c r="F2" s="3" t="inlineStr">
        <is>
          <t>advance_flag</t>
        </is>
      </c>
      <c r="G2" s="3" t="inlineStr">
        <is>
          <t>blocker_primary</t>
        </is>
      </c>
      <c r="H2" s="3" t="inlineStr">
        <is>
          <t>blocker_secondary</t>
        </is>
      </c>
      <c r="I2" s="3" t="inlineStr">
        <is>
          <t>manual_boxes_missing_count</t>
        </is>
      </c>
      <c r="J2" s="3" t="inlineStr">
        <is>
          <t>queue_position_current</t>
        </is>
      </c>
      <c r="K2" s="3" t="inlineStr">
        <is>
          <t>queue_position_predicted</t>
        </is>
      </c>
      <c r="L2" s="3" t="inlineStr">
        <is>
          <t>hypothetical_competitive_result</t>
        </is>
      </c>
      <c r="M2" s="3" t="inlineStr">
        <is>
          <t>allocation_eligible_flag</t>
        </is>
      </c>
      <c r="N2" s="3" t="inlineStr">
        <is>
          <t>simulated_queue_rank</t>
        </is>
      </c>
      <c r="O2" s="3" t="inlineStr">
        <is>
          <t>requested_bond_amount</t>
        </is>
      </c>
      <c r="P2" s="3" t="inlineStr">
        <is>
          <t>simulated_funded_flag</t>
        </is>
      </c>
      <c r="Q2" s="3" t="inlineStr">
        <is>
          <t>simulated_funding_reason</t>
        </is>
      </c>
    </row>
    <row r="3">
      <c r="A3" s="15" t="inlineStr">
        <is>
          <t>25427</t>
        </is>
      </c>
      <c r="B3" s="15" t="inlineStr">
        <is>
          <t>Bay Terrace</t>
        </is>
      </c>
      <c r="C3" s="15" t="inlineStr">
        <is>
          <t>Closed</t>
        </is>
      </c>
      <c r="D3" s="15" t="inlineStr">
        <is>
          <t>Closed</t>
        </is>
      </c>
      <c r="E3" s="15" t="inlineStr">
        <is>
          <t>Terminal</t>
        </is>
      </c>
      <c r="F3" s="15" t="inlineStr">
        <is>
          <t>Y</t>
        </is>
      </c>
      <c r="G3" s="15" t="inlineStr"/>
      <c r="H3" s="15" t="inlineStr">
        <is>
          <t>Closed projects persist.</t>
        </is>
      </c>
      <c r="I3" s="16" t="n">
        <v>11</v>
      </c>
      <c r="J3" s="15">
        <f>Applicant_List!BT4</f>
        <v/>
      </c>
      <c r="K3" s="15">
        <f>Applicant_List!CA4</f>
        <v/>
      </c>
      <c r="L3" s="15">
        <f>IF(Applicant_List!BQ4="Y",IF(Applicant_List!CB4="Y","Would Advance","Would Not Advance"),"Existing Pipeline")</f>
        <v/>
      </c>
      <c r="M3" t="inlineStr">
        <is>
          <t>N</t>
        </is>
      </c>
      <c r="O3" s="20" t="n">
        <v>22500000</v>
      </c>
      <c r="P3" t="inlineStr">
        <is>
          <t>N</t>
        </is>
      </c>
      <c r="Q3" t="inlineStr">
        <is>
          <t>Terminal / already resolved project; excluded from new allocation cycle.</t>
        </is>
      </c>
    </row>
    <row r="4">
      <c r="A4" s="15" t="inlineStr">
        <is>
          <t>25428</t>
        </is>
      </c>
      <c r="B4" s="15" t="inlineStr">
        <is>
          <t>Independence Village</t>
        </is>
      </c>
      <c r="C4" s="15" t="inlineStr">
        <is>
          <t>Withdrawn</t>
        </is>
      </c>
      <c r="D4" s="15" t="inlineStr">
        <is>
          <t>Withdrawn</t>
        </is>
      </c>
      <c r="E4" s="15" t="inlineStr">
        <is>
          <t>Terminal</t>
        </is>
      </c>
      <c r="F4" s="15" t="inlineStr">
        <is>
          <t>N</t>
        </is>
      </c>
      <c r="G4" s="15" t="inlineStr"/>
      <c r="H4" s="15" t="inlineStr">
        <is>
          <t>Terminal project persists.</t>
        </is>
      </c>
      <c r="I4" s="15" t="n">
        <v>11</v>
      </c>
      <c r="J4" s="15">
        <f>Applicant_List!BT5</f>
        <v/>
      </c>
      <c r="K4" s="15">
        <f>Applicant_List!CA5</f>
        <v/>
      </c>
      <c r="L4" s="15">
        <f>IF(Applicant_List!BQ5="Y",IF(Applicant_List!CB5="Y","Would Advance","Would Not Advance"),"Existing Pipeline")</f>
        <v/>
      </c>
      <c r="M4" t="inlineStr">
        <is>
          <t>N</t>
        </is>
      </c>
      <c r="O4" s="20" t="n">
        <v>25000000</v>
      </c>
      <c r="P4" t="inlineStr">
        <is>
          <t>N</t>
        </is>
      </c>
      <c r="Q4" t="inlineStr">
        <is>
          <t>Terminal / already resolved project; excluded from new allocation cycle.</t>
        </is>
      </c>
    </row>
    <row r="5">
      <c r="A5" s="15" t="inlineStr">
        <is>
          <t>25420</t>
        </is>
      </c>
      <c r="B5" s="15" t="inlineStr">
        <is>
          <t>The Bloom at Lamar Square</t>
        </is>
      </c>
      <c r="C5" s="15" t="inlineStr">
        <is>
          <t>Withdrawn</t>
        </is>
      </c>
      <c r="D5" s="15" t="inlineStr">
        <is>
          <t>Withdrawn</t>
        </is>
      </c>
      <c r="E5" s="15" t="inlineStr">
        <is>
          <t>Terminal</t>
        </is>
      </c>
      <c r="F5" s="15" t="inlineStr">
        <is>
          <t>N</t>
        </is>
      </c>
      <c r="G5" s="15" t="inlineStr"/>
      <c r="H5" s="15" t="inlineStr">
        <is>
          <t>Terminal project persists.</t>
        </is>
      </c>
      <c r="I5" s="15" t="n">
        <v>11</v>
      </c>
      <c r="J5" s="15">
        <f>Applicant_List!BT6</f>
        <v/>
      </c>
      <c r="K5" s="15">
        <f>Applicant_List!CA6</f>
        <v/>
      </c>
      <c r="L5" s="15">
        <f>IF(Applicant_List!BQ6="Y",IF(Applicant_List!CB6="Y","Would Advance","Would Not Advance"),"Existing Pipeline")</f>
        <v/>
      </c>
      <c r="M5" t="inlineStr">
        <is>
          <t>N</t>
        </is>
      </c>
      <c r="O5" s="20" t="n">
        <v>16500000</v>
      </c>
      <c r="P5" t="inlineStr">
        <is>
          <t>N</t>
        </is>
      </c>
      <c r="Q5" t="inlineStr">
        <is>
          <t>Terminal / already resolved project; excluded from new allocation cycle.</t>
        </is>
      </c>
    </row>
    <row r="6">
      <c r="A6" s="15" t="inlineStr">
        <is>
          <t>25429</t>
        </is>
      </c>
      <c r="B6" s="15" t="inlineStr">
        <is>
          <t>Huntington Place Senior Little Elm</t>
        </is>
      </c>
      <c r="C6" s="15" t="inlineStr">
        <is>
          <t>Closed</t>
        </is>
      </c>
      <c r="D6" s="15" t="inlineStr">
        <is>
          <t>Closed</t>
        </is>
      </c>
      <c r="E6" s="15" t="inlineStr">
        <is>
          <t>Terminal</t>
        </is>
      </c>
      <c r="F6" s="15" t="inlineStr">
        <is>
          <t>Y</t>
        </is>
      </c>
      <c r="G6" s="15" t="inlineStr"/>
      <c r="H6" s="15" t="inlineStr">
        <is>
          <t>Closed projects persist.</t>
        </is>
      </c>
      <c r="I6" s="15" t="n">
        <v>11</v>
      </c>
      <c r="J6" s="15">
        <f>Applicant_List!BT7</f>
        <v/>
      </c>
      <c r="K6" s="15">
        <f>Applicant_List!CA7</f>
        <v/>
      </c>
      <c r="L6" s="15">
        <f>IF(Applicant_List!BQ7="Y",IF(Applicant_List!CB7="Y","Would Advance","Would Not Advance"),"Existing Pipeline")</f>
        <v/>
      </c>
      <c r="M6" t="inlineStr">
        <is>
          <t>N</t>
        </is>
      </c>
      <c r="O6" s="20" t="n">
        <v>35000000</v>
      </c>
      <c r="P6" t="inlineStr">
        <is>
          <t>N</t>
        </is>
      </c>
      <c r="Q6" t="inlineStr">
        <is>
          <t>Terminal / already resolved project; excluded from new allocation cycle.</t>
        </is>
      </c>
    </row>
    <row r="7">
      <c r="A7" s="15" t="inlineStr">
        <is>
          <t>25415</t>
        </is>
      </c>
      <c r="B7" s="15" t="inlineStr">
        <is>
          <t>Seville Apartments</t>
        </is>
      </c>
      <c r="C7" s="15" t="inlineStr">
        <is>
          <t>Closed</t>
        </is>
      </c>
      <c r="D7" s="15" t="inlineStr">
        <is>
          <t>Closed</t>
        </is>
      </c>
      <c r="E7" s="15" t="inlineStr">
        <is>
          <t>Terminal</t>
        </is>
      </c>
      <c r="F7" s="15" t="inlineStr">
        <is>
          <t>Y</t>
        </is>
      </c>
      <c r="G7" s="15" t="inlineStr"/>
      <c r="H7" s="15" t="inlineStr">
        <is>
          <t>Closed projects persist.</t>
        </is>
      </c>
      <c r="I7" s="15" t="n">
        <v>11</v>
      </c>
      <c r="J7" s="15">
        <f>Applicant_List!BT8</f>
        <v/>
      </c>
      <c r="K7" s="15">
        <f>Applicant_List!CA8</f>
        <v/>
      </c>
      <c r="L7" s="15">
        <f>IF(Applicant_List!BQ8="Y",IF(Applicant_List!CB8="Y","Would Advance","Would Not Advance"),"Existing Pipeline")</f>
        <v/>
      </c>
      <c r="M7" t="inlineStr">
        <is>
          <t>N</t>
        </is>
      </c>
      <c r="O7" s="20" t="n">
        <v>10000000</v>
      </c>
      <c r="P7" t="inlineStr">
        <is>
          <t>N</t>
        </is>
      </c>
      <c r="Q7" t="inlineStr">
        <is>
          <t>Terminal / already resolved project; excluded from new allocation cycle.</t>
        </is>
      </c>
    </row>
    <row r="8">
      <c r="A8" s="15" t="inlineStr">
        <is>
          <t>25409</t>
        </is>
      </c>
      <c r="B8" s="15" t="inlineStr">
        <is>
          <t>Lancaster Apartments</t>
        </is>
      </c>
      <c r="C8" s="15" t="inlineStr">
        <is>
          <t>Closed</t>
        </is>
      </c>
      <c r="D8" s="15" t="inlineStr">
        <is>
          <t>Closed</t>
        </is>
      </c>
      <c r="E8" s="15" t="inlineStr">
        <is>
          <t>Terminal</t>
        </is>
      </c>
      <c r="F8" s="15" t="inlineStr">
        <is>
          <t>Y</t>
        </is>
      </c>
      <c r="G8" s="15" t="inlineStr"/>
      <c r="H8" s="15" t="inlineStr">
        <is>
          <t>Closed projects persist.</t>
        </is>
      </c>
      <c r="I8" s="15" t="n">
        <v>11</v>
      </c>
      <c r="J8" s="15">
        <f>Applicant_List!BT9</f>
        <v/>
      </c>
      <c r="K8" s="15">
        <f>Applicant_List!CA9</f>
        <v/>
      </c>
      <c r="L8" s="15">
        <f>IF(Applicant_List!BQ9="Y",IF(Applicant_List!CB9="Y","Would Advance","Would Not Advance"),"Existing Pipeline")</f>
        <v/>
      </c>
      <c r="M8" t="inlineStr">
        <is>
          <t>N</t>
        </is>
      </c>
      <c r="O8" s="20" t="n">
        <v>30000000</v>
      </c>
      <c r="P8" t="inlineStr">
        <is>
          <t>N</t>
        </is>
      </c>
      <c r="Q8" t="inlineStr">
        <is>
          <t>Terminal / already resolved project; excluded from new allocation cycle.</t>
        </is>
      </c>
    </row>
    <row r="9">
      <c r="A9" s="15" t="inlineStr">
        <is>
          <t>25410</t>
        </is>
      </c>
      <c r="B9" s="15" t="inlineStr">
        <is>
          <t>Regency Park</t>
        </is>
      </c>
      <c r="C9" s="15" t="inlineStr">
        <is>
          <t>Closed</t>
        </is>
      </c>
      <c r="D9" s="15" t="inlineStr">
        <is>
          <t>Closed</t>
        </is>
      </c>
      <c r="E9" s="15" t="inlineStr">
        <is>
          <t>Terminal</t>
        </is>
      </c>
      <c r="F9" s="15" t="inlineStr">
        <is>
          <t>Y</t>
        </is>
      </c>
      <c r="G9" s="15" t="inlineStr"/>
      <c r="H9" s="15" t="inlineStr">
        <is>
          <t>Closed projects persist.</t>
        </is>
      </c>
      <c r="I9" s="15" t="n">
        <v>11</v>
      </c>
      <c r="J9" s="15">
        <f>Applicant_List!BT10</f>
        <v/>
      </c>
      <c r="K9" s="15">
        <f>Applicant_List!CA10</f>
        <v/>
      </c>
      <c r="L9" s="15">
        <f>IF(Applicant_List!BQ10="Y",IF(Applicant_List!CB10="Y","Would Advance","Would Not Advance"),"Existing Pipeline")</f>
        <v/>
      </c>
      <c r="M9" t="inlineStr">
        <is>
          <t>N</t>
        </is>
      </c>
      <c r="O9" s="20" t="n">
        <v>30000000</v>
      </c>
      <c r="P9" t="inlineStr">
        <is>
          <t>N</t>
        </is>
      </c>
      <c r="Q9" t="inlineStr">
        <is>
          <t>Terminal / already resolved project; excluded from new allocation cycle.</t>
        </is>
      </c>
    </row>
    <row r="10">
      <c r="A10" s="15" t="inlineStr">
        <is>
          <t>25411</t>
        </is>
      </c>
      <c r="B10" s="15" t="inlineStr">
        <is>
          <t>Sugar Creek</t>
        </is>
      </c>
      <c r="C10" s="15" t="inlineStr">
        <is>
          <t>Closed</t>
        </is>
      </c>
      <c r="D10" s="15" t="inlineStr">
        <is>
          <t>Closed</t>
        </is>
      </c>
      <c r="E10" s="15" t="inlineStr">
        <is>
          <t>Terminal</t>
        </is>
      </c>
      <c r="F10" s="15" t="inlineStr">
        <is>
          <t>Y</t>
        </is>
      </c>
      <c r="G10" s="15" t="inlineStr"/>
      <c r="H10" s="15" t="inlineStr">
        <is>
          <t>Closed projects persist.</t>
        </is>
      </c>
      <c r="I10" s="15" t="n">
        <v>11</v>
      </c>
      <c r="J10" s="15">
        <f>Applicant_List!BT11</f>
        <v/>
      </c>
      <c r="K10" s="15">
        <f>Applicant_List!CA11</f>
        <v/>
      </c>
      <c r="L10" s="15">
        <f>IF(Applicant_List!BQ11="Y",IF(Applicant_List!CB11="Y","Would Advance","Would Not Advance"),"Existing Pipeline")</f>
        <v/>
      </c>
      <c r="M10" t="inlineStr">
        <is>
          <t>N</t>
        </is>
      </c>
      <c r="O10" s="20" t="n">
        <v>28000000</v>
      </c>
      <c r="P10" t="inlineStr">
        <is>
          <t>N</t>
        </is>
      </c>
      <c r="Q10" t="inlineStr">
        <is>
          <t>Terminal / already resolved project; excluded from new allocation cycle.</t>
        </is>
      </c>
    </row>
    <row r="11">
      <c r="A11" s="15" t="inlineStr">
        <is>
          <t>25433</t>
        </is>
      </c>
      <c r="B11" s="15" t="inlineStr">
        <is>
          <t>Brady Village</t>
        </is>
      </c>
      <c r="C11" s="15" t="inlineStr">
        <is>
          <t>Withdrawn</t>
        </is>
      </c>
      <c r="D11" s="15" t="inlineStr">
        <is>
          <t>Withdrawn</t>
        </is>
      </c>
      <c r="E11" s="15" t="inlineStr">
        <is>
          <t>Terminal</t>
        </is>
      </c>
      <c r="F11" s="15" t="inlineStr">
        <is>
          <t>N</t>
        </is>
      </c>
      <c r="G11" s="15" t="inlineStr"/>
      <c r="H11" s="15" t="inlineStr">
        <is>
          <t>Terminal project persists.</t>
        </is>
      </c>
      <c r="I11" s="15" t="n">
        <v>11</v>
      </c>
      <c r="J11" s="15">
        <f>Applicant_List!BT12</f>
        <v/>
      </c>
      <c r="K11" s="15">
        <f>Applicant_List!CA12</f>
        <v/>
      </c>
      <c r="L11" s="15">
        <f>IF(Applicant_List!BQ12="Y",IF(Applicant_List!CB12="Y","Would Advance","Would Not Advance"),"Existing Pipeline")</f>
        <v/>
      </c>
      <c r="M11" t="inlineStr">
        <is>
          <t>N</t>
        </is>
      </c>
      <c r="O11" s="20" t="n">
        <v>25000000</v>
      </c>
      <c r="P11" t="inlineStr">
        <is>
          <t>N</t>
        </is>
      </c>
      <c r="Q11" t="inlineStr">
        <is>
          <t>Terminal / already resolved project; excluded from new allocation cycle.</t>
        </is>
      </c>
    </row>
    <row r="12">
      <c r="A12" s="15" t="inlineStr">
        <is>
          <t>25434</t>
        </is>
      </c>
      <c r="B12" s="15" t="inlineStr">
        <is>
          <t>Seaport Village</t>
        </is>
      </c>
      <c r="C12" s="15" t="inlineStr">
        <is>
          <t>Withdrawn</t>
        </is>
      </c>
      <c r="D12" s="15" t="inlineStr">
        <is>
          <t>Withdrawn</t>
        </is>
      </c>
      <c r="E12" s="15" t="inlineStr">
        <is>
          <t>Terminal</t>
        </is>
      </c>
      <c r="F12" s="15" t="inlineStr">
        <is>
          <t>N</t>
        </is>
      </c>
      <c r="G12" s="15" t="inlineStr"/>
      <c r="H12" s="15" t="inlineStr">
        <is>
          <t>Terminal project persists.</t>
        </is>
      </c>
      <c r="I12" s="15" t="n">
        <v>11</v>
      </c>
      <c r="J12" s="15">
        <f>Applicant_List!BT13</f>
        <v/>
      </c>
      <c r="K12" s="15">
        <f>Applicant_List!CA13</f>
        <v/>
      </c>
      <c r="L12" s="15">
        <f>IF(Applicant_List!BQ13="Y",IF(Applicant_List!CB13="Y","Would Advance","Would Not Advance"),"Existing Pipeline")</f>
        <v/>
      </c>
      <c r="M12" t="inlineStr">
        <is>
          <t>N</t>
        </is>
      </c>
      <c r="O12" s="20" t="n">
        <v>25000000</v>
      </c>
      <c r="P12" t="inlineStr">
        <is>
          <t>N</t>
        </is>
      </c>
      <c r="Q12" t="inlineStr">
        <is>
          <t>Terminal / already resolved project; excluded from new allocation cycle.</t>
        </is>
      </c>
    </row>
    <row r="13">
      <c r="A13" s="15" t="inlineStr">
        <is>
          <t>25435</t>
        </is>
      </c>
      <c r="B13" s="15" t="inlineStr">
        <is>
          <t>Sienna Villas</t>
        </is>
      </c>
      <c r="C13" s="15" t="inlineStr">
        <is>
          <t>Withdrawn</t>
        </is>
      </c>
      <c r="D13" s="15" t="inlineStr">
        <is>
          <t>Withdrawn</t>
        </is>
      </c>
      <c r="E13" s="15" t="inlineStr">
        <is>
          <t>Terminal</t>
        </is>
      </c>
      <c r="F13" s="15" t="inlineStr">
        <is>
          <t>N</t>
        </is>
      </c>
      <c r="G13" s="15" t="inlineStr"/>
      <c r="H13" s="15" t="inlineStr">
        <is>
          <t>Terminal project persists.</t>
        </is>
      </c>
      <c r="I13" s="15" t="n">
        <v>11</v>
      </c>
      <c r="J13" s="15">
        <f>Applicant_List!BT14</f>
        <v/>
      </c>
      <c r="K13" s="15">
        <f>Applicant_List!CA14</f>
        <v/>
      </c>
      <c r="L13" s="15">
        <f>IF(Applicant_List!BQ14="Y",IF(Applicant_List!CB14="Y","Would Advance","Would Not Advance"),"Existing Pipeline")</f>
        <v/>
      </c>
      <c r="M13" t="inlineStr">
        <is>
          <t>N</t>
        </is>
      </c>
      <c r="O13" s="20" t="n">
        <v>20000000</v>
      </c>
      <c r="P13" t="inlineStr">
        <is>
          <t>N</t>
        </is>
      </c>
      <c r="Q13" t="inlineStr">
        <is>
          <t>Terminal / already resolved project; excluded from new allocation cycle.</t>
        </is>
      </c>
    </row>
    <row r="14">
      <c r="A14" s="15" t="inlineStr">
        <is>
          <t>25441</t>
        </is>
      </c>
      <c r="B14" s="15" t="inlineStr">
        <is>
          <t>Aureus at Whisper Hills</t>
        </is>
      </c>
      <c r="C14" s="15" t="inlineStr">
        <is>
          <t>Withdrawn</t>
        </is>
      </c>
      <c r="D14" s="15" t="inlineStr">
        <is>
          <t>Withdrawn</t>
        </is>
      </c>
      <c r="E14" s="15" t="inlineStr">
        <is>
          <t>Terminal</t>
        </is>
      </c>
      <c r="F14" s="15" t="inlineStr">
        <is>
          <t>N</t>
        </is>
      </c>
      <c r="G14" s="15" t="inlineStr"/>
      <c r="H14" s="15" t="inlineStr">
        <is>
          <t>Terminal project persists.</t>
        </is>
      </c>
      <c r="I14" s="15" t="n">
        <v>11</v>
      </c>
      <c r="J14" s="15">
        <f>Applicant_List!BT15</f>
        <v/>
      </c>
      <c r="K14" s="15">
        <f>Applicant_List!CA15</f>
        <v/>
      </c>
      <c r="L14" s="15">
        <f>IF(Applicant_List!BQ15="Y",IF(Applicant_List!CB15="Y","Would Advance","Would Not Advance"),"Existing Pipeline")</f>
        <v/>
      </c>
      <c r="M14" t="inlineStr">
        <is>
          <t>N</t>
        </is>
      </c>
      <c r="O14" s="20" t="n">
        <v>40000000</v>
      </c>
      <c r="P14" t="inlineStr">
        <is>
          <t>N</t>
        </is>
      </c>
      <c r="Q14" t="inlineStr">
        <is>
          <t>Terminal / already resolved project; excluded from new allocation cycle.</t>
        </is>
      </c>
    </row>
    <row r="15">
      <c r="A15" s="15" t="inlineStr">
        <is>
          <t>25406</t>
        </is>
      </c>
      <c r="B15" s="15" t="inlineStr">
        <is>
          <t>Fairlake Cove</t>
        </is>
      </c>
      <c r="C15" s="15" t="inlineStr">
        <is>
          <t>Withdrawn</t>
        </is>
      </c>
      <c r="D15" s="15" t="inlineStr">
        <is>
          <t>Withdrawn</t>
        </is>
      </c>
      <c r="E15" s="15" t="inlineStr">
        <is>
          <t>Terminal</t>
        </is>
      </c>
      <c r="F15" s="15" t="inlineStr">
        <is>
          <t>N</t>
        </is>
      </c>
      <c r="G15" s="15" t="inlineStr"/>
      <c r="H15" s="15" t="inlineStr">
        <is>
          <t>Terminal project persists.</t>
        </is>
      </c>
      <c r="I15" s="15" t="n">
        <v>11</v>
      </c>
      <c r="J15" s="15">
        <f>Applicant_List!BT16</f>
        <v/>
      </c>
      <c r="K15" s="15">
        <f>Applicant_List!CA16</f>
        <v/>
      </c>
      <c r="L15" s="15">
        <f>IF(Applicant_List!BQ16="Y",IF(Applicant_List!CB16="Y","Would Advance","Would Not Advance"),"Existing Pipeline")</f>
        <v/>
      </c>
      <c r="M15" t="inlineStr">
        <is>
          <t>N</t>
        </is>
      </c>
      <c r="O15" s="20" t="n">
        <v>40000000</v>
      </c>
      <c r="P15" t="inlineStr">
        <is>
          <t>N</t>
        </is>
      </c>
      <c r="Q15" t="inlineStr">
        <is>
          <t>Terminal / already resolved project; excluded from new allocation cycle.</t>
        </is>
      </c>
    </row>
    <row r="16">
      <c r="A16" s="15" t="inlineStr">
        <is>
          <t>25436</t>
        </is>
      </c>
      <c r="B16" s="15" t="inlineStr">
        <is>
          <t>Jackson Apartments</t>
        </is>
      </c>
      <c r="C16" s="15" t="inlineStr">
        <is>
          <t>Withdrawn</t>
        </is>
      </c>
      <c r="D16" s="15" t="inlineStr">
        <is>
          <t>Withdrawn</t>
        </is>
      </c>
      <c r="E16" s="15" t="inlineStr">
        <is>
          <t>Terminal</t>
        </is>
      </c>
      <c r="F16" s="15" t="inlineStr">
        <is>
          <t>N</t>
        </is>
      </c>
      <c r="G16" s="15" t="inlineStr"/>
      <c r="H16" s="15" t="inlineStr">
        <is>
          <t>Terminal project persists.</t>
        </is>
      </c>
      <c r="I16" s="15" t="n">
        <v>11</v>
      </c>
      <c r="J16" s="15">
        <f>Applicant_List!BT17</f>
        <v/>
      </c>
      <c r="K16" s="15">
        <f>Applicant_List!CA17</f>
        <v/>
      </c>
      <c r="L16" s="15">
        <f>IF(Applicant_List!BQ17="Y",IF(Applicant_List!CB17="Y","Would Advance","Would Not Advance"),"Existing Pipeline")</f>
        <v/>
      </c>
      <c r="M16" t="inlineStr">
        <is>
          <t>N</t>
        </is>
      </c>
      <c r="O16" s="20" t="n">
        <v>12000000</v>
      </c>
      <c r="P16" t="inlineStr">
        <is>
          <t>N</t>
        </is>
      </c>
      <c r="Q16" t="inlineStr">
        <is>
          <t>Terminal / already resolved project; excluded from new allocation cycle.</t>
        </is>
      </c>
    </row>
    <row r="17">
      <c r="A17" s="15" t="inlineStr">
        <is>
          <t>25405</t>
        </is>
      </c>
      <c r="B17" s="15" t="inlineStr">
        <is>
          <t>HiLine Illinois</t>
        </is>
      </c>
      <c r="C17" s="15" t="inlineStr">
        <is>
          <t>Closed</t>
        </is>
      </c>
      <c r="D17" s="15" t="inlineStr">
        <is>
          <t>Closed</t>
        </is>
      </c>
      <c r="E17" s="15" t="inlineStr">
        <is>
          <t>Terminal</t>
        </is>
      </c>
      <c r="F17" s="15" t="inlineStr">
        <is>
          <t>Y</t>
        </is>
      </c>
      <c r="G17" s="15" t="inlineStr"/>
      <c r="H17" s="15" t="inlineStr">
        <is>
          <t>Closed projects persist.</t>
        </is>
      </c>
      <c r="I17" s="15" t="n">
        <v>11</v>
      </c>
      <c r="J17" s="15">
        <f>Applicant_List!BT18</f>
        <v/>
      </c>
      <c r="K17" s="15">
        <f>Applicant_List!CA18</f>
        <v/>
      </c>
      <c r="L17" s="15">
        <f>IF(Applicant_List!BQ18="Y",IF(Applicant_List!CB18="Y","Would Advance","Would Not Advance"),"Existing Pipeline")</f>
        <v/>
      </c>
      <c r="M17" t="inlineStr">
        <is>
          <t>N</t>
        </is>
      </c>
      <c r="O17" s="20" t="n">
        <v>35000000</v>
      </c>
      <c r="P17" t="inlineStr">
        <is>
          <t>N</t>
        </is>
      </c>
      <c r="Q17" t="inlineStr">
        <is>
          <t>Terminal / already resolved project; excluded from new allocation cycle.</t>
        </is>
      </c>
    </row>
    <row r="18">
      <c r="A18" s="15" t="inlineStr">
        <is>
          <t>25413</t>
        </is>
      </c>
      <c r="B18" s="15" t="inlineStr">
        <is>
          <t>Sunflower Terrace</t>
        </is>
      </c>
      <c r="C18" s="15" t="inlineStr">
        <is>
          <t>Closed</t>
        </is>
      </c>
      <c r="D18" s="15" t="inlineStr">
        <is>
          <t>Closed</t>
        </is>
      </c>
      <c r="E18" s="15" t="inlineStr">
        <is>
          <t>Terminal</t>
        </is>
      </c>
      <c r="F18" s="15" t="inlineStr">
        <is>
          <t>Y</t>
        </is>
      </c>
      <c r="G18" s="15" t="inlineStr"/>
      <c r="H18" s="15" t="inlineStr">
        <is>
          <t>Closed projects persist.</t>
        </is>
      </c>
      <c r="I18" s="15" t="n">
        <v>11</v>
      </c>
      <c r="J18" s="15">
        <f>Applicant_List!BT19</f>
        <v/>
      </c>
      <c r="K18" s="15">
        <f>Applicant_List!CA19</f>
        <v/>
      </c>
      <c r="L18" s="15">
        <f>IF(Applicant_List!BQ19="Y",IF(Applicant_List!CB19="Y","Would Advance","Would Not Advance"),"Existing Pipeline")</f>
        <v/>
      </c>
      <c r="M18" t="inlineStr">
        <is>
          <t>N</t>
        </is>
      </c>
      <c r="O18" s="20" t="n">
        <v>28000000</v>
      </c>
      <c r="P18" t="inlineStr">
        <is>
          <t>N</t>
        </is>
      </c>
      <c r="Q18" t="inlineStr">
        <is>
          <t>Terminal / already resolved project; excluded from new allocation cycle.</t>
        </is>
      </c>
    </row>
    <row r="19">
      <c r="A19" s="15" t="inlineStr">
        <is>
          <t>25439</t>
        </is>
      </c>
      <c r="B19" s="15" t="inlineStr">
        <is>
          <t>Pleasant Hill Village</t>
        </is>
      </c>
      <c r="C19" s="15" t="inlineStr">
        <is>
          <t>Approved</t>
        </is>
      </c>
      <c r="D19" s="15" t="inlineStr">
        <is>
          <t>Determination Notice Issued</t>
        </is>
      </c>
      <c r="E19" s="15" t="inlineStr">
        <is>
          <t>Determination Notice</t>
        </is>
      </c>
      <c r="F19" s="15" t="inlineStr">
        <is>
          <t>Y</t>
        </is>
      </c>
      <c r="G19" s="15" t="inlineStr"/>
      <c r="H19" s="15" t="inlineStr">
        <is>
          <t>Streamlined path assumptions satisfied.</t>
        </is>
      </c>
      <c r="I19" s="15" t="n">
        <v>11</v>
      </c>
      <c r="J19" s="15">
        <f>Applicant_List!BT20</f>
        <v/>
      </c>
      <c r="K19" s="15">
        <f>Applicant_List!CA20</f>
        <v/>
      </c>
      <c r="L19" s="15">
        <f>IF(Applicant_List!BQ20="Y",IF(Applicant_List!CB20="Y","Would Advance","Would Not Advance"),"Existing Pipeline")</f>
        <v/>
      </c>
      <c r="M19" t="inlineStr">
        <is>
          <t>Y</t>
        </is>
      </c>
      <c r="N19" t="n">
        <v>3</v>
      </c>
      <c r="O19" s="20" t="n">
        <v>20000000</v>
      </c>
      <c r="P19" t="inlineStr">
        <is>
          <t>Y</t>
        </is>
      </c>
      <c r="Q19" t="inlineStr">
        <is>
          <t>Funded within current simulated capacity.</t>
        </is>
      </c>
    </row>
    <row r="20">
      <c r="A20" s="15" t="inlineStr">
        <is>
          <t>25437</t>
        </is>
      </c>
      <c r="B20" s="15" t="inlineStr">
        <is>
          <t>Manor Apartments</t>
        </is>
      </c>
      <c r="C20" s="15" t="inlineStr">
        <is>
          <t>Withdrawn</t>
        </is>
      </c>
      <c r="D20" s="15" t="inlineStr">
        <is>
          <t>Withdrawn</t>
        </is>
      </c>
      <c r="E20" s="15" t="inlineStr">
        <is>
          <t>Terminal</t>
        </is>
      </c>
      <c r="F20" s="15" t="inlineStr">
        <is>
          <t>N</t>
        </is>
      </c>
      <c r="G20" s="15" t="inlineStr"/>
      <c r="H20" s="15" t="inlineStr">
        <is>
          <t>Terminal project persists.</t>
        </is>
      </c>
      <c r="I20" s="15" t="n">
        <v>11</v>
      </c>
      <c r="J20" s="15">
        <f>Applicant_List!BT21</f>
        <v/>
      </c>
      <c r="K20" s="15">
        <f>Applicant_List!CA21</f>
        <v/>
      </c>
      <c r="L20" s="15">
        <f>IF(Applicant_List!BQ21="Y",IF(Applicant_List!CB21="Y","Would Advance","Would Not Advance"),"Existing Pipeline")</f>
        <v/>
      </c>
      <c r="M20" t="inlineStr">
        <is>
          <t>N</t>
        </is>
      </c>
      <c r="O20" s="20" t="n">
        <v>35000000</v>
      </c>
      <c r="P20" t="inlineStr">
        <is>
          <t>N</t>
        </is>
      </c>
      <c r="Q20" t="inlineStr">
        <is>
          <t>Terminal / already resolved project; excluded from new allocation cycle.</t>
        </is>
      </c>
    </row>
    <row r="21">
      <c r="A21" s="15" t="inlineStr">
        <is>
          <t>25438</t>
        </is>
      </c>
      <c r="B21" s="15" t="inlineStr">
        <is>
          <t>Britton's Place</t>
        </is>
      </c>
      <c r="C21" s="15" t="inlineStr">
        <is>
          <t>Approved</t>
        </is>
      </c>
      <c r="D21" s="15" t="inlineStr">
        <is>
          <t>Determination Notice Issued</t>
        </is>
      </c>
      <c r="E21" s="15" t="inlineStr">
        <is>
          <t>Determination Notice</t>
        </is>
      </c>
      <c r="F21" s="15" t="inlineStr">
        <is>
          <t>Y</t>
        </is>
      </c>
      <c r="G21" s="15" t="inlineStr"/>
      <c r="H21" s="15" t="inlineStr">
        <is>
          <t>Streamlined path assumptions satisfied.</t>
        </is>
      </c>
      <c r="I21" s="15" t="n">
        <v>11</v>
      </c>
      <c r="J21" s="15">
        <f>Applicant_List!BT22</f>
        <v/>
      </c>
      <c r="K21" s="15">
        <f>Applicant_List!CA22</f>
        <v/>
      </c>
      <c r="L21" s="15">
        <f>IF(Applicant_List!BQ22="Y",IF(Applicant_List!CB22="Y","Would Advance","Would Not Advance"),"Existing Pipeline")</f>
        <v/>
      </c>
      <c r="M21" t="inlineStr">
        <is>
          <t>Y</t>
        </is>
      </c>
      <c r="N21" t="n">
        <v>2</v>
      </c>
      <c r="O21" s="20" t="n">
        <v>20000000</v>
      </c>
      <c r="P21" t="inlineStr">
        <is>
          <t>Y</t>
        </is>
      </c>
      <c r="Q21" t="inlineStr">
        <is>
          <t>Funded within current simulated capacity.</t>
        </is>
      </c>
    </row>
    <row r="22">
      <c r="A22" s="15" t="inlineStr">
        <is>
          <t>25417</t>
        </is>
      </c>
      <c r="B22" s="15" t="inlineStr">
        <is>
          <t>Reserve at Ella</t>
        </is>
      </c>
      <c r="C22" s="15" t="inlineStr">
        <is>
          <t>Withdrawn</t>
        </is>
      </c>
      <c r="D22" s="15" t="inlineStr">
        <is>
          <t>Withdrawn</t>
        </is>
      </c>
      <c r="E22" s="15" t="inlineStr">
        <is>
          <t>Terminal</t>
        </is>
      </c>
      <c r="F22" s="15" t="inlineStr">
        <is>
          <t>N</t>
        </is>
      </c>
      <c r="G22" s="15" t="inlineStr"/>
      <c r="H22" s="15" t="inlineStr">
        <is>
          <t>Terminal project persists.</t>
        </is>
      </c>
      <c r="I22" s="15" t="n">
        <v>11</v>
      </c>
      <c r="J22" s="15">
        <f>Applicant_List!BT23</f>
        <v/>
      </c>
      <c r="K22" s="15">
        <f>Applicant_List!CA23</f>
        <v/>
      </c>
      <c r="L22" s="15">
        <f>IF(Applicant_List!BQ23="Y",IF(Applicant_List!CB23="Y","Would Advance","Would Not Advance"),"Existing Pipeline")</f>
        <v/>
      </c>
      <c r="M22" t="inlineStr">
        <is>
          <t>N</t>
        </is>
      </c>
      <c r="O22" s="20" t="n">
        <v>50000000</v>
      </c>
      <c r="P22" t="inlineStr">
        <is>
          <t>N</t>
        </is>
      </c>
      <c r="Q22" t="inlineStr">
        <is>
          <t>Terminal / already resolved project; excluded from new allocation cycle.</t>
        </is>
      </c>
    </row>
    <row r="23">
      <c r="A23" s="15" t="inlineStr">
        <is>
          <t>25404</t>
        </is>
      </c>
      <c r="B23" s="15" t="inlineStr">
        <is>
          <t>Torrington Briarwood</t>
        </is>
      </c>
      <c r="C23" s="15" t="inlineStr">
        <is>
          <t>Closed</t>
        </is>
      </c>
      <c r="D23" s="15" t="inlineStr">
        <is>
          <t>Closed</t>
        </is>
      </c>
      <c r="E23" s="15" t="inlineStr">
        <is>
          <t>Terminal</t>
        </is>
      </c>
      <c r="F23" s="15" t="inlineStr">
        <is>
          <t>Y</t>
        </is>
      </c>
      <c r="G23" s="15" t="inlineStr"/>
      <c r="H23" s="15" t="inlineStr">
        <is>
          <t>Closed projects persist.</t>
        </is>
      </c>
      <c r="I23" s="15" t="n">
        <v>11</v>
      </c>
      <c r="J23" s="15">
        <f>Applicant_List!BT24</f>
        <v/>
      </c>
      <c r="K23" s="15">
        <f>Applicant_List!CA24</f>
        <v/>
      </c>
      <c r="L23" s="15">
        <f>IF(Applicant_List!BQ24="Y",IF(Applicant_List!CB24="Y","Would Advance","Would Not Advance"),"Existing Pipeline")</f>
        <v/>
      </c>
      <c r="M23" t="inlineStr">
        <is>
          <t>N</t>
        </is>
      </c>
      <c r="O23" s="20" t="n">
        <v>50000000</v>
      </c>
      <c r="P23" t="inlineStr">
        <is>
          <t>N</t>
        </is>
      </c>
      <c r="Q23" t="inlineStr">
        <is>
          <t>Terminal / already resolved project; excluded from new allocation cycle.</t>
        </is>
      </c>
    </row>
    <row r="24">
      <c r="A24" s="15" t="inlineStr">
        <is>
          <t>25412</t>
        </is>
      </c>
      <c r="B24" s="15" t="inlineStr">
        <is>
          <t>Wyndham Park</t>
        </is>
      </c>
      <c r="C24" s="15" t="inlineStr">
        <is>
          <t>Closed</t>
        </is>
      </c>
      <c r="D24" s="15" t="inlineStr">
        <is>
          <t>Closed</t>
        </is>
      </c>
      <c r="E24" s="15" t="inlineStr">
        <is>
          <t>Terminal</t>
        </is>
      </c>
      <c r="F24" s="15" t="inlineStr">
        <is>
          <t>Y</t>
        </is>
      </c>
      <c r="G24" s="15" t="inlineStr"/>
      <c r="H24" s="15" t="inlineStr">
        <is>
          <t>Closed projects persist.</t>
        </is>
      </c>
      <c r="I24" s="15" t="n">
        <v>11</v>
      </c>
      <c r="J24" s="15">
        <f>Applicant_List!BT25</f>
        <v/>
      </c>
      <c r="K24" s="15">
        <f>Applicant_List!CA25</f>
        <v/>
      </c>
      <c r="L24" s="15">
        <f>IF(Applicant_List!BQ25="Y",IF(Applicant_List!CB25="Y","Would Advance","Would Not Advance"),"Existing Pipeline")</f>
        <v/>
      </c>
      <c r="M24" t="inlineStr">
        <is>
          <t>N</t>
        </is>
      </c>
      <c r="O24" s="20" t="n">
        <v>20000000</v>
      </c>
      <c r="P24" t="inlineStr">
        <is>
          <t>N</t>
        </is>
      </c>
      <c r="Q24" t="inlineStr">
        <is>
          <t>Terminal / already resolved project; excluded from new allocation cycle.</t>
        </is>
      </c>
    </row>
    <row r="25">
      <c r="A25" s="15" t="inlineStr">
        <is>
          <t>21608S</t>
        </is>
      </c>
      <c r="B25" s="15" t="inlineStr">
        <is>
          <t>Fiji Lofts</t>
        </is>
      </c>
      <c r="C25" s="15" t="inlineStr">
        <is>
          <t>Active</t>
        </is>
      </c>
      <c r="D25" s="15" t="inlineStr">
        <is>
          <t>Determination Notice Issued</t>
        </is>
      </c>
      <c r="E25" s="15" t="inlineStr">
        <is>
          <t>Determination Notice</t>
        </is>
      </c>
      <c r="F25" s="15" t="inlineStr">
        <is>
          <t>Y</t>
        </is>
      </c>
      <c r="G25" s="15" t="inlineStr"/>
      <c r="H25" s="15" t="inlineStr">
        <is>
          <t>Streamlined path assumptions satisfied.</t>
        </is>
      </c>
      <c r="I25" s="15" t="n">
        <v>11</v>
      </c>
      <c r="J25" s="15">
        <f>Applicant_List!BT26</f>
        <v/>
      </c>
      <c r="K25" s="15">
        <f>Applicant_List!CA26</f>
        <v/>
      </c>
      <c r="L25" s="15">
        <f>IF(Applicant_List!BQ26="Y",IF(Applicant_List!CB26="Y","Would Advance","Would Not Advance"),"Existing Pipeline")</f>
        <v/>
      </c>
      <c r="M25" t="inlineStr">
        <is>
          <t>Y</t>
        </is>
      </c>
      <c r="N25" t="n">
        <v>7</v>
      </c>
      <c r="O25" s="20" t="n">
        <v>6000000</v>
      </c>
      <c r="P25" t="inlineStr">
        <is>
          <t>Y</t>
        </is>
      </c>
      <c r="Q25" t="inlineStr">
        <is>
          <t>Funded within current simulated capacity.</t>
        </is>
      </c>
    </row>
    <row r="26">
      <c r="A26" s="15" t="inlineStr">
        <is>
          <t>21614S</t>
        </is>
      </c>
      <c r="B26" s="15" t="inlineStr">
        <is>
          <t>Murdeaux Villas</t>
        </is>
      </c>
      <c r="C26" s="15" t="inlineStr">
        <is>
          <t>Active</t>
        </is>
      </c>
      <c r="D26" s="15" t="inlineStr">
        <is>
          <t>Determination Notice Issued</t>
        </is>
      </c>
      <c r="E26" s="15" t="inlineStr">
        <is>
          <t>Determination Notice</t>
        </is>
      </c>
      <c r="F26" s="15" t="inlineStr">
        <is>
          <t>Y</t>
        </is>
      </c>
      <c r="G26" s="15" t="inlineStr"/>
      <c r="H26" s="15" t="inlineStr">
        <is>
          <t>Streamlined path assumptions satisfied.</t>
        </is>
      </c>
      <c r="I26" s="15" t="n">
        <v>11</v>
      </c>
      <c r="J26" s="15">
        <f>Applicant_List!BT27</f>
        <v/>
      </c>
      <c r="K26" s="15">
        <f>Applicant_List!CA27</f>
        <v/>
      </c>
      <c r="L26" s="15">
        <f>IF(Applicant_List!BQ27="Y",IF(Applicant_List!CB27="Y","Would Advance","Would Not Advance"),"Existing Pipeline")</f>
        <v/>
      </c>
      <c r="M26" t="inlineStr">
        <is>
          <t>Y</t>
        </is>
      </c>
      <c r="N26" t="n">
        <v>6</v>
      </c>
      <c r="O26" s="20" t="n">
        <v>5000000</v>
      </c>
      <c r="P26" t="inlineStr">
        <is>
          <t>Y</t>
        </is>
      </c>
      <c r="Q26" t="inlineStr">
        <is>
          <t>Funded within current simulated capacity.</t>
        </is>
      </c>
    </row>
    <row r="27">
      <c r="A27" s="15" t="inlineStr">
        <is>
          <t>25425</t>
        </is>
      </c>
      <c r="B27" s="15" t="inlineStr">
        <is>
          <t>Bridge at Treeline</t>
        </is>
      </c>
      <c r="C27" s="15" t="inlineStr">
        <is>
          <t>Withdrawn</t>
        </is>
      </c>
      <c r="D27" s="15" t="inlineStr">
        <is>
          <t>Withdrawn</t>
        </is>
      </c>
      <c r="E27" s="15" t="inlineStr">
        <is>
          <t>Terminal</t>
        </is>
      </c>
      <c r="F27" s="15" t="inlineStr">
        <is>
          <t>N</t>
        </is>
      </c>
      <c r="G27" s="15" t="inlineStr"/>
      <c r="H27" s="15" t="inlineStr">
        <is>
          <t>Terminal project persists.</t>
        </is>
      </c>
      <c r="I27" s="15" t="n">
        <v>11</v>
      </c>
      <c r="J27" s="15">
        <f>Applicant_List!BT28</f>
        <v/>
      </c>
      <c r="K27" s="15">
        <f>Applicant_List!CA28</f>
        <v/>
      </c>
      <c r="L27" s="15">
        <f>IF(Applicant_List!BQ28="Y",IF(Applicant_List!CB28="Y","Would Advance","Would Not Advance"),"Existing Pipeline")</f>
        <v/>
      </c>
      <c r="M27" t="inlineStr">
        <is>
          <t>N</t>
        </is>
      </c>
      <c r="O27" s="20" t="n">
        <v>40000000</v>
      </c>
      <c r="P27" t="inlineStr">
        <is>
          <t>N</t>
        </is>
      </c>
      <c r="Q27" t="inlineStr">
        <is>
          <t>Terminal / already resolved project; excluded from new allocation cycle.</t>
        </is>
      </c>
    </row>
    <row r="28">
      <c r="A28" s="15" t="inlineStr">
        <is>
          <t>25431</t>
        </is>
      </c>
      <c r="B28" s="15" t="inlineStr">
        <is>
          <t>The Meadows</t>
        </is>
      </c>
      <c r="C28" s="15" t="inlineStr">
        <is>
          <t>Withdrawn</t>
        </is>
      </c>
      <c r="D28" s="15" t="inlineStr">
        <is>
          <t>Withdrawn</t>
        </is>
      </c>
      <c r="E28" s="15" t="inlineStr">
        <is>
          <t>Terminal</t>
        </is>
      </c>
      <c r="F28" s="15" t="inlineStr">
        <is>
          <t>N</t>
        </is>
      </c>
      <c r="G28" s="15" t="inlineStr"/>
      <c r="H28" s="15" t="inlineStr">
        <is>
          <t>Terminal project persists.</t>
        </is>
      </c>
      <c r="I28" s="15" t="n">
        <v>11</v>
      </c>
      <c r="J28" s="15">
        <f>Applicant_List!BT29</f>
        <v/>
      </c>
      <c r="K28" s="15">
        <f>Applicant_List!CA29</f>
        <v/>
      </c>
      <c r="L28" s="15">
        <f>IF(Applicant_List!BQ29="Y",IF(Applicant_List!CB29="Y","Would Advance","Would Not Advance"),"Existing Pipeline")</f>
        <v/>
      </c>
      <c r="M28" t="inlineStr">
        <is>
          <t>N</t>
        </is>
      </c>
      <c r="O28" s="20" t="n">
        <v>25000000</v>
      </c>
      <c r="P28" t="inlineStr">
        <is>
          <t>N</t>
        </is>
      </c>
      <c r="Q28" t="inlineStr">
        <is>
          <t>Terminal / already resolved project; excluded from new allocation cycle.</t>
        </is>
      </c>
    </row>
    <row r="29">
      <c r="A29" s="15" t="inlineStr">
        <is>
          <t>25401</t>
        </is>
      </c>
      <c r="B29" s="15" t="inlineStr">
        <is>
          <t>Enclave at Cypress</t>
        </is>
      </c>
      <c r="C29" s="15" t="inlineStr">
        <is>
          <t>Withdrawn</t>
        </is>
      </c>
      <c r="D29" s="15" t="inlineStr">
        <is>
          <t>Withdrawn</t>
        </is>
      </c>
      <c r="E29" s="15" t="inlineStr">
        <is>
          <t>Terminal</t>
        </is>
      </c>
      <c r="F29" s="15" t="inlineStr">
        <is>
          <t>N</t>
        </is>
      </c>
      <c r="G29" s="15" t="inlineStr"/>
      <c r="H29" s="15" t="inlineStr">
        <is>
          <t>Terminal project persists.</t>
        </is>
      </c>
      <c r="I29" s="15" t="n">
        <v>11</v>
      </c>
      <c r="J29" s="15">
        <f>Applicant_List!BT30</f>
        <v/>
      </c>
      <c r="K29" s="15">
        <f>Applicant_List!CA30</f>
        <v/>
      </c>
      <c r="L29" s="15">
        <f>IF(Applicant_List!BQ30="Y",IF(Applicant_List!CB30="Y","Would Advance","Would Not Advance"),"Existing Pipeline")</f>
        <v/>
      </c>
      <c r="M29" t="inlineStr">
        <is>
          <t>N</t>
        </is>
      </c>
      <c r="O29" s="20" t="n">
        <v>50000000</v>
      </c>
      <c r="P29" t="inlineStr">
        <is>
          <t>N</t>
        </is>
      </c>
      <c r="Q29" t="inlineStr">
        <is>
          <t>Terminal / already resolved project; excluded from new allocation cycle.</t>
        </is>
      </c>
    </row>
    <row r="30">
      <c r="A30" s="15" t="inlineStr">
        <is>
          <t>25432</t>
        </is>
      </c>
      <c r="B30" s="15" t="inlineStr">
        <is>
          <t>Village at Meadowbend</t>
        </is>
      </c>
      <c r="C30" s="15" t="inlineStr">
        <is>
          <t>Withdrawn</t>
        </is>
      </c>
      <c r="D30" s="15" t="inlineStr">
        <is>
          <t>Withdrawn</t>
        </is>
      </c>
      <c r="E30" s="15" t="inlineStr">
        <is>
          <t>Terminal</t>
        </is>
      </c>
      <c r="F30" s="15" t="inlineStr">
        <is>
          <t>N</t>
        </is>
      </c>
      <c r="G30" s="15" t="inlineStr"/>
      <c r="H30" s="15" t="inlineStr">
        <is>
          <t>Terminal project persists.</t>
        </is>
      </c>
      <c r="I30" s="15" t="n">
        <v>11</v>
      </c>
      <c r="J30" s="15">
        <f>Applicant_List!BT31</f>
        <v/>
      </c>
      <c r="K30" s="15">
        <f>Applicant_List!CA31</f>
        <v/>
      </c>
      <c r="L30" s="15">
        <f>IF(Applicant_List!BQ31="Y",IF(Applicant_List!CB31="Y","Would Advance","Would Not Advance"),"Existing Pipeline")</f>
        <v/>
      </c>
      <c r="M30" t="inlineStr">
        <is>
          <t>N</t>
        </is>
      </c>
      <c r="O30" s="20" t="n">
        <v>25000000</v>
      </c>
      <c r="P30" t="inlineStr">
        <is>
          <t>N</t>
        </is>
      </c>
      <c r="Q30" t="inlineStr">
        <is>
          <t>Terminal / already resolved project; excluded from new allocation cycle.</t>
        </is>
      </c>
    </row>
    <row r="31">
      <c r="A31" s="15" t="inlineStr">
        <is>
          <t>25407</t>
        </is>
      </c>
      <c r="B31" s="15" t="inlineStr">
        <is>
          <t>Northland Woods</t>
        </is>
      </c>
      <c r="C31" s="15" t="inlineStr">
        <is>
          <t>Withdrawn</t>
        </is>
      </c>
      <c r="D31" s="15" t="inlineStr">
        <is>
          <t>Withdrawn</t>
        </is>
      </c>
      <c r="E31" s="15" t="inlineStr">
        <is>
          <t>Terminal</t>
        </is>
      </c>
      <c r="F31" s="15" t="inlineStr">
        <is>
          <t>N</t>
        </is>
      </c>
      <c r="G31" s="15" t="inlineStr"/>
      <c r="H31" s="15" t="inlineStr">
        <is>
          <t>Terminal project persists.</t>
        </is>
      </c>
      <c r="I31" s="15" t="n">
        <v>11</v>
      </c>
      <c r="J31" s="15">
        <f>Applicant_List!BT32</f>
        <v/>
      </c>
      <c r="K31" s="15">
        <f>Applicant_List!CA32</f>
        <v/>
      </c>
      <c r="L31" s="15">
        <f>IF(Applicant_List!BQ32="Y",IF(Applicant_List!CB32="Y","Would Advance","Would Not Advance"),"Existing Pipeline")</f>
        <v/>
      </c>
      <c r="M31" t="inlineStr">
        <is>
          <t>N</t>
        </is>
      </c>
      <c r="O31" s="20" t="n">
        <v>45000000</v>
      </c>
      <c r="P31" t="inlineStr">
        <is>
          <t>N</t>
        </is>
      </c>
      <c r="Q31" t="inlineStr">
        <is>
          <t>Terminal / already resolved project; excluded from new allocation cycle.</t>
        </is>
      </c>
    </row>
    <row r="32">
      <c r="A32" s="15" t="inlineStr">
        <is>
          <t>25403</t>
        </is>
      </c>
      <c r="B32" s="15" t="inlineStr">
        <is>
          <t>Waters at Stone Creek</t>
        </is>
      </c>
      <c r="C32" s="15" t="inlineStr">
        <is>
          <t>Approved</t>
        </is>
      </c>
      <c r="D32" s="15" t="inlineStr">
        <is>
          <t>Determination Notice Issued</t>
        </is>
      </c>
      <c r="E32" s="15" t="inlineStr">
        <is>
          <t>Determination Notice</t>
        </is>
      </c>
      <c r="F32" s="15" t="inlineStr">
        <is>
          <t>Y</t>
        </is>
      </c>
      <c r="G32" s="15" t="inlineStr"/>
      <c r="H32" s="15" t="inlineStr">
        <is>
          <t>Streamlined path assumptions satisfied.</t>
        </is>
      </c>
      <c r="I32" s="15" t="n">
        <v>11</v>
      </c>
      <c r="J32" s="15">
        <f>Applicant_List!BT33</f>
        <v/>
      </c>
      <c r="K32" s="15">
        <f>Applicant_List!CA33</f>
        <v/>
      </c>
      <c r="L32" s="15">
        <f>IF(Applicant_List!BQ33="Y",IF(Applicant_List!CB33="Y","Would Advance","Would Not Advance"),"Existing Pipeline")</f>
        <v/>
      </c>
      <c r="M32" t="inlineStr">
        <is>
          <t>Y</t>
        </is>
      </c>
      <c r="N32" t="n">
        <v>4</v>
      </c>
      <c r="O32" s="20" t="n">
        <v>30000000</v>
      </c>
      <c r="P32" t="inlineStr">
        <is>
          <t>Y</t>
        </is>
      </c>
      <c r="Q32" t="inlineStr">
        <is>
          <t>Funded within current simulated capacity.</t>
        </is>
      </c>
    </row>
    <row r="33">
      <c r="A33" s="15" t="inlineStr">
        <is>
          <t>25422</t>
        </is>
      </c>
      <c r="B33" s="15" t="inlineStr">
        <is>
          <t>Covington Acres</t>
        </is>
      </c>
      <c r="C33" s="15" t="inlineStr">
        <is>
          <t>Closed</t>
        </is>
      </c>
      <c r="D33" s="15" t="inlineStr">
        <is>
          <t>Closed</t>
        </is>
      </c>
      <c r="E33" s="15" t="inlineStr">
        <is>
          <t>Terminal</t>
        </is>
      </c>
      <c r="F33" s="15" t="inlineStr">
        <is>
          <t>Y</t>
        </is>
      </c>
      <c r="G33" s="15" t="inlineStr"/>
      <c r="H33" s="15" t="inlineStr">
        <is>
          <t>Closed projects persist.</t>
        </is>
      </c>
      <c r="I33" s="15" t="n">
        <v>11</v>
      </c>
      <c r="J33" s="15">
        <f>Applicant_List!BT34</f>
        <v/>
      </c>
      <c r="K33" s="15">
        <f>Applicant_List!CA34</f>
        <v/>
      </c>
      <c r="L33" s="15">
        <f>IF(Applicant_List!BQ34="Y",IF(Applicant_List!CB34="Y","Would Advance","Would Not Advance"),"Existing Pipeline")</f>
        <v/>
      </c>
      <c r="M33" t="inlineStr">
        <is>
          <t>N</t>
        </is>
      </c>
      <c r="O33" s="20" t="n">
        <v>40000000</v>
      </c>
      <c r="P33" t="inlineStr">
        <is>
          <t>N</t>
        </is>
      </c>
      <c r="Q33" t="inlineStr">
        <is>
          <t>Terminal / already resolved project; excluded from new allocation cycle.</t>
        </is>
      </c>
    </row>
    <row r="34">
      <c r="A34" s="15" t="inlineStr">
        <is>
          <t>25445</t>
        </is>
      </c>
      <c r="B34" s="15" t="inlineStr">
        <is>
          <t>Enclave at Sherman</t>
        </is>
      </c>
      <c r="C34" s="15" t="inlineStr">
        <is>
          <t>Withdrawn</t>
        </is>
      </c>
      <c r="D34" s="15" t="inlineStr">
        <is>
          <t>Withdrawn</t>
        </is>
      </c>
      <c r="E34" s="15" t="inlineStr">
        <is>
          <t>Terminal</t>
        </is>
      </c>
      <c r="F34" s="15" t="inlineStr">
        <is>
          <t>N</t>
        </is>
      </c>
      <c r="G34" s="15" t="inlineStr"/>
      <c r="H34" s="15" t="inlineStr">
        <is>
          <t>Terminal project persists.</t>
        </is>
      </c>
      <c r="I34" s="15" t="n">
        <v>11</v>
      </c>
      <c r="J34" s="15">
        <f>Applicant_List!BT35</f>
        <v/>
      </c>
      <c r="K34" s="15">
        <f>Applicant_List!CA35</f>
        <v/>
      </c>
      <c r="L34" s="15">
        <f>IF(Applicant_List!BQ35="Y",IF(Applicant_List!CB35="Y","Would Advance","Would Not Advance"),"Existing Pipeline")</f>
        <v/>
      </c>
      <c r="M34" t="inlineStr">
        <is>
          <t>N</t>
        </is>
      </c>
      <c r="O34" s="20" t="n">
        <v>50000000</v>
      </c>
      <c r="P34" t="inlineStr">
        <is>
          <t>N</t>
        </is>
      </c>
      <c r="Q34" t="inlineStr">
        <is>
          <t>Terminal / already resolved project; excluded from new allocation cycle.</t>
        </is>
      </c>
    </row>
    <row r="35">
      <c r="A35" s="15" t="inlineStr">
        <is>
          <t>25418</t>
        </is>
      </c>
      <c r="B35" s="15" t="inlineStr">
        <is>
          <t>Parmer North Apartments</t>
        </is>
      </c>
      <c r="C35" s="15" t="inlineStr">
        <is>
          <t>Withdrawn</t>
        </is>
      </c>
      <c r="D35" s="15" t="inlineStr">
        <is>
          <t>Withdrawn</t>
        </is>
      </c>
      <c r="E35" s="15" t="inlineStr">
        <is>
          <t>Terminal</t>
        </is>
      </c>
      <c r="F35" s="15" t="inlineStr">
        <is>
          <t>N</t>
        </is>
      </c>
      <c r="G35" s="15" t="inlineStr"/>
      <c r="H35" s="15" t="inlineStr">
        <is>
          <t>Terminal project persists.</t>
        </is>
      </c>
      <c r="I35" s="15" t="n">
        <v>11</v>
      </c>
      <c r="J35" s="15">
        <f>Applicant_List!BT36</f>
        <v/>
      </c>
      <c r="K35" s="15">
        <f>Applicant_List!CA36</f>
        <v/>
      </c>
      <c r="L35" s="15">
        <f>IF(Applicant_List!BQ36="Y",IF(Applicant_List!CB36="Y","Would Advance","Would Not Advance"),"Existing Pipeline")</f>
        <v/>
      </c>
      <c r="M35" t="inlineStr">
        <is>
          <t>N</t>
        </is>
      </c>
      <c r="O35" s="20" t="n">
        <v>40000000</v>
      </c>
      <c r="P35" t="inlineStr">
        <is>
          <t>N</t>
        </is>
      </c>
      <c r="Q35" t="inlineStr">
        <is>
          <t>Terminal / already resolved project; excluded from new allocation cycle.</t>
        </is>
      </c>
    </row>
    <row r="36">
      <c r="A36" s="15" t="inlineStr">
        <is>
          <t>25447</t>
        </is>
      </c>
      <c r="B36" s="15" t="inlineStr">
        <is>
          <t>Columbia Renaissance Square</t>
        </is>
      </c>
      <c r="C36" s="15" t="inlineStr">
        <is>
          <t>Closed</t>
        </is>
      </c>
      <c r="D36" s="15" t="inlineStr">
        <is>
          <t>Closed</t>
        </is>
      </c>
      <c r="E36" s="15" t="inlineStr">
        <is>
          <t>Terminal</t>
        </is>
      </c>
      <c r="F36" s="15" t="inlineStr">
        <is>
          <t>Y</t>
        </is>
      </c>
      <c r="G36" s="15" t="inlineStr"/>
      <c r="H36" s="15" t="inlineStr">
        <is>
          <t>Closed projects persist.</t>
        </is>
      </c>
      <c r="I36" s="15" t="n">
        <v>11</v>
      </c>
      <c r="J36" s="15">
        <f>Applicant_List!BT37</f>
        <v/>
      </c>
      <c r="K36" s="15">
        <f>Applicant_List!CA37</f>
        <v/>
      </c>
      <c r="L36" s="15">
        <f>IF(Applicant_List!BQ37="Y",IF(Applicant_List!CB37="Y","Would Advance","Would Not Advance"),"Existing Pipeline")</f>
        <v/>
      </c>
      <c r="M36" t="inlineStr">
        <is>
          <t>N</t>
        </is>
      </c>
      <c r="O36" s="20" t="n">
        <v>25000000</v>
      </c>
      <c r="P36" t="inlineStr">
        <is>
          <t>N</t>
        </is>
      </c>
      <c r="Q36" t="inlineStr">
        <is>
          <t>Terminal / already resolved project; excluded from new allocation cycle.</t>
        </is>
      </c>
    </row>
    <row r="37">
      <c r="A37" s="15" t="inlineStr">
        <is>
          <t>25442</t>
        </is>
      </c>
      <c r="B37" s="15" t="inlineStr">
        <is>
          <t>Palladium Buckner Station</t>
        </is>
      </c>
      <c r="C37" s="15" t="inlineStr">
        <is>
          <t>Closed</t>
        </is>
      </c>
      <c r="D37" s="15" t="inlineStr">
        <is>
          <t>Closed</t>
        </is>
      </c>
      <c r="E37" s="15" t="inlineStr">
        <is>
          <t>Terminal</t>
        </is>
      </c>
      <c r="F37" s="15" t="inlineStr">
        <is>
          <t>Y</t>
        </is>
      </c>
      <c r="G37" s="15" t="inlineStr"/>
      <c r="H37" s="15" t="inlineStr">
        <is>
          <t>Closed projects persist.</t>
        </is>
      </c>
      <c r="I37" s="15" t="n">
        <v>11</v>
      </c>
      <c r="J37" s="15">
        <f>Applicant_List!BT38</f>
        <v/>
      </c>
      <c r="K37" s="15">
        <f>Applicant_List!CA38</f>
        <v/>
      </c>
      <c r="L37" s="15">
        <f>IF(Applicant_List!BQ38="Y",IF(Applicant_List!CB38="Y","Would Advance","Would Not Advance"),"Existing Pipeline")</f>
        <v/>
      </c>
      <c r="M37" t="inlineStr">
        <is>
          <t>N</t>
        </is>
      </c>
      <c r="O37" s="20" t="n">
        <v>50000000</v>
      </c>
      <c r="P37" t="inlineStr">
        <is>
          <t>N</t>
        </is>
      </c>
      <c r="Q37" t="inlineStr">
        <is>
          <t>Terminal / already resolved project; excluded from new allocation cycle.</t>
        </is>
      </c>
    </row>
    <row r="38">
      <c r="A38" s="15" t="inlineStr">
        <is>
          <t>25451</t>
        </is>
      </c>
      <c r="B38" s="15" t="inlineStr">
        <is>
          <t>Mesa Hills I</t>
        </is>
      </c>
      <c r="C38" s="15" t="inlineStr">
        <is>
          <t>Approved</t>
        </is>
      </c>
      <c r="D38" s="15" t="inlineStr">
        <is>
          <t>Determination Notice Issued</t>
        </is>
      </c>
      <c r="E38" s="15" t="inlineStr">
        <is>
          <t>Determination Notice</t>
        </is>
      </c>
      <c r="F38" s="15" t="inlineStr">
        <is>
          <t>Y</t>
        </is>
      </c>
      <c r="G38" s="15" t="inlineStr"/>
      <c r="H38" s="15" t="inlineStr">
        <is>
          <t>Streamlined path assumptions satisfied.</t>
        </is>
      </c>
      <c r="I38" s="15" t="n">
        <v>11</v>
      </c>
      <c r="J38" s="15">
        <f>Applicant_List!BT39</f>
        <v/>
      </c>
      <c r="K38" s="15">
        <f>Applicant_List!CA39</f>
        <v/>
      </c>
      <c r="L38" s="15">
        <f>IF(Applicant_List!BQ39="Y",IF(Applicant_List!CB39="Y","Would Advance","Would Not Advance"),"Existing Pipeline")</f>
        <v/>
      </c>
      <c r="M38" t="inlineStr">
        <is>
          <t>Y</t>
        </is>
      </c>
      <c r="N38" t="n">
        <v>1</v>
      </c>
      <c r="O38" s="20" t="n">
        <v>11115876</v>
      </c>
      <c r="P38" t="inlineStr">
        <is>
          <t>Y</t>
        </is>
      </c>
      <c r="Q38" t="inlineStr">
        <is>
          <t>Funded within current simulated capacity.</t>
        </is>
      </c>
    </row>
    <row r="39">
      <c r="A39" s="15" t="inlineStr">
        <is>
          <t>25449</t>
        </is>
      </c>
      <c r="B39" s="15" t="inlineStr">
        <is>
          <t>Enclave on Louetta</t>
        </is>
      </c>
      <c r="C39" s="15" t="inlineStr">
        <is>
          <t>Closed</t>
        </is>
      </c>
      <c r="D39" s="15" t="inlineStr">
        <is>
          <t>Closed</t>
        </is>
      </c>
      <c r="E39" s="15" t="inlineStr">
        <is>
          <t>Terminal</t>
        </is>
      </c>
      <c r="F39" s="15" t="inlineStr">
        <is>
          <t>Y</t>
        </is>
      </c>
      <c r="G39" s="15" t="inlineStr"/>
      <c r="H39" s="15" t="inlineStr">
        <is>
          <t>Closed projects persist.</t>
        </is>
      </c>
      <c r="I39" s="15" t="n">
        <v>11</v>
      </c>
      <c r="J39" s="15">
        <f>Applicant_List!BT40</f>
        <v/>
      </c>
      <c r="K39" s="15">
        <f>Applicant_List!CA40</f>
        <v/>
      </c>
      <c r="L39" s="15">
        <f>IF(Applicant_List!BQ40="Y",IF(Applicant_List!CB40="Y","Would Advance","Would Not Advance"),"Existing Pipeline")</f>
        <v/>
      </c>
      <c r="M39" t="inlineStr">
        <is>
          <t>N</t>
        </is>
      </c>
      <c r="O39" s="20" t="n">
        <v>50000000</v>
      </c>
      <c r="P39" t="inlineStr">
        <is>
          <t>N</t>
        </is>
      </c>
      <c r="Q39" t="inlineStr">
        <is>
          <t>Terminal / already resolved project; excluded from new allocation cycle.</t>
        </is>
      </c>
    </row>
    <row r="40">
      <c r="A40" s="15" t="inlineStr">
        <is>
          <t>25408</t>
        </is>
      </c>
      <c r="B40" s="15" t="inlineStr">
        <is>
          <t>Baypointe Apartments</t>
        </is>
      </c>
      <c r="C40" s="15" t="inlineStr">
        <is>
          <t>Closed</t>
        </is>
      </c>
      <c r="D40" s="15" t="inlineStr">
        <is>
          <t>Closed</t>
        </is>
      </c>
      <c r="E40" s="15" t="inlineStr">
        <is>
          <t>Terminal</t>
        </is>
      </c>
      <c r="F40" s="15" t="inlineStr">
        <is>
          <t>Y</t>
        </is>
      </c>
      <c r="G40" s="15" t="inlineStr"/>
      <c r="H40" s="15" t="inlineStr">
        <is>
          <t>Closed projects persist.</t>
        </is>
      </c>
      <c r="I40" s="15" t="n">
        <v>11</v>
      </c>
      <c r="J40" s="15">
        <f>Applicant_List!BT41</f>
        <v/>
      </c>
      <c r="K40" s="15">
        <f>Applicant_List!CA41</f>
        <v/>
      </c>
      <c r="L40" s="15">
        <f>IF(Applicant_List!BQ41="Y",IF(Applicant_List!CB41="Y","Would Advance","Would Not Advance"),"Existing Pipeline")</f>
        <v/>
      </c>
      <c r="M40" t="inlineStr">
        <is>
          <t>N</t>
        </is>
      </c>
      <c r="O40" s="20" t="n">
        <v>35000000</v>
      </c>
      <c r="P40" t="inlineStr">
        <is>
          <t>N</t>
        </is>
      </c>
      <c r="Q40" t="inlineStr">
        <is>
          <t>Terminal / already resolved project; excluded from new allocation cycle.</t>
        </is>
      </c>
    </row>
    <row r="41">
      <c r="A41" s="15" t="inlineStr">
        <is>
          <t>25414</t>
        </is>
      </c>
      <c r="B41" s="15" t="inlineStr">
        <is>
          <t>Enclave at Crosby</t>
        </is>
      </c>
      <c r="C41" s="15" t="inlineStr">
        <is>
          <t>Withdrawn</t>
        </is>
      </c>
      <c r="D41" s="15" t="inlineStr">
        <is>
          <t>Withdrawn</t>
        </is>
      </c>
      <c r="E41" s="15" t="inlineStr">
        <is>
          <t>Terminal</t>
        </is>
      </c>
      <c r="F41" s="15" t="inlineStr">
        <is>
          <t>N</t>
        </is>
      </c>
      <c r="G41" s="15" t="inlineStr"/>
      <c r="H41" s="15" t="inlineStr">
        <is>
          <t>Terminal project persists.</t>
        </is>
      </c>
      <c r="I41" s="15" t="n">
        <v>11</v>
      </c>
      <c r="J41" s="15">
        <f>Applicant_List!BT42</f>
        <v/>
      </c>
      <c r="K41" s="15">
        <f>Applicant_List!CA42</f>
        <v/>
      </c>
      <c r="L41" s="15">
        <f>IF(Applicant_List!BQ42="Y",IF(Applicant_List!CB42="Y","Would Advance","Would Not Advance"),"Existing Pipeline")</f>
        <v/>
      </c>
      <c r="M41" t="inlineStr">
        <is>
          <t>N</t>
        </is>
      </c>
      <c r="O41" s="20" t="n">
        <v>50000000</v>
      </c>
      <c r="P41" t="inlineStr">
        <is>
          <t>N</t>
        </is>
      </c>
      <c r="Q41" t="inlineStr">
        <is>
          <t>Terminal / already resolved project; excluded from new allocation cycle.</t>
        </is>
      </c>
    </row>
    <row r="42">
      <c r="A42" s="15" t="inlineStr">
        <is>
          <t>25424</t>
        </is>
      </c>
      <c r="B42" s="15" t="inlineStr">
        <is>
          <t>Branchview Apartments</t>
        </is>
      </c>
      <c r="C42" s="15" t="inlineStr">
        <is>
          <t>Withdrawn</t>
        </is>
      </c>
      <c r="D42" s="15" t="inlineStr">
        <is>
          <t>Withdrawn</t>
        </is>
      </c>
      <c r="E42" s="15" t="inlineStr">
        <is>
          <t>Terminal</t>
        </is>
      </c>
      <c r="F42" s="15" t="inlineStr">
        <is>
          <t>N</t>
        </is>
      </c>
      <c r="G42" s="15" t="inlineStr"/>
      <c r="H42" s="15" t="inlineStr">
        <is>
          <t>Terminal project persists.</t>
        </is>
      </c>
      <c r="I42" s="15" t="n">
        <v>11</v>
      </c>
      <c r="J42" s="15">
        <f>Applicant_List!BT43</f>
        <v/>
      </c>
      <c r="K42" s="15">
        <f>Applicant_List!CA43</f>
        <v/>
      </c>
      <c r="L42" s="15">
        <f>IF(Applicant_List!BQ43="Y",IF(Applicant_List!CB43="Y","Would Advance","Would Not Advance"),"Existing Pipeline")</f>
        <v/>
      </c>
      <c r="M42" t="inlineStr">
        <is>
          <t>N</t>
        </is>
      </c>
      <c r="O42" s="20" t="n">
        <v>42000000</v>
      </c>
      <c r="P42" t="inlineStr">
        <is>
          <t>N</t>
        </is>
      </c>
      <c r="Q42" t="inlineStr">
        <is>
          <t>Terminal / already resolved project; excluded from new allocation cycle.</t>
        </is>
      </c>
    </row>
    <row r="43">
      <c r="A43" s="15" t="inlineStr">
        <is>
          <t>25450</t>
        </is>
      </c>
      <c r="B43" s="15" t="inlineStr">
        <is>
          <t>Little Elm Family Apartments</t>
        </is>
      </c>
      <c r="C43" s="15" t="inlineStr">
        <is>
          <t>Withdrawn</t>
        </is>
      </c>
      <c r="D43" s="15" t="inlineStr">
        <is>
          <t>Withdrawn</t>
        </is>
      </c>
      <c r="E43" s="15" t="inlineStr">
        <is>
          <t>Terminal</t>
        </is>
      </c>
      <c r="F43" s="15" t="inlineStr">
        <is>
          <t>N</t>
        </is>
      </c>
      <c r="G43" s="15" t="inlineStr"/>
      <c r="H43" s="15" t="inlineStr">
        <is>
          <t>Terminal project persists.</t>
        </is>
      </c>
      <c r="I43" s="15" t="n">
        <v>11</v>
      </c>
      <c r="J43" s="15">
        <f>Applicant_List!BT44</f>
        <v/>
      </c>
      <c r="K43" s="15">
        <f>Applicant_List!CA44</f>
        <v/>
      </c>
      <c r="L43" s="15">
        <f>IF(Applicant_List!BQ44="Y",IF(Applicant_List!CB44="Y","Would Advance","Would Not Advance"),"Existing Pipeline")</f>
        <v/>
      </c>
      <c r="M43" t="inlineStr">
        <is>
          <t>N</t>
        </is>
      </c>
      <c r="O43" s="20" t="n">
        <v>69152737</v>
      </c>
      <c r="P43" t="inlineStr">
        <is>
          <t>N</t>
        </is>
      </c>
      <c r="Q43" t="inlineStr">
        <is>
          <t>Terminal / already resolved project; excluded from new allocation cycle.</t>
        </is>
      </c>
    </row>
    <row r="44">
      <c r="A44" s="15" t="inlineStr">
        <is>
          <t>25603</t>
        </is>
      </c>
      <c r="B44" s="15" t="inlineStr">
        <is>
          <t>Legacy on Kiest</t>
        </is>
      </c>
      <c r="C44" s="15" t="inlineStr">
        <is>
          <t>Closed</t>
        </is>
      </c>
      <c r="D44" s="15" t="inlineStr">
        <is>
          <t>Closed</t>
        </is>
      </c>
      <c r="E44" s="15" t="inlineStr">
        <is>
          <t>Terminal</t>
        </is>
      </c>
      <c r="F44" s="15" t="inlineStr">
        <is>
          <t>Y</t>
        </is>
      </c>
      <c r="G44" s="15" t="inlineStr"/>
      <c r="H44" s="15" t="inlineStr">
        <is>
          <t>Closed projects persist.</t>
        </is>
      </c>
      <c r="I44" s="15" t="n">
        <v>11</v>
      </c>
      <c r="J44" s="15">
        <f>Applicant_List!BT45</f>
        <v/>
      </c>
      <c r="K44" s="15">
        <f>Applicant_List!CA45</f>
        <v/>
      </c>
      <c r="L44" s="15">
        <f>IF(Applicant_List!BQ45="Y",IF(Applicant_List!CB45="Y","Would Advance","Would Not Advance"),"Existing Pipeline")</f>
        <v/>
      </c>
      <c r="M44" t="inlineStr">
        <is>
          <t>N</t>
        </is>
      </c>
      <c r="O44" s="20" t="n">
        <v>30000000</v>
      </c>
      <c r="P44" t="inlineStr">
        <is>
          <t>N</t>
        </is>
      </c>
      <c r="Q44" t="inlineStr">
        <is>
          <t>Terminal / already resolved project; excluded from new allocation cycle.</t>
        </is>
      </c>
    </row>
    <row r="45">
      <c r="A45" s="15" t="inlineStr">
        <is>
          <t>25448</t>
        </is>
      </c>
      <c r="B45" s="15" t="inlineStr">
        <is>
          <t>Hillcrest Manor</t>
        </is>
      </c>
      <c r="C45" s="15" t="inlineStr">
        <is>
          <t>Closed</t>
        </is>
      </c>
      <c r="D45" s="15" t="inlineStr">
        <is>
          <t>Closed</t>
        </is>
      </c>
      <c r="E45" s="15" t="inlineStr">
        <is>
          <t>Terminal</t>
        </is>
      </c>
      <c r="F45" s="15" t="inlineStr">
        <is>
          <t>Y</t>
        </is>
      </c>
      <c r="G45" s="15" t="inlineStr"/>
      <c r="H45" s="15" t="inlineStr">
        <is>
          <t>Closed projects persist.</t>
        </is>
      </c>
      <c r="I45" s="15" t="n">
        <v>11</v>
      </c>
      <c r="J45" s="15">
        <f>Applicant_List!BT46</f>
        <v/>
      </c>
      <c r="K45" s="15">
        <f>Applicant_List!CA46</f>
        <v/>
      </c>
      <c r="L45" s="15">
        <f>IF(Applicant_List!BQ46="Y",IF(Applicant_List!CB46="Y","Would Advance","Would Not Advance"),"Existing Pipeline")</f>
        <v/>
      </c>
      <c r="M45" t="inlineStr">
        <is>
          <t>N</t>
        </is>
      </c>
      <c r="O45" s="20" t="n">
        <v>25000000</v>
      </c>
      <c r="P45" t="inlineStr">
        <is>
          <t>N</t>
        </is>
      </c>
      <c r="Q45" t="inlineStr">
        <is>
          <t>Terminal / already resolved project; excluded from new allocation cycle.</t>
        </is>
      </c>
    </row>
    <row r="46">
      <c r="A46" s="15" t="inlineStr">
        <is>
          <t>25458</t>
        </is>
      </c>
      <c r="B46" s="15" t="inlineStr">
        <is>
          <t>Liberty Hill Apts</t>
        </is>
      </c>
      <c r="C46" s="15" t="inlineStr">
        <is>
          <t>Withdrawn</t>
        </is>
      </c>
      <c r="D46" s="15" t="inlineStr">
        <is>
          <t>Withdrawn</t>
        </is>
      </c>
      <c r="E46" s="15" t="inlineStr">
        <is>
          <t>Terminal</t>
        </is>
      </c>
      <c r="F46" s="15" t="inlineStr">
        <is>
          <t>N</t>
        </is>
      </c>
      <c r="G46" s="15" t="inlineStr"/>
      <c r="H46" s="15" t="inlineStr">
        <is>
          <t>Terminal project persists.</t>
        </is>
      </c>
      <c r="I46" s="15" t="n">
        <v>11</v>
      </c>
      <c r="J46" s="15">
        <f>Applicant_List!BT47</f>
        <v/>
      </c>
      <c r="K46" s="15">
        <f>Applicant_List!CA47</f>
        <v/>
      </c>
      <c r="L46" s="15">
        <f>IF(Applicant_List!BQ47="Y",IF(Applicant_List!CB47="Y","Would Advance","Would Not Advance"),"Existing Pipeline")</f>
        <v/>
      </c>
      <c r="M46" t="inlineStr">
        <is>
          <t>N</t>
        </is>
      </c>
      <c r="O46" s="20" t="n">
        <v>69152737</v>
      </c>
      <c r="P46" t="inlineStr">
        <is>
          <t>N</t>
        </is>
      </c>
      <c r="Q46" t="inlineStr">
        <is>
          <t>Terminal / already resolved project; excluded from new allocation cycle.</t>
        </is>
      </c>
    </row>
    <row r="47">
      <c r="A47" s="15" t="inlineStr">
        <is>
          <t>25459</t>
        </is>
      </c>
      <c r="B47" s="15" t="inlineStr">
        <is>
          <t>The Foundry</t>
        </is>
      </c>
      <c r="C47" s="15" t="inlineStr">
        <is>
          <t>Withdrawn</t>
        </is>
      </c>
      <c r="D47" s="15" t="inlineStr">
        <is>
          <t>Withdrawn</t>
        </is>
      </c>
      <c r="E47" s="15" t="inlineStr">
        <is>
          <t>Terminal</t>
        </is>
      </c>
      <c r="F47" s="15" t="inlineStr">
        <is>
          <t>N</t>
        </is>
      </c>
      <c r="G47" s="15" t="inlineStr"/>
      <c r="H47" s="15" t="inlineStr">
        <is>
          <t>Terminal project persists.</t>
        </is>
      </c>
      <c r="I47" s="15" t="n">
        <v>11</v>
      </c>
      <c r="J47" s="15">
        <f>Applicant_List!BT48</f>
        <v/>
      </c>
      <c r="K47" s="15">
        <f>Applicant_List!CA48</f>
        <v/>
      </c>
      <c r="L47" s="15">
        <f>IF(Applicant_List!BQ48="Y",IF(Applicant_List!CB48="Y","Would Advance","Would Not Advance"),"Existing Pipeline")</f>
        <v/>
      </c>
      <c r="M47" t="inlineStr">
        <is>
          <t>N</t>
        </is>
      </c>
      <c r="O47" s="20" t="n">
        <v>50000000</v>
      </c>
      <c r="P47" t="inlineStr">
        <is>
          <t>N</t>
        </is>
      </c>
      <c r="Q47" t="inlineStr">
        <is>
          <t>Terminal / already resolved project; excluded from new allocation cycle.</t>
        </is>
      </c>
    </row>
    <row r="48">
      <c r="A48" s="15" t="inlineStr">
        <is>
          <t>25443</t>
        </is>
      </c>
      <c r="B48" s="15" t="inlineStr">
        <is>
          <t>Taylor RAD Family Apts</t>
        </is>
      </c>
      <c r="C48" s="15" t="inlineStr">
        <is>
          <t>Closed</t>
        </is>
      </c>
      <c r="D48" s="15" t="inlineStr">
        <is>
          <t>Closed</t>
        </is>
      </c>
      <c r="E48" s="15" t="inlineStr">
        <is>
          <t>Terminal</t>
        </is>
      </c>
      <c r="F48" s="15" t="inlineStr">
        <is>
          <t>Y</t>
        </is>
      </c>
      <c r="G48" s="15" t="inlineStr"/>
      <c r="H48" s="15" t="inlineStr">
        <is>
          <t>Closed projects persist.</t>
        </is>
      </c>
      <c r="I48" s="15" t="n">
        <v>11</v>
      </c>
      <c r="J48" s="15">
        <f>Applicant_List!BT49</f>
        <v/>
      </c>
      <c r="K48" s="15">
        <f>Applicant_List!CA49</f>
        <v/>
      </c>
      <c r="L48" s="15">
        <f>IF(Applicant_List!BQ49="Y",IF(Applicant_List!CB49="Y","Would Advance","Would Not Advance"),"Existing Pipeline")</f>
        <v/>
      </c>
      <c r="M48" t="inlineStr">
        <is>
          <t>N</t>
        </is>
      </c>
      <c r="O48" s="20" t="n">
        <v>15000000</v>
      </c>
      <c r="P48" t="inlineStr">
        <is>
          <t>N</t>
        </is>
      </c>
      <c r="Q48" t="inlineStr">
        <is>
          <t>Terminal / already resolved project; excluded from new allocation cycle.</t>
        </is>
      </c>
    </row>
    <row r="49">
      <c r="A49" s="15" t="inlineStr">
        <is>
          <t>25460</t>
        </is>
      </c>
      <c r="B49" s="15" t="inlineStr">
        <is>
          <t>Hays Street Apartments</t>
        </is>
      </c>
      <c r="C49" s="15" t="inlineStr">
        <is>
          <t>Withdrawn</t>
        </is>
      </c>
      <c r="D49" s="15" t="inlineStr">
        <is>
          <t>Withdrawn</t>
        </is>
      </c>
      <c r="E49" s="15" t="inlineStr">
        <is>
          <t>Terminal</t>
        </is>
      </c>
      <c r="F49" s="15" t="inlineStr">
        <is>
          <t>N</t>
        </is>
      </c>
      <c r="G49" s="15" t="inlineStr"/>
      <c r="H49" s="15" t="inlineStr">
        <is>
          <t>Terminal project persists.</t>
        </is>
      </c>
      <c r="I49" s="15" t="n">
        <v>11</v>
      </c>
      <c r="J49" s="15">
        <f>Applicant_List!BT50</f>
        <v/>
      </c>
      <c r="K49" s="15">
        <f>Applicant_List!CA50</f>
        <v/>
      </c>
      <c r="L49" s="15">
        <f>IF(Applicant_List!BQ50="Y",IF(Applicant_List!CB50="Y","Would Advance","Would Not Advance"),"Existing Pipeline")</f>
        <v/>
      </c>
      <c r="M49" t="inlineStr">
        <is>
          <t>N</t>
        </is>
      </c>
      <c r="O49" s="20" t="n">
        <v>20000000</v>
      </c>
      <c r="P49" t="inlineStr">
        <is>
          <t>N</t>
        </is>
      </c>
      <c r="Q49" t="inlineStr">
        <is>
          <t>Terminal / already resolved project; excluded from new allocation cycle.</t>
        </is>
      </c>
    </row>
    <row r="50">
      <c r="A50" s="15" t="inlineStr">
        <is>
          <t>25454</t>
        </is>
      </c>
      <c r="B50" s="15" t="inlineStr">
        <is>
          <t>Palms Breeze Village</t>
        </is>
      </c>
      <c r="C50" s="15" t="inlineStr">
        <is>
          <t>Withdrawn</t>
        </is>
      </c>
      <c r="D50" s="15" t="inlineStr">
        <is>
          <t>Withdrawn</t>
        </is>
      </c>
      <c r="E50" s="15" t="inlineStr">
        <is>
          <t>Terminal</t>
        </is>
      </c>
      <c r="F50" s="15" t="inlineStr">
        <is>
          <t>N</t>
        </is>
      </c>
      <c r="G50" s="15" t="inlineStr"/>
      <c r="H50" s="15" t="inlineStr">
        <is>
          <t>Terminal project persists.</t>
        </is>
      </c>
      <c r="I50" s="15" t="n">
        <v>11</v>
      </c>
      <c r="J50" s="15">
        <f>Applicant_List!BT51</f>
        <v/>
      </c>
      <c r="K50" s="15">
        <f>Applicant_List!CA51</f>
        <v/>
      </c>
      <c r="L50" s="15">
        <f>IF(Applicant_List!BQ51="Y",IF(Applicant_List!CB51="Y","Would Advance","Would Not Advance"),"Existing Pipeline")</f>
        <v/>
      </c>
      <c r="M50" t="inlineStr">
        <is>
          <t>N</t>
        </is>
      </c>
      <c r="O50" s="20" t="n">
        <v>35000000</v>
      </c>
      <c r="P50" t="inlineStr">
        <is>
          <t>N</t>
        </is>
      </c>
      <c r="Q50" t="inlineStr">
        <is>
          <t>Terminal / already resolved project; excluded from new allocation cycle.</t>
        </is>
      </c>
    </row>
    <row r="51">
      <c r="A51" s="15" t="inlineStr">
        <is>
          <t>24702/25453</t>
        </is>
      </c>
      <c r="B51" s="15" t="inlineStr">
        <is>
          <t>Payton Gin</t>
        </is>
      </c>
      <c r="C51" s="15" t="inlineStr">
        <is>
          <t>Approved</t>
        </is>
      </c>
      <c r="D51" s="15" t="inlineStr">
        <is>
          <t>Determination Notice Issued</t>
        </is>
      </c>
      <c r="E51" s="15" t="inlineStr">
        <is>
          <t>Determination Notice</t>
        </is>
      </c>
      <c r="F51" s="15" t="inlineStr">
        <is>
          <t>Y</t>
        </is>
      </c>
      <c r="G51" s="15" t="inlineStr"/>
      <c r="H51" s="15" t="inlineStr">
        <is>
          <t>Streamlined path assumptions satisfied.</t>
        </is>
      </c>
      <c r="I51" s="15" t="n">
        <v>11</v>
      </c>
      <c r="J51" s="15">
        <f>Applicant_List!BT52</f>
        <v/>
      </c>
      <c r="K51" s="15">
        <f>Applicant_List!CA52</f>
        <v/>
      </c>
      <c r="L51" s="15">
        <f>IF(Applicant_List!BQ52="Y",IF(Applicant_List!CB52="Y","Would Advance","Would Not Advance"),"Existing Pipeline")</f>
        <v/>
      </c>
      <c r="M51" t="inlineStr">
        <is>
          <t>Y</t>
        </is>
      </c>
      <c r="N51" t="n">
        <v>26</v>
      </c>
      <c r="O51" s="20" t="n">
        <v>33000000</v>
      </c>
      <c r="P51" t="inlineStr">
        <is>
          <t>N</t>
        </is>
      </c>
      <c r="Q51" t="inlineStr">
        <is>
          <t>Eligible, but insufficient remaining capacity in current simulated cycle.</t>
        </is>
      </c>
    </row>
    <row r="52">
      <c r="A52" s="15" t="inlineStr">
        <is>
          <t>25604</t>
        </is>
      </c>
      <c r="B52" s="15" t="inlineStr">
        <is>
          <t>Trinity Junction</t>
        </is>
      </c>
      <c r="C52" s="15" t="inlineStr">
        <is>
          <t>Pre-Application</t>
        </is>
      </c>
      <c r="D52" s="15" t="inlineStr">
        <is>
          <t>Determination Notice Issued</t>
        </is>
      </c>
      <c r="E52" s="15" t="inlineStr">
        <is>
          <t>Determination Notice</t>
        </is>
      </c>
      <c r="F52" s="15" t="inlineStr">
        <is>
          <t>Y</t>
        </is>
      </c>
      <c r="G52" s="15" t="inlineStr"/>
      <c r="H52" s="15" t="inlineStr">
        <is>
          <t>Streamlined path assumptions satisfied.</t>
        </is>
      </c>
      <c r="I52" s="15" t="n">
        <v>11</v>
      </c>
      <c r="J52" s="15">
        <f>Applicant_List!BT53</f>
        <v/>
      </c>
      <c r="K52" s="15">
        <f>Applicant_List!CA53</f>
        <v/>
      </c>
      <c r="L52" s="15">
        <f>IF(Applicant_List!BQ53="Y",IF(Applicant_List!CB53="Y","Would Advance","Would Not Advance"),"Existing Pipeline")</f>
        <v/>
      </c>
      <c r="M52" t="inlineStr">
        <is>
          <t>Y</t>
        </is>
      </c>
      <c r="N52" t="n">
        <v>17</v>
      </c>
      <c r="O52" s="20" t="n">
        <v>50000000</v>
      </c>
      <c r="P52" t="inlineStr">
        <is>
          <t>N</t>
        </is>
      </c>
      <c r="Q52" t="inlineStr">
        <is>
          <t>Eligible, but insufficient remaining capacity in current simulated cycle.</t>
        </is>
      </c>
    </row>
    <row r="53">
      <c r="A53" s="15" t="inlineStr">
        <is>
          <t>25600</t>
        </is>
      </c>
      <c r="B53" s="15" t="inlineStr">
        <is>
          <t>Waters at Arrowood</t>
        </is>
      </c>
      <c r="C53" s="15" t="inlineStr">
        <is>
          <t>Withdrawn</t>
        </is>
      </c>
      <c r="D53" s="15" t="inlineStr">
        <is>
          <t>Withdrawn</t>
        </is>
      </c>
      <c r="E53" s="15" t="inlineStr">
        <is>
          <t>Terminal</t>
        </is>
      </c>
      <c r="F53" s="15" t="inlineStr">
        <is>
          <t>N</t>
        </is>
      </c>
      <c r="G53" s="15" t="inlineStr"/>
      <c r="H53" s="15" t="inlineStr">
        <is>
          <t>Terminal project persists.</t>
        </is>
      </c>
      <c r="I53" s="15" t="n">
        <v>11</v>
      </c>
      <c r="J53" s="15">
        <f>Applicant_List!BT54</f>
        <v/>
      </c>
      <c r="K53" s="15">
        <f>Applicant_List!CA54</f>
        <v/>
      </c>
      <c r="L53" s="15">
        <f>IF(Applicant_List!BQ54="Y",IF(Applicant_List!CB54="Y","Would Advance","Would Not Advance"),"Existing Pipeline")</f>
        <v/>
      </c>
      <c r="M53" t="inlineStr">
        <is>
          <t>N</t>
        </is>
      </c>
      <c r="O53" s="20" t="n">
        <v>30500000</v>
      </c>
      <c r="P53" t="inlineStr">
        <is>
          <t>N</t>
        </is>
      </c>
      <c r="Q53" t="inlineStr">
        <is>
          <t>Terminal / already resolved project; excluded from new allocation cycle.</t>
        </is>
      </c>
    </row>
    <row r="54">
      <c r="A54" s="15" t="inlineStr">
        <is>
          <t>25461</t>
        </is>
      </c>
      <c r="B54" s="15" t="inlineStr">
        <is>
          <t>Coolwood Oaks</t>
        </is>
      </c>
      <c r="C54" s="15" t="inlineStr">
        <is>
          <t>Approved</t>
        </is>
      </c>
      <c r="D54" s="15" t="inlineStr">
        <is>
          <t>Determination Notice Issued</t>
        </is>
      </c>
      <c r="E54" s="15" t="inlineStr">
        <is>
          <t>Determination Notice</t>
        </is>
      </c>
      <c r="F54" s="15" t="inlineStr">
        <is>
          <t>Y</t>
        </is>
      </c>
      <c r="G54" s="15" t="inlineStr"/>
      <c r="H54" s="15" t="inlineStr">
        <is>
          <t>Streamlined path assumptions satisfied.</t>
        </is>
      </c>
      <c r="I54" s="15" t="n">
        <v>11</v>
      </c>
      <c r="J54" s="15">
        <f>Applicant_List!BT55</f>
        <v/>
      </c>
      <c r="K54" s="15">
        <f>Applicant_List!CA55</f>
        <v/>
      </c>
      <c r="L54" s="15">
        <f>IF(Applicant_List!BQ55="Y",IF(Applicant_List!CB55="Y","Would Advance","Would Not Advance"),"Existing Pipeline")</f>
        <v/>
      </c>
      <c r="M54" t="inlineStr">
        <is>
          <t>Y</t>
        </is>
      </c>
      <c r="N54" t="n">
        <v>18</v>
      </c>
      <c r="O54" s="20" t="n">
        <v>27000000</v>
      </c>
      <c r="P54" t="inlineStr">
        <is>
          <t>N</t>
        </is>
      </c>
      <c r="Q54" t="inlineStr">
        <is>
          <t>Eligible, but insufficient remaining capacity in current simulated cycle.</t>
        </is>
      </c>
    </row>
    <row r="55">
      <c r="A55" s="15" t="inlineStr">
        <is>
          <t>25455</t>
        </is>
      </c>
      <c r="B55" s="15" t="inlineStr">
        <is>
          <t>Orion Apartments</t>
        </is>
      </c>
      <c r="C55" s="15" t="inlineStr">
        <is>
          <t>Closed</t>
        </is>
      </c>
      <c r="D55" s="15" t="inlineStr">
        <is>
          <t>Closed</t>
        </is>
      </c>
      <c r="E55" s="15" t="inlineStr">
        <is>
          <t>Terminal</t>
        </is>
      </c>
      <c r="F55" s="15" t="inlineStr">
        <is>
          <t>Y</t>
        </is>
      </c>
      <c r="G55" s="15" t="inlineStr"/>
      <c r="H55" s="15" t="inlineStr">
        <is>
          <t>Closed projects persist.</t>
        </is>
      </c>
      <c r="I55" s="15" t="n">
        <v>11</v>
      </c>
      <c r="J55" s="15">
        <f>Applicant_List!BT56</f>
        <v/>
      </c>
      <c r="K55" s="15">
        <f>Applicant_List!CA56</f>
        <v/>
      </c>
      <c r="L55" s="15">
        <f>IF(Applicant_List!BQ56="Y",IF(Applicant_List!CB56="Y","Would Advance","Would Not Advance"),"Existing Pipeline")</f>
        <v/>
      </c>
      <c r="M55" t="inlineStr">
        <is>
          <t>N</t>
        </is>
      </c>
      <c r="O55" s="20" t="n">
        <v>50000000</v>
      </c>
      <c r="P55" t="inlineStr">
        <is>
          <t>N</t>
        </is>
      </c>
      <c r="Q55" t="inlineStr">
        <is>
          <t>Terminal / already resolved project; excluded from new allocation cycle.</t>
        </is>
      </c>
    </row>
    <row r="56">
      <c r="A56" s="15" t="inlineStr">
        <is>
          <t>25421</t>
        </is>
      </c>
      <c r="B56" s="15" t="inlineStr">
        <is>
          <t>Sycamores at Pleasant Valley</t>
        </is>
      </c>
      <c r="C56" s="15" t="inlineStr">
        <is>
          <t>Approved</t>
        </is>
      </c>
      <c r="D56" s="15" t="inlineStr">
        <is>
          <t>Determination Notice Issued</t>
        </is>
      </c>
      <c r="E56" s="15" t="inlineStr">
        <is>
          <t>Determination Notice</t>
        </is>
      </c>
      <c r="F56" s="15" t="inlineStr">
        <is>
          <t>Y</t>
        </is>
      </c>
      <c r="G56" s="15" t="inlineStr"/>
      <c r="H56" s="15" t="inlineStr">
        <is>
          <t>Streamlined path assumptions satisfied.</t>
        </is>
      </c>
      <c r="I56" s="15" t="n">
        <v>11</v>
      </c>
      <c r="J56" s="15">
        <f>Applicant_List!BT57</f>
        <v/>
      </c>
      <c r="K56" s="15">
        <f>Applicant_List!CA57</f>
        <v/>
      </c>
      <c r="L56" s="15">
        <f>IF(Applicant_List!BQ57="Y",IF(Applicant_List!CB57="Y","Would Advance","Would Not Advance"),"Existing Pipeline")</f>
        <v/>
      </c>
      <c r="M56" t="inlineStr">
        <is>
          <t>Y</t>
        </is>
      </c>
      <c r="N56" t="n">
        <v>24</v>
      </c>
      <c r="O56" s="20" t="n">
        <v>25000000</v>
      </c>
      <c r="P56" t="inlineStr">
        <is>
          <t>N</t>
        </is>
      </c>
      <c r="Q56" t="inlineStr">
        <is>
          <t>Eligible, but insufficient remaining capacity in current simulated cycle.</t>
        </is>
      </c>
    </row>
    <row r="57">
      <c r="A57" s="15" t="inlineStr">
        <is>
          <t>25601</t>
        </is>
      </c>
      <c r="B57" s="15" t="inlineStr">
        <is>
          <t>Waters at Waterchase</t>
        </is>
      </c>
      <c r="C57" s="15" t="inlineStr">
        <is>
          <t>Active</t>
        </is>
      </c>
      <c r="D57" s="15" t="inlineStr">
        <is>
          <t>Determination Notice Issued</t>
        </is>
      </c>
      <c r="E57" s="15" t="inlineStr">
        <is>
          <t>Determination Notice</t>
        </is>
      </c>
      <c r="F57" s="15" t="inlineStr">
        <is>
          <t>Y</t>
        </is>
      </c>
      <c r="G57" s="15" t="inlineStr"/>
      <c r="H57" s="15" t="inlineStr">
        <is>
          <t>Streamlined path assumptions satisfied.</t>
        </is>
      </c>
      <c r="I57" s="15" t="n">
        <v>11</v>
      </c>
      <c r="J57" s="15">
        <f>Applicant_List!BT58</f>
        <v/>
      </c>
      <c r="K57" s="15">
        <f>Applicant_List!CA58</f>
        <v/>
      </c>
      <c r="L57" s="15">
        <f>IF(Applicant_List!BQ58="Y",IF(Applicant_List!CB58="Y","Would Advance","Would Not Advance"),"Existing Pipeline")</f>
        <v/>
      </c>
      <c r="M57" t="inlineStr">
        <is>
          <t>Y</t>
        </is>
      </c>
      <c r="N57" t="n">
        <v>15</v>
      </c>
      <c r="O57" s="20" t="n">
        <v>20000000</v>
      </c>
      <c r="P57" t="inlineStr">
        <is>
          <t>N</t>
        </is>
      </c>
      <c r="Q57" t="inlineStr">
        <is>
          <t>Eligible, but insufficient remaining capacity in current simulated cycle.</t>
        </is>
      </c>
    </row>
    <row r="58">
      <c r="A58" s="15" t="inlineStr">
        <is>
          <t>25606</t>
        </is>
      </c>
      <c r="B58" s="15" t="inlineStr">
        <is>
          <t>Braniff Lofts</t>
        </is>
      </c>
      <c r="C58" s="15" t="inlineStr">
        <is>
          <t>Active</t>
        </is>
      </c>
      <c r="D58" s="15" t="inlineStr">
        <is>
          <t>Determination Notice Issued</t>
        </is>
      </c>
      <c r="E58" s="15" t="inlineStr">
        <is>
          <t>Determination Notice</t>
        </is>
      </c>
      <c r="F58" s="15" t="inlineStr">
        <is>
          <t>Y</t>
        </is>
      </c>
      <c r="G58" s="15" t="inlineStr"/>
      <c r="H58" s="15" t="inlineStr">
        <is>
          <t>Streamlined path assumptions satisfied.</t>
        </is>
      </c>
      <c r="I58" s="15" t="n">
        <v>11</v>
      </c>
      <c r="J58" s="15">
        <f>Applicant_List!BT59</f>
        <v/>
      </c>
      <c r="K58" s="15">
        <f>Applicant_List!CA59</f>
        <v/>
      </c>
      <c r="L58" s="15">
        <f>IF(Applicant_List!BQ59="Y",IF(Applicant_List!CB59="Y","Would Advance","Would Not Advance"),"Existing Pipeline")</f>
        <v/>
      </c>
      <c r="M58" t="inlineStr">
        <is>
          <t>Y</t>
        </is>
      </c>
      <c r="N58" t="n">
        <v>8</v>
      </c>
      <c r="O58" s="20" t="n">
        <v>20000000</v>
      </c>
      <c r="P58" t="inlineStr">
        <is>
          <t>Y</t>
        </is>
      </c>
      <c r="Q58" t="inlineStr">
        <is>
          <t>Funded within current simulated capacity.</t>
        </is>
      </c>
    </row>
    <row r="59">
      <c r="A59" s="15" t="inlineStr">
        <is>
          <t>25463</t>
        </is>
      </c>
      <c r="B59" s="15" t="inlineStr">
        <is>
          <t>Waterford at Spencer Oaks</t>
        </is>
      </c>
      <c r="C59" s="15" t="inlineStr">
        <is>
          <t>Closed</t>
        </is>
      </c>
      <c r="D59" s="15" t="inlineStr">
        <is>
          <t>Closed</t>
        </is>
      </c>
      <c r="E59" s="15" t="inlineStr">
        <is>
          <t>Terminal</t>
        </is>
      </c>
      <c r="F59" s="15" t="inlineStr">
        <is>
          <t>Y</t>
        </is>
      </c>
      <c r="G59" s="15" t="inlineStr"/>
      <c r="H59" s="15" t="inlineStr">
        <is>
          <t>Closed projects persist.</t>
        </is>
      </c>
      <c r="I59" s="15" t="n">
        <v>11</v>
      </c>
      <c r="J59" s="15">
        <f>Applicant_List!BT60</f>
        <v/>
      </c>
      <c r="K59" s="15">
        <f>Applicant_List!CA60</f>
        <v/>
      </c>
      <c r="L59" s="15">
        <f>IF(Applicant_List!BQ60="Y",IF(Applicant_List!CB60="Y","Would Advance","Would Not Advance"),"Existing Pipeline")</f>
        <v/>
      </c>
      <c r="M59" t="inlineStr">
        <is>
          <t>N</t>
        </is>
      </c>
      <c r="O59" s="20" t="n">
        <v>44200000</v>
      </c>
      <c r="P59" t="inlineStr">
        <is>
          <t>N</t>
        </is>
      </c>
      <c r="Q59" t="inlineStr">
        <is>
          <t>Terminal / already resolved project; excluded from new allocation cycle.</t>
        </is>
      </c>
    </row>
    <row r="60">
      <c r="A60" s="15" t="inlineStr">
        <is>
          <t>25468</t>
        </is>
      </c>
      <c r="B60" s="15" t="inlineStr">
        <is>
          <t>Lofts at Creekview</t>
        </is>
      </c>
      <c r="C60" s="15" t="inlineStr">
        <is>
          <t>Closed</t>
        </is>
      </c>
      <c r="D60" s="15" t="inlineStr">
        <is>
          <t>Closed</t>
        </is>
      </c>
      <c r="E60" s="15" t="inlineStr">
        <is>
          <t>Terminal</t>
        </is>
      </c>
      <c r="F60" s="15" t="inlineStr">
        <is>
          <t>Y</t>
        </is>
      </c>
      <c r="G60" s="15" t="inlineStr"/>
      <c r="H60" s="15" t="inlineStr">
        <is>
          <t>Closed projects persist.</t>
        </is>
      </c>
      <c r="I60" s="15" t="n">
        <v>11</v>
      </c>
      <c r="J60" s="15">
        <f>Applicant_List!BT61</f>
        <v/>
      </c>
      <c r="K60" s="15">
        <f>Applicant_List!CA61</f>
        <v/>
      </c>
      <c r="L60" s="15">
        <f>IF(Applicant_List!BQ61="Y",IF(Applicant_List!CB61="Y","Would Advance","Would Not Advance"),"Existing Pipeline")</f>
        <v/>
      </c>
      <c r="M60" t="inlineStr">
        <is>
          <t>N</t>
        </is>
      </c>
      <c r="O60" s="20" t="n">
        <v>40000000</v>
      </c>
      <c r="P60" t="inlineStr">
        <is>
          <t>N</t>
        </is>
      </c>
      <c r="Q60" t="inlineStr">
        <is>
          <t>Terminal / already resolved project; excluded from new allocation cycle.</t>
        </is>
      </c>
    </row>
    <row r="61">
      <c r="A61" s="15" t="inlineStr">
        <is>
          <t>25426</t>
        </is>
      </c>
      <c r="B61" s="15" t="inlineStr">
        <is>
          <t>Roselawn Village</t>
        </is>
      </c>
      <c r="C61" s="15" t="inlineStr">
        <is>
          <t>Approved</t>
        </is>
      </c>
      <c r="D61" s="15" t="inlineStr">
        <is>
          <t>Determination Notice Issued</t>
        </is>
      </c>
      <c r="E61" s="15" t="inlineStr">
        <is>
          <t>Determination Notice</t>
        </is>
      </c>
      <c r="F61" s="15" t="inlineStr">
        <is>
          <t>Y</t>
        </is>
      </c>
      <c r="G61" s="15" t="inlineStr"/>
      <c r="H61" s="15" t="inlineStr">
        <is>
          <t>Streamlined path assumptions satisfied.</t>
        </is>
      </c>
      <c r="I61" s="15" t="n">
        <v>11</v>
      </c>
      <c r="J61" s="15">
        <f>Applicant_List!BT62</f>
        <v/>
      </c>
      <c r="K61" s="15">
        <f>Applicant_List!CA62</f>
        <v/>
      </c>
      <c r="L61" s="15">
        <f>IF(Applicant_List!BQ62="Y",IF(Applicant_List!CB62="Y","Would Advance","Would Not Advance"),"Existing Pipeline")</f>
        <v/>
      </c>
      <c r="M61" t="inlineStr">
        <is>
          <t>Y</t>
        </is>
      </c>
      <c r="N61" t="n">
        <v>10</v>
      </c>
      <c r="O61" s="20" t="n">
        <v>49000000</v>
      </c>
      <c r="P61" t="inlineStr">
        <is>
          <t>Y</t>
        </is>
      </c>
      <c r="Q61" t="inlineStr">
        <is>
          <t>Funded within current simulated capacity.</t>
        </is>
      </c>
    </row>
    <row r="62">
      <c r="A62" s="15" t="inlineStr">
        <is>
          <t>25462</t>
        </is>
      </c>
      <c r="B62" s="15" t="inlineStr">
        <is>
          <t>Tuscany at Goldmark</t>
        </is>
      </c>
      <c r="C62" s="15" t="inlineStr">
        <is>
          <t>Withdrawn</t>
        </is>
      </c>
      <c r="D62" s="15" t="inlineStr">
        <is>
          <t>Withdrawn</t>
        </is>
      </c>
      <c r="E62" s="15" t="inlineStr">
        <is>
          <t>Terminal</t>
        </is>
      </c>
      <c r="F62" s="15" t="inlineStr">
        <is>
          <t>N</t>
        </is>
      </c>
      <c r="G62" s="15" t="inlineStr"/>
      <c r="H62" s="15" t="inlineStr">
        <is>
          <t>Terminal project persists.</t>
        </is>
      </c>
      <c r="I62" s="15" t="n">
        <v>11</v>
      </c>
      <c r="J62" s="15">
        <f>Applicant_List!BT63</f>
        <v/>
      </c>
      <c r="K62" s="15">
        <f>Applicant_List!CA63</f>
        <v/>
      </c>
      <c r="L62" s="15">
        <f>IF(Applicant_List!BQ63="Y",IF(Applicant_List!CB63="Y","Would Advance","Would Not Advance"),"Existing Pipeline")</f>
        <v/>
      </c>
      <c r="M62" t="inlineStr">
        <is>
          <t>N</t>
        </is>
      </c>
      <c r="O62" s="20" t="n">
        <v>32000000</v>
      </c>
      <c r="P62" t="inlineStr">
        <is>
          <t>N</t>
        </is>
      </c>
      <c r="Q62" t="inlineStr">
        <is>
          <t>Terminal / already resolved project; excluded from new allocation cycle.</t>
        </is>
      </c>
    </row>
    <row r="63">
      <c r="A63" s="15" t="inlineStr">
        <is>
          <t>25456</t>
        </is>
      </c>
      <c r="B63" s="15" t="inlineStr">
        <is>
          <t>Stones Crossing Apt Homes</t>
        </is>
      </c>
      <c r="C63" s="15" t="inlineStr">
        <is>
          <t>Approved</t>
        </is>
      </c>
      <c r="D63" s="15" t="inlineStr">
        <is>
          <t>Determination Notice Issued</t>
        </is>
      </c>
      <c r="E63" s="15" t="inlineStr">
        <is>
          <t>Determination Notice</t>
        </is>
      </c>
      <c r="F63" s="15" t="inlineStr">
        <is>
          <t>Y</t>
        </is>
      </c>
      <c r="G63" s="15" t="inlineStr"/>
      <c r="H63" s="15" t="inlineStr">
        <is>
          <t>Streamlined path assumptions satisfied.</t>
        </is>
      </c>
      <c r="I63" s="15" t="n">
        <v>11</v>
      </c>
      <c r="J63" s="15">
        <f>Applicant_List!BT64</f>
        <v/>
      </c>
      <c r="K63" s="15">
        <f>Applicant_List!CA64</f>
        <v/>
      </c>
      <c r="L63" s="15">
        <f>IF(Applicant_List!BQ64="Y",IF(Applicant_List!CB64="Y","Would Advance","Would Not Advance"),"Existing Pipeline")</f>
        <v/>
      </c>
      <c r="M63" t="inlineStr">
        <is>
          <t>Y</t>
        </is>
      </c>
      <c r="N63" t="n">
        <v>9</v>
      </c>
      <c r="O63" s="20" t="n">
        <v>60000000</v>
      </c>
      <c r="P63" t="inlineStr">
        <is>
          <t>Y</t>
        </is>
      </c>
      <c r="Q63" t="inlineStr">
        <is>
          <t>Funded within current simulated capacity.</t>
        </is>
      </c>
    </row>
    <row r="64">
      <c r="A64" s="15" t="inlineStr">
        <is>
          <t>25465</t>
        </is>
      </c>
      <c r="B64" s="15" t="inlineStr">
        <is>
          <t>Haverstock Hills East</t>
        </is>
      </c>
      <c r="C64" s="15" t="inlineStr">
        <is>
          <t>Closed</t>
        </is>
      </c>
      <c r="D64" s="15" t="inlineStr">
        <is>
          <t>Closed</t>
        </is>
      </c>
      <c r="E64" s="15" t="inlineStr">
        <is>
          <t>Terminal</t>
        </is>
      </c>
      <c r="F64" s="15" t="inlineStr">
        <is>
          <t>Y</t>
        </is>
      </c>
      <c r="G64" s="15" t="inlineStr"/>
      <c r="H64" s="15" t="inlineStr">
        <is>
          <t>Closed projects persist.</t>
        </is>
      </c>
      <c r="I64" s="15" t="n">
        <v>11</v>
      </c>
      <c r="J64" s="15">
        <f>Applicant_List!BT65</f>
        <v/>
      </c>
      <c r="K64" s="15">
        <f>Applicant_List!CA65</f>
        <v/>
      </c>
      <c r="L64" s="15">
        <f>IF(Applicant_List!BQ65="Y",IF(Applicant_List!CB65="Y","Would Advance","Would Not Advance"),"Existing Pipeline")</f>
        <v/>
      </c>
      <c r="M64" t="inlineStr">
        <is>
          <t>N</t>
        </is>
      </c>
      <c r="O64" s="20" t="n">
        <v>69152737</v>
      </c>
      <c r="P64" t="inlineStr">
        <is>
          <t>N</t>
        </is>
      </c>
      <c r="Q64" t="inlineStr">
        <is>
          <t>Terminal / already resolved project; excluded from new allocation cycle.</t>
        </is>
      </c>
    </row>
    <row r="65">
      <c r="A65" s="15" t="inlineStr">
        <is>
          <t>25466</t>
        </is>
      </c>
      <c r="B65" s="15" t="inlineStr">
        <is>
          <t>Haverstock Hills West</t>
        </is>
      </c>
      <c r="C65" s="15" t="inlineStr">
        <is>
          <t>Closed</t>
        </is>
      </c>
      <c r="D65" s="15" t="inlineStr">
        <is>
          <t>Closed</t>
        </is>
      </c>
      <c r="E65" s="15" t="inlineStr">
        <is>
          <t>Terminal</t>
        </is>
      </c>
      <c r="F65" s="15" t="inlineStr">
        <is>
          <t>Y</t>
        </is>
      </c>
      <c r="G65" s="15" t="inlineStr"/>
      <c r="H65" s="15" t="inlineStr">
        <is>
          <t>Closed projects persist.</t>
        </is>
      </c>
      <c r="I65" s="15" t="n">
        <v>11</v>
      </c>
      <c r="J65" s="15">
        <f>Applicant_List!BT66</f>
        <v/>
      </c>
      <c r="K65" s="15">
        <f>Applicant_List!CA66</f>
        <v/>
      </c>
      <c r="L65" s="15">
        <f>IF(Applicant_List!BQ66="Y",IF(Applicant_List!CB66="Y","Would Advance","Would Not Advance"),"Existing Pipeline")</f>
        <v/>
      </c>
      <c r="M65" t="inlineStr">
        <is>
          <t>N</t>
        </is>
      </c>
      <c r="O65" s="20" t="n">
        <v>69152737</v>
      </c>
      <c r="P65" t="inlineStr">
        <is>
          <t>N</t>
        </is>
      </c>
      <c r="Q65" t="inlineStr">
        <is>
          <t>Terminal / already resolved project; excluded from new allocation cycle.</t>
        </is>
      </c>
    </row>
    <row r="66">
      <c r="A66" s="15" t="inlineStr">
        <is>
          <t>25467</t>
        </is>
      </c>
      <c r="B66" s="15" t="inlineStr">
        <is>
          <t>Cameron HiLine</t>
        </is>
      </c>
      <c r="C66" s="15" t="inlineStr">
        <is>
          <t>Closed</t>
        </is>
      </c>
      <c r="D66" s="15" t="inlineStr">
        <is>
          <t>Closed</t>
        </is>
      </c>
      <c r="E66" s="15" t="inlineStr">
        <is>
          <t>Terminal</t>
        </is>
      </c>
      <c r="F66" s="15" t="inlineStr">
        <is>
          <t>Y</t>
        </is>
      </c>
      <c r="G66" s="15" t="inlineStr"/>
      <c r="H66" s="15" t="inlineStr">
        <is>
          <t>Closed projects persist.</t>
        </is>
      </c>
      <c r="I66" s="15" t="n">
        <v>11</v>
      </c>
      <c r="J66" s="15">
        <f>Applicant_List!BT67</f>
        <v/>
      </c>
      <c r="K66" s="15">
        <f>Applicant_List!CA67</f>
        <v/>
      </c>
      <c r="L66" s="15">
        <f>IF(Applicant_List!BQ67="Y",IF(Applicant_List!CB67="Y","Would Advance","Would Not Advance"),"Existing Pipeline")</f>
        <v/>
      </c>
      <c r="M66" t="inlineStr">
        <is>
          <t>N</t>
        </is>
      </c>
      <c r="O66" s="20" t="n">
        <v>40000000</v>
      </c>
      <c r="P66" t="inlineStr">
        <is>
          <t>N</t>
        </is>
      </c>
      <c r="Q66" t="inlineStr">
        <is>
          <t>Terminal / already resolved project; excluded from new allocation cycle.</t>
        </is>
      </c>
    </row>
    <row r="67">
      <c r="A67" s="15" t="inlineStr">
        <is>
          <t>25470</t>
        </is>
      </c>
      <c r="B67" s="15" t="inlineStr">
        <is>
          <t>Lafayette Village</t>
        </is>
      </c>
      <c r="C67" s="15" t="inlineStr">
        <is>
          <t>Approved</t>
        </is>
      </c>
      <c r="D67" s="15" t="inlineStr">
        <is>
          <t>Determination Notice Issued</t>
        </is>
      </c>
      <c r="E67" s="15" t="inlineStr">
        <is>
          <t>Determination Notice</t>
        </is>
      </c>
      <c r="F67" s="15" t="inlineStr">
        <is>
          <t>Y</t>
        </is>
      </c>
      <c r="G67" s="15" t="inlineStr"/>
      <c r="H67" s="15" t="inlineStr">
        <is>
          <t>Streamlined path assumptions satisfied.</t>
        </is>
      </c>
      <c r="I67" s="15" t="n">
        <v>11</v>
      </c>
      <c r="J67" s="15">
        <f>Applicant_List!BT68</f>
        <v/>
      </c>
      <c r="K67" s="15">
        <f>Applicant_List!CA68</f>
        <v/>
      </c>
      <c r="L67" s="15">
        <f>IF(Applicant_List!BQ68="Y",IF(Applicant_List!CB68="Y","Would Advance","Would Not Advance"),"Existing Pipeline")</f>
        <v/>
      </c>
      <c r="M67" t="inlineStr">
        <is>
          <t>Y</t>
        </is>
      </c>
      <c r="N67" t="n">
        <v>12</v>
      </c>
      <c r="O67" s="20" t="n">
        <v>30000000</v>
      </c>
      <c r="P67" t="inlineStr">
        <is>
          <t>N</t>
        </is>
      </c>
      <c r="Q67" t="inlineStr">
        <is>
          <t>Eligible, but insufficient remaining capacity in current simulated cycle.</t>
        </is>
      </c>
    </row>
    <row r="68">
      <c r="A68" s="15" t="inlineStr">
        <is>
          <t>25423</t>
        </is>
      </c>
      <c r="B68" s="15" t="inlineStr">
        <is>
          <t>Emberstone Apartments</t>
        </is>
      </c>
      <c r="C68" s="15" t="inlineStr">
        <is>
          <t>Approved</t>
        </is>
      </c>
      <c r="D68" s="15" t="inlineStr">
        <is>
          <t>Determination Notice Issued</t>
        </is>
      </c>
      <c r="E68" s="15" t="inlineStr">
        <is>
          <t>Determination Notice</t>
        </is>
      </c>
      <c r="F68" s="15" t="inlineStr">
        <is>
          <t>Y</t>
        </is>
      </c>
      <c r="G68" s="15" t="inlineStr"/>
      <c r="H68" s="15" t="inlineStr">
        <is>
          <t>Streamlined path assumptions satisfied.</t>
        </is>
      </c>
      <c r="I68" s="15" t="n">
        <v>11</v>
      </c>
      <c r="J68" s="15">
        <f>Applicant_List!BT69</f>
        <v/>
      </c>
      <c r="K68" s="15">
        <f>Applicant_List!CA69</f>
        <v/>
      </c>
      <c r="L68" s="15">
        <f>IF(Applicant_List!BQ69="Y",IF(Applicant_List!CB69="Y","Would Advance","Would Not Advance"),"Existing Pipeline")</f>
        <v/>
      </c>
      <c r="M68" t="inlineStr">
        <is>
          <t>Y</t>
        </is>
      </c>
      <c r="N68" t="n">
        <v>11</v>
      </c>
      <c r="O68" s="20" t="n">
        <v>35000000</v>
      </c>
      <c r="P68" t="inlineStr">
        <is>
          <t>N</t>
        </is>
      </c>
      <c r="Q68" t="inlineStr">
        <is>
          <t>Eligible, but insufficient remaining capacity in current simulated cycle.</t>
        </is>
      </c>
    </row>
    <row r="69">
      <c r="A69" s="15" t="inlineStr">
        <is>
          <t>25608</t>
        </is>
      </c>
      <c r="B69" s="15" t="inlineStr">
        <is>
          <t>The Preserve at Dominion Park</t>
        </is>
      </c>
      <c r="C69" s="15" t="inlineStr">
        <is>
          <t>Active</t>
        </is>
      </c>
      <c r="D69" s="15" t="inlineStr">
        <is>
          <t>Determination Notice Issued</t>
        </is>
      </c>
      <c r="E69" s="15" t="inlineStr">
        <is>
          <t>Determination Notice</t>
        </is>
      </c>
      <c r="F69" s="15" t="inlineStr">
        <is>
          <t>Y</t>
        </is>
      </c>
      <c r="G69" s="15" t="inlineStr"/>
      <c r="H69" s="15" t="inlineStr">
        <is>
          <t>Streamlined path assumptions satisfied.</t>
        </is>
      </c>
      <c r="I69" s="15" t="n">
        <v>11</v>
      </c>
      <c r="J69" s="15">
        <f>Applicant_List!BT70</f>
        <v/>
      </c>
      <c r="K69" s="15">
        <f>Applicant_List!CA70</f>
        <v/>
      </c>
      <c r="L69" s="15">
        <f>IF(Applicant_List!BQ70="Y",IF(Applicant_List!CB70="Y","Would Advance","Would Not Advance"),"Existing Pipeline")</f>
        <v/>
      </c>
      <c r="M69" t="inlineStr">
        <is>
          <t>Y</t>
        </is>
      </c>
      <c r="N69" t="n">
        <v>16</v>
      </c>
      <c r="O69" s="20" t="n">
        <v>20000000</v>
      </c>
      <c r="P69" t="inlineStr">
        <is>
          <t>N</t>
        </is>
      </c>
      <c r="Q69" t="inlineStr">
        <is>
          <t>Eligible, but insufficient remaining capacity in current simulated cycle.</t>
        </is>
      </c>
    </row>
    <row r="70">
      <c r="A70" s="15" t="inlineStr">
        <is>
          <t>25469</t>
        </is>
      </c>
      <c r="B70" s="15" t="inlineStr">
        <is>
          <t>Sacred Heart Villas</t>
        </is>
      </c>
      <c r="C70" s="15" t="inlineStr">
        <is>
          <t>Approved</t>
        </is>
      </c>
      <c r="D70" s="15" t="inlineStr">
        <is>
          <t>Determination Notice Issued</t>
        </is>
      </c>
      <c r="E70" s="15" t="inlineStr">
        <is>
          <t>Determination Notice</t>
        </is>
      </c>
      <c r="F70" s="15" t="inlineStr">
        <is>
          <t>Y</t>
        </is>
      </c>
      <c r="G70" s="15" t="inlineStr"/>
      <c r="H70" s="15" t="inlineStr">
        <is>
          <t>Streamlined path assumptions satisfied.</t>
        </is>
      </c>
      <c r="I70" s="15" t="n">
        <v>11</v>
      </c>
      <c r="J70" s="15">
        <f>Applicant_List!BT71</f>
        <v/>
      </c>
      <c r="K70" s="15">
        <f>Applicant_List!CA71</f>
        <v/>
      </c>
      <c r="L70" s="15">
        <f>IF(Applicant_List!BQ71="Y",IF(Applicant_List!CB71="Y","Would Advance","Would Not Advance"),"Existing Pipeline")</f>
        <v/>
      </c>
      <c r="M70" t="inlineStr">
        <is>
          <t>Y</t>
        </is>
      </c>
      <c r="N70" t="n">
        <v>29</v>
      </c>
      <c r="O70" s="20" t="n">
        <v>12000000</v>
      </c>
      <c r="P70" t="inlineStr">
        <is>
          <t>N</t>
        </is>
      </c>
      <c r="Q70" t="inlineStr">
        <is>
          <t>Eligible, but insufficient remaining capacity in current simulated cycle.</t>
        </is>
      </c>
    </row>
    <row r="71">
      <c r="A71" s="15" t="inlineStr">
        <is>
          <t>25609</t>
        </is>
      </c>
      <c r="B71" s="15" t="inlineStr">
        <is>
          <t>The Gateway at Trinity Forest</t>
        </is>
      </c>
      <c r="C71" s="15" t="inlineStr">
        <is>
          <t>Closed</t>
        </is>
      </c>
      <c r="D71" s="15" t="inlineStr">
        <is>
          <t>Closed</t>
        </is>
      </c>
      <c r="E71" s="15" t="inlineStr">
        <is>
          <t>Terminal</t>
        </is>
      </c>
      <c r="F71" s="15" t="inlineStr">
        <is>
          <t>Y</t>
        </is>
      </c>
      <c r="G71" s="15" t="inlineStr"/>
      <c r="H71" s="15" t="inlineStr">
        <is>
          <t>Closed projects persist.</t>
        </is>
      </c>
      <c r="I71" s="15" t="n">
        <v>11</v>
      </c>
      <c r="J71" s="15">
        <f>Applicant_List!BT72</f>
        <v/>
      </c>
      <c r="K71" s="15">
        <f>Applicant_List!CA72</f>
        <v/>
      </c>
      <c r="L71" s="15">
        <f>IF(Applicant_List!BQ72="Y",IF(Applicant_List!CB72="Y","Would Advance","Would Not Advance"),"Existing Pipeline")</f>
        <v/>
      </c>
      <c r="M71" t="inlineStr">
        <is>
          <t>N</t>
        </is>
      </c>
      <c r="O71" s="20" t="n">
        <v>50000000</v>
      </c>
      <c r="P71" t="inlineStr">
        <is>
          <t>N</t>
        </is>
      </c>
      <c r="Q71" t="inlineStr">
        <is>
          <t>Terminal / already resolved project; excluded from new allocation cycle.</t>
        </is>
      </c>
    </row>
    <row r="72">
      <c r="A72" s="15" t="inlineStr">
        <is>
          <t>25471</t>
        </is>
      </c>
      <c r="B72" s="15" t="inlineStr">
        <is>
          <t>Idlewilde Apartments</t>
        </is>
      </c>
      <c r="C72" s="15" t="inlineStr">
        <is>
          <t>Approved</t>
        </is>
      </c>
      <c r="D72" s="15" t="inlineStr">
        <is>
          <t>Determination Notice Issued</t>
        </is>
      </c>
      <c r="E72" s="15" t="inlineStr">
        <is>
          <t>Determination Notice</t>
        </is>
      </c>
      <c r="F72" s="15" t="inlineStr">
        <is>
          <t>Y</t>
        </is>
      </c>
      <c r="G72" s="15" t="inlineStr"/>
      <c r="H72" s="15" t="inlineStr">
        <is>
          <t>Streamlined path assumptions satisfied.</t>
        </is>
      </c>
      <c r="I72" s="15" t="n">
        <v>11</v>
      </c>
      <c r="J72" s="15">
        <f>Applicant_List!BT73</f>
        <v/>
      </c>
      <c r="K72" s="15">
        <f>Applicant_List!CA73</f>
        <v/>
      </c>
      <c r="L72" s="15">
        <f>IF(Applicant_List!BQ73="Y",IF(Applicant_List!CB73="Y","Would Advance","Would Not Advance"),"Existing Pipeline")</f>
        <v/>
      </c>
      <c r="M72" t="inlineStr">
        <is>
          <t>Y</t>
        </is>
      </c>
      <c r="N72" t="n">
        <v>13</v>
      </c>
      <c r="O72" s="20" t="n">
        <v>30000000</v>
      </c>
      <c r="P72" t="inlineStr">
        <is>
          <t>N</t>
        </is>
      </c>
      <c r="Q72" t="inlineStr">
        <is>
          <t>Eligible, but insufficient remaining capacity in current simulated cycle.</t>
        </is>
      </c>
    </row>
    <row r="73">
      <c r="A73" s="15" t="inlineStr">
        <is>
          <t>25481</t>
        </is>
      </c>
      <c r="B73" s="15" t="inlineStr">
        <is>
          <t>Odem Victoria Apartments</t>
        </is>
      </c>
      <c r="C73" s="15" t="inlineStr">
        <is>
          <t>Withdrawn</t>
        </is>
      </c>
      <c r="D73" s="15" t="inlineStr">
        <is>
          <t>Withdrawn</t>
        </is>
      </c>
      <c r="E73" s="15" t="inlineStr">
        <is>
          <t>Terminal</t>
        </is>
      </c>
      <c r="F73" s="15" t="inlineStr">
        <is>
          <t>N</t>
        </is>
      </c>
      <c r="G73" s="15" t="inlineStr"/>
      <c r="H73" s="15" t="inlineStr">
        <is>
          <t>Terminal project persists.</t>
        </is>
      </c>
      <c r="I73" s="15" t="n">
        <v>11</v>
      </c>
      <c r="J73" s="15">
        <f>Applicant_List!BT74</f>
        <v/>
      </c>
      <c r="K73" s="15">
        <f>Applicant_List!CA74</f>
        <v/>
      </c>
      <c r="L73" s="15">
        <f>IF(Applicant_List!BQ74="Y",IF(Applicant_List!CB74="Y","Would Advance","Would Not Advance"),"Existing Pipeline")</f>
        <v/>
      </c>
      <c r="M73" t="inlineStr">
        <is>
          <t>N</t>
        </is>
      </c>
      <c r="O73" s="20" t="n">
        <v>35000000</v>
      </c>
      <c r="P73" t="inlineStr">
        <is>
          <t>N</t>
        </is>
      </c>
      <c r="Q73" t="inlineStr">
        <is>
          <t>Terminal / already resolved project; excluded from new allocation cycle.</t>
        </is>
      </c>
    </row>
    <row r="74">
      <c r="A74" s="15" t="inlineStr">
        <is>
          <t>25480</t>
        </is>
      </c>
      <c r="B74" s="15" t="inlineStr">
        <is>
          <t>Westmoreland Townhomes</t>
        </is>
      </c>
      <c r="C74" s="15" t="inlineStr">
        <is>
          <t>Closed</t>
        </is>
      </c>
      <c r="D74" s="15" t="inlineStr">
        <is>
          <t>Closed</t>
        </is>
      </c>
      <c r="E74" s="15" t="inlineStr">
        <is>
          <t>Terminal</t>
        </is>
      </c>
      <c r="F74" s="15" t="inlineStr">
        <is>
          <t>Y</t>
        </is>
      </c>
      <c r="G74" s="15" t="inlineStr"/>
      <c r="H74" s="15" t="inlineStr">
        <is>
          <t>Closed projects persist.</t>
        </is>
      </c>
      <c r="I74" s="15" t="n">
        <v>11</v>
      </c>
      <c r="J74" s="15">
        <f>Applicant_List!BT75</f>
        <v/>
      </c>
      <c r="K74" s="15">
        <f>Applicant_List!CA75</f>
        <v/>
      </c>
      <c r="L74" s="15">
        <f>IF(Applicant_List!BQ75="Y",IF(Applicant_List!CB75="Y","Would Advance","Would Not Advance"),"Existing Pipeline")</f>
        <v/>
      </c>
      <c r="M74" t="inlineStr">
        <is>
          <t>N</t>
        </is>
      </c>
      <c r="O74" s="20" t="n">
        <v>40000000</v>
      </c>
      <c r="P74" t="inlineStr">
        <is>
          <t>N</t>
        </is>
      </c>
      <c r="Q74" t="inlineStr">
        <is>
          <t>Terminal / already resolved project; excluded from new allocation cycle.</t>
        </is>
      </c>
    </row>
    <row r="75">
      <c r="A75" s="15" t="inlineStr">
        <is>
          <t>25475</t>
        </is>
      </c>
      <c r="B75" s="15" t="inlineStr">
        <is>
          <t>Humble Family Apartments</t>
        </is>
      </c>
      <c r="C75" s="15" t="inlineStr">
        <is>
          <t>Withdrawn</t>
        </is>
      </c>
      <c r="D75" s="15" t="inlineStr">
        <is>
          <t>Withdrawn</t>
        </is>
      </c>
      <c r="E75" s="15" t="inlineStr">
        <is>
          <t>Terminal</t>
        </is>
      </c>
      <c r="F75" s="15" t="inlineStr">
        <is>
          <t>N</t>
        </is>
      </c>
      <c r="G75" s="15" t="inlineStr"/>
      <c r="H75" s="15" t="inlineStr">
        <is>
          <t>Terminal project persists.</t>
        </is>
      </c>
      <c r="I75" s="15" t="n">
        <v>11</v>
      </c>
      <c r="J75" s="15">
        <f>Applicant_List!BT76</f>
        <v/>
      </c>
      <c r="K75" s="15">
        <f>Applicant_List!CA76</f>
        <v/>
      </c>
      <c r="L75" s="15">
        <f>IF(Applicant_List!BQ76="Y",IF(Applicant_List!CB76="Y","Would Advance","Would Not Advance"),"Existing Pipeline")</f>
        <v/>
      </c>
      <c r="M75" t="inlineStr">
        <is>
          <t>N</t>
        </is>
      </c>
      <c r="O75" s="20" t="n">
        <v>69152737</v>
      </c>
      <c r="P75" t="inlineStr">
        <is>
          <t>N</t>
        </is>
      </c>
      <c r="Q75" t="inlineStr">
        <is>
          <t>Terminal / already resolved project; excluded from new allocation cycle.</t>
        </is>
      </c>
    </row>
    <row r="76">
      <c r="A76" s="15" t="inlineStr">
        <is>
          <t>25479</t>
        </is>
      </c>
      <c r="B76" s="15" t="inlineStr">
        <is>
          <t>Tabor Village</t>
        </is>
      </c>
      <c r="C76" s="15" t="inlineStr">
        <is>
          <t>Closed</t>
        </is>
      </c>
      <c r="D76" s="15" t="inlineStr">
        <is>
          <t>Closed</t>
        </is>
      </c>
      <c r="E76" s="15" t="inlineStr">
        <is>
          <t>Terminal</t>
        </is>
      </c>
      <c r="F76" s="15" t="inlineStr">
        <is>
          <t>Y</t>
        </is>
      </c>
      <c r="G76" s="15" t="inlineStr"/>
      <c r="H76" s="15" t="inlineStr">
        <is>
          <t>Closed projects persist.</t>
        </is>
      </c>
      <c r="I76" s="15" t="n">
        <v>11</v>
      </c>
      <c r="J76" s="15">
        <f>Applicant_List!BT77</f>
        <v/>
      </c>
      <c r="K76" s="15">
        <f>Applicant_List!CA77</f>
        <v/>
      </c>
      <c r="L76" s="15">
        <f>IF(Applicant_List!BQ77="Y",IF(Applicant_List!CB77="Y","Would Advance","Would Not Advance"),"Existing Pipeline")</f>
        <v/>
      </c>
      <c r="M76" t="inlineStr">
        <is>
          <t>N</t>
        </is>
      </c>
      <c r="O76" s="20" t="n">
        <v>38000000</v>
      </c>
      <c r="P76" t="inlineStr">
        <is>
          <t>N</t>
        </is>
      </c>
      <c r="Q76" t="inlineStr">
        <is>
          <t>Terminal / already resolved project; excluded from new allocation cycle.</t>
        </is>
      </c>
    </row>
    <row r="77">
      <c r="A77" s="15" t="inlineStr">
        <is>
          <t>25483</t>
        </is>
      </c>
      <c r="B77" s="15" t="inlineStr">
        <is>
          <t>Cobblestone Manor</t>
        </is>
      </c>
      <c r="C77" s="15" t="inlineStr">
        <is>
          <t>Approved</t>
        </is>
      </c>
      <c r="D77" s="15" t="inlineStr">
        <is>
          <t>Determination Notice Issued</t>
        </is>
      </c>
      <c r="E77" s="15" t="inlineStr">
        <is>
          <t>Determination Notice</t>
        </is>
      </c>
      <c r="F77" s="15" t="inlineStr">
        <is>
          <t>Y</t>
        </is>
      </c>
      <c r="G77" s="15" t="inlineStr"/>
      <c r="H77" s="15" t="inlineStr">
        <is>
          <t>Streamlined path assumptions satisfied.</t>
        </is>
      </c>
      <c r="I77" s="15" t="n">
        <v>11</v>
      </c>
      <c r="J77" s="15">
        <f>Applicant_List!BT78</f>
        <v/>
      </c>
      <c r="K77" s="15">
        <f>Applicant_List!CA78</f>
        <v/>
      </c>
      <c r="L77" s="15">
        <f>IF(Applicant_List!BQ78="Y",IF(Applicant_List!CB78="Y","Would Advance","Would Not Advance"),"Existing Pipeline")</f>
        <v/>
      </c>
      <c r="M77" t="inlineStr">
        <is>
          <t>Y</t>
        </is>
      </c>
      <c r="N77" t="n">
        <v>22</v>
      </c>
      <c r="O77" s="20" t="n">
        <v>45000000</v>
      </c>
      <c r="P77" t="inlineStr">
        <is>
          <t>N</t>
        </is>
      </c>
      <c r="Q77" t="inlineStr">
        <is>
          <t>Eligible, but insufficient remaining capacity in current simulated cycle.</t>
        </is>
      </c>
    </row>
    <row r="78">
      <c r="A78" s="15" t="inlineStr">
        <is>
          <t>25484</t>
        </is>
      </c>
      <c r="B78" s="15" t="inlineStr">
        <is>
          <t>Ella Apartments</t>
        </is>
      </c>
      <c r="C78" s="15" t="inlineStr">
        <is>
          <t>Approved</t>
        </is>
      </c>
      <c r="D78" s="15" t="inlineStr">
        <is>
          <t>Determination Notice Issued</t>
        </is>
      </c>
      <c r="E78" s="15" t="inlineStr">
        <is>
          <t>Determination Notice</t>
        </is>
      </c>
      <c r="F78" s="15" t="inlineStr">
        <is>
          <t>Y</t>
        </is>
      </c>
      <c r="G78" s="15" t="inlineStr"/>
      <c r="H78" s="15" t="inlineStr">
        <is>
          <t>Streamlined path assumptions satisfied.</t>
        </is>
      </c>
      <c r="I78" s="15" t="n">
        <v>11</v>
      </c>
      <c r="J78" s="15">
        <f>Applicant_List!BT79</f>
        <v/>
      </c>
      <c r="K78" s="15">
        <f>Applicant_List!CA79</f>
        <v/>
      </c>
      <c r="L78" s="15">
        <f>IF(Applicant_List!BQ79="Y",IF(Applicant_List!CB79="Y","Would Advance","Would Not Advance"),"Existing Pipeline")</f>
        <v/>
      </c>
      <c r="M78" t="inlineStr">
        <is>
          <t>Y</t>
        </is>
      </c>
      <c r="N78" t="n">
        <v>14</v>
      </c>
      <c r="O78" s="20" t="n">
        <v>22000000</v>
      </c>
      <c r="P78" t="inlineStr">
        <is>
          <t>Y</t>
        </is>
      </c>
      <c r="Q78" t="inlineStr">
        <is>
          <t>Funded within current simulated capacity.</t>
        </is>
      </c>
    </row>
    <row r="79">
      <c r="A79" s="15" t="inlineStr">
        <is>
          <t>25473</t>
        </is>
      </c>
      <c r="B79" s="15" t="inlineStr">
        <is>
          <t>Seville Place</t>
        </is>
      </c>
      <c r="C79" s="15" t="inlineStr">
        <is>
          <t>Approved</t>
        </is>
      </c>
      <c r="D79" s="15" t="inlineStr">
        <is>
          <t>Determination Notice Issued</t>
        </is>
      </c>
      <c r="E79" s="15" t="inlineStr">
        <is>
          <t>Determination Notice</t>
        </is>
      </c>
      <c r="F79" s="15" t="inlineStr">
        <is>
          <t>Y</t>
        </is>
      </c>
      <c r="G79" s="15" t="inlineStr"/>
      <c r="H79" s="15" t="inlineStr">
        <is>
          <t>Streamlined path assumptions satisfied.</t>
        </is>
      </c>
      <c r="I79" s="15" t="n">
        <v>11</v>
      </c>
      <c r="J79" s="15">
        <f>Applicant_List!BT80</f>
        <v/>
      </c>
      <c r="K79" s="15">
        <f>Applicant_List!CA80</f>
        <v/>
      </c>
      <c r="L79" s="15">
        <f>IF(Applicant_List!BQ80="Y",IF(Applicant_List!CB80="Y","Would Advance","Would Not Advance"),"Existing Pipeline")</f>
        <v/>
      </c>
      <c r="M79" t="inlineStr">
        <is>
          <t>Y</t>
        </is>
      </c>
      <c r="N79" t="n">
        <v>30</v>
      </c>
      <c r="O79" s="20" t="n">
        <v>22500000</v>
      </c>
      <c r="P79" t="inlineStr">
        <is>
          <t>N</t>
        </is>
      </c>
      <c r="Q79" t="inlineStr">
        <is>
          <t>Eligible, but insufficient remaining capacity in current simulated cycle.</t>
        </is>
      </c>
    </row>
    <row r="80">
      <c r="A80" s="15" t="inlineStr">
        <is>
          <t>25474</t>
        </is>
      </c>
      <c r="B80" s="15" t="inlineStr">
        <is>
          <t>Central at Commerce</t>
        </is>
      </c>
      <c r="C80" s="15" t="inlineStr">
        <is>
          <t>Closed</t>
        </is>
      </c>
      <c r="D80" s="15" t="inlineStr">
        <is>
          <t>Closed</t>
        </is>
      </c>
      <c r="E80" s="15" t="inlineStr">
        <is>
          <t>Terminal</t>
        </is>
      </c>
      <c r="F80" s="15" t="inlineStr">
        <is>
          <t>Y</t>
        </is>
      </c>
      <c r="G80" s="15" t="inlineStr"/>
      <c r="H80" s="15" t="inlineStr">
        <is>
          <t>Closed projects persist.</t>
        </is>
      </c>
      <c r="I80" s="15" t="n">
        <v>11</v>
      </c>
      <c r="J80" s="15">
        <f>Applicant_List!BT81</f>
        <v/>
      </c>
      <c r="K80" s="15">
        <f>Applicant_List!CA81</f>
        <v/>
      </c>
      <c r="L80" s="15">
        <f>IF(Applicant_List!BQ81="Y",IF(Applicant_List!CB81="Y","Would Advance","Would Not Advance"),"Existing Pipeline")</f>
        <v/>
      </c>
      <c r="M80" t="inlineStr">
        <is>
          <t>N</t>
        </is>
      </c>
      <c r="O80" s="20" t="n">
        <v>50000000</v>
      </c>
      <c r="P80" t="inlineStr">
        <is>
          <t>N</t>
        </is>
      </c>
      <c r="Q80" t="inlineStr">
        <is>
          <t>Terminal / already resolved project; excluded from new allocation cycle.</t>
        </is>
      </c>
    </row>
    <row r="81">
      <c r="A81" s="15" t="inlineStr">
        <is>
          <t>25490</t>
        </is>
      </c>
      <c r="B81" s="15" t="inlineStr">
        <is>
          <t>Aster Villas Apartments</t>
        </is>
      </c>
      <c r="C81" s="15" t="inlineStr">
        <is>
          <t>Withdrawn</t>
        </is>
      </c>
      <c r="D81" s="15" t="inlineStr">
        <is>
          <t>Withdrawn</t>
        </is>
      </c>
      <c r="E81" s="15" t="inlineStr">
        <is>
          <t>Terminal</t>
        </is>
      </c>
      <c r="F81" s="15" t="inlineStr">
        <is>
          <t>N</t>
        </is>
      </c>
      <c r="G81" s="15" t="inlineStr"/>
      <c r="H81" s="15" t="inlineStr">
        <is>
          <t>Terminal project persists.</t>
        </is>
      </c>
      <c r="I81" s="15" t="n">
        <v>11</v>
      </c>
      <c r="J81" s="15">
        <f>Applicant_List!BT82</f>
        <v/>
      </c>
      <c r="K81" s="15">
        <f>Applicant_List!CA82</f>
        <v/>
      </c>
      <c r="L81" s="15">
        <f>IF(Applicant_List!BQ82="Y",IF(Applicant_List!CB82="Y","Would Advance","Would Not Advance"),"Existing Pipeline")</f>
        <v/>
      </c>
      <c r="M81" t="inlineStr">
        <is>
          <t>N</t>
        </is>
      </c>
      <c r="O81" s="20" t="n">
        <v>37000000</v>
      </c>
      <c r="P81" t="inlineStr">
        <is>
          <t>N</t>
        </is>
      </c>
      <c r="Q81" t="inlineStr">
        <is>
          <t>Terminal / already resolved project; excluded from new allocation cycle.</t>
        </is>
      </c>
    </row>
    <row r="82">
      <c r="A82" s="15" t="inlineStr">
        <is>
          <t>25402</t>
        </is>
      </c>
      <c r="B82" s="15" t="inlineStr">
        <is>
          <t>Tapestry at Katy</t>
        </is>
      </c>
      <c r="C82" s="15" t="inlineStr">
        <is>
          <t>Approved</t>
        </is>
      </c>
      <c r="D82" s="15" t="inlineStr">
        <is>
          <t>Determination Notice Issued</t>
        </is>
      </c>
      <c r="E82" s="15" t="inlineStr">
        <is>
          <t>Determination Notice</t>
        </is>
      </c>
      <c r="F82" s="15" t="inlineStr">
        <is>
          <t>Y</t>
        </is>
      </c>
      <c r="G82" s="15" t="inlineStr"/>
      <c r="H82" s="15" t="inlineStr">
        <is>
          <t>Streamlined path assumptions satisfied.</t>
        </is>
      </c>
      <c r="I82" s="15" t="n">
        <v>11</v>
      </c>
      <c r="J82" s="15">
        <f>Applicant_List!BT83</f>
        <v/>
      </c>
      <c r="K82" s="15">
        <f>Applicant_List!CA83</f>
        <v/>
      </c>
      <c r="L82" s="15">
        <f>IF(Applicant_List!BQ83="Y",IF(Applicant_List!CB83="Y","Would Advance","Would Not Advance"),"Existing Pipeline")</f>
        <v/>
      </c>
      <c r="M82" t="inlineStr">
        <is>
          <t>Y</t>
        </is>
      </c>
      <c r="N82" t="n">
        <v>5</v>
      </c>
      <c r="O82" s="20" t="n">
        <v>50000000</v>
      </c>
      <c r="P82" t="inlineStr">
        <is>
          <t>Y</t>
        </is>
      </c>
      <c r="Q82" t="inlineStr">
        <is>
          <t>Funded within current simulated capacity.</t>
        </is>
      </c>
    </row>
    <row r="83">
      <c r="A83" s="15" t="inlineStr">
        <is>
          <t>24499/25419</t>
        </is>
      </c>
      <c r="B83" s="15" t="inlineStr">
        <is>
          <t>Belmont Apartments</t>
        </is>
      </c>
      <c r="C83" s="15" t="inlineStr">
        <is>
          <t>Approved</t>
        </is>
      </c>
      <c r="D83" s="15" t="inlineStr">
        <is>
          <t>Determination Notice Issued</t>
        </is>
      </c>
      <c r="E83" s="15" t="inlineStr">
        <is>
          <t>Determination Notice</t>
        </is>
      </c>
      <c r="F83" s="15" t="inlineStr">
        <is>
          <t>Y</t>
        </is>
      </c>
      <c r="G83" s="15" t="inlineStr"/>
      <c r="H83" s="15" t="inlineStr">
        <is>
          <t>Streamlined path assumptions satisfied.</t>
        </is>
      </c>
      <c r="I83" s="15" t="n">
        <v>11</v>
      </c>
      <c r="J83" s="15">
        <f>Applicant_List!BT84</f>
        <v/>
      </c>
      <c r="K83" s="15">
        <f>Applicant_List!CA84</f>
        <v/>
      </c>
      <c r="L83" s="15">
        <f>IF(Applicant_List!BQ84="Y",IF(Applicant_List!CB84="Y","Would Advance","Would Not Advance"),"Existing Pipeline")</f>
        <v/>
      </c>
      <c r="M83" t="inlineStr">
        <is>
          <t>Y</t>
        </is>
      </c>
      <c r="N83" t="n">
        <v>23</v>
      </c>
      <c r="O83" s="20" t="n">
        <v>60000000</v>
      </c>
      <c r="P83" t="inlineStr">
        <is>
          <t>N</t>
        </is>
      </c>
      <c r="Q83" t="inlineStr">
        <is>
          <t>Eligible, but insufficient remaining capacity in current simulated cycle.</t>
        </is>
      </c>
    </row>
    <row r="84">
      <c r="A84" s="15" t="inlineStr">
        <is>
          <t>25610</t>
        </is>
      </c>
      <c r="B84" s="15" t="inlineStr">
        <is>
          <t>South 1st Affordable Apartments</t>
        </is>
      </c>
      <c r="C84" s="15" t="inlineStr">
        <is>
          <t>Pre-Application</t>
        </is>
      </c>
      <c r="D84" s="15" t="inlineStr">
        <is>
          <t>Determination Notice Issued</t>
        </is>
      </c>
      <c r="E84" s="15" t="inlineStr">
        <is>
          <t>Determination Notice</t>
        </is>
      </c>
      <c r="F84" s="15" t="inlineStr">
        <is>
          <t>Y</t>
        </is>
      </c>
      <c r="G84" s="15" t="inlineStr"/>
      <c r="H84" s="15" t="inlineStr">
        <is>
          <t>Streamlined path assumptions satisfied.</t>
        </is>
      </c>
      <c r="I84" s="15" t="n">
        <v>11</v>
      </c>
      <c r="J84" s="15">
        <f>Applicant_List!BT85</f>
        <v/>
      </c>
      <c r="K84" s="15">
        <f>Applicant_List!CA85</f>
        <v/>
      </c>
      <c r="L84" s="15">
        <f>IF(Applicant_List!BQ85="Y",IF(Applicant_List!CB85="Y","Would Advance","Would Not Advance"),"Existing Pipeline")</f>
        <v/>
      </c>
      <c r="M84" t="inlineStr">
        <is>
          <t>Y</t>
        </is>
      </c>
      <c r="N84" t="n">
        <v>25</v>
      </c>
      <c r="O84" s="20" t="n">
        <v>20000000</v>
      </c>
      <c r="P84" t="inlineStr">
        <is>
          <t>N</t>
        </is>
      </c>
      <c r="Q84" t="inlineStr">
        <is>
          <t>Eligible, but insufficient remaining capacity in current simulated cycle.</t>
        </is>
      </c>
    </row>
    <row r="85">
      <c r="A85" s="15" t="inlineStr">
        <is>
          <t>25491</t>
        </is>
      </c>
      <c r="B85" s="15" t="inlineStr">
        <is>
          <t>Avanti Hills</t>
        </is>
      </c>
      <c r="C85" s="15" t="inlineStr">
        <is>
          <t>Approved</t>
        </is>
      </c>
      <c r="D85" s="15" t="inlineStr">
        <is>
          <t>Determination Notice Issued</t>
        </is>
      </c>
      <c r="E85" s="15" t="inlineStr">
        <is>
          <t>Determination Notice</t>
        </is>
      </c>
      <c r="F85" s="15" t="inlineStr">
        <is>
          <t>Y</t>
        </is>
      </c>
      <c r="G85" s="15" t="inlineStr"/>
      <c r="H85" s="15" t="inlineStr">
        <is>
          <t>Streamlined path assumptions satisfied.</t>
        </is>
      </c>
      <c r="I85" s="15" t="n">
        <v>11</v>
      </c>
      <c r="J85" s="15">
        <f>Applicant_List!BT86</f>
        <v/>
      </c>
      <c r="K85" s="15">
        <f>Applicant_List!CA86</f>
        <v/>
      </c>
      <c r="L85" s="15">
        <f>IF(Applicant_List!BQ86="Y",IF(Applicant_List!CB86="Y","Would Advance","Would Not Advance"),"Existing Pipeline")</f>
        <v/>
      </c>
      <c r="M85" t="inlineStr">
        <is>
          <t>Y</t>
        </is>
      </c>
      <c r="N85" t="n">
        <v>28</v>
      </c>
      <c r="O85" s="20" t="n">
        <v>60000000</v>
      </c>
      <c r="P85" t="inlineStr">
        <is>
          <t>N</t>
        </is>
      </c>
      <c r="Q85" t="inlineStr">
        <is>
          <t>Eligible, but insufficient remaining capacity in current simulated cycle.</t>
        </is>
      </c>
    </row>
    <row r="86">
      <c r="A86" s="15" t="inlineStr">
        <is>
          <t>25477</t>
        </is>
      </c>
      <c r="B86" s="15" t="inlineStr">
        <is>
          <t>Torrington Forest</t>
        </is>
      </c>
      <c r="C86" s="15" t="inlineStr">
        <is>
          <t>Approved</t>
        </is>
      </c>
      <c r="D86" s="15" t="inlineStr">
        <is>
          <t>Determination Notice Issued</t>
        </is>
      </c>
      <c r="E86" s="15" t="inlineStr">
        <is>
          <t>Determination Notice</t>
        </is>
      </c>
      <c r="F86" s="15" t="inlineStr">
        <is>
          <t>Y</t>
        </is>
      </c>
      <c r="G86" s="15" t="inlineStr"/>
      <c r="H86" s="15" t="inlineStr">
        <is>
          <t>Streamlined path assumptions satisfied.</t>
        </is>
      </c>
      <c r="I86" s="15" t="n">
        <v>11</v>
      </c>
      <c r="J86" s="15">
        <f>Applicant_List!BT87</f>
        <v/>
      </c>
      <c r="K86" s="15">
        <f>Applicant_List!CA87</f>
        <v/>
      </c>
      <c r="L86" s="15">
        <f>IF(Applicant_List!BQ87="Y",IF(Applicant_List!CB87="Y","Would Advance","Would Not Advance"),"Existing Pipeline")</f>
        <v/>
      </c>
      <c r="M86" t="inlineStr">
        <is>
          <t>Y</t>
        </is>
      </c>
      <c r="N86" t="n">
        <v>31</v>
      </c>
      <c r="O86" s="20" t="n">
        <v>40000000</v>
      </c>
      <c r="P86" t="inlineStr">
        <is>
          <t>N</t>
        </is>
      </c>
      <c r="Q86" t="inlineStr">
        <is>
          <t>Eligible, but insufficient remaining capacity in current simulated cycle.</t>
        </is>
      </c>
    </row>
    <row r="87">
      <c r="A87" s="15" t="inlineStr">
        <is>
          <t>25494</t>
        </is>
      </c>
      <c r="B87" s="15" t="inlineStr">
        <is>
          <t>Lakeside Lofts</t>
        </is>
      </c>
      <c r="C87" s="15" t="inlineStr">
        <is>
          <t>Approved</t>
        </is>
      </c>
      <c r="D87" s="15" t="inlineStr">
        <is>
          <t>Determination Notice Issued</t>
        </is>
      </c>
      <c r="E87" s="15" t="inlineStr">
        <is>
          <t>Determination Notice</t>
        </is>
      </c>
      <c r="F87" s="15" t="inlineStr">
        <is>
          <t>Y</t>
        </is>
      </c>
      <c r="G87" s="15" t="inlineStr"/>
      <c r="H87" s="15" t="inlineStr">
        <is>
          <t>Streamlined path assumptions satisfied.</t>
        </is>
      </c>
      <c r="I87" s="15" t="n">
        <v>11</v>
      </c>
      <c r="J87" s="15">
        <f>Applicant_List!BT88</f>
        <v/>
      </c>
      <c r="K87" s="15">
        <f>Applicant_List!CA88</f>
        <v/>
      </c>
      <c r="L87" s="15">
        <f>IF(Applicant_List!BQ88="Y",IF(Applicant_List!CB88="Y","Would Advance","Would Not Advance"),"Existing Pipeline")</f>
        <v/>
      </c>
      <c r="M87" t="inlineStr">
        <is>
          <t>Y</t>
        </is>
      </c>
      <c r="N87" t="n">
        <v>32</v>
      </c>
      <c r="O87" s="20" t="n">
        <v>45000000</v>
      </c>
      <c r="P87" t="inlineStr">
        <is>
          <t>N</t>
        </is>
      </c>
      <c r="Q87" t="inlineStr">
        <is>
          <t>Eligible, but insufficient remaining capacity in current simulated cycle.</t>
        </is>
      </c>
    </row>
    <row r="88">
      <c r="A88" s="15" t="inlineStr">
        <is>
          <t>25487</t>
        </is>
      </c>
      <c r="B88" s="15" t="inlineStr">
        <is>
          <t>Heritage Oaks</t>
        </is>
      </c>
      <c r="C88" s="15" t="inlineStr">
        <is>
          <t>Approved</t>
        </is>
      </c>
      <c r="D88" s="15" t="inlineStr">
        <is>
          <t>Determination Notice Issued</t>
        </is>
      </c>
      <c r="E88" s="15" t="inlineStr">
        <is>
          <t>Determination Notice</t>
        </is>
      </c>
      <c r="F88" s="15" t="inlineStr">
        <is>
          <t>Y</t>
        </is>
      </c>
      <c r="G88" s="15" t="inlineStr"/>
      <c r="H88" s="15" t="inlineStr">
        <is>
          <t>Streamlined path assumptions satisfied.</t>
        </is>
      </c>
      <c r="I88" s="15" t="n">
        <v>11</v>
      </c>
      <c r="J88" s="15">
        <f>Applicant_List!BT89</f>
        <v/>
      </c>
      <c r="K88" s="15">
        <f>Applicant_List!CA89</f>
        <v/>
      </c>
      <c r="L88" s="15">
        <f>IF(Applicant_List!BQ89="Y",IF(Applicant_List!CB89="Y","Would Advance","Would Not Advance"),"Existing Pipeline")</f>
        <v/>
      </c>
      <c r="M88" t="inlineStr">
        <is>
          <t>Y</t>
        </is>
      </c>
      <c r="N88" t="n">
        <v>19</v>
      </c>
      <c r="O88" s="20" t="n">
        <v>22000000</v>
      </c>
      <c r="P88" t="inlineStr">
        <is>
          <t>N</t>
        </is>
      </c>
      <c r="Q88" t="inlineStr">
        <is>
          <t>Eligible, but insufficient remaining capacity in current simulated cycle.</t>
        </is>
      </c>
    </row>
    <row r="89">
      <c r="A89" s="15" t="inlineStr">
        <is>
          <t>25488</t>
        </is>
      </c>
      <c r="B89" s="15" t="inlineStr">
        <is>
          <t>Paseo de Paz</t>
        </is>
      </c>
      <c r="C89" s="15" t="inlineStr">
        <is>
          <t>Approved</t>
        </is>
      </c>
      <c r="D89" s="15" t="inlineStr">
        <is>
          <t>Determination Notice Issued</t>
        </is>
      </c>
      <c r="E89" s="15" t="inlineStr">
        <is>
          <t>Determination Notice</t>
        </is>
      </c>
      <c r="F89" s="15" t="inlineStr">
        <is>
          <t>Y</t>
        </is>
      </c>
      <c r="G89" s="15" t="inlineStr"/>
      <c r="H89" s="15" t="inlineStr">
        <is>
          <t>Streamlined path assumptions satisfied.</t>
        </is>
      </c>
      <c r="I89" s="15" t="n">
        <v>11</v>
      </c>
      <c r="J89" s="15">
        <f>Applicant_List!BT90</f>
        <v/>
      </c>
      <c r="K89" s="15">
        <f>Applicant_List!CA90</f>
        <v/>
      </c>
      <c r="L89" s="15">
        <f>IF(Applicant_List!BQ90="Y",IF(Applicant_List!CB90="Y","Would Advance","Would Not Advance"),"Existing Pipeline")</f>
        <v/>
      </c>
      <c r="M89" t="inlineStr">
        <is>
          <t>Y</t>
        </is>
      </c>
      <c r="N89" t="n">
        <v>20</v>
      </c>
      <c r="O89" s="20" t="n">
        <v>22000000</v>
      </c>
      <c r="P89" t="inlineStr">
        <is>
          <t>N</t>
        </is>
      </c>
      <c r="Q89" t="inlineStr">
        <is>
          <t>Eligible, but insufficient remaining capacity in current simulated cycle.</t>
        </is>
      </c>
    </row>
    <row r="90">
      <c r="A90" s="15" t="inlineStr">
        <is>
          <t>25489</t>
        </is>
      </c>
      <c r="B90" s="15" t="inlineStr">
        <is>
          <t>The Meadows</t>
        </is>
      </c>
      <c r="C90" s="15" t="inlineStr">
        <is>
          <t>Approved</t>
        </is>
      </c>
      <c r="D90" s="15" t="inlineStr">
        <is>
          <t>Determination Notice Issued</t>
        </is>
      </c>
      <c r="E90" s="15" t="inlineStr">
        <is>
          <t>Determination Notice</t>
        </is>
      </c>
      <c r="F90" s="15" t="inlineStr">
        <is>
          <t>Y</t>
        </is>
      </c>
      <c r="G90" s="15" t="inlineStr"/>
      <c r="H90" s="15" t="inlineStr">
        <is>
          <t>Streamlined path assumptions satisfied.</t>
        </is>
      </c>
      <c r="I90" s="15" t="n">
        <v>11</v>
      </c>
      <c r="J90" s="15">
        <f>Applicant_List!BT91</f>
        <v/>
      </c>
      <c r="K90" s="15">
        <f>Applicant_List!CA91</f>
        <v/>
      </c>
      <c r="L90" s="15">
        <f>IF(Applicant_List!BQ91="Y",IF(Applicant_List!CB91="Y","Would Advance","Would Not Advance"),"Existing Pipeline")</f>
        <v/>
      </c>
      <c r="M90" t="inlineStr">
        <is>
          <t>Y</t>
        </is>
      </c>
      <c r="N90" t="n">
        <v>21</v>
      </c>
      <c r="O90" s="20" t="n">
        <v>22000000</v>
      </c>
      <c r="P90" t="inlineStr">
        <is>
          <t>N</t>
        </is>
      </c>
      <c r="Q90" t="inlineStr">
        <is>
          <t>Eligible, but insufficient remaining capacity in current simulated cycle.</t>
        </is>
      </c>
    </row>
    <row r="91">
      <c r="A91" s="15" t="inlineStr">
        <is>
          <t>25614</t>
        </is>
      </c>
      <c r="B91" s="15" t="inlineStr">
        <is>
          <t>Lariat</t>
        </is>
      </c>
      <c r="C91" s="15" t="inlineStr">
        <is>
          <t>Withdrawn</t>
        </is>
      </c>
      <c r="D91" s="15" t="inlineStr">
        <is>
          <t>Withdrawn</t>
        </is>
      </c>
      <c r="E91" s="15" t="inlineStr">
        <is>
          <t>Terminal</t>
        </is>
      </c>
      <c r="F91" s="15" t="inlineStr">
        <is>
          <t>N</t>
        </is>
      </c>
      <c r="G91" s="15" t="inlineStr"/>
      <c r="H91" s="15" t="inlineStr">
        <is>
          <t>Terminal project persists.</t>
        </is>
      </c>
      <c r="I91" s="15" t="n">
        <v>11</v>
      </c>
      <c r="J91" s="15">
        <f>Applicant_List!BT92</f>
        <v/>
      </c>
      <c r="K91" s="15">
        <f>Applicant_List!CA92</f>
        <v/>
      </c>
      <c r="L91" s="15">
        <f>IF(Applicant_List!BQ92="Y",IF(Applicant_List!CB92="Y","Would Advance","Would Not Advance"),"Existing Pipeline")</f>
        <v/>
      </c>
      <c r="M91" t="inlineStr">
        <is>
          <t>N</t>
        </is>
      </c>
      <c r="O91" s="20" t="n">
        <v>50000000</v>
      </c>
      <c r="P91" t="inlineStr">
        <is>
          <t>N</t>
        </is>
      </c>
      <c r="Q91" t="inlineStr">
        <is>
          <t>Terminal / already resolved project; excluded from new allocation cycle.</t>
        </is>
      </c>
    </row>
    <row r="92">
      <c r="A92" s="15" t="inlineStr">
        <is>
          <t>25482</t>
        </is>
      </c>
      <c r="B92" s="15" t="inlineStr">
        <is>
          <t>Tapestry at Easton Park</t>
        </is>
      </c>
      <c r="C92" s="15" t="inlineStr">
        <is>
          <t>Withdrawn</t>
        </is>
      </c>
      <c r="D92" s="15" t="inlineStr">
        <is>
          <t>Withdrawn</t>
        </is>
      </c>
      <c r="E92" s="15" t="inlineStr">
        <is>
          <t>Terminal</t>
        </is>
      </c>
      <c r="F92" s="15" t="inlineStr">
        <is>
          <t>N</t>
        </is>
      </c>
      <c r="G92" s="15" t="inlineStr"/>
      <c r="H92" s="15" t="inlineStr">
        <is>
          <t>Terminal project persists.</t>
        </is>
      </c>
      <c r="I92" s="15" t="n">
        <v>11</v>
      </c>
      <c r="J92" s="15">
        <f>Applicant_List!BT93</f>
        <v/>
      </c>
      <c r="K92" s="15">
        <f>Applicant_List!CA93</f>
        <v/>
      </c>
      <c r="L92" s="15">
        <f>IF(Applicant_List!BQ93="Y",IF(Applicant_List!CB93="Y","Would Advance","Would Not Advance"),"Existing Pipeline")</f>
        <v/>
      </c>
      <c r="M92" t="inlineStr">
        <is>
          <t>N</t>
        </is>
      </c>
      <c r="O92" s="20" t="n">
        <v>52000000</v>
      </c>
      <c r="P92" t="inlineStr">
        <is>
          <t>N</t>
        </is>
      </c>
      <c r="Q92" t="inlineStr">
        <is>
          <t>Terminal / already resolved project; excluded from new allocation cycle.</t>
        </is>
      </c>
    </row>
    <row r="93">
      <c r="A93" s="15" t="inlineStr">
        <is>
          <t>25615</t>
        </is>
      </c>
      <c r="B93" s="15" t="inlineStr">
        <is>
          <t>Mela Ranch</t>
        </is>
      </c>
      <c r="C93" s="15" t="inlineStr">
        <is>
          <t>Pre-Application</t>
        </is>
      </c>
      <c r="D93" s="15" t="inlineStr">
        <is>
          <t>Determination Notice Issued</t>
        </is>
      </c>
      <c r="E93" s="15" t="inlineStr">
        <is>
          <t>Determination Notice</t>
        </is>
      </c>
      <c r="F93" s="15" t="inlineStr">
        <is>
          <t>Y</t>
        </is>
      </c>
      <c r="G93" s="15" t="inlineStr"/>
      <c r="H93" s="15" t="inlineStr">
        <is>
          <t>Streamlined path assumptions satisfied.</t>
        </is>
      </c>
      <c r="I93" s="15" t="n">
        <v>11</v>
      </c>
      <c r="J93" s="15">
        <f>Applicant_List!BT94</f>
        <v/>
      </c>
      <c r="K93" s="15">
        <f>Applicant_List!CA94</f>
        <v/>
      </c>
      <c r="L93" s="15">
        <f>IF(Applicant_List!BQ94="Y",IF(Applicant_List!CB94="Y","Would Advance","Would Not Advance"),"Existing Pipeline")</f>
        <v/>
      </c>
      <c r="M93" t="inlineStr">
        <is>
          <t>Y</t>
        </is>
      </c>
      <c r="N93" t="n">
        <v>27</v>
      </c>
      <c r="O93" s="20" t="n">
        <v>31000000</v>
      </c>
      <c r="P93" t="inlineStr">
        <is>
          <t>N</t>
        </is>
      </c>
      <c r="Q93" t="inlineStr">
        <is>
          <t>Eligible, but insufficient remaining capacity in current simulated cycle.</t>
        </is>
      </c>
    </row>
    <row r="94">
      <c r="A94" s="15" t="n"/>
      <c r="B94" s="15" t="inlineStr">
        <is>
          <t>Jimbo's Apartment</t>
        </is>
      </c>
      <c r="C94" s="15" t="n"/>
      <c r="D94" s="15" t="inlineStr">
        <is>
          <t>Determination Notice Issued</t>
        </is>
      </c>
      <c r="E94" s="15" t="inlineStr">
        <is>
          <t>Determination Notice</t>
        </is>
      </c>
      <c r="F94" s="15" t="inlineStr">
        <is>
          <t>Y</t>
        </is>
      </c>
      <c r="G94" s="15" t="inlineStr"/>
      <c r="H94" s="15" t="inlineStr">
        <is>
          <t>Streamlined path assumptions satisfied.</t>
        </is>
      </c>
      <c r="I94" s="15" t="n">
        <v>11</v>
      </c>
      <c r="J94" s="15">
        <f>Applicant_List!BT95</f>
        <v/>
      </c>
      <c r="K94" s="15">
        <f>Applicant_List!CA95</f>
        <v/>
      </c>
      <c r="L94" s="15">
        <f>IF(Applicant_List!BQ95="Y",IF(Applicant_List!CB95="Y","Would Advance","Would Not Advance"),"Existing Pipeline")</f>
        <v/>
      </c>
      <c r="M94" t="inlineStr">
        <is>
          <t>Y</t>
        </is>
      </c>
      <c r="N94" t="n">
        <v>33</v>
      </c>
      <c r="O94" s="20" t="n"/>
      <c r="P94" t="inlineStr">
        <is>
          <t>N</t>
        </is>
      </c>
      <c r="Q94" t="inlineStr">
        <is>
          <t>No requested bond amount entered.</t>
        </is>
      </c>
    </row>
    <row r="95">
      <c r="A95" s="15">
        <f>Applicant_List!C96</f>
        <v/>
      </c>
      <c r="B95" s="15">
        <f>Applicant_List!E96</f>
        <v/>
      </c>
      <c r="C95" s="15">
        <f>Applicant_List!L96</f>
        <v/>
      </c>
      <c r="D95" s="15">
        <f>Applicant_List!BU96</f>
        <v/>
      </c>
      <c r="E95" s="15">
        <f>Applicant_List!BV96</f>
        <v/>
      </c>
      <c r="F95" s="15">
        <f>Applicant_List!CB96</f>
        <v/>
      </c>
      <c r="G95" s="15">
        <f>Applicant_List!BW96</f>
        <v/>
      </c>
      <c r="H95" s="15">
        <f>Applicant_List!BY96</f>
        <v/>
      </c>
      <c r="I95" s="15">
        <f>COUNTIF(Applicant_List!AI96:BM96,"N")+COUNTBLANK(Applicant_List!AI96:BM96)</f>
        <v/>
      </c>
      <c r="J95" s="15">
        <f>Applicant_List!BT96</f>
        <v/>
      </c>
      <c r="K95" s="15">
        <f>Applicant_List!CA96</f>
        <v/>
      </c>
      <c r="L95" s="15">
        <f>IF(Applicant_List!BQ96="Y",IF(Applicant_List!CB96="Y","Would Advance","Would Not Advance"),"Existing Pipeline")</f>
        <v/>
      </c>
    </row>
    <row r="96">
      <c r="A96" s="15">
        <f>Applicant_List!C97</f>
        <v/>
      </c>
      <c r="B96" s="15">
        <f>Applicant_List!E97</f>
        <v/>
      </c>
      <c r="C96" s="15">
        <f>Applicant_List!L97</f>
        <v/>
      </c>
      <c r="D96" s="15">
        <f>Applicant_List!BU97</f>
        <v/>
      </c>
      <c r="E96" s="15">
        <f>Applicant_List!BV97</f>
        <v/>
      </c>
      <c r="F96" s="15">
        <f>Applicant_List!CB97</f>
        <v/>
      </c>
      <c r="G96" s="15">
        <f>Applicant_List!BW97</f>
        <v/>
      </c>
      <c r="H96" s="15">
        <f>Applicant_List!BY97</f>
        <v/>
      </c>
      <c r="I96" s="15">
        <f>COUNTIF(Applicant_List!AI97:BM97,"N")+COUNTBLANK(Applicant_List!AI97:BM97)</f>
        <v/>
      </c>
      <c r="J96" s="15">
        <f>Applicant_List!BT97</f>
        <v/>
      </c>
      <c r="K96" s="15">
        <f>Applicant_List!CA97</f>
        <v/>
      </c>
      <c r="L96" s="15">
        <f>IF(Applicant_List!BQ97="Y",IF(Applicant_List!CB97="Y","Would Advance","Would Not Advance"),"Existing Pipeline")</f>
        <v/>
      </c>
    </row>
    <row r="97">
      <c r="A97" s="15">
        <f>Applicant_List!C98</f>
        <v/>
      </c>
      <c r="B97" s="15">
        <f>Applicant_List!E98</f>
        <v/>
      </c>
      <c r="C97" s="15">
        <f>Applicant_List!L98</f>
        <v/>
      </c>
      <c r="D97" s="15">
        <f>Applicant_List!BU98</f>
        <v/>
      </c>
      <c r="E97" s="15">
        <f>Applicant_List!BV98</f>
        <v/>
      </c>
      <c r="F97" s="15">
        <f>Applicant_List!CB98</f>
        <v/>
      </c>
      <c r="G97" s="15">
        <f>Applicant_List!BW98</f>
        <v/>
      </c>
      <c r="H97" s="15">
        <f>Applicant_List!BY98</f>
        <v/>
      </c>
      <c r="I97" s="15">
        <f>COUNTIF(Applicant_List!AI98:BM98,"N")+COUNTBLANK(Applicant_List!AI98:BM98)</f>
        <v/>
      </c>
      <c r="J97" s="15">
        <f>Applicant_List!BT98</f>
        <v/>
      </c>
      <c r="K97" s="15">
        <f>Applicant_List!CA98</f>
        <v/>
      </c>
      <c r="L97" s="15">
        <f>IF(Applicant_List!BQ98="Y",IF(Applicant_List!CB98="Y","Would Advance","Would Not Advance"),"Existing Pipeline")</f>
        <v/>
      </c>
    </row>
    <row r="98">
      <c r="A98" s="15">
        <f>Applicant_List!C99</f>
        <v/>
      </c>
      <c r="B98" s="15">
        <f>Applicant_List!E99</f>
        <v/>
      </c>
      <c r="C98" s="15">
        <f>Applicant_List!L99</f>
        <v/>
      </c>
      <c r="D98" s="15">
        <f>Applicant_List!BU99</f>
        <v/>
      </c>
      <c r="E98" s="15">
        <f>Applicant_List!BV99</f>
        <v/>
      </c>
      <c r="F98" s="15">
        <f>Applicant_List!CB99</f>
        <v/>
      </c>
      <c r="G98" s="15">
        <f>Applicant_List!BW99</f>
        <v/>
      </c>
      <c r="H98" s="15">
        <f>Applicant_List!BY99</f>
        <v/>
      </c>
      <c r="I98" s="15">
        <f>COUNTIF(Applicant_List!AI99:BM99,"N")+COUNTBLANK(Applicant_List!AI99:BM99)</f>
        <v/>
      </c>
      <c r="J98" s="15">
        <f>Applicant_List!BT99</f>
        <v/>
      </c>
      <c r="K98" s="15">
        <f>Applicant_List!CA99</f>
        <v/>
      </c>
      <c r="L98" s="15">
        <f>IF(Applicant_List!BQ99="Y",IF(Applicant_List!CB99="Y","Would Advance","Would Not Advance"),"Existing Pipeline")</f>
        <v/>
      </c>
    </row>
    <row r="99">
      <c r="A99" s="15">
        <f>Applicant_List!C100</f>
        <v/>
      </c>
      <c r="B99" s="15">
        <f>Applicant_List!E100</f>
        <v/>
      </c>
      <c r="C99" s="15">
        <f>Applicant_List!L100</f>
        <v/>
      </c>
      <c r="D99" s="15">
        <f>Applicant_List!BU100</f>
        <v/>
      </c>
      <c r="E99" s="15">
        <f>Applicant_List!BV100</f>
        <v/>
      </c>
      <c r="F99" s="15">
        <f>Applicant_List!CB100</f>
        <v/>
      </c>
      <c r="G99" s="15">
        <f>Applicant_List!BW100</f>
        <v/>
      </c>
      <c r="H99" s="15">
        <f>Applicant_List!BY100</f>
        <v/>
      </c>
      <c r="I99" s="15">
        <f>COUNTIF(Applicant_List!AI100:BM100,"N")+COUNTBLANK(Applicant_List!AI100:BM100)</f>
        <v/>
      </c>
      <c r="J99" s="15">
        <f>Applicant_List!BT100</f>
        <v/>
      </c>
      <c r="K99" s="15">
        <f>Applicant_List!CA100</f>
        <v/>
      </c>
      <c r="L99" s="15">
        <f>IF(Applicant_List!BQ100="Y",IF(Applicant_List!CB100="Y","Would Advance","Would Not Advance"),"Existing Pipeline")</f>
        <v/>
      </c>
    </row>
    <row r="100">
      <c r="A100" s="15">
        <f>Applicant_List!C101</f>
        <v/>
      </c>
      <c r="B100" s="15">
        <f>Applicant_List!E101</f>
        <v/>
      </c>
      <c r="C100" s="15">
        <f>Applicant_List!L101</f>
        <v/>
      </c>
      <c r="D100" s="15">
        <f>Applicant_List!BU101</f>
        <v/>
      </c>
      <c r="E100" s="15">
        <f>Applicant_List!BV101</f>
        <v/>
      </c>
      <c r="F100" s="15">
        <f>Applicant_List!CB101</f>
        <v/>
      </c>
      <c r="G100" s="15">
        <f>Applicant_List!BW101</f>
        <v/>
      </c>
      <c r="H100" s="15">
        <f>Applicant_List!BY101</f>
        <v/>
      </c>
      <c r="I100" s="15">
        <f>COUNTIF(Applicant_List!AI101:BM101,"N")+COUNTBLANK(Applicant_List!AI101:BM101)</f>
        <v/>
      </c>
      <c r="J100" s="15">
        <f>Applicant_List!BT101</f>
        <v/>
      </c>
      <c r="K100" s="15">
        <f>Applicant_List!CA101</f>
        <v/>
      </c>
      <c r="L100" s="15">
        <f>IF(Applicant_List!BQ101="Y",IF(Applicant_List!CB101="Y","Would Advance","Would Not Advance"),"Existing Pipeline")</f>
        <v/>
      </c>
    </row>
    <row r="101">
      <c r="A101" s="15">
        <f>Applicant_List!C102</f>
        <v/>
      </c>
      <c r="B101" s="15">
        <f>Applicant_List!E102</f>
        <v/>
      </c>
      <c r="C101" s="15">
        <f>Applicant_List!L102</f>
        <v/>
      </c>
      <c r="D101" s="15">
        <f>Applicant_List!BU102</f>
        <v/>
      </c>
      <c r="E101" s="15">
        <f>Applicant_List!BV102</f>
        <v/>
      </c>
      <c r="F101" s="15">
        <f>Applicant_List!CB102</f>
        <v/>
      </c>
      <c r="G101" s="15">
        <f>Applicant_List!BW102</f>
        <v/>
      </c>
      <c r="H101" s="15">
        <f>Applicant_List!BY102</f>
        <v/>
      </c>
      <c r="I101" s="15">
        <f>COUNTIF(Applicant_List!AI102:BM102,"N")+COUNTBLANK(Applicant_List!AI102:BM102)</f>
        <v/>
      </c>
      <c r="J101" s="15">
        <f>Applicant_List!BT102</f>
        <v/>
      </c>
      <c r="K101" s="15">
        <f>Applicant_List!CA102</f>
        <v/>
      </c>
      <c r="L101" s="15">
        <f>IF(Applicant_List!BQ102="Y",IF(Applicant_List!CB102="Y","Would Advance","Would Not Advance"),"Existing Pipeline")</f>
        <v/>
      </c>
    </row>
    <row r="102">
      <c r="A102" s="15">
        <f>Applicant_List!C103</f>
        <v/>
      </c>
      <c r="B102" s="15">
        <f>Applicant_List!E103</f>
        <v/>
      </c>
      <c r="C102" s="15">
        <f>Applicant_List!L103</f>
        <v/>
      </c>
      <c r="D102" s="15">
        <f>Applicant_List!BU103</f>
        <v/>
      </c>
      <c r="E102" s="15">
        <f>Applicant_List!BV103</f>
        <v/>
      </c>
      <c r="F102" s="15">
        <f>Applicant_List!CB103</f>
        <v/>
      </c>
      <c r="G102" s="15">
        <f>Applicant_List!BW103</f>
        <v/>
      </c>
      <c r="H102" s="15">
        <f>Applicant_List!BY103</f>
        <v/>
      </c>
      <c r="I102" s="15">
        <f>COUNTIF(Applicant_List!AI103:BM103,"N")+COUNTBLANK(Applicant_List!AI103:BM103)</f>
        <v/>
      </c>
      <c r="J102" s="15">
        <f>Applicant_List!BT103</f>
        <v/>
      </c>
      <c r="K102" s="15">
        <f>Applicant_List!CA103</f>
        <v/>
      </c>
      <c r="L102" s="15">
        <f>IF(Applicant_List!BQ103="Y",IF(Applicant_List!CB103="Y","Would Advance","Would Not Advance"),"Existing Pipeline")</f>
        <v/>
      </c>
    </row>
    <row r="103">
      <c r="A103" s="15">
        <f>Applicant_List!C104</f>
        <v/>
      </c>
      <c r="B103" s="15">
        <f>Applicant_List!E104</f>
        <v/>
      </c>
      <c r="C103" s="15">
        <f>Applicant_List!L104</f>
        <v/>
      </c>
      <c r="D103" s="15">
        <f>Applicant_List!BU104</f>
        <v/>
      </c>
      <c r="E103" s="15">
        <f>Applicant_List!BV104</f>
        <v/>
      </c>
      <c r="F103" s="15">
        <f>Applicant_List!CB104</f>
        <v/>
      </c>
      <c r="G103" s="15">
        <f>Applicant_List!BW104</f>
        <v/>
      </c>
      <c r="H103" s="15">
        <f>Applicant_List!BY104</f>
        <v/>
      </c>
      <c r="I103" s="15">
        <f>COUNTIF(Applicant_List!AI104:BM104,"N")+COUNTBLANK(Applicant_List!AI104:BM104)</f>
        <v/>
      </c>
      <c r="J103" s="15">
        <f>Applicant_List!BT104</f>
        <v/>
      </c>
      <c r="K103" s="15">
        <f>Applicant_List!CA104</f>
        <v/>
      </c>
      <c r="L103" s="15">
        <f>IF(Applicant_List!BQ104="Y",IF(Applicant_List!CB104="Y","Would Advance","Would Not Advance"),"Existing Pipeline")</f>
        <v/>
      </c>
    </row>
    <row r="104">
      <c r="A104" s="15">
        <f>Applicant_List!C105</f>
        <v/>
      </c>
      <c r="B104" s="15">
        <f>Applicant_List!E105</f>
        <v/>
      </c>
      <c r="C104" s="15">
        <f>Applicant_List!L105</f>
        <v/>
      </c>
      <c r="D104" s="15">
        <f>Applicant_List!BU105</f>
        <v/>
      </c>
      <c r="E104" s="15">
        <f>Applicant_List!BV105</f>
        <v/>
      </c>
      <c r="F104" s="15">
        <f>Applicant_List!CB105</f>
        <v/>
      </c>
      <c r="G104" s="15">
        <f>Applicant_List!BW105</f>
        <v/>
      </c>
      <c r="H104" s="15">
        <f>Applicant_List!BY105</f>
        <v/>
      </c>
      <c r="I104" s="15">
        <f>COUNTIF(Applicant_List!AI105:BM105,"N")+COUNTBLANK(Applicant_List!AI105:BM105)</f>
        <v/>
      </c>
      <c r="J104" s="15">
        <f>Applicant_List!BT105</f>
        <v/>
      </c>
      <c r="K104" s="15">
        <f>Applicant_List!CA105</f>
        <v/>
      </c>
      <c r="L104" s="15">
        <f>IF(Applicant_List!BQ105="Y",IF(Applicant_List!CB105="Y","Would Advance","Would Not Advance"),"Existing Pipeline")</f>
        <v/>
      </c>
    </row>
    <row r="105">
      <c r="A105" s="15">
        <f>Applicant_List!C106</f>
        <v/>
      </c>
      <c r="B105" s="15">
        <f>Applicant_List!E106</f>
        <v/>
      </c>
      <c r="C105" s="15">
        <f>Applicant_List!L106</f>
        <v/>
      </c>
      <c r="D105" s="15">
        <f>Applicant_List!BU106</f>
        <v/>
      </c>
      <c r="E105" s="15">
        <f>Applicant_List!BV106</f>
        <v/>
      </c>
      <c r="F105" s="15">
        <f>Applicant_List!CB106</f>
        <v/>
      </c>
      <c r="G105" s="15">
        <f>Applicant_List!BW106</f>
        <v/>
      </c>
      <c r="H105" s="15">
        <f>Applicant_List!BY106</f>
        <v/>
      </c>
      <c r="I105" s="15">
        <f>COUNTIF(Applicant_List!AI106:BM106,"N")+COUNTBLANK(Applicant_List!AI106:BM106)</f>
        <v/>
      </c>
      <c r="J105" s="15">
        <f>Applicant_List!BT106</f>
        <v/>
      </c>
      <c r="K105" s="15">
        <f>Applicant_List!CA106</f>
        <v/>
      </c>
      <c r="L105" s="15">
        <f>IF(Applicant_List!BQ106="Y",IF(Applicant_List!CB106="Y","Would Advance","Would Not Advance"),"Existing Pipeline")</f>
        <v/>
      </c>
    </row>
    <row r="106">
      <c r="A106" s="15">
        <f>Applicant_List!C107</f>
        <v/>
      </c>
      <c r="B106" s="15">
        <f>Applicant_List!E107</f>
        <v/>
      </c>
      <c r="C106" s="15">
        <f>Applicant_List!L107</f>
        <v/>
      </c>
      <c r="D106" s="15">
        <f>Applicant_List!BU107</f>
        <v/>
      </c>
      <c r="E106" s="15">
        <f>Applicant_List!BV107</f>
        <v/>
      </c>
      <c r="F106" s="15">
        <f>Applicant_List!CB107</f>
        <v/>
      </c>
      <c r="G106" s="15">
        <f>Applicant_List!BW107</f>
        <v/>
      </c>
      <c r="H106" s="15">
        <f>Applicant_List!BY107</f>
        <v/>
      </c>
      <c r="I106" s="15">
        <f>COUNTIF(Applicant_List!AI107:BM107,"N")+COUNTBLANK(Applicant_List!AI107:BM107)</f>
        <v/>
      </c>
      <c r="J106" s="15">
        <f>Applicant_List!BT107</f>
        <v/>
      </c>
      <c r="K106" s="15">
        <f>Applicant_List!CA107</f>
        <v/>
      </c>
      <c r="L106" s="15">
        <f>IF(Applicant_List!BQ107="Y",IF(Applicant_List!CB107="Y","Would Advance","Would Not Advance"),"Existing Pipeline")</f>
        <v/>
      </c>
    </row>
    <row r="107">
      <c r="A107" s="15">
        <f>Applicant_List!C108</f>
        <v/>
      </c>
      <c r="B107" s="15">
        <f>Applicant_List!E108</f>
        <v/>
      </c>
      <c r="C107" s="15">
        <f>Applicant_List!L108</f>
        <v/>
      </c>
      <c r="D107" s="15">
        <f>Applicant_List!BU108</f>
        <v/>
      </c>
      <c r="E107" s="15">
        <f>Applicant_List!BV108</f>
        <v/>
      </c>
      <c r="F107" s="15">
        <f>Applicant_List!CB108</f>
        <v/>
      </c>
      <c r="G107" s="15">
        <f>Applicant_List!BW108</f>
        <v/>
      </c>
      <c r="H107" s="15">
        <f>Applicant_List!BY108</f>
        <v/>
      </c>
      <c r="I107" s="15">
        <f>COUNTIF(Applicant_List!AI108:BM108,"N")+COUNTBLANK(Applicant_List!AI108:BM108)</f>
        <v/>
      </c>
      <c r="J107" s="15">
        <f>Applicant_List!BT108</f>
        <v/>
      </c>
      <c r="K107" s="15">
        <f>Applicant_List!CA108</f>
        <v/>
      </c>
      <c r="L107" s="15">
        <f>IF(Applicant_List!BQ108="Y",IF(Applicant_List!CB108="Y","Would Advance","Would Not Advance"),"Existing Pipeline")</f>
        <v/>
      </c>
    </row>
    <row r="108">
      <c r="A108" s="15">
        <f>Applicant_List!C109</f>
        <v/>
      </c>
      <c r="B108" s="15">
        <f>Applicant_List!E109</f>
        <v/>
      </c>
      <c r="C108" s="15">
        <f>Applicant_List!L109</f>
        <v/>
      </c>
      <c r="D108" s="15">
        <f>Applicant_List!BU109</f>
        <v/>
      </c>
      <c r="E108" s="15">
        <f>Applicant_List!BV109</f>
        <v/>
      </c>
      <c r="F108" s="15">
        <f>Applicant_List!CB109</f>
        <v/>
      </c>
      <c r="G108" s="15">
        <f>Applicant_List!BW109</f>
        <v/>
      </c>
      <c r="H108" s="15">
        <f>Applicant_List!BY109</f>
        <v/>
      </c>
      <c r="I108" s="15">
        <f>COUNTIF(Applicant_List!AI109:BM109,"N")+COUNTBLANK(Applicant_List!AI109:BM109)</f>
        <v/>
      </c>
      <c r="J108" s="15">
        <f>Applicant_List!BT109</f>
        <v/>
      </c>
      <c r="K108" s="15">
        <f>Applicant_List!CA109</f>
        <v/>
      </c>
      <c r="L108" s="15">
        <f>IF(Applicant_List!BQ109="Y",IF(Applicant_List!CB109="Y","Would Advance","Would Not Advance"),"Existing Pipeline")</f>
        <v/>
      </c>
    </row>
    <row r="109">
      <c r="A109" s="15">
        <f>Applicant_List!C110</f>
        <v/>
      </c>
      <c r="B109" s="15">
        <f>Applicant_List!E110</f>
        <v/>
      </c>
      <c r="C109" s="15">
        <f>Applicant_List!L110</f>
        <v/>
      </c>
      <c r="D109" s="15">
        <f>Applicant_List!BU110</f>
        <v/>
      </c>
      <c r="E109" s="15">
        <f>Applicant_List!BV110</f>
        <v/>
      </c>
      <c r="F109" s="15">
        <f>Applicant_List!CB110</f>
        <v/>
      </c>
      <c r="G109" s="15">
        <f>Applicant_List!BW110</f>
        <v/>
      </c>
      <c r="H109" s="15">
        <f>Applicant_List!BY110</f>
        <v/>
      </c>
      <c r="I109" s="15">
        <f>COUNTIF(Applicant_List!AI110:BM110,"N")+COUNTBLANK(Applicant_List!AI110:BM110)</f>
        <v/>
      </c>
      <c r="J109" s="15">
        <f>Applicant_List!BT110</f>
        <v/>
      </c>
      <c r="K109" s="15">
        <f>Applicant_List!CA110</f>
        <v/>
      </c>
      <c r="L109" s="15">
        <f>IF(Applicant_List!BQ110="Y",IF(Applicant_List!CB110="Y","Would Advance","Would Not Advance"),"Existing Pipeline")</f>
        <v/>
      </c>
    </row>
    <row r="110">
      <c r="A110" s="15">
        <f>Applicant_List!C111</f>
        <v/>
      </c>
      <c r="B110" s="15">
        <f>Applicant_List!E111</f>
        <v/>
      </c>
      <c r="C110" s="15">
        <f>Applicant_List!L111</f>
        <v/>
      </c>
      <c r="D110" s="15">
        <f>Applicant_List!BU111</f>
        <v/>
      </c>
      <c r="E110" s="15">
        <f>Applicant_List!BV111</f>
        <v/>
      </c>
      <c r="F110" s="15">
        <f>Applicant_List!CB111</f>
        <v/>
      </c>
      <c r="G110" s="15">
        <f>Applicant_List!BW111</f>
        <v/>
      </c>
      <c r="H110" s="15">
        <f>Applicant_List!BY111</f>
        <v/>
      </c>
      <c r="I110" s="15">
        <f>COUNTIF(Applicant_List!AI111:BM111,"N")+COUNTBLANK(Applicant_List!AI111:BM111)</f>
        <v/>
      </c>
      <c r="J110" s="15">
        <f>Applicant_List!BT111</f>
        <v/>
      </c>
      <c r="K110" s="15">
        <f>Applicant_List!CA111</f>
        <v/>
      </c>
      <c r="L110" s="15">
        <f>IF(Applicant_List!BQ111="Y",IF(Applicant_List!CB111="Y","Would Advance","Would Not Advance"),"Existing Pipeline")</f>
        <v/>
      </c>
    </row>
    <row r="111">
      <c r="A111" s="15">
        <f>Applicant_List!C112</f>
        <v/>
      </c>
      <c r="B111" s="15">
        <f>Applicant_List!E112</f>
        <v/>
      </c>
      <c r="C111" s="15">
        <f>Applicant_List!L112</f>
        <v/>
      </c>
      <c r="D111" s="15">
        <f>Applicant_List!BU112</f>
        <v/>
      </c>
      <c r="E111" s="15">
        <f>Applicant_List!BV112</f>
        <v/>
      </c>
      <c r="F111" s="15">
        <f>Applicant_List!CB112</f>
        <v/>
      </c>
      <c r="G111" s="15">
        <f>Applicant_List!BW112</f>
        <v/>
      </c>
      <c r="H111" s="15">
        <f>Applicant_List!BY112</f>
        <v/>
      </c>
      <c r="I111" s="15">
        <f>COUNTIF(Applicant_List!AI112:BM112,"N")+COUNTBLANK(Applicant_List!AI112:BM112)</f>
        <v/>
      </c>
      <c r="J111" s="15">
        <f>Applicant_List!BT112</f>
        <v/>
      </c>
      <c r="K111" s="15">
        <f>Applicant_List!CA112</f>
        <v/>
      </c>
      <c r="L111" s="15">
        <f>IF(Applicant_List!BQ112="Y",IF(Applicant_List!CB112="Y","Would Advance","Would Not Advance"),"Existing Pipeline")</f>
        <v/>
      </c>
    </row>
    <row r="112">
      <c r="A112" s="15">
        <f>Applicant_List!C113</f>
        <v/>
      </c>
      <c r="B112" s="15">
        <f>Applicant_List!E113</f>
        <v/>
      </c>
      <c r="C112" s="15">
        <f>Applicant_List!L113</f>
        <v/>
      </c>
      <c r="D112" s="15">
        <f>Applicant_List!BU113</f>
        <v/>
      </c>
      <c r="E112" s="15">
        <f>Applicant_List!BV113</f>
        <v/>
      </c>
      <c r="F112" s="15">
        <f>Applicant_List!CB113</f>
        <v/>
      </c>
      <c r="G112" s="15">
        <f>Applicant_List!BW113</f>
        <v/>
      </c>
      <c r="H112" s="15">
        <f>Applicant_List!BY113</f>
        <v/>
      </c>
      <c r="I112" s="15">
        <f>COUNTIF(Applicant_List!AI113:BM113,"N")+COUNTBLANK(Applicant_List!AI113:BM113)</f>
        <v/>
      </c>
      <c r="J112" s="15">
        <f>Applicant_List!BT113</f>
        <v/>
      </c>
      <c r="K112" s="15">
        <f>Applicant_List!CA113</f>
        <v/>
      </c>
      <c r="L112" s="15">
        <f>IF(Applicant_List!BQ113="Y",IF(Applicant_List!CB113="Y","Would Advance","Would Not Advance"),"Existing Pipeline")</f>
        <v/>
      </c>
    </row>
    <row r="113">
      <c r="A113" s="15">
        <f>Applicant_List!C114</f>
        <v/>
      </c>
      <c r="B113" s="15">
        <f>Applicant_List!E114</f>
        <v/>
      </c>
      <c r="C113" s="15">
        <f>Applicant_List!L114</f>
        <v/>
      </c>
      <c r="D113" s="15">
        <f>Applicant_List!BU114</f>
        <v/>
      </c>
      <c r="E113" s="15">
        <f>Applicant_List!BV114</f>
        <v/>
      </c>
      <c r="F113" s="15">
        <f>Applicant_List!CB114</f>
        <v/>
      </c>
      <c r="G113" s="15">
        <f>Applicant_List!BW114</f>
        <v/>
      </c>
      <c r="H113" s="15">
        <f>Applicant_List!BY114</f>
        <v/>
      </c>
      <c r="I113" s="15">
        <f>COUNTIF(Applicant_List!AI114:BM114,"N")+COUNTBLANK(Applicant_List!AI114:BM114)</f>
        <v/>
      </c>
      <c r="J113" s="15">
        <f>Applicant_List!BT114</f>
        <v/>
      </c>
      <c r="K113" s="15">
        <f>Applicant_List!CA114</f>
        <v/>
      </c>
      <c r="L113" s="15">
        <f>IF(Applicant_List!BQ114="Y",IF(Applicant_List!CB114="Y","Would Advance","Would Not Advance"),"Existing Pipeline")</f>
        <v/>
      </c>
    </row>
    <row r="114">
      <c r="A114" s="15">
        <f>Applicant_List!C115</f>
        <v/>
      </c>
      <c r="B114" s="15">
        <f>Applicant_List!E115</f>
        <v/>
      </c>
      <c r="C114" s="15">
        <f>Applicant_List!L115</f>
        <v/>
      </c>
      <c r="D114" s="15">
        <f>Applicant_List!BU115</f>
        <v/>
      </c>
      <c r="E114" s="15">
        <f>Applicant_List!BV115</f>
        <v/>
      </c>
      <c r="F114" s="15">
        <f>Applicant_List!CB115</f>
        <v/>
      </c>
      <c r="G114" s="15">
        <f>Applicant_List!BW115</f>
        <v/>
      </c>
      <c r="H114" s="15">
        <f>Applicant_List!BY115</f>
        <v/>
      </c>
      <c r="I114" s="15">
        <f>COUNTIF(Applicant_List!AI115:BM115,"N")+COUNTBLANK(Applicant_List!AI115:BM115)</f>
        <v/>
      </c>
      <c r="J114" s="15">
        <f>Applicant_List!BT115</f>
        <v/>
      </c>
      <c r="K114" s="15">
        <f>Applicant_List!CA115</f>
        <v/>
      </c>
      <c r="L114" s="15">
        <f>IF(Applicant_List!BQ115="Y",IF(Applicant_List!CB115="Y","Would Advance","Would Not Advance"),"Existing Pipeline")</f>
        <v/>
      </c>
    </row>
    <row r="115">
      <c r="A115" s="15">
        <f>Applicant_List!C116</f>
        <v/>
      </c>
      <c r="B115" s="15">
        <f>Applicant_List!E116</f>
        <v/>
      </c>
      <c r="C115" s="15">
        <f>Applicant_List!L116</f>
        <v/>
      </c>
      <c r="D115" s="15">
        <f>Applicant_List!BU116</f>
        <v/>
      </c>
      <c r="E115" s="15">
        <f>Applicant_List!BV116</f>
        <v/>
      </c>
      <c r="F115" s="15">
        <f>Applicant_List!CB116</f>
        <v/>
      </c>
      <c r="G115" s="15">
        <f>Applicant_List!BW116</f>
        <v/>
      </c>
      <c r="H115" s="15">
        <f>Applicant_List!BY116</f>
        <v/>
      </c>
      <c r="I115" s="15">
        <f>COUNTIF(Applicant_List!AI116:BM116,"N")+COUNTBLANK(Applicant_List!AI116:BM116)</f>
        <v/>
      </c>
      <c r="J115" s="15">
        <f>Applicant_List!BT116</f>
        <v/>
      </c>
      <c r="K115" s="15">
        <f>Applicant_List!CA116</f>
        <v/>
      </c>
      <c r="L115" s="15">
        <f>IF(Applicant_List!BQ116="Y",IF(Applicant_List!CB116="Y","Would Advance","Would Not Advance"),"Existing Pipeline")</f>
        <v/>
      </c>
    </row>
    <row r="116">
      <c r="A116" s="15">
        <f>Applicant_List!C117</f>
        <v/>
      </c>
      <c r="B116" s="15">
        <f>Applicant_List!E117</f>
        <v/>
      </c>
      <c r="C116" s="15">
        <f>Applicant_List!L117</f>
        <v/>
      </c>
      <c r="D116" s="15">
        <f>Applicant_List!BU117</f>
        <v/>
      </c>
      <c r="E116" s="15">
        <f>Applicant_List!BV117</f>
        <v/>
      </c>
      <c r="F116" s="15">
        <f>Applicant_List!CB117</f>
        <v/>
      </c>
      <c r="G116" s="15">
        <f>Applicant_List!BW117</f>
        <v/>
      </c>
      <c r="H116" s="15">
        <f>Applicant_List!BY117</f>
        <v/>
      </c>
      <c r="I116" s="15">
        <f>COUNTIF(Applicant_List!AI117:BM117,"N")+COUNTBLANK(Applicant_List!AI117:BM117)</f>
        <v/>
      </c>
      <c r="J116" s="15">
        <f>Applicant_List!BT117</f>
        <v/>
      </c>
      <c r="K116" s="15">
        <f>Applicant_List!CA117</f>
        <v/>
      </c>
      <c r="L116" s="15">
        <f>IF(Applicant_List!BQ117="Y",IF(Applicant_List!CB117="Y","Would Advance","Would Not Advance"),"Existing Pipeline")</f>
        <v/>
      </c>
    </row>
    <row r="117">
      <c r="A117" s="15">
        <f>Applicant_List!C118</f>
        <v/>
      </c>
      <c r="B117" s="15">
        <f>Applicant_List!E118</f>
        <v/>
      </c>
      <c r="C117" s="15">
        <f>Applicant_List!L118</f>
        <v/>
      </c>
      <c r="D117" s="15">
        <f>Applicant_List!BU118</f>
        <v/>
      </c>
      <c r="E117" s="15">
        <f>Applicant_List!BV118</f>
        <v/>
      </c>
      <c r="F117" s="15">
        <f>Applicant_List!CB118</f>
        <v/>
      </c>
      <c r="G117" s="15">
        <f>Applicant_List!BW118</f>
        <v/>
      </c>
      <c r="H117" s="15">
        <f>Applicant_List!BY118</f>
        <v/>
      </c>
      <c r="I117" s="15">
        <f>COUNTIF(Applicant_List!AI118:BM118,"N")+COUNTBLANK(Applicant_List!AI118:BM118)</f>
        <v/>
      </c>
      <c r="J117" s="15">
        <f>Applicant_List!BT118</f>
        <v/>
      </c>
      <c r="K117" s="15">
        <f>Applicant_List!CA118</f>
        <v/>
      </c>
      <c r="L117" s="15">
        <f>IF(Applicant_List!BQ118="Y",IF(Applicant_List!CB118="Y","Would Advance","Would Not Advance"),"Existing Pipeline")</f>
        <v/>
      </c>
    </row>
    <row r="118">
      <c r="A118" s="15">
        <f>Applicant_List!C119</f>
        <v/>
      </c>
      <c r="B118" s="15">
        <f>Applicant_List!E119</f>
        <v/>
      </c>
      <c r="C118" s="15">
        <f>Applicant_List!L119</f>
        <v/>
      </c>
      <c r="D118" s="15">
        <f>Applicant_List!BU119</f>
        <v/>
      </c>
      <c r="E118" s="15">
        <f>Applicant_List!BV119</f>
        <v/>
      </c>
      <c r="F118" s="15">
        <f>Applicant_List!CB119</f>
        <v/>
      </c>
      <c r="G118" s="15">
        <f>Applicant_List!BW119</f>
        <v/>
      </c>
      <c r="H118" s="15">
        <f>Applicant_List!BY119</f>
        <v/>
      </c>
      <c r="I118" s="15">
        <f>COUNTIF(Applicant_List!AI119:BM119,"N")+COUNTBLANK(Applicant_List!AI119:BM119)</f>
        <v/>
      </c>
      <c r="J118" s="15">
        <f>Applicant_List!BT119</f>
        <v/>
      </c>
      <c r="K118" s="15">
        <f>Applicant_List!CA119</f>
        <v/>
      </c>
      <c r="L118" s="15">
        <f>IF(Applicant_List!BQ119="Y",IF(Applicant_List!CB119="Y","Would Advance","Would Not Advance"),"Existing Pipeline")</f>
        <v/>
      </c>
    </row>
    <row r="119">
      <c r="A119" s="15">
        <f>Applicant_List!C120</f>
        <v/>
      </c>
      <c r="B119" s="15">
        <f>Applicant_List!E120</f>
        <v/>
      </c>
      <c r="C119" s="15">
        <f>Applicant_List!L120</f>
        <v/>
      </c>
      <c r="D119" s="15">
        <f>Applicant_List!BU120</f>
        <v/>
      </c>
      <c r="E119" s="15">
        <f>Applicant_List!BV120</f>
        <v/>
      </c>
      <c r="F119" s="15">
        <f>Applicant_List!CB120</f>
        <v/>
      </c>
      <c r="G119" s="15">
        <f>Applicant_List!BW120</f>
        <v/>
      </c>
      <c r="H119" s="15">
        <f>Applicant_List!BY120</f>
        <v/>
      </c>
      <c r="I119" s="15">
        <f>COUNTIF(Applicant_List!AI120:BM120,"N")+COUNTBLANK(Applicant_List!AI120:BM120)</f>
        <v/>
      </c>
      <c r="J119" s="15">
        <f>Applicant_List!BT120</f>
        <v/>
      </c>
      <c r="K119" s="15">
        <f>Applicant_List!CA120</f>
        <v/>
      </c>
      <c r="L119" s="15">
        <f>IF(Applicant_List!BQ120="Y",IF(Applicant_List!CB120="Y","Would Advance","Would Not Advance"),"Existing Pipeline")</f>
        <v/>
      </c>
    </row>
    <row r="120">
      <c r="A120" s="15">
        <f>Applicant_List!C121</f>
        <v/>
      </c>
      <c r="B120" s="15">
        <f>Applicant_List!E121</f>
        <v/>
      </c>
      <c r="C120" s="15">
        <f>Applicant_List!L121</f>
        <v/>
      </c>
      <c r="D120" s="15">
        <f>Applicant_List!BU121</f>
        <v/>
      </c>
      <c r="E120" s="15">
        <f>Applicant_List!BV121</f>
        <v/>
      </c>
      <c r="F120" s="15">
        <f>Applicant_List!CB121</f>
        <v/>
      </c>
      <c r="G120" s="15">
        <f>Applicant_List!BW121</f>
        <v/>
      </c>
      <c r="H120" s="15">
        <f>Applicant_List!BY121</f>
        <v/>
      </c>
      <c r="I120" s="15">
        <f>COUNTIF(Applicant_List!AI121:BM121,"N")+COUNTBLANK(Applicant_List!AI121:BM121)</f>
        <v/>
      </c>
      <c r="J120" s="15">
        <f>Applicant_List!BT121</f>
        <v/>
      </c>
      <c r="K120" s="15">
        <f>Applicant_List!CA121</f>
        <v/>
      </c>
      <c r="L120" s="15">
        <f>IF(Applicant_List!BQ121="Y",IF(Applicant_List!CB121="Y","Would Advance","Would Not Advance"),"Existing Pipeline")</f>
        <v/>
      </c>
    </row>
    <row r="121">
      <c r="A121" s="15">
        <f>Applicant_List!C122</f>
        <v/>
      </c>
      <c r="B121" s="15">
        <f>Applicant_List!E122</f>
        <v/>
      </c>
      <c r="C121" s="15">
        <f>Applicant_List!L122</f>
        <v/>
      </c>
      <c r="D121" s="15">
        <f>Applicant_List!BU122</f>
        <v/>
      </c>
      <c r="E121" s="15">
        <f>Applicant_List!BV122</f>
        <v/>
      </c>
      <c r="F121" s="15">
        <f>Applicant_List!CB122</f>
        <v/>
      </c>
      <c r="G121" s="15">
        <f>Applicant_List!BW122</f>
        <v/>
      </c>
      <c r="H121" s="15">
        <f>Applicant_List!BY122</f>
        <v/>
      </c>
      <c r="I121" s="15">
        <f>COUNTIF(Applicant_List!AI122:BM122,"N")+COUNTBLANK(Applicant_List!AI122:BM122)</f>
        <v/>
      </c>
      <c r="J121" s="15">
        <f>Applicant_List!BT122</f>
        <v/>
      </c>
      <c r="K121" s="15">
        <f>Applicant_List!CA122</f>
        <v/>
      </c>
      <c r="L121" s="15">
        <f>IF(Applicant_List!BQ122="Y",IF(Applicant_List!CB122="Y","Would Advance","Would Not Advance"),"Existing Pipeline")</f>
        <v/>
      </c>
    </row>
    <row r="122">
      <c r="A122" s="15">
        <f>Applicant_List!C123</f>
        <v/>
      </c>
      <c r="B122" s="15">
        <f>Applicant_List!E123</f>
        <v/>
      </c>
      <c r="C122" s="15">
        <f>Applicant_List!L123</f>
        <v/>
      </c>
      <c r="D122" s="15">
        <f>Applicant_List!BU123</f>
        <v/>
      </c>
      <c r="E122" s="15">
        <f>Applicant_List!BV123</f>
        <v/>
      </c>
      <c r="F122" s="15">
        <f>Applicant_List!CB123</f>
        <v/>
      </c>
      <c r="G122" s="15">
        <f>Applicant_List!BW123</f>
        <v/>
      </c>
      <c r="H122" s="15">
        <f>Applicant_List!BY123</f>
        <v/>
      </c>
      <c r="I122" s="15">
        <f>COUNTIF(Applicant_List!AI123:BM123,"N")+COUNTBLANK(Applicant_List!AI123:BM123)</f>
        <v/>
      </c>
      <c r="J122" s="15">
        <f>Applicant_List!BT123</f>
        <v/>
      </c>
      <c r="K122" s="15">
        <f>Applicant_List!CA123</f>
        <v/>
      </c>
      <c r="L122" s="15">
        <f>IF(Applicant_List!BQ123="Y",IF(Applicant_List!CB123="Y","Would Advance","Would Not Advance"),"Existing Pipeline")</f>
        <v/>
      </c>
    </row>
    <row r="123">
      <c r="A123" s="15">
        <f>Applicant_List!C124</f>
        <v/>
      </c>
      <c r="B123" s="15">
        <f>Applicant_List!E124</f>
        <v/>
      </c>
      <c r="C123" s="15">
        <f>Applicant_List!L124</f>
        <v/>
      </c>
      <c r="D123" s="15">
        <f>Applicant_List!BU124</f>
        <v/>
      </c>
      <c r="E123" s="15">
        <f>Applicant_List!BV124</f>
        <v/>
      </c>
      <c r="F123" s="15">
        <f>Applicant_List!CB124</f>
        <v/>
      </c>
      <c r="G123" s="15">
        <f>Applicant_List!BW124</f>
        <v/>
      </c>
      <c r="H123" s="15">
        <f>Applicant_List!BY124</f>
        <v/>
      </c>
      <c r="I123" s="15">
        <f>COUNTIF(Applicant_List!AI124:BM124,"N")+COUNTBLANK(Applicant_List!AI124:BM124)</f>
        <v/>
      </c>
      <c r="J123" s="15">
        <f>Applicant_List!BT124</f>
        <v/>
      </c>
      <c r="K123" s="15">
        <f>Applicant_List!CA124</f>
        <v/>
      </c>
      <c r="L123" s="15">
        <f>IF(Applicant_List!BQ124="Y",IF(Applicant_List!CB124="Y","Would Advance","Would Not Advance"),"Existing Pipeline")</f>
        <v/>
      </c>
    </row>
    <row r="124">
      <c r="A124" s="15">
        <f>Applicant_List!C125</f>
        <v/>
      </c>
      <c r="B124" s="15">
        <f>Applicant_List!E125</f>
        <v/>
      </c>
      <c r="C124" s="15">
        <f>Applicant_List!L125</f>
        <v/>
      </c>
      <c r="D124" s="15">
        <f>Applicant_List!BU125</f>
        <v/>
      </c>
      <c r="E124" s="15">
        <f>Applicant_List!BV125</f>
        <v/>
      </c>
      <c r="F124" s="15">
        <f>Applicant_List!CB125</f>
        <v/>
      </c>
      <c r="G124" s="15">
        <f>Applicant_List!BW125</f>
        <v/>
      </c>
      <c r="H124" s="15">
        <f>Applicant_List!BY125</f>
        <v/>
      </c>
      <c r="I124" s="15">
        <f>COUNTIF(Applicant_List!AI125:BM125,"N")+COUNTBLANK(Applicant_List!AI125:BM125)</f>
        <v/>
      </c>
      <c r="J124" s="15">
        <f>Applicant_List!BT125</f>
        <v/>
      </c>
      <c r="K124" s="15">
        <f>Applicant_List!CA125</f>
        <v/>
      </c>
      <c r="L124" s="15">
        <f>IF(Applicant_List!BQ125="Y",IF(Applicant_List!CB125="Y","Would Advance","Would Not Advance"),"Existing Pipeline")</f>
        <v/>
      </c>
    </row>
    <row r="125">
      <c r="A125" s="15">
        <f>Applicant_List!C126</f>
        <v/>
      </c>
      <c r="B125" s="15">
        <f>Applicant_List!E126</f>
        <v/>
      </c>
      <c r="C125" s="15">
        <f>Applicant_List!L126</f>
        <v/>
      </c>
      <c r="D125" s="15">
        <f>Applicant_List!BU126</f>
        <v/>
      </c>
      <c r="E125" s="15">
        <f>Applicant_List!BV126</f>
        <v/>
      </c>
      <c r="F125" s="15">
        <f>Applicant_List!CB126</f>
        <v/>
      </c>
      <c r="G125" s="15">
        <f>Applicant_List!BW126</f>
        <v/>
      </c>
      <c r="H125" s="15">
        <f>Applicant_List!BY126</f>
        <v/>
      </c>
      <c r="I125" s="15">
        <f>COUNTIF(Applicant_List!AI126:BM126,"N")+COUNTBLANK(Applicant_List!AI126:BM126)</f>
        <v/>
      </c>
      <c r="J125" s="15">
        <f>Applicant_List!BT126</f>
        <v/>
      </c>
      <c r="K125" s="15">
        <f>Applicant_List!CA126</f>
        <v/>
      </c>
      <c r="L125" s="15">
        <f>IF(Applicant_List!BQ126="Y",IF(Applicant_List!CB126="Y","Would Advance","Would Not Advance"),"Existing Pipeline")</f>
        <v/>
      </c>
    </row>
    <row r="126">
      <c r="A126" s="15">
        <f>Applicant_List!C127</f>
        <v/>
      </c>
      <c r="B126" s="15">
        <f>Applicant_List!E127</f>
        <v/>
      </c>
      <c r="C126" s="15">
        <f>Applicant_List!L127</f>
        <v/>
      </c>
      <c r="D126" s="15">
        <f>Applicant_List!BU127</f>
        <v/>
      </c>
      <c r="E126" s="15">
        <f>Applicant_List!BV127</f>
        <v/>
      </c>
      <c r="F126" s="15">
        <f>Applicant_List!CB127</f>
        <v/>
      </c>
      <c r="G126" s="15">
        <f>Applicant_List!BW127</f>
        <v/>
      </c>
      <c r="H126" s="15">
        <f>Applicant_List!BY127</f>
        <v/>
      </c>
      <c r="I126" s="15">
        <f>COUNTIF(Applicant_List!AI127:BM127,"N")+COUNTBLANK(Applicant_List!AI127:BM127)</f>
        <v/>
      </c>
      <c r="J126" s="15">
        <f>Applicant_List!BT127</f>
        <v/>
      </c>
      <c r="K126" s="15">
        <f>Applicant_List!CA127</f>
        <v/>
      </c>
      <c r="L126" s="15">
        <f>IF(Applicant_List!BQ127="Y",IF(Applicant_List!CB127="Y","Would Advance","Would Not Advance"),"Existing Pipeline")</f>
        <v/>
      </c>
    </row>
    <row r="127">
      <c r="A127" s="15">
        <f>Applicant_List!C128</f>
        <v/>
      </c>
      <c r="B127" s="15">
        <f>Applicant_List!E128</f>
        <v/>
      </c>
      <c r="C127" s="15">
        <f>Applicant_List!L128</f>
        <v/>
      </c>
      <c r="D127" s="15">
        <f>Applicant_List!BU128</f>
        <v/>
      </c>
      <c r="E127" s="15">
        <f>Applicant_List!BV128</f>
        <v/>
      </c>
      <c r="F127" s="15">
        <f>Applicant_List!CB128</f>
        <v/>
      </c>
      <c r="G127" s="15">
        <f>Applicant_List!BW128</f>
        <v/>
      </c>
      <c r="H127" s="15">
        <f>Applicant_List!BY128</f>
        <v/>
      </c>
      <c r="I127" s="15">
        <f>COUNTIF(Applicant_List!AI128:BM128,"N")+COUNTBLANK(Applicant_List!AI128:BM128)</f>
        <v/>
      </c>
      <c r="J127" s="15">
        <f>Applicant_List!BT128</f>
        <v/>
      </c>
      <c r="K127" s="15">
        <f>Applicant_List!CA128</f>
        <v/>
      </c>
      <c r="L127" s="15">
        <f>IF(Applicant_List!BQ128="Y",IF(Applicant_List!CB128="Y","Would Advance","Would Not Advance"),"Existing Pipeline")</f>
        <v/>
      </c>
    </row>
    <row r="128">
      <c r="A128" s="15">
        <f>Applicant_List!C129</f>
        <v/>
      </c>
      <c r="B128" s="15">
        <f>Applicant_List!E129</f>
        <v/>
      </c>
      <c r="C128" s="15">
        <f>Applicant_List!L129</f>
        <v/>
      </c>
      <c r="D128" s="15">
        <f>Applicant_List!BU129</f>
        <v/>
      </c>
      <c r="E128" s="15">
        <f>Applicant_List!BV129</f>
        <v/>
      </c>
      <c r="F128" s="15">
        <f>Applicant_List!CB129</f>
        <v/>
      </c>
      <c r="G128" s="15">
        <f>Applicant_List!BW129</f>
        <v/>
      </c>
      <c r="H128" s="15">
        <f>Applicant_List!BY129</f>
        <v/>
      </c>
      <c r="I128" s="15">
        <f>COUNTIF(Applicant_List!AI129:BM129,"N")+COUNTBLANK(Applicant_List!AI129:BM129)</f>
        <v/>
      </c>
      <c r="J128" s="15">
        <f>Applicant_List!BT129</f>
        <v/>
      </c>
      <c r="K128" s="15">
        <f>Applicant_List!CA129</f>
        <v/>
      </c>
      <c r="L128" s="15">
        <f>IF(Applicant_List!BQ129="Y",IF(Applicant_List!CB129="Y","Would Advance","Would Not Advance"),"Existing Pipeline")</f>
        <v/>
      </c>
    </row>
    <row r="129">
      <c r="A129" s="15">
        <f>Applicant_List!C130</f>
        <v/>
      </c>
      <c r="B129" s="15">
        <f>Applicant_List!E130</f>
        <v/>
      </c>
      <c r="C129" s="15">
        <f>Applicant_List!L130</f>
        <v/>
      </c>
      <c r="D129" s="15">
        <f>Applicant_List!BU130</f>
        <v/>
      </c>
      <c r="E129" s="15">
        <f>Applicant_List!BV130</f>
        <v/>
      </c>
      <c r="F129" s="15">
        <f>Applicant_List!CB130</f>
        <v/>
      </c>
      <c r="G129" s="15">
        <f>Applicant_List!BW130</f>
        <v/>
      </c>
      <c r="H129" s="15">
        <f>Applicant_List!BY130</f>
        <v/>
      </c>
      <c r="I129" s="15">
        <f>COUNTIF(Applicant_List!AI130:BM130,"N")+COUNTBLANK(Applicant_List!AI130:BM130)</f>
        <v/>
      </c>
      <c r="J129" s="15">
        <f>Applicant_List!BT130</f>
        <v/>
      </c>
      <c r="K129" s="15">
        <f>Applicant_List!CA130</f>
        <v/>
      </c>
      <c r="L129" s="15">
        <f>IF(Applicant_List!BQ130="Y",IF(Applicant_List!CB130="Y","Would Advance","Would Not Advance"),"Existing Pipeline")</f>
        <v/>
      </c>
    </row>
    <row r="130">
      <c r="A130" s="15">
        <f>Applicant_List!C131</f>
        <v/>
      </c>
      <c r="B130" s="15">
        <f>Applicant_List!E131</f>
        <v/>
      </c>
      <c r="C130" s="15">
        <f>Applicant_List!L131</f>
        <v/>
      </c>
      <c r="D130" s="15">
        <f>Applicant_List!BU131</f>
        <v/>
      </c>
      <c r="E130" s="15">
        <f>Applicant_List!BV131</f>
        <v/>
      </c>
      <c r="F130" s="15">
        <f>Applicant_List!CB131</f>
        <v/>
      </c>
      <c r="G130" s="15">
        <f>Applicant_List!BW131</f>
        <v/>
      </c>
      <c r="H130" s="15">
        <f>Applicant_List!BY131</f>
        <v/>
      </c>
      <c r="I130" s="15">
        <f>COUNTIF(Applicant_List!AI131:BM131,"N")+COUNTBLANK(Applicant_List!AI131:BM131)</f>
        <v/>
      </c>
      <c r="J130" s="15">
        <f>Applicant_List!BT131</f>
        <v/>
      </c>
      <c r="K130" s="15">
        <f>Applicant_List!CA131</f>
        <v/>
      </c>
      <c r="L130" s="15">
        <f>IF(Applicant_List!BQ131="Y",IF(Applicant_List!CB131="Y","Would Advance","Would Not Advance"),"Existing Pipeline")</f>
        <v/>
      </c>
    </row>
    <row r="131">
      <c r="A131" s="15">
        <f>Applicant_List!C132</f>
        <v/>
      </c>
      <c r="B131" s="15">
        <f>Applicant_List!E132</f>
        <v/>
      </c>
      <c r="C131" s="15">
        <f>Applicant_List!L132</f>
        <v/>
      </c>
      <c r="D131" s="15">
        <f>Applicant_List!BU132</f>
        <v/>
      </c>
      <c r="E131" s="15">
        <f>Applicant_List!BV132</f>
        <v/>
      </c>
      <c r="F131" s="15">
        <f>Applicant_List!CB132</f>
        <v/>
      </c>
      <c r="G131" s="15">
        <f>Applicant_List!BW132</f>
        <v/>
      </c>
      <c r="H131" s="15">
        <f>Applicant_List!BY132</f>
        <v/>
      </c>
      <c r="I131" s="15">
        <f>COUNTIF(Applicant_List!AI132:BM132,"N")+COUNTBLANK(Applicant_List!AI132:BM132)</f>
        <v/>
      </c>
      <c r="J131" s="15">
        <f>Applicant_List!BT132</f>
        <v/>
      </c>
      <c r="K131" s="15">
        <f>Applicant_List!CA132</f>
        <v/>
      </c>
      <c r="L131" s="15">
        <f>IF(Applicant_List!BQ132="Y",IF(Applicant_List!CB132="Y","Would Advance","Would Not Advance"),"Existing Pipeline")</f>
        <v/>
      </c>
    </row>
    <row r="132">
      <c r="A132" s="15">
        <f>Applicant_List!C133</f>
        <v/>
      </c>
      <c r="B132" s="15">
        <f>Applicant_List!E133</f>
        <v/>
      </c>
      <c r="C132" s="15">
        <f>Applicant_List!L133</f>
        <v/>
      </c>
      <c r="D132" s="15">
        <f>Applicant_List!BU133</f>
        <v/>
      </c>
      <c r="E132" s="15">
        <f>Applicant_List!BV133</f>
        <v/>
      </c>
      <c r="F132" s="15">
        <f>Applicant_List!CB133</f>
        <v/>
      </c>
      <c r="G132" s="15">
        <f>Applicant_List!BW133</f>
        <v/>
      </c>
      <c r="H132" s="15">
        <f>Applicant_List!BY133</f>
        <v/>
      </c>
      <c r="I132" s="15">
        <f>COUNTIF(Applicant_List!AI133:BM133,"N")+COUNTBLANK(Applicant_List!AI133:BM133)</f>
        <v/>
      </c>
      <c r="J132" s="15">
        <f>Applicant_List!BT133</f>
        <v/>
      </c>
      <c r="K132" s="15">
        <f>Applicant_List!CA133</f>
        <v/>
      </c>
      <c r="L132" s="15">
        <f>IF(Applicant_List!BQ133="Y",IF(Applicant_List!CB133="Y","Would Advance","Would Not Advance"),"Existing Pipeline")</f>
        <v/>
      </c>
    </row>
    <row r="133">
      <c r="A133" s="15">
        <f>Applicant_List!C134</f>
        <v/>
      </c>
      <c r="B133" s="15">
        <f>Applicant_List!E134</f>
        <v/>
      </c>
      <c r="C133" s="15">
        <f>Applicant_List!L134</f>
        <v/>
      </c>
      <c r="D133" s="15">
        <f>Applicant_List!BU134</f>
        <v/>
      </c>
      <c r="E133" s="15">
        <f>Applicant_List!BV134</f>
        <v/>
      </c>
      <c r="F133" s="15">
        <f>Applicant_List!CB134</f>
        <v/>
      </c>
      <c r="G133" s="15">
        <f>Applicant_List!BW134</f>
        <v/>
      </c>
      <c r="H133" s="15">
        <f>Applicant_List!BY134</f>
        <v/>
      </c>
      <c r="I133" s="15">
        <f>COUNTIF(Applicant_List!AI134:BM134,"N")+COUNTBLANK(Applicant_List!AI134:BM134)</f>
        <v/>
      </c>
      <c r="J133" s="15">
        <f>Applicant_List!BT134</f>
        <v/>
      </c>
      <c r="K133" s="15">
        <f>Applicant_List!CA134</f>
        <v/>
      </c>
      <c r="L133" s="15">
        <f>IF(Applicant_List!BQ134="Y",IF(Applicant_List!CB134="Y","Would Advance","Would Not Advance"),"Existing Pipeline")</f>
        <v/>
      </c>
    </row>
    <row r="134">
      <c r="A134" s="15">
        <f>Applicant_List!C135</f>
        <v/>
      </c>
      <c r="B134" s="15">
        <f>Applicant_List!E135</f>
        <v/>
      </c>
      <c r="C134" s="15">
        <f>Applicant_List!L135</f>
        <v/>
      </c>
      <c r="D134" s="15">
        <f>Applicant_List!BU135</f>
        <v/>
      </c>
      <c r="E134" s="15">
        <f>Applicant_List!BV135</f>
        <v/>
      </c>
      <c r="F134" s="15">
        <f>Applicant_List!CB135</f>
        <v/>
      </c>
      <c r="G134" s="15">
        <f>Applicant_List!BW135</f>
        <v/>
      </c>
      <c r="H134" s="15">
        <f>Applicant_List!BY135</f>
        <v/>
      </c>
      <c r="I134" s="15">
        <f>COUNTIF(Applicant_List!AI135:BM135,"N")+COUNTBLANK(Applicant_List!AI135:BM135)</f>
        <v/>
      </c>
      <c r="J134" s="15">
        <f>Applicant_List!BT135</f>
        <v/>
      </c>
      <c r="K134" s="15">
        <f>Applicant_List!CA135</f>
        <v/>
      </c>
      <c r="L134" s="15">
        <f>IF(Applicant_List!BQ135="Y",IF(Applicant_List!CB135="Y","Would Advance","Would Not Advance"),"Existing Pipeline")</f>
        <v/>
      </c>
    </row>
    <row r="135">
      <c r="A135" s="15">
        <f>Applicant_List!C136</f>
        <v/>
      </c>
      <c r="B135" s="15">
        <f>Applicant_List!E136</f>
        <v/>
      </c>
      <c r="C135" s="15">
        <f>Applicant_List!L136</f>
        <v/>
      </c>
      <c r="D135" s="15">
        <f>Applicant_List!BU136</f>
        <v/>
      </c>
      <c r="E135" s="15">
        <f>Applicant_List!BV136</f>
        <v/>
      </c>
      <c r="F135" s="15">
        <f>Applicant_List!CB136</f>
        <v/>
      </c>
      <c r="G135" s="15">
        <f>Applicant_List!BW136</f>
        <v/>
      </c>
      <c r="H135" s="15">
        <f>Applicant_List!BY136</f>
        <v/>
      </c>
      <c r="I135" s="15">
        <f>COUNTIF(Applicant_List!AI136:BM136,"N")+COUNTBLANK(Applicant_List!AI136:BM136)</f>
        <v/>
      </c>
      <c r="J135" s="15">
        <f>Applicant_List!BT136</f>
        <v/>
      </c>
      <c r="K135" s="15">
        <f>Applicant_List!CA136</f>
        <v/>
      </c>
      <c r="L135" s="15">
        <f>IF(Applicant_List!BQ136="Y",IF(Applicant_List!CB136="Y","Would Advance","Would Not Advance"),"Existing Pipeline")</f>
        <v/>
      </c>
    </row>
    <row r="136">
      <c r="A136" s="15">
        <f>Applicant_List!C137</f>
        <v/>
      </c>
      <c r="B136" s="15">
        <f>Applicant_List!E137</f>
        <v/>
      </c>
      <c r="C136" s="15">
        <f>Applicant_List!L137</f>
        <v/>
      </c>
      <c r="D136" s="15">
        <f>Applicant_List!BU137</f>
        <v/>
      </c>
      <c r="E136" s="15">
        <f>Applicant_List!BV137</f>
        <v/>
      </c>
      <c r="F136" s="15">
        <f>Applicant_List!CB137</f>
        <v/>
      </c>
      <c r="G136" s="15">
        <f>Applicant_List!BW137</f>
        <v/>
      </c>
      <c r="H136" s="15">
        <f>Applicant_List!BY137</f>
        <v/>
      </c>
      <c r="I136" s="15">
        <f>COUNTIF(Applicant_List!AI137:BM137,"N")+COUNTBLANK(Applicant_List!AI137:BM137)</f>
        <v/>
      </c>
      <c r="J136" s="15">
        <f>Applicant_List!BT137</f>
        <v/>
      </c>
      <c r="K136" s="15">
        <f>Applicant_List!CA137</f>
        <v/>
      </c>
      <c r="L136" s="15">
        <f>IF(Applicant_List!BQ137="Y",IF(Applicant_List!CB137="Y","Would Advance","Would Not Advance"),"Existing Pipeline")</f>
        <v/>
      </c>
    </row>
    <row r="137">
      <c r="A137" s="15">
        <f>Applicant_List!C138</f>
        <v/>
      </c>
      <c r="B137" s="15">
        <f>Applicant_List!E138</f>
        <v/>
      </c>
      <c r="C137" s="15">
        <f>Applicant_List!L138</f>
        <v/>
      </c>
      <c r="D137" s="15">
        <f>Applicant_List!BU138</f>
        <v/>
      </c>
      <c r="E137" s="15">
        <f>Applicant_List!BV138</f>
        <v/>
      </c>
      <c r="F137" s="15">
        <f>Applicant_List!CB138</f>
        <v/>
      </c>
      <c r="G137" s="15">
        <f>Applicant_List!BW138</f>
        <v/>
      </c>
      <c r="H137" s="15">
        <f>Applicant_List!BY138</f>
        <v/>
      </c>
      <c r="I137" s="15">
        <f>COUNTIF(Applicant_List!AI138:BM138,"N")+COUNTBLANK(Applicant_List!AI138:BM138)</f>
        <v/>
      </c>
      <c r="J137" s="15">
        <f>Applicant_List!BT138</f>
        <v/>
      </c>
      <c r="K137" s="15">
        <f>Applicant_List!CA138</f>
        <v/>
      </c>
      <c r="L137" s="15">
        <f>IF(Applicant_List!BQ138="Y",IF(Applicant_List!CB138="Y","Would Advance","Would Not Advance"),"Existing Pipeline")</f>
        <v/>
      </c>
    </row>
    <row r="138">
      <c r="A138" s="15">
        <f>Applicant_List!C139</f>
        <v/>
      </c>
      <c r="B138" s="15">
        <f>Applicant_List!E139</f>
        <v/>
      </c>
      <c r="C138" s="15">
        <f>Applicant_List!L139</f>
        <v/>
      </c>
      <c r="D138" s="15">
        <f>Applicant_List!BU139</f>
        <v/>
      </c>
      <c r="E138" s="15">
        <f>Applicant_List!BV139</f>
        <v/>
      </c>
      <c r="F138" s="15">
        <f>Applicant_List!CB139</f>
        <v/>
      </c>
      <c r="G138" s="15">
        <f>Applicant_List!BW139</f>
        <v/>
      </c>
      <c r="H138" s="15">
        <f>Applicant_List!BY139</f>
        <v/>
      </c>
      <c r="I138" s="15">
        <f>COUNTIF(Applicant_List!AI139:BM139,"N")+COUNTBLANK(Applicant_List!AI139:BM139)</f>
        <v/>
      </c>
      <c r="J138" s="15">
        <f>Applicant_List!BT139</f>
        <v/>
      </c>
      <c r="K138" s="15">
        <f>Applicant_List!CA139</f>
        <v/>
      </c>
      <c r="L138" s="15">
        <f>IF(Applicant_List!BQ139="Y",IF(Applicant_List!CB139="Y","Would Advance","Would Not Advance"),"Existing Pipeline")</f>
        <v/>
      </c>
    </row>
    <row r="139">
      <c r="A139" s="15">
        <f>Applicant_List!C140</f>
        <v/>
      </c>
      <c r="B139" s="15">
        <f>Applicant_List!E140</f>
        <v/>
      </c>
      <c r="C139" s="15">
        <f>Applicant_List!L140</f>
        <v/>
      </c>
      <c r="D139" s="15">
        <f>Applicant_List!BU140</f>
        <v/>
      </c>
      <c r="E139" s="15">
        <f>Applicant_List!BV140</f>
        <v/>
      </c>
      <c r="F139" s="15">
        <f>Applicant_List!CB140</f>
        <v/>
      </c>
      <c r="G139" s="15">
        <f>Applicant_List!BW140</f>
        <v/>
      </c>
      <c r="H139" s="15">
        <f>Applicant_List!BY140</f>
        <v/>
      </c>
      <c r="I139" s="15">
        <f>COUNTIF(Applicant_List!AI140:BM140,"N")+COUNTBLANK(Applicant_List!AI140:BM140)</f>
        <v/>
      </c>
      <c r="J139" s="15">
        <f>Applicant_List!BT140</f>
        <v/>
      </c>
      <c r="K139" s="15">
        <f>Applicant_List!CA140</f>
        <v/>
      </c>
      <c r="L139" s="15">
        <f>IF(Applicant_List!BQ140="Y",IF(Applicant_List!CB140="Y","Would Advance","Would Not Advance"),"Existing Pipeline")</f>
        <v/>
      </c>
    </row>
    <row r="140">
      <c r="A140" s="15">
        <f>Applicant_List!C141</f>
        <v/>
      </c>
      <c r="B140" s="15">
        <f>Applicant_List!E141</f>
        <v/>
      </c>
      <c r="C140" s="15">
        <f>Applicant_List!L141</f>
        <v/>
      </c>
      <c r="D140" s="15">
        <f>Applicant_List!BU141</f>
        <v/>
      </c>
      <c r="E140" s="15">
        <f>Applicant_List!BV141</f>
        <v/>
      </c>
      <c r="F140" s="15">
        <f>Applicant_List!CB141</f>
        <v/>
      </c>
      <c r="G140" s="15">
        <f>Applicant_List!BW141</f>
        <v/>
      </c>
      <c r="H140" s="15">
        <f>Applicant_List!BY141</f>
        <v/>
      </c>
      <c r="I140" s="15">
        <f>COUNTIF(Applicant_List!AI141:BM141,"N")+COUNTBLANK(Applicant_List!AI141:BM141)</f>
        <v/>
      </c>
      <c r="J140" s="15">
        <f>Applicant_List!BT141</f>
        <v/>
      </c>
      <c r="K140" s="15">
        <f>Applicant_List!CA141</f>
        <v/>
      </c>
      <c r="L140" s="15">
        <f>IF(Applicant_List!BQ141="Y",IF(Applicant_List!CB141="Y","Would Advance","Would Not Advance"),"Existing Pipeline")</f>
        <v/>
      </c>
    </row>
    <row r="141">
      <c r="A141" s="15">
        <f>Applicant_List!C142</f>
        <v/>
      </c>
      <c r="B141" s="15">
        <f>Applicant_List!E142</f>
        <v/>
      </c>
      <c r="C141" s="15">
        <f>Applicant_List!L142</f>
        <v/>
      </c>
      <c r="D141" s="15">
        <f>Applicant_List!BU142</f>
        <v/>
      </c>
      <c r="E141" s="15">
        <f>Applicant_List!BV142</f>
        <v/>
      </c>
      <c r="F141" s="15">
        <f>Applicant_List!CB142</f>
        <v/>
      </c>
      <c r="G141" s="15">
        <f>Applicant_List!BW142</f>
        <v/>
      </c>
      <c r="H141" s="15">
        <f>Applicant_List!BY142</f>
        <v/>
      </c>
      <c r="I141" s="15">
        <f>COUNTIF(Applicant_List!AI142:BM142,"N")+COUNTBLANK(Applicant_List!AI142:BM142)</f>
        <v/>
      </c>
      <c r="J141" s="15">
        <f>Applicant_List!BT142</f>
        <v/>
      </c>
      <c r="K141" s="15">
        <f>Applicant_List!CA142</f>
        <v/>
      </c>
      <c r="L141" s="15">
        <f>IF(Applicant_List!BQ142="Y",IF(Applicant_List!CB142="Y","Would Advance","Would Not Advance"),"Existing Pipeline")</f>
        <v/>
      </c>
    </row>
    <row r="142">
      <c r="A142" s="15">
        <f>Applicant_List!C143</f>
        <v/>
      </c>
      <c r="B142" s="15">
        <f>Applicant_List!E143</f>
        <v/>
      </c>
      <c r="C142" s="15">
        <f>Applicant_List!L143</f>
        <v/>
      </c>
      <c r="D142" s="15">
        <f>Applicant_List!BU143</f>
        <v/>
      </c>
      <c r="E142" s="15">
        <f>Applicant_List!BV143</f>
        <v/>
      </c>
      <c r="F142" s="15">
        <f>Applicant_List!CB143</f>
        <v/>
      </c>
      <c r="G142" s="15">
        <f>Applicant_List!BW143</f>
        <v/>
      </c>
      <c r="H142" s="15">
        <f>Applicant_List!BY143</f>
        <v/>
      </c>
      <c r="I142" s="15">
        <f>COUNTIF(Applicant_List!AI143:BM143,"N")+COUNTBLANK(Applicant_List!AI143:BM143)</f>
        <v/>
      </c>
      <c r="J142" s="15">
        <f>Applicant_List!BT143</f>
        <v/>
      </c>
      <c r="K142" s="15">
        <f>Applicant_List!CA143</f>
        <v/>
      </c>
      <c r="L142" s="15">
        <f>IF(Applicant_List!BQ143="Y",IF(Applicant_List!CB143="Y","Would Advance","Would Not Advance"),"Existing Pipeline")</f>
        <v/>
      </c>
    </row>
    <row r="143">
      <c r="A143" s="15">
        <f>Applicant_List!C144</f>
        <v/>
      </c>
      <c r="B143" s="15">
        <f>Applicant_List!E144</f>
        <v/>
      </c>
      <c r="C143" s="15">
        <f>Applicant_List!L144</f>
        <v/>
      </c>
      <c r="D143" s="15">
        <f>Applicant_List!BU144</f>
        <v/>
      </c>
      <c r="E143" s="15">
        <f>Applicant_List!BV144</f>
        <v/>
      </c>
      <c r="F143" s="15">
        <f>Applicant_List!CB144</f>
        <v/>
      </c>
      <c r="G143" s="15">
        <f>Applicant_List!BW144</f>
        <v/>
      </c>
      <c r="H143" s="15">
        <f>Applicant_List!BY144</f>
        <v/>
      </c>
      <c r="I143" s="15">
        <f>COUNTIF(Applicant_List!AI144:BM144,"N")+COUNTBLANK(Applicant_List!AI144:BM144)</f>
        <v/>
      </c>
      <c r="J143" s="15">
        <f>Applicant_List!BT144</f>
        <v/>
      </c>
      <c r="K143" s="15">
        <f>Applicant_List!CA144</f>
        <v/>
      </c>
      <c r="L143" s="15">
        <f>IF(Applicant_List!BQ144="Y",IF(Applicant_List!CB144="Y","Would Advance","Would Not Advance"),"Existing Pipeline")</f>
        <v/>
      </c>
    </row>
    <row r="144">
      <c r="A144" s="15">
        <f>Applicant_List!C145</f>
        <v/>
      </c>
      <c r="B144" s="15">
        <f>Applicant_List!E145</f>
        <v/>
      </c>
      <c r="C144" s="15">
        <f>Applicant_List!L145</f>
        <v/>
      </c>
      <c r="D144" s="15">
        <f>Applicant_List!BU145</f>
        <v/>
      </c>
      <c r="E144" s="15">
        <f>Applicant_List!BV145</f>
        <v/>
      </c>
      <c r="F144" s="15">
        <f>Applicant_List!CB145</f>
        <v/>
      </c>
      <c r="G144" s="15">
        <f>Applicant_List!BW145</f>
        <v/>
      </c>
      <c r="H144" s="15">
        <f>Applicant_List!BY145</f>
        <v/>
      </c>
      <c r="I144" s="15">
        <f>COUNTIF(Applicant_List!AI145:BM145,"N")+COUNTBLANK(Applicant_List!AI145:BM145)</f>
        <v/>
      </c>
      <c r="J144" s="15">
        <f>Applicant_List!BT145</f>
        <v/>
      </c>
      <c r="K144" s="15">
        <f>Applicant_List!CA145</f>
        <v/>
      </c>
      <c r="L144" s="15">
        <f>IF(Applicant_List!BQ145="Y",IF(Applicant_List!CB145="Y","Would Advance","Would Not Advance"),"Existing Pipeline")</f>
        <v/>
      </c>
    </row>
    <row r="145">
      <c r="A145" s="15">
        <f>Applicant_List!C146</f>
        <v/>
      </c>
      <c r="B145" s="15">
        <f>Applicant_List!E146</f>
        <v/>
      </c>
      <c r="C145" s="15">
        <f>Applicant_List!L146</f>
        <v/>
      </c>
      <c r="D145" s="15">
        <f>Applicant_List!BU146</f>
        <v/>
      </c>
      <c r="E145" s="15">
        <f>Applicant_List!BV146</f>
        <v/>
      </c>
      <c r="F145" s="15">
        <f>Applicant_List!CB146</f>
        <v/>
      </c>
      <c r="G145" s="15">
        <f>Applicant_List!BW146</f>
        <v/>
      </c>
      <c r="H145" s="15">
        <f>Applicant_List!BY146</f>
        <v/>
      </c>
      <c r="I145" s="15">
        <f>COUNTIF(Applicant_List!AI146:BM146,"N")+COUNTBLANK(Applicant_List!AI146:BM146)</f>
        <v/>
      </c>
      <c r="J145" s="15">
        <f>Applicant_List!BT146</f>
        <v/>
      </c>
      <c r="K145" s="15">
        <f>Applicant_List!CA146</f>
        <v/>
      </c>
      <c r="L145" s="15">
        <f>IF(Applicant_List!BQ146="Y",IF(Applicant_List!CB146="Y","Would Advance","Would Not Advance"),"Existing Pipeline")</f>
        <v/>
      </c>
    </row>
    <row r="146">
      <c r="A146" s="15">
        <f>Applicant_List!C147</f>
        <v/>
      </c>
      <c r="B146" s="15">
        <f>Applicant_List!E147</f>
        <v/>
      </c>
      <c r="C146" s="15">
        <f>Applicant_List!L147</f>
        <v/>
      </c>
      <c r="D146" s="15">
        <f>Applicant_List!BU147</f>
        <v/>
      </c>
      <c r="E146" s="15">
        <f>Applicant_List!BV147</f>
        <v/>
      </c>
      <c r="F146" s="15">
        <f>Applicant_List!CB147</f>
        <v/>
      </c>
      <c r="G146" s="15">
        <f>Applicant_List!BW147</f>
        <v/>
      </c>
      <c r="H146" s="15">
        <f>Applicant_List!BY147</f>
        <v/>
      </c>
      <c r="I146" s="15">
        <f>COUNTIF(Applicant_List!AI147:BM147,"N")+COUNTBLANK(Applicant_List!AI147:BM147)</f>
        <v/>
      </c>
      <c r="J146" s="15">
        <f>Applicant_List!BT147</f>
        <v/>
      </c>
      <c r="K146" s="15">
        <f>Applicant_List!CA147</f>
        <v/>
      </c>
      <c r="L146" s="15">
        <f>IF(Applicant_List!BQ147="Y",IF(Applicant_List!CB147="Y","Would Advance","Would Not Advance"),"Existing Pipeline")</f>
        <v/>
      </c>
    </row>
    <row r="147">
      <c r="A147" s="15">
        <f>Applicant_List!C148</f>
        <v/>
      </c>
      <c r="B147" s="15">
        <f>Applicant_List!E148</f>
        <v/>
      </c>
      <c r="C147" s="15">
        <f>Applicant_List!L148</f>
        <v/>
      </c>
      <c r="D147" s="15">
        <f>Applicant_List!BU148</f>
        <v/>
      </c>
      <c r="E147" s="15">
        <f>Applicant_List!BV148</f>
        <v/>
      </c>
      <c r="F147" s="15">
        <f>Applicant_List!CB148</f>
        <v/>
      </c>
      <c r="G147" s="15">
        <f>Applicant_List!BW148</f>
        <v/>
      </c>
      <c r="H147" s="15">
        <f>Applicant_List!BY148</f>
        <v/>
      </c>
      <c r="I147" s="15">
        <f>COUNTIF(Applicant_List!AI148:BM148,"N")+COUNTBLANK(Applicant_List!AI148:BM148)</f>
        <v/>
      </c>
      <c r="J147" s="15">
        <f>Applicant_List!BT148</f>
        <v/>
      </c>
      <c r="K147" s="15">
        <f>Applicant_List!CA148</f>
        <v/>
      </c>
      <c r="L147" s="15">
        <f>IF(Applicant_List!BQ148="Y",IF(Applicant_List!CB148="Y","Would Advance","Would Not Advance"),"Existing Pipeline")</f>
        <v/>
      </c>
    </row>
    <row r="148">
      <c r="A148" s="15">
        <f>Applicant_List!C149</f>
        <v/>
      </c>
      <c r="B148" s="15">
        <f>Applicant_List!E149</f>
        <v/>
      </c>
      <c r="C148" s="15">
        <f>Applicant_List!L149</f>
        <v/>
      </c>
      <c r="D148" s="15">
        <f>Applicant_List!BU149</f>
        <v/>
      </c>
      <c r="E148" s="15">
        <f>Applicant_List!BV149</f>
        <v/>
      </c>
      <c r="F148" s="15">
        <f>Applicant_List!CB149</f>
        <v/>
      </c>
      <c r="G148" s="15">
        <f>Applicant_List!BW149</f>
        <v/>
      </c>
      <c r="H148" s="15">
        <f>Applicant_List!BY149</f>
        <v/>
      </c>
      <c r="I148" s="15">
        <f>COUNTIF(Applicant_List!AI149:BM149,"N")+COUNTBLANK(Applicant_List!AI149:BM149)</f>
        <v/>
      </c>
      <c r="J148" s="15">
        <f>Applicant_List!BT149</f>
        <v/>
      </c>
      <c r="K148" s="15">
        <f>Applicant_List!CA149</f>
        <v/>
      </c>
      <c r="L148" s="15">
        <f>IF(Applicant_List!BQ149="Y",IF(Applicant_List!CB149="Y","Would Advance","Would Not Advance"),"Existing Pipeline")</f>
        <v/>
      </c>
    </row>
    <row r="149">
      <c r="A149" s="15">
        <f>Applicant_List!C150</f>
        <v/>
      </c>
      <c r="B149" s="15">
        <f>Applicant_List!E150</f>
        <v/>
      </c>
      <c r="C149" s="15">
        <f>Applicant_List!L150</f>
        <v/>
      </c>
      <c r="D149" s="15">
        <f>Applicant_List!BU150</f>
        <v/>
      </c>
      <c r="E149" s="15">
        <f>Applicant_List!BV150</f>
        <v/>
      </c>
      <c r="F149" s="15">
        <f>Applicant_List!CB150</f>
        <v/>
      </c>
      <c r="G149" s="15">
        <f>Applicant_List!BW150</f>
        <v/>
      </c>
      <c r="H149" s="15">
        <f>Applicant_List!BY150</f>
        <v/>
      </c>
      <c r="I149" s="15">
        <f>COUNTIF(Applicant_List!AI150:BM150,"N")+COUNTBLANK(Applicant_List!AI150:BM150)</f>
        <v/>
      </c>
      <c r="J149" s="15">
        <f>Applicant_List!BT150</f>
        <v/>
      </c>
      <c r="K149" s="15">
        <f>Applicant_List!CA150</f>
        <v/>
      </c>
      <c r="L149" s="15">
        <f>IF(Applicant_List!BQ150="Y",IF(Applicant_List!CB150="Y","Would Advance","Would Not Advance"),"Existing Pipeline")</f>
        <v/>
      </c>
    </row>
    <row r="150">
      <c r="A150" s="15">
        <f>Applicant_List!C151</f>
        <v/>
      </c>
      <c r="B150" s="15">
        <f>Applicant_List!E151</f>
        <v/>
      </c>
      <c r="C150" s="15">
        <f>Applicant_List!L151</f>
        <v/>
      </c>
      <c r="D150" s="15">
        <f>Applicant_List!BU151</f>
        <v/>
      </c>
      <c r="E150" s="15">
        <f>Applicant_List!BV151</f>
        <v/>
      </c>
      <c r="F150" s="15">
        <f>Applicant_List!CB151</f>
        <v/>
      </c>
      <c r="G150" s="15">
        <f>Applicant_List!BW151</f>
        <v/>
      </c>
      <c r="H150" s="15">
        <f>Applicant_List!BY151</f>
        <v/>
      </c>
      <c r="I150" s="15">
        <f>COUNTIF(Applicant_List!AI151:BM151,"N")+COUNTBLANK(Applicant_List!AI151:BM151)</f>
        <v/>
      </c>
      <c r="J150" s="15">
        <f>Applicant_List!BT151</f>
        <v/>
      </c>
      <c r="K150" s="15">
        <f>Applicant_List!CA151</f>
        <v/>
      </c>
      <c r="L150" s="15">
        <f>IF(Applicant_List!BQ151="Y",IF(Applicant_List!CB151="Y","Would Advance","Would Not Advance"),"Existing Pipeline")</f>
        <v/>
      </c>
    </row>
    <row r="151">
      <c r="A151" s="15">
        <f>Applicant_List!C152</f>
        <v/>
      </c>
      <c r="B151" s="15">
        <f>Applicant_List!E152</f>
        <v/>
      </c>
      <c r="C151" s="15">
        <f>Applicant_List!L152</f>
        <v/>
      </c>
      <c r="D151" s="15">
        <f>Applicant_List!BU152</f>
        <v/>
      </c>
      <c r="E151" s="15">
        <f>Applicant_List!BV152</f>
        <v/>
      </c>
      <c r="F151" s="15">
        <f>Applicant_List!CB152</f>
        <v/>
      </c>
      <c r="G151" s="15">
        <f>Applicant_List!BW152</f>
        <v/>
      </c>
      <c r="H151" s="15">
        <f>Applicant_List!BY152</f>
        <v/>
      </c>
      <c r="I151" s="15">
        <f>COUNTIF(Applicant_List!AI152:BM152,"N")+COUNTBLANK(Applicant_List!AI152:BM152)</f>
        <v/>
      </c>
      <c r="J151" s="15">
        <f>Applicant_List!BT152</f>
        <v/>
      </c>
      <c r="K151" s="15">
        <f>Applicant_List!CA152</f>
        <v/>
      </c>
      <c r="L151" s="15">
        <f>IF(Applicant_List!BQ152="Y",IF(Applicant_List!CB152="Y","Would Advance","Would Not Advance"),"Existing Pipeline")</f>
        <v/>
      </c>
    </row>
    <row r="152">
      <c r="A152" s="15">
        <f>Applicant_List!C153</f>
        <v/>
      </c>
      <c r="B152" s="15">
        <f>Applicant_List!E153</f>
        <v/>
      </c>
      <c r="C152" s="15">
        <f>Applicant_List!L153</f>
        <v/>
      </c>
      <c r="D152" s="15">
        <f>Applicant_List!BU153</f>
        <v/>
      </c>
      <c r="E152" s="15">
        <f>Applicant_List!BV153</f>
        <v/>
      </c>
      <c r="F152" s="15">
        <f>Applicant_List!CB153</f>
        <v/>
      </c>
      <c r="G152" s="15">
        <f>Applicant_List!BW153</f>
        <v/>
      </c>
      <c r="H152" s="15">
        <f>Applicant_List!BY153</f>
        <v/>
      </c>
      <c r="I152" s="15">
        <f>COUNTIF(Applicant_List!AI153:BM153,"N")+COUNTBLANK(Applicant_List!AI153:BM153)</f>
        <v/>
      </c>
      <c r="J152" s="15">
        <f>Applicant_List!BT153</f>
        <v/>
      </c>
      <c r="K152" s="15">
        <f>Applicant_List!CA153</f>
        <v/>
      </c>
      <c r="L152" s="15">
        <f>IF(Applicant_List!BQ153="Y",IF(Applicant_List!CB153="Y","Would Advance","Would Not Advance"),"Existing Pipeline")</f>
        <v/>
      </c>
    </row>
    <row r="153">
      <c r="A153" s="15">
        <f>Applicant_List!C154</f>
        <v/>
      </c>
      <c r="B153" s="15">
        <f>Applicant_List!E154</f>
        <v/>
      </c>
      <c r="C153" s="15">
        <f>Applicant_List!L154</f>
        <v/>
      </c>
      <c r="D153" s="15">
        <f>Applicant_List!BU154</f>
        <v/>
      </c>
      <c r="E153" s="15">
        <f>Applicant_List!BV154</f>
        <v/>
      </c>
      <c r="F153" s="15">
        <f>Applicant_List!CB154</f>
        <v/>
      </c>
      <c r="G153" s="15">
        <f>Applicant_List!BW154</f>
        <v/>
      </c>
      <c r="H153" s="15">
        <f>Applicant_List!BY154</f>
        <v/>
      </c>
      <c r="I153" s="15">
        <f>COUNTIF(Applicant_List!AI154:BM154,"N")+COUNTBLANK(Applicant_List!AI154:BM154)</f>
        <v/>
      </c>
      <c r="J153" s="15">
        <f>Applicant_List!BT154</f>
        <v/>
      </c>
      <c r="K153" s="15">
        <f>Applicant_List!CA154</f>
        <v/>
      </c>
      <c r="L153" s="15">
        <f>IF(Applicant_List!BQ154="Y",IF(Applicant_List!CB154="Y","Would Advance","Would Not Advance"),"Existing Pipeline")</f>
        <v/>
      </c>
    </row>
    <row r="154">
      <c r="A154" s="15">
        <f>Applicant_List!C155</f>
        <v/>
      </c>
      <c r="B154" s="15">
        <f>Applicant_List!E155</f>
        <v/>
      </c>
      <c r="C154" s="15">
        <f>Applicant_List!L155</f>
        <v/>
      </c>
      <c r="D154" s="15">
        <f>Applicant_List!BU155</f>
        <v/>
      </c>
      <c r="E154" s="15">
        <f>Applicant_List!BV155</f>
        <v/>
      </c>
      <c r="F154" s="15">
        <f>Applicant_List!CB155</f>
        <v/>
      </c>
      <c r="G154" s="15">
        <f>Applicant_List!BW155</f>
        <v/>
      </c>
      <c r="H154" s="15">
        <f>Applicant_List!BY155</f>
        <v/>
      </c>
      <c r="I154" s="15">
        <f>COUNTIF(Applicant_List!AI155:BM155,"N")+COUNTBLANK(Applicant_List!AI155:BM155)</f>
        <v/>
      </c>
      <c r="J154" s="15">
        <f>Applicant_List!BT155</f>
        <v/>
      </c>
      <c r="K154" s="15">
        <f>Applicant_List!CA155</f>
        <v/>
      </c>
      <c r="L154" s="15">
        <f>IF(Applicant_List!BQ155="Y",IF(Applicant_List!CB155="Y","Would Advance","Would Not Advance"),"Existing Pipeline")</f>
        <v/>
      </c>
    </row>
    <row r="155">
      <c r="A155" s="15">
        <f>Applicant_List!C156</f>
        <v/>
      </c>
      <c r="B155" s="15">
        <f>Applicant_List!E156</f>
        <v/>
      </c>
      <c r="C155" s="15">
        <f>Applicant_List!L156</f>
        <v/>
      </c>
      <c r="D155" s="15">
        <f>Applicant_List!BU156</f>
        <v/>
      </c>
      <c r="E155" s="15">
        <f>Applicant_List!BV156</f>
        <v/>
      </c>
      <c r="F155" s="15">
        <f>Applicant_List!CB156</f>
        <v/>
      </c>
      <c r="G155" s="15">
        <f>Applicant_List!BW156</f>
        <v/>
      </c>
      <c r="H155" s="15">
        <f>Applicant_List!BY156</f>
        <v/>
      </c>
      <c r="I155" s="15">
        <f>COUNTIF(Applicant_List!AI156:BM156,"N")+COUNTBLANK(Applicant_List!AI156:BM156)</f>
        <v/>
      </c>
      <c r="J155" s="15">
        <f>Applicant_List!BT156</f>
        <v/>
      </c>
      <c r="K155" s="15">
        <f>Applicant_List!CA156</f>
        <v/>
      </c>
      <c r="L155" s="15">
        <f>IF(Applicant_List!BQ156="Y",IF(Applicant_List!CB156="Y","Would Advance","Would Not Advance"),"Existing Pipeline")</f>
        <v/>
      </c>
    </row>
    <row r="156">
      <c r="A156" s="15">
        <f>Applicant_List!C157</f>
        <v/>
      </c>
      <c r="B156" s="15">
        <f>Applicant_List!E157</f>
        <v/>
      </c>
      <c r="C156" s="15">
        <f>Applicant_List!L157</f>
        <v/>
      </c>
      <c r="D156" s="15">
        <f>Applicant_List!BU157</f>
        <v/>
      </c>
      <c r="E156" s="15">
        <f>Applicant_List!BV157</f>
        <v/>
      </c>
      <c r="F156" s="15">
        <f>Applicant_List!CB157</f>
        <v/>
      </c>
      <c r="G156" s="15">
        <f>Applicant_List!BW157</f>
        <v/>
      </c>
      <c r="H156" s="15">
        <f>Applicant_List!BY157</f>
        <v/>
      </c>
      <c r="I156" s="15">
        <f>COUNTIF(Applicant_List!AI157:BM157,"N")+COUNTBLANK(Applicant_List!AI157:BM157)</f>
        <v/>
      </c>
      <c r="J156" s="15">
        <f>Applicant_List!BT157</f>
        <v/>
      </c>
      <c r="K156" s="15">
        <f>Applicant_List!CA157</f>
        <v/>
      </c>
      <c r="L156" s="15">
        <f>IF(Applicant_List!BQ157="Y",IF(Applicant_List!CB157="Y","Would Advance","Would Not Advance"),"Existing Pipeline")</f>
        <v/>
      </c>
    </row>
    <row r="157">
      <c r="A157" s="15">
        <f>Applicant_List!C158</f>
        <v/>
      </c>
      <c r="B157" s="15">
        <f>Applicant_List!E158</f>
        <v/>
      </c>
      <c r="C157" s="15">
        <f>Applicant_List!L158</f>
        <v/>
      </c>
      <c r="D157" s="15">
        <f>Applicant_List!BU158</f>
        <v/>
      </c>
      <c r="E157" s="15">
        <f>Applicant_List!BV158</f>
        <v/>
      </c>
      <c r="F157" s="15">
        <f>Applicant_List!CB158</f>
        <v/>
      </c>
      <c r="G157" s="15">
        <f>Applicant_List!BW158</f>
        <v/>
      </c>
      <c r="H157" s="15">
        <f>Applicant_List!BY158</f>
        <v/>
      </c>
      <c r="I157" s="15">
        <f>COUNTIF(Applicant_List!AI158:BM158,"N")+COUNTBLANK(Applicant_List!AI158:BM158)</f>
        <v/>
      </c>
      <c r="J157" s="15">
        <f>Applicant_List!BT158</f>
        <v/>
      </c>
      <c r="K157" s="15">
        <f>Applicant_List!CA158</f>
        <v/>
      </c>
      <c r="L157" s="15">
        <f>IF(Applicant_List!BQ158="Y",IF(Applicant_List!CB158="Y","Would Advance","Would Not Advance"),"Existing Pipeline")</f>
        <v/>
      </c>
    </row>
    <row r="158">
      <c r="A158" s="15">
        <f>Applicant_List!C159</f>
        <v/>
      </c>
      <c r="B158" s="15">
        <f>Applicant_List!E159</f>
        <v/>
      </c>
      <c r="C158" s="15">
        <f>Applicant_List!L159</f>
        <v/>
      </c>
      <c r="D158" s="15">
        <f>Applicant_List!BU159</f>
        <v/>
      </c>
      <c r="E158" s="15">
        <f>Applicant_List!BV159</f>
        <v/>
      </c>
      <c r="F158" s="15">
        <f>Applicant_List!CB159</f>
        <v/>
      </c>
      <c r="G158" s="15">
        <f>Applicant_List!BW159</f>
        <v/>
      </c>
      <c r="H158" s="15">
        <f>Applicant_List!BY159</f>
        <v/>
      </c>
      <c r="I158" s="15">
        <f>COUNTIF(Applicant_List!AI159:BM159,"N")+COUNTBLANK(Applicant_List!AI159:BM159)</f>
        <v/>
      </c>
      <c r="J158" s="15">
        <f>Applicant_List!BT159</f>
        <v/>
      </c>
      <c r="K158" s="15">
        <f>Applicant_List!CA159</f>
        <v/>
      </c>
      <c r="L158" s="15">
        <f>IF(Applicant_List!BQ159="Y",IF(Applicant_List!CB159="Y","Would Advance","Would Not Advance"),"Existing Pipeline")</f>
        <v/>
      </c>
    </row>
    <row r="159">
      <c r="A159" s="15">
        <f>Applicant_List!C160</f>
        <v/>
      </c>
      <c r="B159" s="15">
        <f>Applicant_List!E160</f>
        <v/>
      </c>
      <c r="C159" s="15">
        <f>Applicant_List!L160</f>
        <v/>
      </c>
      <c r="D159" s="15">
        <f>Applicant_List!BU160</f>
        <v/>
      </c>
      <c r="E159" s="15">
        <f>Applicant_List!BV160</f>
        <v/>
      </c>
      <c r="F159" s="15">
        <f>Applicant_List!CB160</f>
        <v/>
      </c>
      <c r="G159" s="15">
        <f>Applicant_List!BW160</f>
        <v/>
      </c>
      <c r="H159" s="15">
        <f>Applicant_List!BY160</f>
        <v/>
      </c>
      <c r="I159" s="15">
        <f>COUNTIF(Applicant_List!AI160:BM160,"N")+COUNTBLANK(Applicant_List!AI160:BM160)</f>
        <v/>
      </c>
      <c r="J159" s="15">
        <f>Applicant_List!BT160</f>
        <v/>
      </c>
      <c r="K159" s="15">
        <f>Applicant_List!CA160</f>
        <v/>
      </c>
      <c r="L159" s="15">
        <f>IF(Applicant_List!BQ160="Y",IF(Applicant_List!CB160="Y","Would Advance","Would Not Advance"),"Existing Pipeline")</f>
        <v/>
      </c>
    </row>
    <row r="160">
      <c r="A160" s="15">
        <f>Applicant_List!C161</f>
        <v/>
      </c>
      <c r="B160" s="15">
        <f>Applicant_List!E161</f>
        <v/>
      </c>
      <c r="C160" s="15">
        <f>Applicant_List!L161</f>
        <v/>
      </c>
      <c r="D160" s="15">
        <f>Applicant_List!BU161</f>
        <v/>
      </c>
      <c r="E160" s="15">
        <f>Applicant_List!BV161</f>
        <v/>
      </c>
      <c r="F160" s="15">
        <f>Applicant_List!CB161</f>
        <v/>
      </c>
      <c r="G160" s="15">
        <f>Applicant_List!BW161</f>
        <v/>
      </c>
      <c r="H160" s="15">
        <f>Applicant_List!BY161</f>
        <v/>
      </c>
      <c r="I160" s="15">
        <f>COUNTIF(Applicant_List!AI161:BM161,"N")+COUNTBLANK(Applicant_List!AI161:BM161)</f>
        <v/>
      </c>
      <c r="J160" s="15">
        <f>Applicant_List!BT161</f>
        <v/>
      </c>
      <c r="K160" s="15">
        <f>Applicant_List!CA161</f>
        <v/>
      </c>
      <c r="L160" s="15">
        <f>IF(Applicant_List!BQ161="Y",IF(Applicant_List!CB161="Y","Would Advance","Would Not Advance"),"Existing Pipeline")</f>
        <v/>
      </c>
    </row>
    <row r="161">
      <c r="A161" s="15">
        <f>Applicant_List!C162</f>
        <v/>
      </c>
      <c r="B161" s="15">
        <f>Applicant_List!E162</f>
        <v/>
      </c>
      <c r="C161" s="15">
        <f>Applicant_List!L162</f>
        <v/>
      </c>
      <c r="D161" s="15">
        <f>Applicant_List!BU162</f>
        <v/>
      </c>
      <c r="E161" s="15">
        <f>Applicant_List!BV162</f>
        <v/>
      </c>
      <c r="F161" s="15">
        <f>Applicant_List!CB162</f>
        <v/>
      </c>
      <c r="G161" s="15">
        <f>Applicant_List!BW162</f>
        <v/>
      </c>
      <c r="H161" s="15">
        <f>Applicant_List!BY162</f>
        <v/>
      </c>
      <c r="I161" s="15">
        <f>COUNTIF(Applicant_List!AI162:BM162,"N")+COUNTBLANK(Applicant_List!AI162:BM162)</f>
        <v/>
      </c>
      <c r="J161" s="15">
        <f>Applicant_List!BT162</f>
        <v/>
      </c>
      <c r="K161" s="15">
        <f>Applicant_List!CA162</f>
        <v/>
      </c>
      <c r="L161" s="15">
        <f>IF(Applicant_List!BQ162="Y",IF(Applicant_List!CB162="Y","Would Advance","Would Not Advance"),"Existing Pipeline")</f>
        <v/>
      </c>
    </row>
    <row r="162">
      <c r="A162" s="15">
        <f>Applicant_List!C163</f>
        <v/>
      </c>
      <c r="B162" s="15">
        <f>Applicant_List!E163</f>
        <v/>
      </c>
      <c r="C162" s="15">
        <f>Applicant_List!L163</f>
        <v/>
      </c>
      <c r="D162" s="15">
        <f>Applicant_List!BU163</f>
        <v/>
      </c>
      <c r="E162" s="15">
        <f>Applicant_List!BV163</f>
        <v/>
      </c>
      <c r="F162" s="15">
        <f>Applicant_List!CB163</f>
        <v/>
      </c>
      <c r="G162" s="15">
        <f>Applicant_List!BW163</f>
        <v/>
      </c>
      <c r="H162" s="15">
        <f>Applicant_List!BY163</f>
        <v/>
      </c>
      <c r="I162" s="15">
        <f>COUNTIF(Applicant_List!AI163:BM163,"N")+COUNTBLANK(Applicant_List!AI163:BM163)</f>
        <v/>
      </c>
      <c r="J162" s="15">
        <f>Applicant_List!BT163</f>
        <v/>
      </c>
      <c r="K162" s="15">
        <f>Applicant_List!CA163</f>
        <v/>
      </c>
      <c r="L162" s="15">
        <f>IF(Applicant_List!BQ163="Y",IF(Applicant_List!CB163="Y","Would Advance","Would Not Advance"),"Existing Pipeline")</f>
        <v/>
      </c>
    </row>
    <row r="163">
      <c r="A163" s="15">
        <f>Applicant_List!C164</f>
        <v/>
      </c>
      <c r="B163" s="15">
        <f>Applicant_List!E164</f>
        <v/>
      </c>
      <c r="C163" s="15">
        <f>Applicant_List!L164</f>
        <v/>
      </c>
      <c r="D163" s="15">
        <f>Applicant_List!BU164</f>
        <v/>
      </c>
      <c r="E163" s="15">
        <f>Applicant_List!BV164</f>
        <v/>
      </c>
      <c r="F163" s="15">
        <f>Applicant_List!CB164</f>
        <v/>
      </c>
      <c r="G163" s="15">
        <f>Applicant_List!BW164</f>
        <v/>
      </c>
      <c r="H163" s="15">
        <f>Applicant_List!BY164</f>
        <v/>
      </c>
      <c r="I163" s="15">
        <f>COUNTIF(Applicant_List!AI164:BM164,"N")+COUNTBLANK(Applicant_List!AI164:BM164)</f>
        <v/>
      </c>
      <c r="J163" s="15">
        <f>Applicant_List!BT164</f>
        <v/>
      </c>
      <c r="K163" s="15">
        <f>Applicant_List!CA164</f>
        <v/>
      </c>
      <c r="L163" s="15">
        <f>IF(Applicant_List!BQ164="Y",IF(Applicant_List!CB164="Y","Would Advance","Would Not Advance"),"Existing Pipeline")</f>
        <v/>
      </c>
    </row>
    <row r="164">
      <c r="A164" s="15">
        <f>Applicant_List!C165</f>
        <v/>
      </c>
      <c r="B164" s="15">
        <f>Applicant_List!E165</f>
        <v/>
      </c>
      <c r="C164" s="15">
        <f>Applicant_List!L165</f>
        <v/>
      </c>
      <c r="D164" s="15">
        <f>Applicant_List!BU165</f>
        <v/>
      </c>
      <c r="E164" s="15">
        <f>Applicant_List!BV165</f>
        <v/>
      </c>
      <c r="F164" s="15">
        <f>Applicant_List!CB165</f>
        <v/>
      </c>
      <c r="G164" s="15">
        <f>Applicant_List!BW165</f>
        <v/>
      </c>
      <c r="H164" s="15">
        <f>Applicant_List!BY165</f>
        <v/>
      </c>
      <c r="I164" s="15">
        <f>COUNTIF(Applicant_List!AI165:BM165,"N")+COUNTBLANK(Applicant_List!AI165:BM165)</f>
        <v/>
      </c>
      <c r="J164" s="15">
        <f>Applicant_List!BT165</f>
        <v/>
      </c>
      <c r="K164" s="15">
        <f>Applicant_List!CA165</f>
        <v/>
      </c>
      <c r="L164" s="15">
        <f>IF(Applicant_List!BQ165="Y",IF(Applicant_List!CB165="Y","Would Advance","Would Not Advance"),"Existing Pipeline")</f>
        <v/>
      </c>
    </row>
    <row r="165">
      <c r="A165" s="15">
        <f>Applicant_List!C166</f>
        <v/>
      </c>
      <c r="B165" s="15">
        <f>Applicant_List!E166</f>
        <v/>
      </c>
      <c r="C165" s="15">
        <f>Applicant_List!L166</f>
        <v/>
      </c>
      <c r="D165" s="15">
        <f>Applicant_List!BU166</f>
        <v/>
      </c>
      <c r="E165" s="15">
        <f>Applicant_List!BV166</f>
        <v/>
      </c>
      <c r="F165" s="15">
        <f>Applicant_List!CB166</f>
        <v/>
      </c>
      <c r="G165" s="15">
        <f>Applicant_List!BW166</f>
        <v/>
      </c>
      <c r="H165" s="15">
        <f>Applicant_List!BY166</f>
        <v/>
      </c>
      <c r="I165" s="15">
        <f>COUNTIF(Applicant_List!AI166:BM166,"N")+COUNTBLANK(Applicant_List!AI166:BM166)</f>
        <v/>
      </c>
      <c r="J165" s="15">
        <f>Applicant_List!BT166</f>
        <v/>
      </c>
      <c r="K165" s="15">
        <f>Applicant_List!CA166</f>
        <v/>
      </c>
      <c r="L165" s="15">
        <f>IF(Applicant_List!BQ166="Y",IF(Applicant_List!CB166="Y","Would Advance","Would Not Advance"),"Existing Pipeline")</f>
        <v/>
      </c>
    </row>
    <row r="166">
      <c r="A166" s="15">
        <f>Applicant_List!C167</f>
        <v/>
      </c>
      <c r="B166" s="15">
        <f>Applicant_List!E167</f>
        <v/>
      </c>
      <c r="C166" s="15">
        <f>Applicant_List!L167</f>
        <v/>
      </c>
      <c r="D166" s="15">
        <f>Applicant_List!BU167</f>
        <v/>
      </c>
      <c r="E166" s="15">
        <f>Applicant_List!BV167</f>
        <v/>
      </c>
      <c r="F166" s="15">
        <f>Applicant_List!CB167</f>
        <v/>
      </c>
      <c r="G166" s="15">
        <f>Applicant_List!BW167</f>
        <v/>
      </c>
      <c r="H166" s="15">
        <f>Applicant_List!BY167</f>
        <v/>
      </c>
      <c r="I166" s="15">
        <f>COUNTIF(Applicant_List!AI167:BM167,"N")+COUNTBLANK(Applicant_List!AI167:BM167)</f>
        <v/>
      </c>
      <c r="J166" s="15">
        <f>Applicant_List!BT167</f>
        <v/>
      </c>
      <c r="K166" s="15">
        <f>Applicant_List!CA167</f>
        <v/>
      </c>
      <c r="L166" s="15">
        <f>IF(Applicant_List!BQ167="Y",IF(Applicant_List!CB167="Y","Would Advance","Would Not Advance"),"Existing Pipeline")</f>
        <v/>
      </c>
    </row>
    <row r="167">
      <c r="A167" s="15">
        <f>Applicant_List!C168</f>
        <v/>
      </c>
      <c r="B167" s="15">
        <f>Applicant_List!E168</f>
        <v/>
      </c>
      <c r="C167" s="15">
        <f>Applicant_List!L168</f>
        <v/>
      </c>
      <c r="D167" s="15">
        <f>Applicant_List!BU168</f>
        <v/>
      </c>
      <c r="E167" s="15">
        <f>Applicant_List!BV168</f>
        <v/>
      </c>
      <c r="F167" s="15">
        <f>Applicant_List!CB168</f>
        <v/>
      </c>
      <c r="G167" s="15">
        <f>Applicant_List!BW168</f>
        <v/>
      </c>
      <c r="H167" s="15">
        <f>Applicant_List!BY168</f>
        <v/>
      </c>
      <c r="I167" s="15">
        <f>COUNTIF(Applicant_List!AI168:BM168,"N")+COUNTBLANK(Applicant_List!AI168:BM168)</f>
        <v/>
      </c>
      <c r="J167" s="15">
        <f>Applicant_List!BT168</f>
        <v/>
      </c>
      <c r="K167" s="15">
        <f>Applicant_List!CA168</f>
        <v/>
      </c>
      <c r="L167" s="15">
        <f>IF(Applicant_List!BQ168="Y",IF(Applicant_List!CB168="Y","Would Advance","Would Not Advance"),"Existing Pipeline")</f>
        <v/>
      </c>
    </row>
    <row r="168">
      <c r="A168" s="15">
        <f>Applicant_List!C169</f>
        <v/>
      </c>
      <c r="B168" s="15">
        <f>Applicant_List!E169</f>
        <v/>
      </c>
      <c r="C168" s="15">
        <f>Applicant_List!L169</f>
        <v/>
      </c>
      <c r="D168" s="15">
        <f>Applicant_List!BU169</f>
        <v/>
      </c>
      <c r="E168" s="15">
        <f>Applicant_List!BV169</f>
        <v/>
      </c>
      <c r="F168" s="15">
        <f>Applicant_List!CB169</f>
        <v/>
      </c>
      <c r="G168" s="15">
        <f>Applicant_List!BW169</f>
        <v/>
      </c>
      <c r="H168" s="15">
        <f>Applicant_List!BY169</f>
        <v/>
      </c>
      <c r="I168" s="15">
        <f>COUNTIF(Applicant_List!AI169:BM169,"N")+COUNTBLANK(Applicant_List!AI169:BM169)</f>
        <v/>
      </c>
      <c r="J168" s="15">
        <f>Applicant_List!BT169</f>
        <v/>
      </c>
      <c r="K168" s="15">
        <f>Applicant_List!CA169</f>
        <v/>
      </c>
      <c r="L168" s="15">
        <f>IF(Applicant_List!BQ169="Y",IF(Applicant_List!CB169="Y","Would Advance","Would Not Advance"),"Existing Pipeline")</f>
        <v/>
      </c>
    </row>
    <row r="169">
      <c r="A169" s="15">
        <f>Applicant_List!C170</f>
        <v/>
      </c>
      <c r="B169" s="15">
        <f>Applicant_List!E170</f>
        <v/>
      </c>
      <c r="C169" s="15">
        <f>Applicant_List!L170</f>
        <v/>
      </c>
      <c r="D169" s="15">
        <f>Applicant_List!BU170</f>
        <v/>
      </c>
      <c r="E169" s="15">
        <f>Applicant_List!BV170</f>
        <v/>
      </c>
      <c r="F169" s="15">
        <f>Applicant_List!CB170</f>
        <v/>
      </c>
      <c r="G169" s="15">
        <f>Applicant_List!BW170</f>
        <v/>
      </c>
      <c r="H169" s="15">
        <f>Applicant_List!BY170</f>
        <v/>
      </c>
      <c r="I169" s="15">
        <f>COUNTIF(Applicant_List!AI170:BM170,"N")+COUNTBLANK(Applicant_List!AI170:BM170)</f>
        <v/>
      </c>
      <c r="J169" s="15">
        <f>Applicant_List!BT170</f>
        <v/>
      </c>
      <c r="K169" s="15">
        <f>Applicant_List!CA170</f>
        <v/>
      </c>
      <c r="L169" s="15">
        <f>IF(Applicant_List!BQ170="Y",IF(Applicant_List!CB170="Y","Would Advance","Would Not Advance"),"Existing Pipeline")</f>
        <v/>
      </c>
    </row>
    <row r="170">
      <c r="A170" s="15">
        <f>Applicant_List!C171</f>
        <v/>
      </c>
      <c r="B170" s="15">
        <f>Applicant_List!E171</f>
        <v/>
      </c>
      <c r="C170" s="15">
        <f>Applicant_List!L171</f>
        <v/>
      </c>
      <c r="D170" s="15">
        <f>Applicant_List!BU171</f>
        <v/>
      </c>
      <c r="E170" s="15">
        <f>Applicant_List!BV171</f>
        <v/>
      </c>
      <c r="F170" s="15">
        <f>Applicant_List!CB171</f>
        <v/>
      </c>
      <c r="G170" s="15">
        <f>Applicant_List!BW171</f>
        <v/>
      </c>
      <c r="H170" s="15">
        <f>Applicant_List!BY171</f>
        <v/>
      </c>
      <c r="I170" s="15">
        <f>COUNTIF(Applicant_List!AI171:BM171,"N")+COUNTBLANK(Applicant_List!AI171:BM171)</f>
        <v/>
      </c>
      <c r="J170" s="15">
        <f>Applicant_List!BT171</f>
        <v/>
      </c>
      <c r="K170" s="15">
        <f>Applicant_List!CA171</f>
        <v/>
      </c>
      <c r="L170" s="15">
        <f>IF(Applicant_List!BQ171="Y",IF(Applicant_List!CB171="Y","Would Advance","Would Not Advance"),"Existing Pipeline")</f>
        <v/>
      </c>
    </row>
    <row r="171">
      <c r="A171" s="15">
        <f>Applicant_List!C172</f>
        <v/>
      </c>
      <c r="B171" s="15">
        <f>Applicant_List!E172</f>
        <v/>
      </c>
      <c r="C171" s="15">
        <f>Applicant_List!L172</f>
        <v/>
      </c>
      <c r="D171" s="15">
        <f>Applicant_List!BU172</f>
        <v/>
      </c>
      <c r="E171" s="15">
        <f>Applicant_List!BV172</f>
        <v/>
      </c>
      <c r="F171" s="15">
        <f>Applicant_List!CB172</f>
        <v/>
      </c>
      <c r="G171" s="15">
        <f>Applicant_List!BW172</f>
        <v/>
      </c>
      <c r="H171" s="15">
        <f>Applicant_List!BY172</f>
        <v/>
      </c>
      <c r="I171" s="15">
        <f>COUNTIF(Applicant_List!AI172:BM172,"N")+COUNTBLANK(Applicant_List!AI172:BM172)</f>
        <v/>
      </c>
      <c r="J171" s="15">
        <f>Applicant_List!BT172</f>
        <v/>
      </c>
      <c r="K171" s="15">
        <f>Applicant_List!CA172</f>
        <v/>
      </c>
      <c r="L171" s="15">
        <f>IF(Applicant_List!BQ172="Y",IF(Applicant_List!CB172="Y","Would Advance","Would Not Advance"),"Existing Pipeline")</f>
        <v/>
      </c>
    </row>
    <row r="172">
      <c r="A172" s="15">
        <f>Applicant_List!C173</f>
        <v/>
      </c>
      <c r="B172" s="15">
        <f>Applicant_List!E173</f>
        <v/>
      </c>
      <c r="C172" s="15">
        <f>Applicant_List!L173</f>
        <v/>
      </c>
      <c r="D172" s="15">
        <f>Applicant_List!BU173</f>
        <v/>
      </c>
      <c r="E172" s="15">
        <f>Applicant_List!BV173</f>
        <v/>
      </c>
      <c r="F172" s="15">
        <f>Applicant_List!CB173</f>
        <v/>
      </c>
      <c r="G172" s="15">
        <f>Applicant_List!BW173</f>
        <v/>
      </c>
      <c r="H172" s="15">
        <f>Applicant_List!BY173</f>
        <v/>
      </c>
      <c r="I172" s="15">
        <f>COUNTIF(Applicant_List!AI173:BM173,"N")+COUNTBLANK(Applicant_List!AI173:BM173)</f>
        <v/>
      </c>
      <c r="J172" s="15">
        <f>Applicant_List!BT173</f>
        <v/>
      </c>
      <c r="K172" s="15">
        <f>Applicant_List!CA173</f>
        <v/>
      </c>
      <c r="L172" s="15">
        <f>IF(Applicant_List!BQ173="Y",IF(Applicant_List!CB173="Y","Would Advance","Would Not Advance"),"Existing Pipeline")</f>
        <v/>
      </c>
    </row>
    <row r="173">
      <c r="A173" s="15">
        <f>Applicant_List!C174</f>
        <v/>
      </c>
      <c r="B173" s="15">
        <f>Applicant_List!E174</f>
        <v/>
      </c>
      <c r="C173" s="15">
        <f>Applicant_List!L174</f>
        <v/>
      </c>
      <c r="D173" s="15">
        <f>Applicant_List!BU174</f>
        <v/>
      </c>
      <c r="E173" s="15">
        <f>Applicant_List!BV174</f>
        <v/>
      </c>
      <c r="F173" s="15">
        <f>Applicant_List!CB174</f>
        <v/>
      </c>
      <c r="G173" s="15">
        <f>Applicant_List!BW174</f>
        <v/>
      </c>
      <c r="H173" s="15">
        <f>Applicant_List!BY174</f>
        <v/>
      </c>
      <c r="I173" s="15">
        <f>COUNTIF(Applicant_List!AI174:BM174,"N")+COUNTBLANK(Applicant_List!AI174:BM174)</f>
        <v/>
      </c>
      <c r="J173" s="15">
        <f>Applicant_List!BT174</f>
        <v/>
      </c>
      <c r="K173" s="15">
        <f>Applicant_List!CA174</f>
        <v/>
      </c>
      <c r="L173" s="15">
        <f>IF(Applicant_List!BQ174="Y",IF(Applicant_List!CB174="Y","Would Advance","Would Not Advance"),"Existing Pipeline")</f>
        <v/>
      </c>
    </row>
    <row r="174">
      <c r="A174" s="15">
        <f>Applicant_List!C175</f>
        <v/>
      </c>
      <c r="B174" s="15">
        <f>Applicant_List!E175</f>
        <v/>
      </c>
      <c r="C174" s="15">
        <f>Applicant_List!L175</f>
        <v/>
      </c>
      <c r="D174" s="15">
        <f>Applicant_List!BU175</f>
        <v/>
      </c>
      <c r="E174" s="15">
        <f>Applicant_List!BV175</f>
        <v/>
      </c>
      <c r="F174" s="15">
        <f>Applicant_List!CB175</f>
        <v/>
      </c>
      <c r="G174" s="15">
        <f>Applicant_List!BW175</f>
        <v/>
      </c>
      <c r="H174" s="15">
        <f>Applicant_List!BY175</f>
        <v/>
      </c>
      <c r="I174" s="15">
        <f>COUNTIF(Applicant_List!AI175:BM175,"N")+COUNTBLANK(Applicant_List!AI175:BM175)</f>
        <v/>
      </c>
      <c r="J174" s="15">
        <f>Applicant_List!BT175</f>
        <v/>
      </c>
      <c r="K174" s="15">
        <f>Applicant_List!CA175</f>
        <v/>
      </c>
      <c r="L174" s="15">
        <f>IF(Applicant_List!BQ175="Y",IF(Applicant_List!CB175="Y","Would Advance","Would Not Advance"),"Existing Pipeline")</f>
        <v/>
      </c>
    </row>
    <row r="175">
      <c r="A175" s="15">
        <f>Applicant_List!C176</f>
        <v/>
      </c>
      <c r="B175" s="15">
        <f>Applicant_List!E176</f>
        <v/>
      </c>
      <c r="C175" s="15">
        <f>Applicant_List!L176</f>
        <v/>
      </c>
      <c r="D175" s="15">
        <f>Applicant_List!BU176</f>
        <v/>
      </c>
      <c r="E175" s="15">
        <f>Applicant_List!BV176</f>
        <v/>
      </c>
      <c r="F175" s="15">
        <f>Applicant_List!CB176</f>
        <v/>
      </c>
      <c r="G175" s="15">
        <f>Applicant_List!BW176</f>
        <v/>
      </c>
      <c r="H175" s="15">
        <f>Applicant_List!BY176</f>
        <v/>
      </c>
      <c r="I175" s="15">
        <f>COUNTIF(Applicant_List!AI176:BM176,"N")+COUNTBLANK(Applicant_List!AI176:BM176)</f>
        <v/>
      </c>
      <c r="J175" s="15">
        <f>Applicant_List!BT176</f>
        <v/>
      </c>
      <c r="K175" s="15">
        <f>Applicant_List!CA176</f>
        <v/>
      </c>
      <c r="L175" s="15">
        <f>IF(Applicant_List!BQ176="Y",IF(Applicant_List!CB176="Y","Would Advance","Would Not Advance"),"Existing Pipeline")</f>
        <v/>
      </c>
    </row>
    <row r="176">
      <c r="A176" s="15">
        <f>Applicant_List!C177</f>
        <v/>
      </c>
      <c r="B176" s="15">
        <f>Applicant_List!E177</f>
        <v/>
      </c>
      <c r="C176" s="15">
        <f>Applicant_List!L177</f>
        <v/>
      </c>
      <c r="D176" s="15">
        <f>Applicant_List!BU177</f>
        <v/>
      </c>
      <c r="E176" s="15">
        <f>Applicant_List!BV177</f>
        <v/>
      </c>
      <c r="F176" s="15">
        <f>Applicant_List!CB177</f>
        <v/>
      </c>
      <c r="G176" s="15">
        <f>Applicant_List!BW177</f>
        <v/>
      </c>
      <c r="H176" s="15">
        <f>Applicant_List!BY177</f>
        <v/>
      </c>
      <c r="I176" s="15">
        <f>COUNTIF(Applicant_List!AI177:BM177,"N")+COUNTBLANK(Applicant_List!AI177:BM177)</f>
        <v/>
      </c>
      <c r="J176" s="15">
        <f>Applicant_List!BT177</f>
        <v/>
      </c>
      <c r="K176" s="15">
        <f>Applicant_List!CA177</f>
        <v/>
      </c>
      <c r="L176" s="15">
        <f>IF(Applicant_List!BQ177="Y",IF(Applicant_List!CB177="Y","Would Advance","Would Not Advance"),"Existing Pipeline")</f>
        <v/>
      </c>
    </row>
    <row r="177">
      <c r="A177" s="15">
        <f>Applicant_List!C178</f>
        <v/>
      </c>
      <c r="B177" s="15">
        <f>Applicant_List!E178</f>
        <v/>
      </c>
      <c r="C177" s="15">
        <f>Applicant_List!L178</f>
        <v/>
      </c>
      <c r="D177" s="15">
        <f>Applicant_List!BU178</f>
        <v/>
      </c>
      <c r="E177" s="15">
        <f>Applicant_List!BV178</f>
        <v/>
      </c>
      <c r="F177" s="15">
        <f>Applicant_List!CB178</f>
        <v/>
      </c>
      <c r="G177" s="15">
        <f>Applicant_List!BW178</f>
        <v/>
      </c>
      <c r="H177" s="15">
        <f>Applicant_List!BY178</f>
        <v/>
      </c>
      <c r="I177" s="15">
        <f>COUNTIF(Applicant_List!AI178:BM178,"N")+COUNTBLANK(Applicant_List!AI178:BM178)</f>
        <v/>
      </c>
      <c r="J177" s="15">
        <f>Applicant_List!BT178</f>
        <v/>
      </c>
      <c r="K177" s="15">
        <f>Applicant_List!CA178</f>
        <v/>
      </c>
      <c r="L177" s="15">
        <f>IF(Applicant_List!BQ178="Y",IF(Applicant_List!CB178="Y","Would Advance","Would Not Advance"),"Existing Pipeline")</f>
        <v/>
      </c>
    </row>
    <row r="178">
      <c r="A178" s="15">
        <f>Applicant_List!C179</f>
        <v/>
      </c>
      <c r="B178" s="15">
        <f>Applicant_List!E179</f>
        <v/>
      </c>
      <c r="C178" s="15">
        <f>Applicant_List!L179</f>
        <v/>
      </c>
      <c r="D178" s="15">
        <f>Applicant_List!BU179</f>
        <v/>
      </c>
      <c r="E178" s="15">
        <f>Applicant_List!BV179</f>
        <v/>
      </c>
      <c r="F178" s="15">
        <f>Applicant_List!CB179</f>
        <v/>
      </c>
      <c r="G178" s="15">
        <f>Applicant_List!BW179</f>
        <v/>
      </c>
      <c r="H178" s="15">
        <f>Applicant_List!BY179</f>
        <v/>
      </c>
      <c r="I178" s="15">
        <f>COUNTIF(Applicant_List!AI179:BM179,"N")+COUNTBLANK(Applicant_List!AI179:BM179)</f>
        <v/>
      </c>
      <c r="J178" s="15">
        <f>Applicant_List!BT179</f>
        <v/>
      </c>
      <c r="K178" s="15">
        <f>Applicant_List!CA179</f>
        <v/>
      </c>
      <c r="L178" s="15">
        <f>IF(Applicant_List!BQ179="Y",IF(Applicant_List!CB179="Y","Would Advance","Would Not Advance"),"Existing Pipeline")</f>
        <v/>
      </c>
    </row>
    <row r="179">
      <c r="A179" s="15">
        <f>Applicant_List!C180</f>
        <v/>
      </c>
      <c r="B179" s="15">
        <f>Applicant_List!E180</f>
        <v/>
      </c>
      <c r="C179" s="15">
        <f>Applicant_List!L180</f>
        <v/>
      </c>
      <c r="D179" s="15">
        <f>Applicant_List!BU180</f>
        <v/>
      </c>
      <c r="E179" s="15">
        <f>Applicant_List!BV180</f>
        <v/>
      </c>
      <c r="F179" s="15">
        <f>Applicant_List!CB180</f>
        <v/>
      </c>
      <c r="G179" s="15">
        <f>Applicant_List!BW180</f>
        <v/>
      </c>
      <c r="H179" s="15">
        <f>Applicant_List!BY180</f>
        <v/>
      </c>
      <c r="I179" s="15">
        <f>COUNTIF(Applicant_List!AI180:BM180,"N")+COUNTBLANK(Applicant_List!AI180:BM180)</f>
        <v/>
      </c>
      <c r="J179" s="15">
        <f>Applicant_List!BT180</f>
        <v/>
      </c>
      <c r="K179" s="15">
        <f>Applicant_List!CA180</f>
        <v/>
      </c>
      <c r="L179" s="15">
        <f>IF(Applicant_List!BQ180="Y",IF(Applicant_List!CB180="Y","Would Advance","Would Not Advance"),"Existing Pipeline")</f>
        <v/>
      </c>
    </row>
    <row r="180">
      <c r="A180" s="15">
        <f>Applicant_List!C181</f>
        <v/>
      </c>
      <c r="B180" s="15">
        <f>Applicant_List!E181</f>
        <v/>
      </c>
      <c r="C180" s="15">
        <f>Applicant_List!L181</f>
        <v/>
      </c>
      <c r="D180" s="15">
        <f>Applicant_List!BU181</f>
        <v/>
      </c>
      <c r="E180" s="15">
        <f>Applicant_List!BV181</f>
        <v/>
      </c>
      <c r="F180" s="15">
        <f>Applicant_List!CB181</f>
        <v/>
      </c>
      <c r="G180" s="15">
        <f>Applicant_List!BW181</f>
        <v/>
      </c>
      <c r="H180" s="15">
        <f>Applicant_List!BY181</f>
        <v/>
      </c>
      <c r="I180" s="15">
        <f>COUNTIF(Applicant_List!AI181:BM181,"N")+COUNTBLANK(Applicant_List!AI181:BM181)</f>
        <v/>
      </c>
      <c r="J180" s="15">
        <f>Applicant_List!BT181</f>
        <v/>
      </c>
      <c r="K180" s="15">
        <f>Applicant_List!CA181</f>
        <v/>
      </c>
      <c r="L180" s="15">
        <f>IF(Applicant_List!BQ181="Y",IF(Applicant_List!CB181="Y","Would Advance","Would Not Advance"),"Existing Pipeline")</f>
        <v/>
      </c>
    </row>
    <row r="181">
      <c r="A181" s="15">
        <f>Applicant_List!C182</f>
        <v/>
      </c>
      <c r="B181" s="15">
        <f>Applicant_List!E182</f>
        <v/>
      </c>
      <c r="C181" s="15">
        <f>Applicant_List!L182</f>
        <v/>
      </c>
      <c r="D181" s="15">
        <f>Applicant_List!BU182</f>
        <v/>
      </c>
      <c r="E181" s="15">
        <f>Applicant_List!BV182</f>
        <v/>
      </c>
      <c r="F181" s="15">
        <f>Applicant_List!CB182</f>
        <v/>
      </c>
      <c r="G181" s="15">
        <f>Applicant_List!BW182</f>
        <v/>
      </c>
      <c r="H181" s="15">
        <f>Applicant_List!BY182</f>
        <v/>
      </c>
      <c r="I181" s="15">
        <f>COUNTIF(Applicant_List!AI182:BM182,"N")+COUNTBLANK(Applicant_List!AI182:BM182)</f>
        <v/>
      </c>
      <c r="J181" s="15">
        <f>Applicant_List!BT182</f>
        <v/>
      </c>
      <c r="K181" s="15">
        <f>Applicant_List!CA182</f>
        <v/>
      </c>
      <c r="L181" s="15">
        <f>IF(Applicant_List!BQ182="Y",IF(Applicant_List!CB182="Y","Would Advance","Would Not Advance"),"Existing Pipeline")</f>
        <v/>
      </c>
    </row>
    <row r="182">
      <c r="A182" s="15">
        <f>Applicant_List!C183</f>
        <v/>
      </c>
      <c r="B182" s="15">
        <f>Applicant_List!E183</f>
        <v/>
      </c>
      <c r="C182" s="15">
        <f>Applicant_List!L183</f>
        <v/>
      </c>
      <c r="D182" s="15">
        <f>Applicant_List!BU183</f>
        <v/>
      </c>
      <c r="E182" s="15">
        <f>Applicant_List!BV183</f>
        <v/>
      </c>
      <c r="F182" s="15">
        <f>Applicant_List!CB183</f>
        <v/>
      </c>
      <c r="G182" s="15">
        <f>Applicant_List!BW183</f>
        <v/>
      </c>
      <c r="H182" s="15">
        <f>Applicant_List!BY183</f>
        <v/>
      </c>
      <c r="I182" s="15">
        <f>COUNTIF(Applicant_List!AI183:BM183,"N")+COUNTBLANK(Applicant_List!AI183:BM183)</f>
        <v/>
      </c>
      <c r="J182" s="15">
        <f>Applicant_List!BT183</f>
        <v/>
      </c>
      <c r="K182" s="15">
        <f>Applicant_List!CA183</f>
        <v/>
      </c>
      <c r="L182" s="15">
        <f>IF(Applicant_List!BQ183="Y",IF(Applicant_List!CB183="Y","Would Advance","Would Not Advance"),"Existing Pipeline")</f>
        <v/>
      </c>
    </row>
    <row r="183">
      <c r="A183" s="15">
        <f>Applicant_List!C184</f>
        <v/>
      </c>
      <c r="B183" s="15">
        <f>Applicant_List!E184</f>
        <v/>
      </c>
      <c r="C183" s="15">
        <f>Applicant_List!L184</f>
        <v/>
      </c>
      <c r="D183" s="15">
        <f>Applicant_List!BU184</f>
        <v/>
      </c>
      <c r="E183" s="15">
        <f>Applicant_List!BV184</f>
        <v/>
      </c>
      <c r="F183" s="15">
        <f>Applicant_List!CB184</f>
        <v/>
      </c>
      <c r="G183" s="15">
        <f>Applicant_List!BW184</f>
        <v/>
      </c>
      <c r="H183" s="15">
        <f>Applicant_List!BY184</f>
        <v/>
      </c>
      <c r="I183" s="15">
        <f>COUNTIF(Applicant_List!AI184:BM184,"N")+COUNTBLANK(Applicant_List!AI184:BM184)</f>
        <v/>
      </c>
      <c r="J183" s="15">
        <f>Applicant_List!BT184</f>
        <v/>
      </c>
      <c r="K183" s="15">
        <f>Applicant_List!CA184</f>
        <v/>
      </c>
      <c r="L183" s="15">
        <f>IF(Applicant_List!BQ184="Y",IF(Applicant_List!CB184="Y","Would Advance","Would Not Advance"),"Existing Pipeline")</f>
        <v/>
      </c>
    </row>
    <row r="184">
      <c r="A184" s="15">
        <f>Applicant_List!C185</f>
        <v/>
      </c>
      <c r="B184" s="15">
        <f>Applicant_List!E185</f>
        <v/>
      </c>
      <c r="C184" s="15">
        <f>Applicant_List!L185</f>
        <v/>
      </c>
      <c r="D184" s="15">
        <f>Applicant_List!BU185</f>
        <v/>
      </c>
      <c r="E184" s="15">
        <f>Applicant_List!BV185</f>
        <v/>
      </c>
      <c r="F184" s="15">
        <f>Applicant_List!CB185</f>
        <v/>
      </c>
      <c r="G184" s="15">
        <f>Applicant_List!BW185</f>
        <v/>
      </c>
      <c r="H184" s="15">
        <f>Applicant_List!BY185</f>
        <v/>
      </c>
      <c r="I184" s="15">
        <f>COUNTIF(Applicant_List!AI185:BM185,"N")+COUNTBLANK(Applicant_List!AI185:BM185)</f>
        <v/>
      </c>
      <c r="J184" s="15">
        <f>Applicant_List!BT185</f>
        <v/>
      </c>
      <c r="K184" s="15">
        <f>Applicant_List!CA185</f>
        <v/>
      </c>
      <c r="L184" s="15">
        <f>IF(Applicant_List!BQ185="Y",IF(Applicant_List!CB185="Y","Would Advance","Would Not Advance"),"Existing Pipeline")</f>
        <v/>
      </c>
    </row>
    <row r="185">
      <c r="A185" s="15">
        <f>Applicant_List!C186</f>
        <v/>
      </c>
      <c r="B185" s="15">
        <f>Applicant_List!E186</f>
        <v/>
      </c>
      <c r="C185" s="15">
        <f>Applicant_List!L186</f>
        <v/>
      </c>
      <c r="D185" s="15">
        <f>Applicant_List!BU186</f>
        <v/>
      </c>
      <c r="E185" s="15">
        <f>Applicant_List!BV186</f>
        <v/>
      </c>
      <c r="F185" s="15">
        <f>Applicant_List!CB186</f>
        <v/>
      </c>
      <c r="G185" s="15">
        <f>Applicant_List!BW186</f>
        <v/>
      </c>
      <c r="H185" s="15">
        <f>Applicant_List!BY186</f>
        <v/>
      </c>
      <c r="I185" s="15">
        <f>COUNTIF(Applicant_List!AI186:BM186,"N")+COUNTBLANK(Applicant_List!AI186:BM186)</f>
        <v/>
      </c>
      <c r="J185" s="15">
        <f>Applicant_List!BT186</f>
        <v/>
      </c>
      <c r="K185" s="15">
        <f>Applicant_List!CA186</f>
        <v/>
      </c>
      <c r="L185" s="15">
        <f>IF(Applicant_List!BQ186="Y",IF(Applicant_List!CB186="Y","Would Advance","Would Not Advance"),"Existing Pipeline")</f>
        <v/>
      </c>
    </row>
    <row r="186">
      <c r="A186" s="15">
        <f>Applicant_List!C187</f>
        <v/>
      </c>
      <c r="B186" s="15">
        <f>Applicant_List!E187</f>
        <v/>
      </c>
      <c r="C186" s="15">
        <f>Applicant_List!L187</f>
        <v/>
      </c>
      <c r="D186" s="15">
        <f>Applicant_List!BU187</f>
        <v/>
      </c>
      <c r="E186" s="15">
        <f>Applicant_List!BV187</f>
        <v/>
      </c>
      <c r="F186" s="15">
        <f>Applicant_List!CB187</f>
        <v/>
      </c>
      <c r="G186" s="15">
        <f>Applicant_List!BW187</f>
        <v/>
      </c>
      <c r="H186" s="15">
        <f>Applicant_List!BY187</f>
        <v/>
      </c>
      <c r="I186" s="15">
        <f>COUNTIF(Applicant_List!AI187:BM187,"N")+COUNTBLANK(Applicant_List!AI187:BM187)</f>
        <v/>
      </c>
      <c r="J186" s="15">
        <f>Applicant_List!BT187</f>
        <v/>
      </c>
      <c r="K186" s="15">
        <f>Applicant_List!CA187</f>
        <v/>
      </c>
      <c r="L186" s="15">
        <f>IF(Applicant_List!BQ187="Y",IF(Applicant_List!CB187="Y","Would Advance","Would Not Advance"),"Existing Pipeline")</f>
        <v/>
      </c>
    </row>
    <row r="187">
      <c r="A187" s="15">
        <f>Applicant_List!C188</f>
        <v/>
      </c>
      <c r="B187" s="15">
        <f>Applicant_List!E188</f>
        <v/>
      </c>
      <c r="C187" s="15">
        <f>Applicant_List!L188</f>
        <v/>
      </c>
      <c r="D187" s="15">
        <f>Applicant_List!BU188</f>
        <v/>
      </c>
      <c r="E187" s="15">
        <f>Applicant_List!BV188</f>
        <v/>
      </c>
      <c r="F187" s="15">
        <f>Applicant_List!CB188</f>
        <v/>
      </c>
      <c r="G187" s="15">
        <f>Applicant_List!BW188</f>
        <v/>
      </c>
      <c r="H187" s="15">
        <f>Applicant_List!BY188</f>
        <v/>
      </c>
      <c r="I187" s="15">
        <f>COUNTIF(Applicant_List!AI188:BM188,"N")+COUNTBLANK(Applicant_List!AI188:BM188)</f>
        <v/>
      </c>
      <c r="J187" s="15">
        <f>Applicant_List!BT188</f>
        <v/>
      </c>
      <c r="K187" s="15">
        <f>Applicant_List!CA188</f>
        <v/>
      </c>
      <c r="L187" s="15">
        <f>IF(Applicant_List!BQ188="Y",IF(Applicant_List!CB188="Y","Would Advance","Would Not Advance"),"Existing Pipeline")</f>
        <v/>
      </c>
    </row>
    <row r="188">
      <c r="A188" s="15">
        <f>Applicant_List!C189</f>
        <v/>
      </c>
      <c r="B188" s="15">
        <f>Applicant_List!E189</f>
        <v/>
      </c>
      <c r="C188" s="15">
        <f>Applicant_List!L189</f>
        <v/>
      </c>
      <c r="D188" s="15">
        <f>Applicant_List!BU189</f>
        <v/>
      </c>
      <c r="E188" s="15">
        <f>Applicant_List!BV189</f>
        <v/>
      </c>
      <c r="F188" s="15">
        <f>Applicant_List!CB189</f>
        <v/>
      </c>
      <c r="G188" s="15">
        <f>Applicant_List!BW189</f>
        <v/>
      </c>
      <c r="H188" s="15">
        <f>Applicant_List!BY189</f>
        <v/>
      </c>
      <c r="I188" s="15">
        <f>COUNTIF(Applicant_List!AI189:BM189,"N")+COUNTBLANK(Applicant_List!AI189:BM189)</f>
        <v/>
      </c>
      <c r="J188" s="15">
        <f>Applicant_List!BT189</f>
        <v/>
      </c>
      <c r="K188" s="15">
        <f>Applicant_List!CA189</f>
        <v/>
      </c>
      <c r="L188" s="15">
        <f>IF(Applicant_List!BQ189="Y",IF(Applicant_List!CB189="Y","Would Advance","Would Not Advance"),"Existing Pipeline")</f>
        <v/>
      </c>
    </row>
    <row r="189">
      <c r="A189" s="15">
        <f>Applicant_List!C190</f>
        <v/>
      </c>
      <c r="B189" s="15">
        <f>Applicant_List!E190</f>
        <v/>
      </c>
      <c r="C189" s="15">
        <f>Applicant_List!L190</f>
        <v/>
      </c>
      <c r="D189" s="15">
        <f>Applicant_List!BU190</f>
        <v/>
      </c>
      <c r="E189" s="15">
        <f>Applicant_List!BV190</f>
        <v/>
      </c>
      <c r="F189" s="15">
        <f>Applicant_List!CB190</f>
        <v/>
      </c>
      <c r="G189" s="15">
        <f>Applicant_List!BW190</f>
        <v/>
      </c>
      <c r="H189" s="15">
        <f>Applicant_List!BY190</f>
        <v/>
      </c>
      <c r="I189" s="15">
        <f>COUNTIF(Applicant_List!AI190:BM190,"N")+COUNTBLANK(Applicant_List!AI190:BM190)</f>
        <v/>
      </c>
      <c r="J189" s="15">
        <f>Applicant_List!BT190</f>
        <v/>
      </c>
      <c r="K189" s="15">
        <f>Applicant_List!CA190</f>
        <v/>
      </c>
      <c r="L189" s="15">
        <f>IF(Applicant_List!BQ190="Y",IF(Applicant_List!CB190="Y","Would Advance","Would Not Advance"),"Existing Pipeline")</f>
        <v/>
      </c>
    </row>
    <row r="190">
      <c r="A190" s="15">
        <f>Applicant_List!C191</f>
        <v/>
      </c>
      <c r="B190" s="15">
        <f>Applicant_List!E191</f>
        <v/>
      </c>
      <c r="C190" s="15">
        <f>Applicant_List!L191</f>
        <v/>
      </c>
      <c r="D190" s="15">
        <f>Applicant_List!BU191</f>
        <v/>
      </c>
      <c r="E190" s="15">
        <f>Applicant_List!BV191</f>
        <v/>
      </c>
      <c r="F190" s="15">
        <f>Applicant_List!CB191</f>
        <v/>
      </c>
      <c r="G190" s="15">
        <f>Applicant_List!BW191</f>
        <v/>
      </c>
      <c r="H190" s="15">
        <f>Applicant_List!BY191</f>
        <v/>
      </c>
      <c r="I190" s="15">
        <f>COUNTIF(Applicant_List!AI191:BM191,"N")+COUNTBLANK(Applicant_List!AI191:BM191)</f>
        <v/>
      </c>
      <c r="J190" s="15">
        <f>Applicant_List!BT191</f>
        <v/>
      </c>
      <c r="K190" s="15">
        <f>Applicant_List!CA191</f>
        <v/>
      </c>
      <c r="L190" s="15">
        <f>IF(Applicant_List!BQ191="Y",IF(Applicant_List!CB191="Y","Would Advance","Would Not Advance"),"Existing Pipeline")</f>
        <v/>
      </c>
    </row>
    <row r="191">
      <c r="A191" s="15">
        <f>Applicant_List!C192</f>
        <v/>
      </c>
      <c r="B191" s="15">
        <f>Applicant_List!E192</f>
        <v/>
      </c>
      <c r="C191" s="15">
        <f>Applicant_List!L192</f>
        <v/>
      </c>
      <c r="D191" s="15">
        <f>Applicant_List!BU192</f>
        <v/>
      </c>
      <c r="E191" s="15">
        <f>Applicant_List!BV192</f>
        <v/>
      </c>
      <c r="F191" s="15">
        <f>Applicant_List!CB192</f>
        <v/>
      </c>
      <c r="G191" s="15">
        <f>Applicant_List!BW192</f>
        <v/>
      </c>
      <c r="H191" s="15">
        <f>Applicant_List!BY192</f>
        <v/>
      </c>
      <c r="I191" s="15">
        <f>COUNTIF(Applicant_List!AI192:BM192,"N")+COUNTBLANK(Applicant_List!AI192:BM192)</f>
        <v/>
      </c>
      <c r="J191" s="15">
        <f>Applicant_List!BT192</f>
        <v/>
      </c>
      <c r="K191" s="15">
        <f>Applicant_List!CA192</f>
        <v/>
      </c>
      <c r="L191" s="15">
        <f>IF(Applicant_List!BQ192="Y",IF(Applicant_List!CB192="Y","Would Advance","Would Not Advance"),"Existing Pipeline")</f>
        <v/>
      </c>
    </row>
    <row r="192">
      <c r="A192" s="15">
        <f>Applicant_List!C193</f>
        <v/>
      </c>
      <c r="B192" s="15">
        <f>Applicant_List!E193</f>
        <v/>
      </c>
      <c r="C192" s="15">
        <f>Applicant_List!L193</f>
        <v/>
      </c>
      <c r="D192" s="15">
        <f>Applicant_List!BU193</f>
        <v/>
      </c>
      <c r="E192" s="15">
        <f>Applicant_List!BV193</f>
        <v/>
      </c>
      <c r="F192" s="15">
        <f>Applicant_List!CB193</f>
        <v/>
      </c>
      <c r="G192" s="15">
        <f>Applicant_List!BW193</f>
        <v/>
      </c>
      <c r="H192" s="15">
        <f>Applicant_List!BY193</f>
        <v/>
      </c>
      <c r="I192" s="15">
        <f>COUNTIF(Applicant_List!AI193:BM193,"N")+COUNTBLANK(Applicant_List!AI193:BM193)</f>
        <v/>
      </c>
      <c r="J192" s="15">
        <f>Applicant_List!BT193</f>
        <v/>
      </c>
      <c r="K192" s="15">
        <f>Applicant_List!CA193</f>
        <v/>
      </c>
      <c r="L192" s="15">
        <f>IF(Applicant_List!BQ193="Y",IF(Applicant_List!CB193="Y","Would Advance","Would Not Advance"),"Existing Pipeline")</f>
        <v/>
      </c>
    </row>
    <row r="193">
      <c r="A193" s="15">
        <f>Applicant_List!C194</f>
        <v/>
      </c>
      <c r="B193" s="15">
        <f>Applicant_List!E194</f>
        <v/>
      </c>
      <c r="C193" s="15">
        <f>Applicant_List!L194</f>
        <v/>
      </c>
      <c r="D193" s="15">
        <f>Applicant_List!BU194</f>
        <v/>
      </c>
      <c r="E193" s="15">
        <f>Applicant_List!BV194</f>
        <v/>
      </c>
      <c r="F193" s="15">
        <f>Applicant_List!CB194</f>
        <v/>
      </c>
      <c r="G193" s="15">
        <f>Applicant_List!BW194</f>
        <v/>
      </c>
      <c r="H193" s="15">
        <f>Applicant_List!BY194</f>
        <v/>
      </c>
      <c r="I193" s="15">
        <f>COUNTIF(Applicant_List!AI194:BM194,"N")+COUNTBLANK(Applicant_List!AI194:BM194)</f>
        <v/>
      </c>
      <c r="J193" s="15">
        <f>Applicant_List!BT194</f>
        <v/>
      </c>
      <c r="K193" s="15">
        <f>Applicant_List!CA194</f>
        <v/>
      </c>
      <c r="L193" s="15">
        <f>IF(Applicant_List!BQ194="Y",IF(Applicant_List!CB194="Y","Would Advance","Would Not Advance"),"Existing Pipeline")</f>
        <v/>
      </c>
    </row>
    <row r="194">
      <c r="A194" s="15">
        <f>Applicant_List!C195</f>
        <v/>
      </c>
      <c r="B194" s="15">
        <f>Applicant_List!E195</f>
        <v/>
      </c>
      <c r="C194" s="15">
        <f>Applicant_List!L195</f>
        <v/>
      </c>
      <c r="D194" s="15">
        <f>Applicant_List!BU195</f>
        <v/>
      </c>
      <c r="E194" s="15">
        <f>Applicant_List!BV195</f>
        <v/>
      </c>
      <c r="F194" s="15">
        <f>Applicant_List!CB195</f>
        <v/>
      </c>
      <c r="G194" s="15">
        <f>Applicant_List!BW195</f>
        <v/>
      </c>
      <c r="H194" s="15">
        <f>Applicant_List!BY195</f>
        <v/>
      </c>
      <c r="I194" s="15">
        <f>COUNTIF(Applicant_List!AI195:BM195,"N")+COUNTBLANK(Applicant_List!AI195:BM195)</f>
        <v/>
      </c>
      <c r="J194" s="15">
        <f>Applicant_List!BT195</f>
        <v/>
      </c>
      <c r="K194" s="15">
        <f>Applicant_List!CA195</f>
        <v/>
      </c>
      <c r="L194" s="15">
        <f>IF(Applicant_List!BQ195="Y",IF(Applicant_List!CB195="Y","Would Advance","Would Not Advance"),"Existing Pipeline")</f>
        <v/>
      </c>
    </row>
    <row r="195">
      <c r="A195" s="15">
        <f>Applicant_List!C196</f>
        <v/>
      </c>
      <c r="B195" s="15">
        <f>Applicant_List!E196</f>
        <v/>
      </c>
      <c r="C195" s="15">
        <f>Applicant_List!L196</f>
        <v/>
      </c>
      <c r="D195" s="15">
        <f>Applicant_List!BU196</f>
        <v/>
      </c>
      <c r="E195" s="15">
        <f>Applicant_List!BV196</f>
        <v/>
      </c>
      <c r="F195" s="15">
        <f>Applicant_List!CB196</f>
        <v/>
      </c>
      <c r="G195" s="15">
        <f>Applicant_List!BW196</f>
        <v/>
      </c>
      <c r="H195" s="15">
        <f>Applicant_List!BY196</f>
        <v/>
      </c>
      <c r="I195" s="15">
        <f>COUNTIF(Applicant_List!AI196:BM196,"N")+COUNTBLANK(Applicant_List!AI196:BM196)</f>
        <v/>
      </c>
      <c r="J195" s="15">
        <f>Applicant_List!BT196</f>
        <v/>
      </c>
      <c r="K195" s="15">
        <f>Applicant_List!CA196</f>
        <v/>
      </c>
      <c r="L195" s="15">
        <f>IF(Applicant_List!BQ196="Y",IF(Applicant_List!CB196="Y","Would Advance","Would Not Advance"),"Existing Pipeline")</f>
        <v/>
      </c>
    </row>
    <row r="196">
      <c r="A196" s="15">
        <f>Applicant_List!C197</f>
        <v/>
      </c>
      <c r="B196" s="15">
        <f>Applicant_List!E197</f>
        <v/>
      </c>
      <c r="C196" s="15">
        <f>Applicant_List!L197</f>
        <v/>
      </c>
      <c r="D196" s="15">
        <f>Applicant_List!BU197</f>
        <v/>
      </c>
      <c r="E196" s="15">
        <f>Applicant_List!BV197</f>
        <v/>
      </c>
      <c r="F196" s="15">
        <f>Applicant_List!CB197</f>
        <v/>
      </c>
      <c r="G196" s="15">
        <f>Applicant_List!BW197</f>
        <v/>
      </c>
      <c r="H196" s="15">
        <f>Applicant_List!BY197</f>
        <v/>
      </c>
      <c r="I196" s="15">
        <f>COUNTIF(Applicant_List!AI197:BM197,"N")+COUNTBLANK(Applicant_List!AI197:BM197)</f>
        <v/>
      </c>
      <c r="J196" s="15">
        <f>Applicant_List!BT197</f>
        <v/>
      </c>
      <c r="K196" s="15">
        <f>Applicant_List!CA197</f>
        <v/>
      </c>
      <c r="L196" s="15">
        <f>IF(Applicant_List!BQ197="Y",IF(Applicant_List!CB197="Y","Would Advance","Would Not Advance"),"Existing Pipeline")</f>
        <v/>
      </c>
    </row>
    <row r="197">
      <c r="A197" s="15">
        <f>Applicant_List!C198</f>
        <v/>
      </c>
      <c r="B197" s="15">
        <f>Applicant_List!E198</f>
        <v/>
      </c>
      <c r="C197" s="15">
        <f>Applicant_List!L198</f>
        <v/>
      </c>
      <c r="D197" s="15">
        <f>Applicant_List!BU198</f>
        <v/>
      </c>
      <c r="E197" s="15">
        <f>Applicant_List!BV198</f>
        <v/>
      </c>
      <c r="F197" s="15">
        <f>Applicant_List!CB198</f>
        <v/>
      </c>
      <c r="G197" s="15">
        <f>Applicant_List!BW198</f>
        <v/>
      </c>
      <c r="H197" s="15">
        <f>Applicant_List!BY198</f>
        <v/>
      </c>
      <c r="I197" s="15">
        <f>COUNTIF(Applicant_List!AI198:BM198,"N")+COUNTBLANK(Applicant_List!AI198:BM198)</f>
        <v/>
      </c>
      <c r="J197" s="15">
        <f>Applicant_List!BT198</f>
        <v/>
      </c>
      <c r="K197" s="15">
        <f>Applicant_List!CA198</f>
        <v/>
      </c>
      <c r="L197" s="15">
        <f>IF(Applicant_List!BQ198="Y",IF(Applicant_List!CB198="Y","Would Advance","Would Not Advance"),"Existing Pipeline")</f>
        <v/>
      </c>
    </row>
    <row r="198">
      <c r="A198" s="15">
        <f>Applicant_List!C199</f>
        <v/>
      </c>
      <c r="B198" s="15">
        <f>Applicant_List!E199</f>
        <v/>
      </c>
      <c r="C198" s="15">
        <f>Applicant_List!L199</f>
        <v/>
      </c>
      <c r="D198" s="15">
        <f>Applicant_List!BU199</f>
        <v/>
      </c>
      <c r="E198" s="15">
        <f>Applicant_List!BV199</f>
        <v/>
      </c>
      <c r="F198" s="15">
        <f>Applicant_List!CB199</f>
        <v/>
      </c>
      <c r="G198" s="15">
        <f>Applicant_List!BW199</f>
        <v/>
      </c>
      <c r="H198" s="15">
        <f>Applicant_List!BY199</f>
        <v/>
      </c>
      <c r="I198" s="15">
        <f>COUNTIF(Applicant_List!AI199:BM199,"N")+COUNTBLANK(Applicant_List!AI199:BM199)</f>
        <v/>
      </c>
      <c r="J198" s="15">
        <f>Applicant_List!BT199</f>
        <v/>
      </c>
      <c r="K198" s="15">
        <f>Applicant_List!CA199</f>
        <v/>
      </c>
      <c r="L198" s="15">
        <f>IF(Applicant_List!BQ199="Y",IF(Applicant_List!CB199="Y","Would Advance","Would Not Advance"),"Existing Pipeline")</f>
        <v/>
      </c>
    </row>
    <row r="199">
      <c r="A199" s="15">
        <f>Applicant_List!C200</f>
        <v/>
      </c>
      <c r="B199" s="15">
        <f>Applicant_List!E200</f>
        <v/>
      </c>
      <c r="C199" s="15">
        <f>Applicant_List!L200</f>
        <v/>
      </c>
      <c r="D199" s="15">
        <f>Applicant_List!BU200</f>
        <v/>
      </c>
      <c r="E199" s="15">
        <f>Applicant_List!BV200</f>
        <v/>
      </c>
      <c r="F199" s="15">
        <f>Applicant_List!CB200</f>
        <v/>
      </c>
      <c r="G199" s="15">
        <f>Applicant_List!BW200</f>
        <v/>
      </c>
      <c r="H199" s="15">
        <f>Applicant_List!BY200</f>
        <v/>
      </c>
      <c r="I199" s="15">
        <f>COUNTIF(Applicant_List!AI200:BM200,"N")+COUNTBLANK(Applicant_List!AI200:BM200)</f>
        <v/>
      </c>
      <c r="J199" s="15">
        <f>Applicant_List!BT200</f>
        <v/>
      </c>
      <c r="K199" s="15">
        <f>Applicant_List!CA200</f>
        <v/>
      </c>
      <c r="L199" s="15">
        <f>IF(Applicant_List!BQ200="Y",IF(Applicant_List!CB200="Y","Would Advance","Would Not Advance"),"Existing Pipeline")</f>
        <v/>
      </c>
    </row>
    <row r="200">
      <c r="A200" s="15">
        <f>Applicant_List!C201</f>
        <v/>
      </c>
      <c r="B200" s="15">
        <f>Applicant_List!E201</f>
        <v/>
      </c>
      <c r="C200" s="15">
        <f>Applicant_List!L201</f>
        <v/>
      </c>
      <c r="D200" s="15">
        <f>Applicant_List!BU201</f>
        <v/>
      </c>
      <c r="E200" s="15">
        <f>Applicant_List!BV201</f>
        <v/>
      </c>
      <c r="F200" s="15">
        <f>Applicant_List!CB201</f>
        <v/>
      </c>
      <c r="G200" s="15">
        <f>Applicant_List!BW201</f>
        <v/>
      </c>
      <c r="H200" s="15">
        <f>Applicant_List!BY201</f>
        <v/>
      </c>
      <c r="I200" s="15">
        <f>COUNTIF(Applicant_List!AI201:BM201,"N")+COUNTBLANK(Applicant_List!AI201:BM201)</f>
        <v/>
      </c>
      <c r="J200" s="15">
        <f>Applicant_List!BT201</f>
        <v/>
      </c>
      <c r="K200" s="15">
        <f>Applicant_List!CA201</f>
        <v/>
      </c>
      <c r="L200" s="15">
        <f>IF(Applicant_List!BQ201="Y",IF(Applicant_List!CB201="Y","Would Advance","Would Not Advance"),"Existing Pipeline")</f>
        <v/>
      </c>
    </row>
    <row r="201">
      <c r="A201" s="15">
        <f>Applicant_List!C202</f>
        <v/>
      </c>
      <c r="B201" s="15">
        <f>Applicant_List!E202</f>
        <v/>
      </c>
      <c r="C201" s="15">
        <f>Applicant_List!L202</f>
        <v/>
      </c>
      <c r="D201" s="15">
        <f>Applicant_List!BU202</f>
        <v/>
      </c>
      <c r="E201" s="15">
        <f>Applicant_List!BV202</f>
        <v/>
      </c>
      <c r="F201" s="15">
        <f>Applicant_List!CB202</f>
        <v/>
      </c>
      <c r="G201" s="15">
        <f>Applicant_List!BW202</f>
        <v/>
      </c>
      <c r="H201" s="15">
        <f>Applicant_List!BY202</f>
        <v/>
      </c>
      <c r="I201" s="15">
        <f>COUNTIF(Applicant_List!AI202:BM202,"N")+COUNTBLANK(Applicant_List!AI202:BM202)</f>
        <v/>
      </c>
      <c r="J201" s="15">
        <f>Applicant_List!BT202</f>
        <v/>
      </c>
      <c r="K201" s="15">
        <f>Applicant_List!CA202</f>
        <v/>
      </c>
      <c r="L201" s="15">
        <f>IF(Applicant_List!BQ202="Y",IF(Applicant_List!CB202="Y","Would Advance","Would Not Advance"),"Existing Pipeline")</f>
        <v/>
      </c>
    </row>
    <row r="202">
      <c r="A202" s="15">
        <f>Applicant_List!C203</f>
        <v/>
      </c>
      <c r="B202" s="15">
        <f>Applicant_List!E203</f>
        <v/>
      </c>
      <c r="C202" s="15">
        <f>Applicant_List!L203</f>
        <v/>
      </c>
      <c r="D202" s="15">
        <f>Applicant_List!BU203</f>
        <v/>
      </c>
      <c r="E202" s="15">
        <f>Applicant_List!BV203</f>
        <v/>
      </c>
      <c r="F202" s="15">
        <f>Applicant_List!CB203</f>
        <v/>
      </c>
      <c r="G202" s="15">
        <f>Applicant_List!BW203</f>
        <v/>
      </c>
      <c r="H202" s="15">
        <f>Applicant_List!BY203</f>
        <v/>
      </c>
      <c r="I202" s="15">
        <f>COUNTIF(Applicant_List!AI203:BM203,"N")+COUNTBLANK(Applicant_List!AI203:BM203)</f>
        <v/>
      </c>
      <c r="J202" s="15">
        <f>Applicant_List!BT203</f>
        <v/>
      </c>
      <c r="K202" s="15">
        <f>Applicant_List!CA203</f>
        <v/>
      </c>
      <c r="L202" s="15">
        <f>IF(Applicant_List!BQ203="Y",IF(Applicant_List!CB203="Y","Would Advance","Would Not Advance"),"Existing Pipeline")</f>
        <v/>
      </c>
    </row>
    <row r="203">
      <c r="A203" s="15">
        <f>Applicant_List!C204</f>
        <v/>
      </c>
      <c r="B203" s="15">
        <f>Applicant_List!E204</f>
        <v/>
      </c>
      <c r="C203" s="15">
        <f>Applicant_List!L204</f>
        <v/>
      </c>
      <c r="D203" s="15">
        <f>Applicant_List!BU204</f>
        <v/>
      </c>
      <c r="E203" s="15">
        <f>Applicant_List!BV204</f>
        <v/>
      </c>
      <c r="F203" s="15">
        <f>Applicant_List!CB204</f>
        <v/>
      </c>
      <c r="G203" s="15">
        <f>Applicant_List!BW204</f>
        <v/>
      </c>
      <c r="H203" s="15">
        <f>Applicant_List!BY204</f>
        <v/>
      </c>
      <c r="I203" s="15">
        <f>COUNTIF(Applicant_List!AI204:BM204,"N")+COUNTBLANK(Applicant_List!AI204:BM204)</f>
        <v/>
      </c>
      <c r="J203" s="15">
        <f>Applicant_List!BT204</f>
        <v/>
      </c>
      <c r="K203" s="15">
        <f>Applicant_List!CA204</f>
        <v/>
      </c>
      <c r="L203" s="15">
        <f>IF(Applicant_List!BQ204="Y",IF(Applicant_List!CB204="Y","Would Advance","Would Not Advance"),"Existing Pipeline")</f>
        <v/>
      </c>
    </row>
    <row r="204">
      <c r="A204" s="15">
        <f>Applicant_List!C205</f>
        <v/>
      </c>
      <c r="B204" s="15">
        <f>Applicant_List!E205</f>
        <v/>
      </c>
      <c r="C204" s="15">
        <f>Applicant_List!L205</f>
        <v/>
      </c>
      <c r="D204" s="15">
        <f>Applicant_List!BU205</f>
        <v/>
      </c>
      <c r="E204" s="15">
        <f>Applicant_List!BV205</f>
        <v/>
      </c>
      <c r="F204" s="15">
        <f>Applicant_List!CB205</f>
        <v/>
      </c>
      <c r="G204" s="15">
        <f>Applicant_List!BW205</f>
        <v/>
      </c>
      <c r="H204" s="15">
        <f>Applicant_List!BY205</f>
        <v/>
      </c>
      <c r="I204" s="15">
        <f>COUNTIF(Applicant_List!AI205:BM205,"N")+COUNTBLANK(Applicant_List!AI205:BM205)</f>
        <v/>
      </c>
      <c r="J204" s="15">
        <f>Applicant_List!BT205</f>
        <v/>
      </c>
      <c r="K204" s="15">
        <f>Applicant_List!CA205</f>
        <v/>
      </c>
      <c r="L204" s="15">
        <f>IF(Applicant_List!BQ205="Y",IF(Applicant_List!CB205="Y","Would Advance","Would Not Advance"),"Existing Pipeline")</f>
        <v/>
      </c>
    </row>
    <row r="205">
      <c r="A205" s="15">
        <f>Applicant_List!C206</f>
        <v/>
      </c>
      <c r="B205" s="15">
        <f>Applicant_List!E206</f>
        <v/>
      </c>
      <c r="C205" s="15">
        <f>Applicant_List!L206</f>
        <v/>
      </c>
      <c r="D205" s="15">
        <f>Applicant_List!BU206</f>
        <v/>
      </c>
      <c r="E205" s="15">
        <f>Applicant_List!BV206</f>
        <v/>
      </c>
      <c r="F205" s="15">
        <f>Applicant_List!CB206</f>
        <v/>
      </c>
      <c r="G205" s="15">
        <f>Applicant_List!BW206</f>
        <v/>
      </c>
      <c r="H205" s="15">
        <f>Applicant_List!BY206</f>
        <v/>
      </c>
      <c r="I205" s="15">
        <f>COUNTIF(Applicant_List!AI206:BM206,"N")+COUNTBLANK(Applicant_List!AI206:BM206)</f>
        <v/>
      </c>
      <c r="J205" s="15">
        <f>Applicant_List!BT206</f>
        <v/>
      </c>
      <c r="K205" s="15">
        <f>Applicant_List!CA206</f>
        <v/>
      </c>
      <c r="L205" s="15">
        <f>IF(Applicant_List!BQ206="Y",IF(Applicant_List!CB206="Y","Would Advance","Would Not Advance"),"Existing Pipeline")</f>
        <v/>
      </c>
    </row>
    <row r="206">
      <c r="A206" s="15">
        <f>Applicant_List!C207</f>
        <v/>
      </c>
      <c r="B206" s="15">
        <f>Applicant_List!E207</f>
        <v/>
      </c>
      <c r="C206" s="15">
        <f>Applicant_List!L207</f>
        <v/>
      </c>
      <c r="D206" s="15">
        <f>Applicant_List!BU207</f>
        <v/>
      </c>
      <c r="E206" s="15">
        <f>Applicant_List!BV207</f>
        <v/>
      </c>
      <c r="F206" s="15">
        <f>Applicant_List!CB207</f>
        <v/>
      </c>
      <c r="G206" s="15">
        <f>Applicant_List!BW207</f>
        <v/>
      </c>
      <c r="H206" s="15">
        <f>Applicant_List!BY207</f>
        <v/>
      </c>
      <c r="I206" s="15">
        <f>COUNTIF(Applicant_List!AI207:BM207,"N")+COUNTBLANK(Applicant_List!AI207:BM207)</f>
        <v/>
      </c>
      <c r="J206" s="15">
        <f>Applicant_List!BT207</f>
        <v/>
      </c>
      <c r="K206" s="15">
        <f>Applicant_List!CA207</f>
        <v/>
      </c>
      <c r="L206" s="15">
        <f>IF(Applicant_List!BQ207="Y",IF(Applicant_List!CB207="Y","Would Advance","Would Not Advance"),"Existing Pipeline")</f>
        <v/>
      </c>
    </row>
    <row r="207">
      <c r="A207" s="15">
        <f>Applicant_List!C208</f>
        <v/>
      </c>
      <c r="B207" s="15">
        <f>Applicant_List!E208</f>
        <v/>
      </c>
      <c r="C207" s="15">
        <f>Applicant_List!L208</f>
        <v/>
      </c>
      <c r="D207" s="15">
        <f>Applicant_List!BU208</f>
        <v/>
      </c>
      <c r="E207" s="15">
        <f>Applicant_List!BV208</f>
        <v/>
      </c>
      <c r="F207" s="15">
        <f>Applicant_List!CB208</f>
        <v/>
      </c>
      <c r="G207" s="15">
        <f>Applicant_List!BW208</f>
        <v/>
      </c>
      <c r="H207" s="15">
        <f>Applicant_List!BY208</f>
        <v/>
      </c>
      <c r="I207" s="15">
        <f>COUNTIF(Applicant_List!AI208:BM208,"N")+COUNTBLANK(Applicant_List!AI208:BM208)</f>
        <v/>
      </c>
      <c r="J207" s="15">
        <f>Applicant_List!BT208</f>
        <v/>
      </c>
      <c r="K207" s="15">
        <f>Applicant_List!CA208</f>
        <v/>
      </c>
      <c r="L207" s="15">
        <f>IF(Applicant_List!BQ208="Y",IF(Applicant_List!CB208="Y","Would Advance","Would Not Advance"),"Existing Pipeline")</f>
        <v/>
      </c>
    </row>
    <row r="208">
      <c r="A208" s="15">
        <f>Applicant_List!C209</f>
        <v/>
      </c>
      <c r="B208" s="15">
        <f>Applicant_List!E209</f>
        <v/>
      </c>
      <c r="C208" s="15">
        <f>Applicant_List!L209</f>
        <v/>
      </c>
      <c r="D208" s="15">
        <f>Applicant_List!BU209</f>
        <v/>
      </c>
      <c r="E208" s="15">
        <f>Applicant_List!BV209</f>
        <v/>
      </c>
      <c r="F208" s="15">
        <f>Applicant_List!CB209</f>
        <v/>
      </c>
      <c r="G208" s="15">
        <f>Applicant_List!BW209</f>
        <v/>
      </c>
      <c r="H208" s="15">
        <f>Applicant_List!BY209</f>
        <v/>
      </c>
      <c r="I208" s="15">
        <f>COUNTIF(Applicant_List!AI209:BM209,"N")+COUNTBLANK(Applicant_List!AI209:BM209)</f>
        <v/>
      </c>
      <c r="J208" s="15">
        <f>Applicant_List!BT209</f>
        <v/>
      </c>
      <c r="K208" s="15">
        <f>Applicant_List!CA209</f>
        <v/>
      </c>
      <c r="L208" s="15">
        <f>IF(Applicant_List!BQ209="Y",IF(Applicant_List!CB209="Y","Would Advance","Would Not Advance"),"Existing Pipeline")</f>
        <v/>
      </c>
    </row>
    <row r="209">
      <c r="A209" s="15">
        <f>Applicant_List!C210</f>
        <v/>
      </c>
      <c r="B209" s="15">
        <f>Applicant_List!E210</f>
        <v/>
      </c>
      <c r="C209" s="15">
        <f>Applicant_List!L210</f>
        <v/>
      </c>
      <c r="D209" s="15">
        <f>Applicant_List!BU210</f>
        <v/>
      </c>
      <c r="E209" s="15">
        <f>Applicant_List!BV210</f>
        <v/>
      </c>
      <c r="F209" s="15">
        <f>Applicant_List!CB210</f>
        <v/>
      </c>
      <c r="G209" s="15">
        <f>Applicant_List!BW210</f>
        <v/>
      </c>
      <c r="H209" s="15">
        <f>Applicant_List!BY210</f>
        <v/>
      </c>
      <c r="I209" s="15">
        <f>COUNTIF(Applicant_List!AI210:BM210,"N")+COUNTBLANK(Applicant_List!AI210:BM210)</f>
        <v/>
      </c>
      <c r="J209" s="15">
        <f>Applicant_List!BT210</f>
        <v/>
      </c>
      <c r="K209" s="15">
        <f>Applicant_List!CA210</f>
        <v/>
      </c>
      <c r="L209" s="15">
        <f>IF(Applicant_List!BQ210="Y",IF(Applicant_List!CB210="Y","Would Advance","Would Not Advance"),"Existing Pipeline")</f>
        <v/>
      </c>
    </row>
    <row r="210">
      <c r="A210" s="15">
        <f>Applicant_List!C211</f>
        <v/>
      </c>
      <c r="B210" s="15">
        <f>Applicant_List!E211</f>
        <v/>
      </c>
      <c r="C210" s="15">
        <f>Applicant_List!L211</f>
        <v/>
      </c>
      <c r="D210" s="15">
        <f>Applicant_List!BU211</f>
        <v/>
      </c>
      <c r="E210" s="15">
        <f>Applicant_List!BV211</f>
        <v/>
      </c>
      <c r="F210" s="15">
        <f>Applicant_List!CB211</f>
        <v/>
      </c>
      <c r="G210" s="15">
        <f>Applicant_List!BW211</f>
        <v/>
      </c>
      <c r="H210" s="15">
        <f>Applicant_List!BY211</f>
        <v/>
      </c>
      <c r="I210" s="15">
        <f>COUNTIF(Applicant_List!AI211:BM211,"N")+COUNTBLANK(Applicant_List!AI211:BM211)</f>
        <v/>
      </c>
      <c r="J210" s="15">
        <f>Applicant_List!BT211</f>
        <v/>
      </c>
      <c r="K210" s="15">
        <f>Applicant_List!CA211</f>
        <v/>
      </c>
      <c r="L210" s="15">
        <f>IF(Applicant_List!BQ211="Y",IF(Applicant_List!CB211="Y","Would Advance","Would Not Advance"),"Existing Pipeline")</f>
        <v/>
      </c>
    </row>
    <row r="211">
      <c r="A211" s="15">
        <f>Applicant_List!C212</f>
        <v/>
      </c>
      <c r="B211" s="15">
        <f>Applicant_List!E212</f>
        <v/>
      </c>
      <c r="C211" s="15">
        <f>Applicant_List!L212</f>
        <v/>
      </c>
      <c r="D211" s="15">
        <f>Applicant_List!BU212</f>
        <v/>
      </c>
      <c r="E211" s="15">
        <f>Applicant_List!BV212</f>
        <v/>
      </c>
      <c r="F211" s="15">
        <f>Applicant_List!CB212</f>
        <v/>
      </c>
      <c r="G211" s="15">
        <f>Applicant_List!BW212</f>
        <v/>
      </c>
      <c r="H211" s="15">
        <f>Applicant_List!BY212</f>
        <v/>
      </c>
      <c r="I211" s="15">
        <f>COUNTIF(Applicant_List!AI212:BM212,"N")+COUNTBLANK(Applicant_List!AI212:BM212)</f>
        <v/>
      </c>
      <c r="J211" s="15">
        <f>Applicant_List!BT212</f>
        <v/>
      </c>
      <c r="K211" s="15">
        <f>Applicant_List!CA212</f>
        <v/>
      </c>
      <c r="L211" s="15">
        <f>IF(Applicant_List!BQ212="Y",IF(Applicant_List!CB212="Y","Would Advance","Would Not Advance"),"Existing Pipeline")</f>
        <v/>
      </c>
    </row>
    <row r="212">
      <c r="A212" s="15">
        <f>Applicant_List!C213</f>
        <v/>
      </c>
      <c r="B212" s="15">
        <f>Applicant_List!E213</f>
        <v/>
      </c>
      <c r="C212" s="15">
        <f>Applicant_List!L213</f>
        <v/>
      </c>
      <c r="D212" s="15">
        <f>Applicant_List!BU213</f>
        <v/>
      </c>
      <c r="E212" s="15">
        <f>Applicant_List!BV213</f>
        <v/>
      </c>
      <c r="F212" s="15">
        <f>Applicant_List!CB213</f>
        <v/>
      </c>
      <c r="G212" s="15">
        <f>Applicant_List!BW213</f>
        <v/>
      </c>
      <c r="H212" s="15">
        <f>Applicant_List!BY213</f>
        <v/>
      </c>
      <c r="I212" s="15">
        <f>COUNTIF(Applicant_List!AI213:BM213,"N")+COUNTBLANK(Applicant_List!AI213:BM213)</f>
        <v/>
      </c>
      <c r="J212" s="15">
        <f>Applicant_List!BT213</f>
        <v/>
      </c>
      <c r="K212" s="15">
        <f>Applicant_List!CA213</f>
        <v/>
      </c>
      <c r="L212" s="15">
        <f>IF(Applicant_List!BQ213="Y",IF(Applicant_List!CB213="Y","Would Advance","Would Not Advance"),"Existing Pipeline")</f>
        <v/>
      </c>
    </row>
    <row r="213">
      <c r="A213" s="15">
        <f>Applicant_List!C214</f>
        <v/>
      </c>
      <c r="B213" s="15">
        <f>Applicant_List!E214</f>
        <v/>
      </c>
      <c r="C213" s="15">
        <f>Applicant_List!L214</f>
        <v/>
      </c>
      <c r="D213" s="15">
        <f>Applicant_List!BU214</f>
        <v/>
      </c>
      <c r="E213" s="15">
        <f>Applicant_List!BV214</f>
        <v/>
      </c>
      <c r="F213" s="15">
        <f>Applicant_List!CB214</f>
        <v/>
      </c>
      <c r="G213" s="15">
        <f>Applicant_List!BW214</f>
        <v/>
      </c>
      <c r="H213" s="15">
        <f>Applicant_List!BY214</f>
        <v/>
      </c>
      <c r="I213" s="15">
        <f>COUNTIF(Applicant_List!AI214:BM214,"N")+COUNTBLANK(Applicant_List!AI214:BM214)</f>
        <v/>
      </c>
      <c r="J213" s="15">
        <f>Applicant_List!BT214</f>
        <v/>
      </c>
      <c r="K213" s="15">
        <f>Applicant_List!CA214</f>
        <v/>
      </c>
      <c r="L213" s="15">
        <f>IF(Applicant_List!BQ214="Y",IF(Applicant_List!CB214="Y","Would Advance","Would Not Advance"),"Existing Pipeline")</f>
        <v/>
      </c>
    </row>
    <row r="214">
      <c r="A214" s="15">
        <f>Applicant_List!C215</f>
        <v/>
      </c>
      <c r="B214" s="15">
        <f>Applicant_List!E215</f>
        <v/>
      </c>
      <c r="C214" s="15">
        <f>Applicant_List!L215</f>
        <v/>
      </c>
      <c r="D214" s="15">
        <f>Applicant_List!BU215</f>
        <v/>
      </c>
      <c r="E214" s="15">
        <f>Applicant_List!BV215</f>
        <v/>
      </c>
      <c r="F214" s="15">
        <f>Applicant_List!CB215</f>
        <v/>
      </c>
      <c r="G214" s="15">
        <f>Applicant_List!BW215</f>
        <v/>
      </c>
      <c r="H214" s="15">
        <f>Applicant_List!BY215</f>
        <v/>
      </c>
      <c r="I214" s="15">
        <f>COUNTIF(Applicant_List!AI215:BM215,"N")+COUNTBLANK(Applicant_List!AI215:BM215)</f>
        <v/>
      </c>
      <c r="J214" s="15">
        <f>Applicant_List!BT215</f>
        <v/>
      </c>
      <c r="K214" s="15">
        <f>Applicant_List!CA215</f>
        <v/>
      </c>
      <c r="L214" s="15">
        <f>IF(Applicant_List!BQ215="Y",IF(Applicant_List!CB215="Y","Would Advance","Would Not Advance"),"Existing Pipeline")</f>
        <v/>
      </c>
    </row>
    <row r="215">
      <c r="A215" s="15">
        <f>Applicant_List!C216</f>
        <v/>
      </c>
      <c r="B215" s="15">
        <f>Applicant_List!E216</f>
        <v/>
      </c>
      <c r="C215" s="15">
        <f>Applicant_List!L216</f>
        <v/>
      </c>
      <c r="D215" s="15">
        <f>Applicant_List!BU216</f>
        <v/>
      </c>
      <c r="E215" s="15">
        <f>Applicant_List!BV216</f>
        <v/>
      </c>
      <c r="F215" s="15">
        <f>Applicant_List!CB216</f>
        <v/>
      </c>
      <c r="G215" s="15">
        <f>Applicant_List!BW216</f>
        <v/>
      </c>
      <c r="H215" s="15">
        <f>Applicant_List!BY216</f>
        <v/>
      </c>
      <c r="I215" s="15">
        <f>COUNTIF(Applicant_List!AI216:BM216,"N")+COUNTBLANK(Applicant_List!AI216:BM216)</f>
        <v/>
      </c>
      <c r="J215" s="15">
        <f>Applicant_List!BT216</f>
        <v/>
      </c>
      <c r="K215" s="15">
        <f>Applicant_List!CA216</f>
        <v/>
      </c>
      <c r="L215" s="15">
        <f>IF(Applicant_List!BQ216="Y",IF(Applicant_List!CB216="Y","Would Advance","Would Not Advance"),"Existing Pipeline")</f>
        <v/>
      </c>
    </row>
    <row r="216">
      <c r="A216" s="15">
        <f>Applicant_List!C217</f>
        <v/>
      </c>
      <c r="B216" s="15">
        <f>Applicant_List!E217</f>
        <v/>
      </c>
      <c r="C216" s="15">
        <f>Applicant_List!L217</f>
        <v/>
      </c>
      <c r="D216" s="15">
        <f>Applicant_List!BU217</f>
        <v/>
      </c>
      <c r="E216" s="15">
        <f>Applicant_List!BV217</f>
        <v/>
      </c>
      <c r="F216" s="15">
        <f>Applicant_List!CB217</f>
        <v/>
      </c>
      <c r="G216" s="15">
        <f>Applicant_List!BW217</f>
        <v/>
      </c>
      <c r="H216" s="15">
        <f>Applicant_List!BY217</f>
        <v/>
      </c>
      <c r="I216" s="15">
        <f>COUNTIF(Applicant_List!AI217:BM217,"N")+COUNTBLANK(Applicant_List!AI217:BM217)</f>
        <v/>
      </c>
      <c r="J216" s="15">
        <f>Applicant_List!BT217</f>
        <v/>
      </c>
      <c r="K216" s="15">
        <f>Applicant_List!CA217</f>
        <v/>
      </c>
      <c r="L216" s="15">
        <f>IF(Applicant_List!BQ217="Y",IF(Applicant_List!CB217="Y","Would Advance","Would Not Advance"),"Existing Pipeline")</f>
        <v/>
      </c>
    </row>
    <row r="217">
      <c r="A217" s="15">
        <f>Applicant_List!C218</f>
        <v/>
      </c>
      <c r="B217" s="15">
        <f>Applicant_List!E218</f>
        <v/>
      </c>
      <c r="C217" s="15">
        <f>Applicant_List!L218</f>
        <v/>
      </c>
      <c r="D217" s="15">
        <f>Applicant_List!BU218</f>
        <v/>
      </c>
      <c r="E217" s="15">
        <f>Applicant_List!BV218</f>
        <v/>
      </c>
      <c r="F217" s="15">
        <f>Applicant_List!CB218</f>
        <v/>
      </c>
      <c r="G217" s="15">
        <f>Applicant_List!BW218</f>
        <v/>
      </c>
      <c r="H217" s="15">
        <f>Applicant_List!BY218</f>
        <v/>
      </c>
      <c r="I217" s="15">
        <f>COUNTIF(Applicant_List!AI218:BM218,"N")+COUNTBLANK(Applicant_List!AI218:BM218)</f>
        <v/>
      </c>
      <c r="J217" s="15">
        <f>Applicant_List!BT218</f>
        <v/>
      </c>
      <c r="K217" s="15">
        <f>Applicant_List!CA218</f>
        <v/>
      </c>
      <c r="L217" s="15">
        <f>IF(Applicant_List!BQ218="Y",IF(Applicant_List!CB218="Y","Would Advance","Would Not Advance"),"Existing Pipeline")</f>
        <v/>
      </c>
    </row>
    <row r="218">
      <c r="A218" s="15">
        <f>Applicant_List!C219</f>
        <v/>
      </c>
      <c r="B218" s="15">
        <f>Applicant_List!E219</f>
        <v/>
      </c>
      <c r="C218" s="15">
        <f>Applicant_List!L219</f>
        <v/>
      </c>
      <c r="D218" s="15">
        <f>Applicant_List!BU219</f>
        <v/>
      </c>
      <c r="E218" s="15">
        <f>Applicant_List!BV219</f>
        <v/>
      </c>
      <c r="F218" s="15">
        <f>Applicant_List!CB219</f>
        <v/>
      </c>
      <c r="G218" s="15">
        <f>Applicant_List!BW219</f>
        <v/>
      </c>
      <c r="H218" s="15">
        <f>Applicant_List!BY219</f>
        <v/>
      </c>
      <c r="I218" s="15">
        <f>COUNTIF(Applicant_List!AI219:BM219,"N")+COUNTBLANK(Applicant_List!AI219:BM219)</f>
        <v/>
      </c>
      <c r="J218" s="15">
        <f>Applicant_List!BT219</f>
        <v/>
      </c>
      <c r="K218" s="15">
        <f>Applicant_List!CA219</f>
        <v/>
      </c>
      <c r="L218" s="15">
        <f>IF(Applicant_List!BQ219="Y",IF(Applicant_List!CB219="Y","Would Advance","Would Not Advance"),"Existing Pipeline")</f>
        <v/>
      </c>
    </row>
    <row r="219">
      <c r="A219" s="15">
        <f>Applicant_List!C220</f>
        <v/>
      </c>
      <c r="B219" s="15">
        <f>Applicant_List!E220</f>
        <v/>
      </c>
      <c r="C219" s="15">
        <f>Applicant_List!L220</f>
        <v/>
      </c>
      <c r="D219" s="15">
        <f>Applicant_List!BU220</f>
        <v/>
      </c>
      <c r="E219" s="15">
        <f>Applicant_List!BV220</f>
        <v/>
      </c>
      <c r="F219" s="15">
        <f>Applicant_List!CB220</f>
        <v/>
      </c>
      <c r="G219" s="15">
        <f>Applicant_List!BW220</f>
        <v/>
      </c>
      <c r="H219" s="15">
        <f>Applicant_List!BY220</f>
        <v/>
      </c>
      <c r="I219" s="15">
        <f>COUNTIF(Applicant_List!AI220:BM220,"N")+COUNTBLANK(Applicant_List!AI220:BM220)</f>
        <v/>
      </c>
      <c r="J219" s="15">
        <f>Applicant_List!BT220</f>
        <v/>
      </c>
      <c r="K219" s="15">
        <f>Applicant_List!CA220</f>
        <v/>
      </c>
      <c r="L219" s="15">
        <f>IF(Applicant_List!BQ220="Y",IF(Applicant_List!CB220="Y","Would Advance","Would Not Advance"),"Existing Pipeline")</f>
        <v/>
      </c>
    </row>
    <row r="220">
      <c r="A220" s="15">
        <f>Applicant_List!C221</f>
        <v/>
      </c>
      <c r="B220" s="15">
        <f>Applicant_List!E221</f>
        <v/>
      </c>
      <c r="C220" s="15">
        <f>Applicant_List!L221</f>
        <v/>
      </c>
      <c r="D220" s="15">
        <f>Applicant_List!BU221</f>
        <v/>
      </c>
      <c r="E220" s="15">
        <f>Applicant_List!BV221</f>
        <v/>
      </c>
      <c r="F220" s="15">
        <f>Applicant_List!CB221</f>
        <v/>
      </c>
      <c r="G220" s="15">
        <f>Applicant_List!BW221</f>
        <v/>
      </c>
      <c r="H220" s="15">
        <f>Applicant_List!BY221</f>
        <v/>
      </c>
      <c r="I220" s="15">
        <f>COUNTIF(Applicant_List!AI221:BM221,"N")+COUNTBLANK(Applicant_List!AI221:BM221)</f>
        <v/>
      </c>
      <c r="J220" s="15">
        <f>Applicant_List!BT221</f>
        <v/>
      </c>
      <c r="K220" s="15">
        <f>Applicant_List!CA221</f>
        <v/>
      </c>
      <c r="L220" s="15">
        <f>IF(Applicant_List!BQ221="Y",IF(Applicant_List!CB221="Y","Would Advance","Would Not Advance"),"Existing Pipeline")</f>
        <v/>
      </c>
    </row>
    <row r="221">
      <c r="A221" s="15">
        <f>Applicant_List!C222</f>
        <v/>
      </c>
      <c r="B221" s="15">
        <f>Applicant_List!E222</f>
        <v/>
      </c>
      <c r="C221" s="15">
        <f>Applicant_List!L222</f>
        <v/>
      </c>
      <c r="D221" s="15">
        <f>Applicant_List!BU222</f>
        <v/>
      </c>
      <c r="E221" s="15">
        <f>Applicant_List!BV222</f>
        <v/>
      </c>
      <c r="F221" s="15">
        <f>Applicant_List!CB222</f>
        <v/>
      </c>
      <c r="G221" s="15">
        <f>Applicant_List!BW222</f>
        <v/>
      </c>
      <c r="H221" s="15">
        <f>Applicant_List!BY222</f>
        <v/>
      </c>
      <c r="I221" s="15">
        <f>COUNTIF(Applicant_List!AI222:BM222,"N")+COUNTBLANK(Applicant_List!AI222:BM222)</f>
        <v/>
      </c>
      <c r="J221" s="15">
        <f>Applicant_List!BT222</f>
        <v/>
      </c>
      <c r="K221" s="15">
        <f>Applicant_List!CA222</f>
        <v/>
      </c>
      <c r="L221" s="15">
        <f>IF(Applicant_List!BQ222="Y",IF(Applicant_List!CB222="Y","Would Advance","Would Not Advance"),"Existing Pipeline")</f>
        <v/>
      </c>
    </row>
    <row r="222">
      <c r="A222" s="15">
        <f>Applicant_List!C223</f>
        <v/>
      </c>
      <c r="B222" s="15">
        <f>Applicant_List!E223</f>
        <v/>
      </c>
      <c r="C222" s="15">
        <f>Applicant_List!L223</f>
        <v/>
      </c>
      <c r="D222" s="15">
        <f>Applicant_List!BU223</f>
        <v/>
      </c>
      <c r="E222" s="15">
        <f>Applicant_List!BV223</f>
        <v/>
      </c>
      <c r="F222" s="15">
        <f>Applicant_List!CB223</f>
        <v/>
      </c>
      <c r="G222" s="15">
        <f>Applicant_List!BW223</f>
        <v/>
      </c>
      <c r="H222" s="15">
        <f>Applicant_List!BY223</f>
        <v/>
      </c>
      <c r="I222" s="15">
        <f>COUNTIF(Applicant_List!AI223:BM223,"N")+COUNTBLANK(Applicant_List!AI223:BM223)</f>
        <v/>
      </c>
      <c r="J222" s="15">
        <f>Applicant_List!BT223</f>
        <v/>
      </c>
      <c r="K222" s="15">
        <f>Applicant_List!CA223</f>
        <v/>
      </c>
      <c r="L222" s="15">
        <f>IF(Applicant_List!BQ223="Y",IF(Applicant_List!CB223="Y","Would Advance","Would Not Advance"),"Existing Pipeline")</f>
        <v/>
      </c>
    </row>
    <row r="223">
      <c r="A223" s="15">
        <f>Applicant_List!C224</f>
        <v/>
      </c>
      <c r="B223" s="15">
        <f>Applicant_List!E224</f>
        <v/>
      </c>
      <c r="C223" s="15">
        <f>Applicant_List!L224</f>
        <v/>
      </c>
      <c r="D223" s="15">
        <f>Applicant_List!BU224</f>
        <v/>
      </c>
      <c r="E223" s="15">
        <f>Applicant_List!BV224</f>
        <v/>
      </c>
      <c r="F223" s="15">
        <f>Applicant_List!CB224</f>
        <v/>
      </c>
      <c r="G223" s="15">
        <f>Applicant_List!BW224</f>
        <v/>
      </c>
      <c r="H223" s="15">
        <f>Applicant_List!BY224</f>
        <v/>
      </c>
      <c r="I223" s="15">
        <f>COUNTIF(Applicant_List!AI224:BM224,"N")+COUNTBLANK(Applicant_List!AI224:BM224)</f>
        <v/>
      </c>
      <c r="J223" s="15">
        <f>Applicant_List!BT224</f>
        <v/>
      </c>
      <c r="K223" s="15">
        <f>Applicant_List!CA224</f>
        <v/>
      </c>
      <c r="L223" s="15">
        <f>IF(Applicant_List!BQ224="Y",IF(Applicant_List!CB224="Y","Would Advance","Would Not Advance"),"Existing Pipeline")</f>
        <v/>
      </c>
    </row>
    <row r="224">
      <c r="A224" s="15">
        <f>Applicant_List!C225</f>
        <v/>
      </c>
      <c r="B224" s="15">
        <f>Applicant_List!E225</f>
        <v/>
      </c>
      <c r="C224" s="15">
        <f>Applicant_List!L225</f>
        <v/>
      </c>
      <c r="D224" s="15">
        <f>Applicant_List!BU225</f>
        <v/>
      </c>
      <c r="E224" s="15">
        <f>Applicant_List!BV225</f>
        <v/>
      </c>
      <c r="F224" s="15">
        <f>Applicant_List!CB225</f>
        <v/>
      </c>
      <c r="G224" s="15">
        <f>Applicant_List!BW225</f>
        <v/>
      </c>
      <c r="H224" s="15">
        <f>Applicant_List!BY225</f>
        <v/>
      </c>
      <c r="I224" s="15">
        <f>COUNTIF(Applicant_List!AI225:BM225,"N")+COUNTBLANK(Applicant_List!AI225:BM225)</f>
        <v/>
      </c>
      <c r="J224" s="15">
        <f>Applicant_List!BT225</f>
        <v/>
      </c>
      <c r="K224" s="15">
        <f>Applicant_List!CA225</f>
        <v/>
      </c>
      <c r="L224" s="15">
        <f>IF(Applicant_List!BQ225="Y",IF(Applicant_List!CB225="Y","Would Advance","Would Not Advance"),"Existing Pipeline")</f>
        <v/>
      </c>
    </row>
    <row r="225">
      <c r="A225" s="15">
        <f>Applicant_List!C226</f>
        <v/>
      </c>
      <c r="B225" s="15">
        <f>Applicant_List!E226</f>
        <v/>
      </c>
      <c r="C225" s="15">
        <f>Applicant_List!L226</f>
        <v/>
      </c>
      <c r="D225" s="15">
        <f>Applicant_List!BU226</f>
        <v/>
      </c>
      <c r="E225" s="15">
        <f>Applicant_List!BV226</f>
        <v/>
      </c>
      <c r="F225" s="15">
        <f>Applicant_List!CB226</f>
        <v/>
      </c>
      <c r="G225" s="15">
        <f>Applicant_List!BW226</f>
        <v/>
      </c>
      <c r="H225" s="15">
        <f>Applicant_List!BY226</f>
        <v/>
      </c>
      <c r="I225" s="15">
        <f>COUNTIF(Applicant_List!AI226:BM226,"N")+COUNTBLANK(Applicant_List!AI226:BM226)</f>
        <v/>
      </c>
      <c r="J225" s="15">
        <f>Applicant_List!BT226</f>
        <v/>
      </c>
      <c r="K225" s="15">
        <f>Applicant_List!CA226</f>
        <v/>
      </c>
      <c r="L225" s="15">
        <f>IF(Applicant_List!BQ226="Y",IF(Applicant_List!CB226="Y","Would Advance","Would Not Advance"),"Existing Pipeline")</f>
        <v/>
      </c>
    </row>
    <row r="226">
      <c r="A226" s="15">
        <f>Applicant_List!C227</f>
        <v/>
      </c>
      <c r="B226" s="15">
        <f>Applicant_List!E227</f>
        <v/>
      </c>
      <c r="C226" s="15">
        <f>Applicant_List!L227</f>
        <v/>
      </c>
      <c r="D226" s="15">
        <f>Applicant_List!BU227</f>
        <v/>
      </c>
      <c r="E226" s="15">
        <f>Applicant_List!BV227</f>
        <v/>
      </c>
      <c r="F226" s="15">
        <f>Applicant_List!CB227</f>
        <v/>
      </c>
      <c r="G226" s="15">
        <f>Applicant_List!BW227</f>
        <v/>
      </c>
      <c r="H226" s="15">
        <f>Applicant_List!BY227</f>
        <v/>
      </c>
      <c r="I226" s="15">
        <f>COUNTIF(Applicant_List!AI227:BM227,"N")+COUNTBLANK(Applicant_List!AI227:BM227)</f>
        <v/>
      </c>
      <c r="J226" s="15">
        <f>Applicant_List!BT227</f>
        <v/>
      </c>
      <c r="K226" s="15">
        <f>Applicant_List!CA227</f>
        <v/>
      </c>
      <c r="L226" s="15">
        <f>IF(Applicant_List!BQ227="Y",IF(Applicant_List!CB227="Y","Would Advance","Would Not Advance"),"Existing Pipeline")</f>
        <v/>
      </c>
    </row>
    <row r="227">
      <c r="A227" s="15">
        <f>Applicant_List!C228</f>
        <v/>
      </c>
      <c r="B227" s="15">
        <f>Applicant_List!E228</f>
        <v/>
      </c>
      <c r="C227" s="15">
        <f>Applicant_List!L228</f>
        <v/>
      </c>
      <c r="D227" s="15">
        <f>Applicant_List!BU228</f>
        <v/>
      </c>
      <c r="E227" s="15">
        <f>Applicant_List!BV228</f>
        <v/>
      </c>
      <c r="F227" s="15">
        <f>Applicant_List!CB228</f>
        <v/>
      </c>
      <c r="G227" s="15">
        <f>Applicant_List!BW228</f>
        <v/>
      </c>
      <c r="H227" s="15">
        <f>Applicant_List!BY228</f>
        <v/>
      </c>
      <c r="I227" s="15">
        <f>COUNTIF(Applicant_List!AI228:BM228,"N")+COUNTBLANK(Applicant_List!AI228:BM228)</f>
        <v/>
      </c>
      <c r="J227" s="15">
        <f>Applicant_List!BT228</f>
        <v/>
      </c>
      <c r="K227" s="15">
        <f>Applicant_List!CA228</f>
        <v/>
      </c>
      <c r="L227" s="15">
        <f>IF(Applicant_List!BQ228="Y",IF(Applicant_List!CB228="Y","Would Advance","Would Not Advance"),"Existing Pipeline")</f>
        <v/>
      </c>
    </row>
    <row r="228">
      <c r="A228" s="15">
        <f>Applicant_List!C229</f>
        <v/>
      </c>
      <c r="B228" s="15">
        <f>Applicant_List!E229</f>
        <v/>
      </c>
      <c r="C228" s="15">
        <f>Applicant_List!L229</f>
        <v/>
      </c>
      <c r="D228" s="15">
        <f>Applicant_List!BU229</f>
        <v/>
      </c>
      <c r="E228" s="15">
        <f>Applicant_List!BV229</f>
        <v/>
      </c>
      <c r="F228" s="15">
        <f>Applicant_List!CB229</f>
        <v/>
      </c>
      <c r="G228" s="15">
        <f>Applicant_List!BW229</f>
        <v/>
      </c>
      <c r="H228" s="15">
        <f>Applicant_List!BY229</f>
        <v/>
      </c>
      <c r="I228" s="15">
        <f>COUNTIF(Applicant_List!AI229:BM229,"N")+COUNTBLANK(Applicant_List!AI229:BM229)</f>
        <v/>
      </c>
      <c r="J228" s="15">
        <f>Applicant_List!BT229</f>
        <v/>
      </c>
      <c r="K228" s="15">
        <f>Applicant_List!CA229</f>
        <v/>
      </c>
      <c r="L228" s="15">
        <f>IF(Applicant_List!BQ229="Y",IF(Applicant_List!CB229="Y","Would Advance","Would Not Advance"),"Existing Pipeline")</f>
        <v/>
      </c>
    </row>
    <row r="229">
      <c r="A229" s="15">
        <f>Applicant_List!C230</f>
        <v/>
      </c>
      <c r="B229" s="15">
        <f>Applicant_List!E230</f>
        <v/>
      </c>
      <c r="C229" s="15">
        <f>Applicant_List!L230</f>
        <v/>
      </c>
      <c r="D229" s="15">
        <f>Applicant_List!BU230</f>
        <v/>
      </c>
      <c r="E229" s="15">
        <f>Applicant_List!BV230</f>
        <v/>
      </c>
      <c r="F229" s="15">
        <f>Applicant_List!CB230</f>
        <v/>
      </c>
      <c r="G229" s="15">
        <f>Applicant_List!BW230</f>
        <v/>
      </c>
      <c r="H229" s="15">
        <f>Applicant_List!BY230</f>
        <v/>
      </c>
      <c r="I229" s="15">
        <f>COUNTIF(Applicant_List!AI230:BM230,"N")+COUNTBLANK(Applicant_List!AI230:BM230)</f>
        <v/>
      </c>
      <c r="J229" s="15">
        <f>Applicant_List!BT230</f>
        <v/>
      </c>
      <c r="K229" s="15">
        <f>Applicant_List!CA230</f>
        <v/>
      </c>
      <c r="L229" s="15">
        <f>IF(Applicant_List!BQ230="Y",IF(Applicant_List!CB230="Y","Would Advance","Would Not Advance"),"Existing Pipeline")</f>
        <v/>
      </c>
    </row>
    <row r="230">
      <c r="A230" s="15">
        <f>Applicant_List!C231</f>
        <v/>
      </c>
      <c r="B230" s="15">
        <f>Applicant_List!E231</f>
        <v/>
      </c>
      <c r="C230" s="15">
        <f>Applicant_List!L231</f>
        <v/>
      </c>
      <c r="D230" s="15">
        <f>Applicant_List!BU231</f>
        <v/>
      </c>
      <c r="E230" s="15">
        <f>Applicant_List!BV231</f>
        <v/>
      </c>
      <c r="F230" s="15">
        <f>Applicant_List!CB231</f>
        <v/>
      </c>
      <c r="G230" s="15">
        <f>Applicant_List!BW231</f>
        <v/>
      </c>
      <c r="H230" s="15">
        <f>Applicant_List!BY231</f>
        <v/>
      </c>
      <c r="I230" s="15">
        <f>COUNTIF(Applicant_List!AI231:BM231,"N")+COUNTBLANK(Applicant_List!AI231:BM231)</f>
        <v/>
      </c>
      <c r="J230" s="15">
        <f>Applicant_List!BT231</f>
        <v/>
      </c>
      <c r="K230" s="15">
        <f>Applicant_List!CA231</f>
        <v/>
      </c>
      <c r="L230" s="15">
        <f>IF(Applicant_List!BQ231="Y",IF(Applicant_List!CB231="Y","Would Advance","Would Not Advance"),"Existing Pipeline")</f>
        <v/>
      </c>
    </row>
    <row r="231">
      <c r="A231" s="15">
        <f>Applicant_List!C232</f>
        <v/>
      </c>
      <c r="B231" s="15">
        <f>Applicant_List!E232</f>
        <v/>
      </c>
      <c r="C231" s="15">
        <f>Applicant_List!L232</f>
        <v/>
      </c>
      <c r="D231" s="15">
        <f>Applicant_List!BU232</f>
        <v/>
      </c>
      <c r="E231" s="15">
        <f>Applicant_List!BV232</f>
        <v/>
      </c>
      <c r="F231" s="15">
        <f>Applicant_List!CB232</f>
        <v/>
      </c>
      <c r="G231" s="15">
        <f>Applicant_List!BW232</f>
        <v/>
      </c>
      <c r="H231" s="15">
        <f>Applicant_List!BY232</f>
        <v/>
      </c>
      <c r="I231" s="15">
        <f>COUNTIF(Applicant_List!AI232:BM232,"N")+COUNTBLANK(Applicant_List!AI232:BM232)</f>
        <v/>
      </c>
      <c r="J231" s="15">
        <f>Applicant_List!BT232</f>
        <v/>
      </c>
      <c r="K231" s="15">
        <f>Applicant_List!CA232</f>
        <v/>
      </c>
      <c r="L231" s="15">
        <f>IF(Applicant_List!BQ232="Y",IF(Applicant_List!CB232="Y","Would Advance","Would Not Advance"),"Existing Pipeline")</f>
        <v/>
      </c>
    </row>
    <row r="232">
      <c r="A232" s="15">
        <f>Applicant_List!C233</f>
        <v/>
      </c>
      <c r="B232" s="15">
        <f>Applicant_List!E233</f>
        <v/>
      </c>
      <c r="C232" s="15">
        <f>Applicant_List!L233</f>
        <v/>
      </c>
      <c r="D232" s="15">
        <f>Applicant_List!BU233</f>
        <v/>
      </c>
      <c r="E232" s="15">
        <f>Applicant_List!BV233</f>
        <v/>
      </c>
      <c r="F232" s="15">
        <f>Applicant_List!CB233</f>
        <v/>
      </c>
      <c r="G232" s="15">
        <f>Applicant_List!BW233</f>
        <v/>
      </c>
      <c r="H232" s="15">
        <f>Applicant_List!BY233</f>
        <v/>
      </c>
      <c r="I232" s="15">
        <f>COUNTIF(Applicant_List!AI233:BM233,"N")+COUNTBLANK(Applicant_List!AI233:BM233)</f>
        <v/>
      </c>
      <c r="J232" s="15">
        <f>Applicant_List!BT233</f>
        <v/>
      </c>
      <c r="K232" s="15">
        <f>Applicant_List!CA233</f>
        <v/>
      </c>
      <c r="L232" s="15">
        <f>IF(Applicant_List!BQ233="Y",IF(Applicant_List!CB233="Y","Would Advance","Would Not Advance"),"Existing Pipeline")</f>
        <v/>
      </c>
    </row>
    <row r="233">
      <c r="A233" s="15">
        <f>Applicant_List!C234</f>
        <v/>
      </c>
      <c r="B233" s="15">
        <f>Applicant_List!E234</f>
        <v/>
      </c>
      <c r="C233" s="15">
        <f>Applicant_List!L234</f>
        <v/>
      </c>
      <c r="D233" s="15">
        <f>Applicant_List!BU234</f>
        <v/>
      </c>
      <c r="E233" s="15">
        <f>Applicant_List!BV234</f>
        <v/>
      </c>
      <c r="F233" s="15">
        <f>Applicant_List!CB234</f>
        <v/>
      </c>
      <c r="G233" s="15">
        <f>Applicant_List!BW234</f>
        <v/>
      </c>
      <c r="H233" s="15">
        <f>Applicant_List!BY234</f>
        <v/>
      </c>
      <c r="I233" s="15">
        <f>COUNTIF(Applicant_List!AI234:BM234,"N")+COUNTBLANK(Applicant_List!AI234:BM234)</f>
        <v/>
      </c>
      <c r="J233" s="15">
        <f>Applicant_List!BT234</f>
        <v/>
      </c>
      <c r="K233" s="15">
        <f>Applicant_List!CA234</f>
        <v/>
      </c>
      <c r="L233" s="15">
        <f>IF(Applicant_List!BQ234="Y",IF(Applicant_List!CB234="Y","Would Advance","Would Not Advance"),"Existing Pipeline")</f>
        <v/>
      </c>
    </row>
    <row r="234">
      <c r="A234" s="15">
        <f>Applicant_List!C235</f>
        <v/>
      </c>
      <c r="B234" s="15">
        <f>Applicant_List!E235</f>
        <v/>
      </c>
      <c r="C234" s="15">
        <f>Applicant_List!L235</f>
        <v/>
      </c>
      <c r="D234" s="15">
        <f>Applicant_List!BU235</f>
        <v/>
      </c>
      <c r="E234" s="15">
        <f>Applicant_List!BV235</f>
        <v/>
      </c>
      <c r="F234" s="15">
        <f>Applicant_List!CB235</f>
        <v/>
      </c>
      <c r="G234" s="15">
        <f>Applicant_List!BW235</f>
        <v/>
      </c>
      <c r="H234" s="15">
        <f>Applicant_List!BY235</f>
        <v/>
      </c>
      <c r="I234" s="15">
        <f>COUNTIF(Applicant_List!AI235:BM235,"N")+COUNTBLANK(Applicant_List!AI235:BM235)</f>
        <v/>
      </c>
      <c r="J234" s="15">
        <f>Applicant_List!BT235</f>
        <v/>
      </c>
      <c r="K234" s="15">
        <f>Applicant_List!CA235</f>
        <v/>
      </c>
      <c r="L234" s="15">
        <f>IF(Applicant_List!BQ235="Y",IF(Applicant_List!CB235="Y","Would Advance","Would Not Advance"),"Existing Pipeline")</f>
        <v/>
      </c>
    </row>
    <row r="235">
      <c r="A235" s="15">
        <f>Applicant_List!C236</f>
        <v/>
      </c>
      <c r="B235" s="15">
        <f>Applicant_List!E236</f>
        <v/>
      </c>
      <c r="C235" s="15">
        <f>Applicant_List!L236</f>
        <v/>
      </c>
      <c r="D235" s="15">
        <f>Applicant_List!BU236</f>
        <v/>
      </c>
      <c r="E235" s="15">
        <f>Applicant_List!BV236</f>
        <v/>
      </c>
      <c r="F235" s="15">
        <f>Applicant_List!CB236</f>
        <v/>
      </c>
      <c r="G235" s="15">
        <f>Applicant_List!BW236</f>
        <v/>
      </c>
      <c r="H235" s="15">
        <f>Applicant_List!BY236</f>
        <v/>
      </c>
      <c r="I235" s="15">
        <f>COUNTIF(Applicant_List!AI236:BM236,"N")+COUNTBLANK(Applicant_List!AI236:BM236)</f>
        <v/>
      </c>
      <c r="J235" s="15">
        <f>Applicant_List!BT236</f>
        <v/>
      </c>
      <c r="K235" s="15">
        <f>Applicant_List!CA236</f>
        <v/>
      </c>
      <c r="L235" s="15">
        <f>IF(Applicant_List!BQ236="Y",IF(Applicant_List!CB236="Y","Would Advance","Would Not Advance"),"Existing Pipeline")</f>
        <v/>
      </c>
    </row>
    <row r="236">
      <c r="A236" s="15">
        <f>Applicant_List!C237</f>
        <v/>
      </c>
      <c r="B236" s="15">
        <f>Applicant_List!E237</f>
        <v/>
      </c>
      <c r="C236" s="15">
        <f>Applicant_List!L237</f>
        <v/>
      </c>
      <c r="D236" s="15">
        <f>Applicant_List!BU237</f>
        <v/>
      </c>
      <c r="E236" s="15">
        <f>Applicant_List!BV237</f>
        <v/>
      </c>
      <c r="F236" s="15">
        <f>Applicant_List!CB237</f>
        <v/>
      </c>
      <c r="G236" s="15">
        <f>Applicant_List!BW237</f>
        <v/>
      </c>
      <c r="H236" s="15">
        <f>Applicant_List!BY237</f>
        <v/>
      </c>
      <c r="I236" s="15">
        <f>COUNTIF(Applicant_List!AI237:BM237,"N")+COUNTBLANK(Applicant_List!AI237:BM237)</f>
        <v/>
      </c>
      <c r="J236" s="15">
        <f>Applicant_List!BT237</f>
        <v/>
      </c>
      <c r="K236" s="15">
        <f>Applicant_List!CA237</f>
        <v/>
      </c>
      <c r="L236" s="15">
        <f>IF(Applicant_List!BQ237="Y",IF(Applicant_List!CB237="Y","Would Advance","Would Not Advance"),"Existing Pipeline")</f>
        <v/>
      </c>
    </row>
    <row r="237">
      <c r="A237" s="15">
        <f>Applicant_List!C238</f>
        <v/>
      </c>
      <c r="B237" s="15">
        <f>Applicant_List!E238</f>
        <v/>
      </c>
      <c r="C237" s="15">
        <f>Applicant_List!L238</f>
        <v/>
      </c>
      <c r="D237" s="15">
        <f>Applicant_List!BU238</f>
        <v/>
      </c>
      <c r="E237" s="15">
        <f>Applicant_List!BV238</f>
        <v/>
      </c>
      <c r="F237" s="15">
        <f>Applicant_List!CB238</f>
        <v/>
      </c>
      <c r="G237" s="15">
        <f>Applicant_List!BW238</f>
        <v/>
      </c>
      <c r="H237" s="15">
        <f>Applicant_List!BY238</f>
        <v/>
      </c>
      <c r="I237" s="15">
        <f>COUNTIF(Applicant_List!AI238:BM238,"N")+COUNTBLANK(Applicant_List!AI238:BM238)</f>
        <v/>
      </c>
      <c r="J237" s="15">
        <f>Applicant_List!BT238</f>
        <v/>
      </c>
      <c r="K237" s="15">
        <f>Applicant_List!CA238</f>
        <v/>
      </c>
      <c r="L237" s="15">
        <f>IF(Applicant_List!BQ238="Y",IF(Applicant_List!CB238="Y","Would Advance","Would Not Advance"),"Existing Pipeline")</f>
        <v/>
      </c>
    </row>
    <row r="238">
      <c r="A238" s="15">
        <f>Applicant_List!C239</f>
        <v/>
      </c>
      <c r="B238" s="15">
        <f>Applicant_List!E239</f>
        <v/>
      </c>
      <c r="C238" s="15">
        <f>Applicant_List!L239</f>
        <v/>
      </c>
      <c r="D238" s="15">
        <f>Applicant_List!BU239</f>
        <v/>
      </c>
      <c r="E238" s="15">
        <f>Applicant_List!BV239</f>
        <v/>
      </c>
      <c r="F238" s="15">
        <f>Applicant_List!CB239</f>
        <v/>
      </c>
      <c r="G238" s="15">
        <f>Applicant_List!BW239</f>
        <v/>
      </c>
      <c r="H238" s="15">
        <f>Applicant_List!BY239</f>
        <v/>
      </c>
      <c r="I238" s="15">
        <f>COUNTIF(Applicant_List!AI239:BM239,"N")+COUNTBLANK(Applicant_List!AI239:BM239)</f>
        <v/>
      </c>
      <c r="J238" s="15">
        <f>Applicant_List!BT239</f>
        <v/>
      </c>
      <c r="K238" s="15">
        <f>Applicant_List!CA239</f>
        <v/>
      </c>
      <c r="L238" s="15">
        <f>IF(Applicant_List!BQ239="Y",IF(Applicant_List!CB239="Y","Would Advance","Would Not Advance"),"Existing Pipeline")</f>
        <v/>
      </c>
    </row>
    <row r="239">
      <c r="A239" s="15">
        <f>Applicant_List!C240</f>
        <v/>
      </c>
      <c r="B239" s="15">
        <f>Applicant_List!E240</f>
        <v/>
      </c>
      <c r="C239" s="15">
        <f>Applicant_List!L240</f>
        <v/>
      </c>
      <c r="D239" s="15">
        <f>Applicant_List!BU240</f>
        <v/>
      </c>
      <c r="E239" s="15">
        <f>Applicant_List!BV240</f>
        <v/>
      </c>
      <c r="F239" s="15">
        <f>Applicant_List!CB240</f>
        <v/>
      </c>
      <c r="G239" s="15">
        <f>Applicant_List!BW240</f>
        <v/>
      </c>
      <c r="H239" s="15">
        <f>Applicant_List!BY240</f>
        <v/>
      </c>
      <c r="I239" s="15">
        <f>COUNTIF(Applicant_List!AI240:BM240,"N")+COUNTBLANK(Applicant_List!AI240:BM240)</f>
        <v/>
      </c>
      <c r="J239" s="15">
        <f>Applicant_List!BT240</f>
        <v/>
      </c>
      <c r="K239" s="15">
        <f>Applicant_List!CA240</f>
        <v/>
      </c>
      <c r="L239" s="15">
        <f>IF(Applicant_List!BQ240="Y",IF(Applicant_List!CB240="Y","Would Advance","Would Not Advance"),"Existing Pipeline")</f>
        <v/>
      </c>
    </row>
    <row r="240">
      <c r="A240" s="15">
        <f>Applicant_List!C241</f>
        <v/>
      </c>
      <c r="B240" s="15">
        <f>Applicant_List!E241</f>
        <v/>
      </c>
      <c r="C240" s="15">
        <f>Applicant_List!L241</f>
        <v/>
      </c>
      <c r="D240" s="15">
        <f>Applicant_List!BU241</f>
        <v/>
      </c>
      <c r="E240" s="15">
        <f>Applicant_List!BV241</f>
        <v/>
      </c>
      <c r="F240" s="15">
        <f>Applicant_List!CB241</f>
        <v/>
      </c>
      <c r="G240" s="15">
        <f>Applicant_List!BW241</f>
        <v/>
      </c>
      <c r="H240" s="15">
        <f>Applicant_List!BY241</f>
        <v/>
      </c>
      <c r="I240" s="15">
        <f>COUNTIF(Applicant_List!AI241:BM241,"N")+COUNTBLANK(Applicant_List!AI241:BM241)</f>
        <v/>
      </c>
      <c r="J240" s="15">
        <f>Applicant_List!BT241</f>
        <v/>
      </c>
      <c r="K240" s="15">
        <f>Applicant_List!CA241</f>
        <v/>
      </c>
      <c r="L240" s="15">
        <f>IF(Applicant_List!BQ241="Y",IF(Applicant_List!CB241="Y","Would Advance","Would Not Advance"),"Existing Pipeline")</f>
        <v/>
      </c>
    </row>
    <row r="241">
      <c r="A241" s="15">
        <f>Applicant_List!C242</f>
        <v/>
      </c>
      <c r="B241" s="15">
        <f>Applicant_List!E242</f>
        <v/>
      </c>
      <c r="C241" s="15">
        <f>Applicant_List!L242</f>
        <v/>
      </c>
      <c r="D241" s="15">
        <f>Applicant_List!BU242</f>
        <v/>
      </c>
      <c r="E241" s="15">
        <f>Applicant_List!BV242</f>
        <v/>
      </c>
      <c r="F241" s="15">
        <f>Applicant_List!CB242</f>
        <v/>
      </c>
      <c r="G241" s="15">
        <f>Applicant_List!BW242</f>
        <v/>
      </c>
      <c r="H241" s="15">
        <f>Applicant_List!BY242</f>
        <v/>
      </c>
      <c r="I241" s="15">
        <f>COUNTIF(Applicant_List!AI242:BM242,"N")+COUNTBLANK(Applicant_List!AI242:BM242)</f>
        <v/>
      </c>
      <c r="J241" s="15">
        <f>Applicant_List!BT242</f>
        <v/>
      </c>
      <c r="K241" s="15">
        <f>Applicant_List!CA242</f>
        <v/>
      </c>
      <c r="L241" s="15">
        <f>IF(Applicant_List!BQ242="Y",IF(Applicant_List!CB242="Y","Would Advance","Would Not Advance"),"Existing Pipeline")</f>
        <v/>
      </c>
    </row>
    <row r="242">
      <c r="A242" s="15">
        <f>Applicant_List!C243</f>
        <v/>
      </c>
      <c r="B242" s="15">
        <f>Applicant_List!E243</f>
        <v/>
      </c>
      <c r="C242" s="15">
        <f>Applicant_List!L243</f>
        <v/>
      </c>
      <c r="D242" s="15">
        <f>Applicant_List!BU243</f>
        <v/>
      </c>
      <c r="E242" s="15">
        <f>Applicant_List!BV243</f>
        <v/>
      </c>
      <c r="F242" s="15">
        <f>Applicant_List!CB243</f>
        <v/>
      </c>
      <c r="G242" s="15">
        <f>Applicant_List!BW243</f>
        <v/>
      </c>
      <c r="H242" s="15">
        <f>Applicant_List!BY243</f>
        <v/>
      </c>
      <c r="I242" s="15">
        <f>COUNTIF(Applicant_List!AI243:BM243,"N")+COUNTBLANK(Applicant_List!AI243:BM243)</f>
        <v/>
      </c>
      <c r="J242" s="15">
        <f>Applicant_List!BT243</f>
        <v/>
      </c>
      <c r="K242" s="15">
        <f>Applicant_List!CA243</f>
        <v/>
      </c>
      <c r="L242" s="15">
        <f>IF(Applicant_List!BQ243="Y",IF(Applicant_List!CB243="Y","Would Advance","Would Not Advance"),"Existing Pipeline")</f>
        <v/>
      </c>
    </row>
    <row r="243">
      <c r="A243" s="15">
        <f>Applicant_List!C244</f>
        <v/>
      </c>
      <c r="B243" s="15">
        <f>Applicant_List!E244</f>
        <v/>
      </c>
      <c r="C243" s="15">
        <f>Applicant_List!L244</f>
        <v/>
      </c>
      <c r="D243" s="15">
        <f>Applicant_List!BU244</f>
        <v/>
      </c>
      <c r="E243" s="15">
        <f>Applicant_List!BV244</f>
        <v/>
      </c>
      <c r="F243" s="15">
        <f>Applicant_List!CB244</f>
        <v/>
      </c>
      <c r="G243" s="15">
        <f>Applicant_List!BW244</f>
        <v/>
      </c>
      <c r="H243" s="15">
        <f>Applicant_List!BY244</f>
        <v/>
      </c>
      <c r="I243" s="15">
        <f>COUNTIF(Applicant_List!AI244:BM244,"N")+COUNTBLANK(Applicant_List!AI244:BM244)</f>
        <v/>
      </c>
      <c r="J243" s="15">
        <f>Applicant_List!BT244</f>
        <v/>
      </c>
      <c r="K243" s="15">
        <f>Applicant_List!CA244</f>
        <v/>
      </c>
      <c r="L243" s="15">
        <f>IF(Applicant_List!BQ244="Y",IF(Applicant_List!CB244="Y","Would Advance","Would Not Advance"),"Existing Pipeline")</f>
        <v/>
      </c>
    </row>
    <row r="244">
      <c r="A244" s="15">
        <f>Applicant_List!C245</f>
        <v/>
      </c>
      <c r="B244" s="15">
        <f>Applicant_List!E245</f>
        <v/>
      </c>
      <c r="C244" s="15">
        <f>Applicant_List!L245</f>
        <v/>
      </c>
      <c r="D244" s="15">
        <f>Applicant_List!BU245</f>
        <v/>
      </c>
      <c r="E244" s="15">
        <f>Applicant_List!BV245</f>
        <v/>
      </c>
      <c r="F244" s="15">
        <f>Applicant_List!CB245</f>
        <v/>
      </c>
      <c r="G244" s="15">
        <f>Applicant_List!BW245</f>
        <v/>
      </c>
      <c r="H244" s="15">
        <f>Applicant_List!BY245</f>
        <v/>
      </c>
      <c r="I244" s="15">
        <f>COUNTIF(Applicant_List!AI245:BM245,"N")+COUNTBLANK(Applicant_List!AI245:BM245)</f>
        <v/>
      </c>
      <c r="J244" s="15">
        <f>Applicant_List!BT245</f>
        <v/>
      </c>
      <c r="K244" s="15">
        <f>Applicant_List!CA245</f>
        <v/>
      </c>
      <c r="L244" s="15">
        <f>IF(Applicant_List!BQ245="Y",IF(Applicant_List!CB245="Y","Would Advance","Would Not Advance"),"Existing Pipeline")</f>
        <v/>
      </c>
    </row>
    <row r="245">
      <c r="A245" s="15">
        <f>Applicant_List!C246</f>
        <v/>
      </c>
      <c r="B245" s="15">
        <f>Applicant_List!E246</f>
        <v/>
      </c>
      <c r="C245" s="15">
        <f>Applicant_List!L246</f>
        <v/>
      </c>
      <c r="D245" s="15">
        <f>Applicant_List!BU246</f>
        <v/>
      </c>
      <c r="E245" s="15">
        <f>Applicant_List!BV246</f>
        <v/>
      </c>
      <c r="F245" s="15">
        <f>Applicant_List!CB246</f>
        <v/>
      </c>
      <c r="G245" s="15">
        <f>Applicant_List!BW246</f>
        <v/>
      </c>
      <c r="H245" s="15">
        <f>Applicant_List!BY246</f>
        <v/>
      </c>
      <c r="I245" s="15">
        <f>COUNTIF(Applicant_List!AI246:BM246,"N")+COUNTBLANK(Applicant_List!AI246:BM246)</f>
        <v/>
      </c>
      <c r="J245" s="15">
        <f>Applicant_List!BT246</f>
        <v/>
      </c>
      <c r="K245" s="15">
        <f>Applicant_List!CA246</f>
        <v/>
      </c>
      <c r="L245" s="15">
        <f>IF(Applicant_List!BQ246="Y",IF(Applicant_List!CB246="Y","Would Advance","Would Not Advance"),"Existing Pipeline")</f>
        <v/>
      </c>
    </row>
    <row r="246">
      <c r="A246" s="15">
        <f>Applicant_List!C247</f>
        <v/>
      </c>
      <c r="B246" s="15">
        <f>Applicant_List!E247</f>
        <v/>
      </c>
      <c r="C246" s="15">
        <f>Applicant_List!L247</f>
        <v/>
      </c>
      <c r="D246" s="15">
        <f>Applicant_List!BU247</f>
        <v/>
      </c>
      <c r="E246" s="15">
        <f>Applicant_List!BV247</f>
        <v/>
      </c>
      <c r="F246" s="15">
        <f>Applicant_List!CB247</f>
        <v/>
      </c>
      <c r="G246" s="15">
        <f>Applicant_List!BW247</f>
        <v/>
      </c>
      <c r="H246" s="15">
        <f>Applicant_List!BY247</f>
        <v/>
      </c>
      <c r="I246" s="15">
        <f>COUNTIF(Applicant_List!AI247:BM247,"N")+COUNTBLANK(Applicant_List!AI247:BM247)</f>
        <v/>
      </c>
      <c r="J246" s="15">
        <f>Applicant_List!BT247</f>
        <v/>
      </c>
      <c r="K246" s="15">
        <f>Applicant_List!CA247</f>
        <v/>
      </c>
      <c r="L246" s="15">
        <f>IF(Applicant_List!BQ247="Y",IF(Applicant_List!CB247="Y","Would Advance","Would Not Advance"),"Existing Pipeline")</f>
        <v/>
      </c>
    </row>
    <row r="247">
      <c r="A247" s="15">
        <f>Applicant_List!C248</f>
        <v/>
      </c>
      <c r="B247" s="15">
        <f>Applicant_List!E248</f>
        <v/>
      </c>
      <c r="C247" s="15">
        <f>Applicant_List!L248</f>
        <v/>
      </c>
      <c r="D247" s="15">
        <f>Applicant_List!BU248</f>
        <v/>
      </c>
      <c r="E247" s="15">
        <f>Applicant_List!BV248</f>
        <v/>
      </c>
      <c r="F247" s="15">
        <f>Applicant_List!CB248</f>
        <v/>
      </c>
      <c r="G247" s="15">
        <f>Applicant_List!BW248</f>
        <v/>
      </c>
      <c r="H247" s="15">
        <f>Applicant_List!BY248</f>
        <v/>
      </c>
      <c r="I247" s="15">
        <f>COUNTIF(Applicant_List!AI248:BM248,"N")+COUNTBLANK(Applicant_List!AI248:BM248)</f>
        <v/>
      </c>
      <c r="J247" s="15">
        <f>Applicant_List!BT248</f>
        <v/>
      </c>
      <c r="K247" s="15">
        <f>Applicant_List!CA248</f>
        <v/>
      </c>
      <c r="L247" s="15">
        <f>IF(Applicant_List!BQ248="Y",IF(Applicant_List!CB248="Y","Would Advance","Would Not Advance"),"Existing Pipeline")</f>
        <v/>
      </c>
    </row>
    <row r="248">
      <c r="A248" s="15">
        <f>Applicant_List!C249</f>
        <v/>
      </c>
      <c r="B248" s="15">
        <f>Applicant_List!E249</f>
        <v/>
      </c>
      <c r="C248" s="15">
        <f>Applicant_List!L249</f>
        <v/>
      </c>
      <c r="D248" s="15">
        <f>Applicant_List!BU249</f>
        <v/>
      </c>
      <c r="E248" s="15">
        <f>Applicant_List!BV249</f>
        <v/>
      </c>
      <c r="F248" s="15">
        <f>Applicant_List!CB249</f>
        <v/>
      </c>
      <c r="G248" s="15">
        <f>Applicant_List!BW249</f>
        <v/>
      </c>
      <c r="H248" s="15">
        <f>Applicant_List!BY249</f>
        <v/>
      </c>
      <c r="I248" s="15">
        <f>COUNTIF(Applicant_List!AI249:BM249,"N")+COUNTBLANK(Applicant_List!AI249:BM249)</f>
        <v/>
      </c>
      <c r="J248" s="15">
        <f>Applicant_List!BT249</f>
        <v/>
      </c>
      <c r="K248" s="15">
        <f>Applicant_List!CA249</f>
        <v/>
      </c>
      <c r="L248" s="15">
        <f>IF(Applicant_List!BQ249="Y",IF(Applicant_List!CB249="Y","Would Advance","Would Not Advance"),"Existing Pipeline")</f>
        <v/>
      </c>
    </row>
    <row r="249">
      <c r="A249" s="15">
        <f>Applicant_List!C250</f>
        <v/>
      </c>
      <c r="B249" s="15">
        <f>Applicant_List!E250</f>
        <v/>
      </c>
      <c r="C249" s="15">
        <f>Applicant_List!L250</f>
        <v/>
      </c>
      <c r="D249" s="15">
        <f>Applicant_List!BU250</f>
        <v/>
      </c>
      <c r="E249" s="15">
        <f>Applicant_List!BV250</f>
        <v/>
      </c>
      <c r="F249" s="15">
        <f>Applicant_List!CB250</f>
        <v/>
      </c>
      <c r="G249" s="15">
        <f>Applicant_List!BW250</f>
        <v/>
      </c>
      <c r="H249" s="15">
        <f>Applicant_List!BY250</f>
        <v/>
      </c>
      <c r="I249" s="15">
        <f>COUNTIF(Applicant_List!AI250:BM250,"N")+COUNTBLANK(Applicant_List!AI250:BM250)</f>
        <v/>
      </c>
      <c r="J249" s="15">
        <f>Applicant_List!BT250</f>
        <v/>
      </c>
      <c r="K249" s="15">
        <f>Applicant_List!CA250</f>
        <v/>
      </c>
      <c r="L249" s="15">
        <f>IF(Applicant_List!BQ250="Y",IF(Applicant_List!CB250="Y","Would Advance","Would Not Advance"),"Existing Pipeline")</f>
        <v/>
      </c>
    </row>
    <row r="250">
      <c r="A250" s="15">
        <f>Applicant_List!C251</f>
        <v/>
      </c>
      <c r="B250" s="15">
        <f>Applicant_List!E251</f>
        <v/>
      </c>
      <c r="C250" s="15">
        <f>Applicant_List!L251</f>
        <v/>
      </c>
      <c r="D250" s="15">
        <f>Applicant_List!BU251</f>
        <v/>
      </c>
      <c r="E250" s="15">
        <f>Applicant_List!BV251</f>
        <v/>
      </c>
      <c r="F250" s="15">
        <f>Applicant_List!CB251</f>
        <v/>
      </c>
      <c r="G250" s="15">
        <f>Applicant_List!BW251</f>
        <v/>
      </c>
      <c r="H250" s="15">
        <f>Applicant_List!BY251</f>
        <v/>
      </c>
      <c r="I250" s="15">
        <f>COUNTIF(Applicant_List!AI251:BM251,"N")+COUNTBLANK(Applicant_List!AI251:BM251)</f>
        <v/>
      </c>
      <c r="J250" s="15">
        <f>Applicant_List!BT251</f>
        <v/>
      </c>
      <c r="K250" s="15">
        <f>Applicant_List!CA251</f>
        <v/>
      </c>
      <c r="L250" s="15">
        <f>IF(Applicant_List!BQ251="Y",IF(Applicant_List!CB251="Y","Would Advance","Would Not Advance"),"Existing Pipeline")</f>
        <v/>
      </c>
    </row>
    <row r="251">
      <c r="A251" s="15">
        <f>Applicant_List!C252</f>
        <v/>
      </c>
      <c r="B251" s="15">
        <f>Applicant_List!E252</f>
        <v/>
      </c>
      <c r="C251" s="15">
        <f>Applicant_List!L252</f>
        <v/>
      </c>
      <c r="D251" s="15">
        <f>Applicant_List!BU252</f>
        <v/>
      </c>
      <c r="E251" s="15">
        <f>Applicant_List!BV252</f>
        <v/>
      </c>
      <c r="F251" s="15">
        <f>Applicant_List!CB252</f>
        <v/>
      </c>
      <c r="G251" s="15">
        <f>Applicant_List!BW252</f>
        <v/>
      </c>
      <c r="H251" s="15">
        <f>Applicant_List!BY252</f>
        <v/>
      </c>
      <c r="I251" s="15">
        <f>COUNTIF(Applicant_List!AI252:BM252,"N")+COUNTBLANK(Applicant_List!AI252:BM252)</f>
        <v/>
      </c>
      <c r="J251" s="15">
        <f>Applicant_List!BT252</f>
        <v/>
      </c>
      <c r="K251" s="15">
        <f>Applicant_List!CA252</f>
        <v/>
      </c>
      <c r="L251" s="15">
        <f>IF(Applicant_List!BQ252="Y",IF(Applicant_List!CB252="Y","Would Advance","Would Not Advance"),"Existing Pipeline")</f>
        <v/>
      </c>
    </row>
    <row r="252">
      <c r="A252" s="15">
        <f>Applicant_List!C253</f>
        <v/>
      </c>
      <c r="B252" s="15">
        <f>Applicant_List!E253</f>
        <v/>
      </c>
      <c r="C252" s="15">
        <f>Applicant_List!L253</f>
        <v/>
      </c>
      <c r="D252" s="15">
        <f>Applicant_List!BU253</f>
        <v/>
      </c>
      <c r="E252" s="15">
        <f>Applicant_List!BV253</f>
        <v/>
      </c>
      <c r="F252" s="15">
        <f>Applicant_List!CB253</f>
        <v/>
      </c>
      <c r="G252" s="15">
        <f>Applicant_List!BW253</f>
        <v/>
      </c>
      <c r="H252" s="15">
        <f>Applicant_List!BY253</f>
        <v/>
      </c>
      <c r="I252" s="15">
        <f>COUNTIF(Applicant_List!AI253:BM253,"N")+COUNTBLANK(Applicant_List!AI253:BM253)</f>
        <v/>
      </c>
      <c r="J252" s="15">
        <f>Applicant_List!BT253</f>
        <v/>
      </c>
      <c r="K252" s="15">
        <f>Applicant_List!CA253</f>
        <v/>
      </c>
      <c r="L252" s="15">
        <f>IF(Applicant_List!BQ253="Y",IF(Applicant_List!CB253="Y","Would Advance","Would Not Advance"),"Existing Pipeline")</f>
        <v/>
      </c>
    </row>
    <row r="253">
      <c r="A253" s="15">
        <f>Applicant_List!C254</f>
        <v/>
      </c>
      <c r="B253" s="15">
        <f>Applicant_List!E254</f>
        <v/>
      </c>
      <c r="C253" s="15">
        <f>Applicant_List!L254</f>
        <v/>
      </c>
      <c r="D253" s="15">
        <f>Applicant_List!BU254</f>
        <v/>
      </c>
      <c r="E253" s="15">
        <f>Applicant_List!BV254</f>
        <v/>
      </c>
      <c r="F253" s="15">
        <f>Applicant_List!CB254</f>
        <v/>
      </c>
      <c r="G253" s="15">
        <f>Applicant_List!BW254</f>
        <v/>
      </c>
      <c r="H253" s="15">
        <f>Applicant_List!BY254</f>
        <v/>
      </c>
      <c r="I253" s="15">
        <f>COUNTIF(Applicant_List!AI254:BM254,"N")+COUNTBLANK(Applicant_List!AI254:BM254)</f>
        <v/>
      </c>
      <c r="J253" s="15">
        <f>Applicant_List!BT254</f>
        <v/>
      </c>
      <c r="K253" s="15">
        <f>Applicant_List!CA254</f>
        <v/>
      </c>
      <c r="L253" s="15">
        <f>IF(Applicant_List!BQ254="Y",IF(Applicant_List!CB254="Y","Would Advance","Would Not Advance"),"Existing Pipeline")</f>
        <v/>
      </c>
    </row>
    <row r="254">
      <c r="A254" s="15">
        <f>Applicant_List!C255</f>
        <v/>
      </c>
      <c r="B254" s="15">
        <f>Applicant_List!E255</f>
        <v/>
      </c>
      <c r="C254" s="15">
        <f>Applicant_List!L255</f>
        <v/>
      </c>
      <c r="D254" s="15">
        <f>Applicant_List!BU255</f>
        <v/>
      </c>
      <c r="E254" s="15">
        <f>Applicant_List!BV255</f>
        <v/>
      </c>
      <c r="F254" s="15">
        <f>Applicant_List!CB255</f>
        <v/>
      </c>
      <c r="G254" s="15">
        <f>Applicant_List!BW255</f>
        <v/>
      </c>
      <c r="H254" s="15">
        <f>Applicant_List!BY255</f>
        <v/>
      </c>
      <c r="I254" s="15">
        <f>COUNTIF(Applicant_List!AI255:BM255,"N")+COUNTBLANK(Applicant_List!AI255:BM255)</f>
        <v/>
      </c>
      <c r="J254" s="15">
        <f>Applicant_List!BT255</f>
        <v/>
      </c>
      <c r="K254" s="15">
        <f>Applicant_List!CA255</f>
        <v/>
      </c>
      <c r="L254" s="15">
        <f>IF(Applicant_List!BQ255="Y",IF(Applicant_List!CB255="Y","Would Advance","Would Not Advance"),"Existing Pipeline")</f>
        <v/>
      </c>
    </row>
    <row r="255">
      <c r="A255" s="15">
        <f>Applicant_List!C256</f>
        <v/>
      </c>
      <c r="B255" s="15">
        <f>Applicant_List!E256</f>
        <v/>
      </c>
      <c r="C255" s="15">
        <f>Applicant_List!L256</f>
        <v/>
      </c>
      <c r="D255" s="15">
        <f>Applicant_List!BU256</f>
        <v/>
      </c>
      <c r="E255" s="15">
        <f>Applicant_List!BV256</f>
        <v/>
      </c>
      <c r="F255" s="15">
        <f>Applicant_List!CB256</f>
        <v/>
      </c>
      <c r="G255" s="15">
        <f>Applicant_List!BW256</f>
        <v/>
      </c>
      <c r="H255" s="15">
        <f>Applicant_List!BY256</f>
        <v/>
      </c>
      <c r="I255" s="15">
        <f>COUNTIF(Applicant_List!AI256:BM256,"N")+COUNTBLANK(Applicant_List!AI256:BM256)</f>
        <v/>
      </c>
      <c r="J255" s="15">
        <f>Applicant_List!BT256</f>
        <v/>
      </c>
      <c r="K255" s="15">
        <f>Applicant_List!CA256</f>
        <v/>
      </c>
      <c r="L255" s="15">
        <f>IF(Applicant_List!BQ256="Y",IF(Applicant_List!CB256="Y","Would Advance","Would Not Advance"),"Existing Pipeline")</f>
        <v/>
      </c>
    </row>
    <row r="256">
      <c r="A256" s="15">
        <f>Applicant_List!C257</f>
        <v/>
      </c>
      <c r="B256" s="15">
        <f>Applicant_List!E257</f>
        <v/>
      </c>
      <c r="C256" s="15">
        <f>Applicant_List!L257</f>
        <v/>
      </c>
      <c r="D256" s="15">
        <f>Applicant_List!BU257</f>
        <v/>
      </c>
      <c r="E256" s="15">
        <f>Applicant_List!BV257</f>
        <v/>
      </c>
      <c r="F256" s="15">
        <f>Applicant_List!CB257</f>
        <v/>
      </c>
      <c r="G256" s="15">
        <f>Applicant_List!BW257</f>
        <v/>
      </c>
      <c r="H256" s="15">
        <f>Applicant_List!BY257</f>
        <v/>
      </c>
      <c r="I256" s="15">
        <f>COUNTIF(Applicant_List!AI257:BM257,"N")+COUNTBLANK(Applicant_List!AI257:BM257)</f>
        <v/>
      </c>
      <c r="J256" s="15">
        <f>Applicant_List!BT257</f>
        <v/>
      </c>
      <c r="K256" s="15">
        <f>Applicant_List!CA257</f>
        <v/>
      </c>
      <c r="L256" s="15">
        <f>IF(Applicant_List!BQ257="Y",IF(Applicant_List!CB257="Y","Would Advance","Would Not Advance"),"Existing Pipeline")</f>
        <v/>
      </c>
    </row>
    <row r="257">
      <c r="A257" s="15">
        <f>Applicant_List!C258</f>
        <v/>
      </c>
      <c r="B257" s="15">
        <f>Applicant_List!E258</f>
        <v/>
      </c>
      <c r="C257" s="15">
        <f>Applicant_List!L258</f>
        <v/>
      </c>
      <c r="D257" s="15">
        <f>Applicant_List!BU258</f>
        <v/>
      </c>
      <c r="E257" s="15">
        <f>Applicant_List!BV258</f>
        <v/>
      </c>
      <c r="F257" s="15">
        <f>Applicant_List!CB258</f>
        <v/>
      </c>
      <c r="G257" s="15">
        <f>Applicant_List!BW258</f>
        <v/>
      </c>
      <c r="H257" s="15">
        <f>Applicant_List!BY258</f>
        <v/>
      </c>
      <c r="I257" s="15">
        <f>COUNTIF(Applicant_List!AI258:BM258,"N")+COUNTBLANK(Applicant_List!AI258:BM258)</f>
        <v/>
      </c>
      <c r="J257" s="15">
        <f>Applicant_List!BT258</f>
        <v/>
      </c>
      <c r="K257" s="15">
        <f>Applicant_List!CA258</f>
        <v/>
      </c>
      <c r="L257" s="15">
        <f>IF(Applicant_List!BQ258="Y",IF(Applicant_List!CB258="Y","Would Advance","Would Not Advance"),"Existing Pipeline")</f>
        <v/>
      </c>
    </row>
    <row r="258">
      <c r="A258" s="15">
        <f>Applicant_List!C259</f>
        <v/>
      </c>
      <c r="B258" s="15">
        <f>Applicant_List!E259</f>
        <v/>
      </c>
      <c r="C258" s="15">
        <f>Applicant_List!L259</f>
        <v/>
      </c>
      <c r="D258" s="15">
        <f>Applicant_List!BU259</f>
        <v/>
      </c>
      <c r="E258" s="15">
        <f>Applicant_List!BV259</f>
        <v/>
      </c>
      <c r="F258" s="15">
        <f>Applicant_List!CB259</f>
        <v/>
      </c>
      <c r="G258" s="15">
        <f>Applicant_List!BW259</f>
        <v/>
      </c>
      <c r="H258" s="15">
        <f>Applicant_List!BY259</f>
        <v/>
      </c>
      <c r="I258" s="15">
        <f>COUNTIF(Applicant_List!AI259:BM259,"N")+COUNTBLANK(Applicant_List!AI259:BM259)</f>
        <v/>
      </c>
      <c r="J258" s="15">
        <f>Applicant_List!BT259</f>
        <v/>
      </c>
      <c r="K258" s="15">
        <f>Applicant_List!CA259</f>
        <v/>
      </c>
      <c r="L258" s="15">
        <f>IF(Applicant_List!BQ259="Y",IF(Applicant_List!CB259="Y","Would Advance","Would Not Advance"),"Existing Pipeline")</f>
        <v/>
      </c>
    </row>
    <row r="259">
      <c r="A259" s="15">
        <f>Applicant_List!C260</f>
        <v/>
      </c>
      <c r="B259" s="15">
        <f>Applicant_List!E260</f>
        <v/>
      </c>
      <c r="C259" s="15">
        <f>Applicant_List!L260</f>
        <v/>
      </c>
      <c r="D259" s="15">
        <f>Applicant_List!BU260</f>
        <v/>
      </c>
      <c r="E259" s="15">
        <f>Applicant_List!BV260</f>
        <v/>
      </c>
      <c r="F259" s="15">
        <f>Applicant_List!CB260</f>
        <v/>
      </c>
      <c r="G259" s="15">
        <f>Applicant_List!BW260</f>
        <v/>
      </c>
      <c r="H259" s="15">
        <f>Applicant_List!BY260</f>
        <v/>
      </c>
      <c r="I259" s="15">
        <f>COUNTIF(Applicant_List!AI260:BM260,"N")+COUNTBLANK(Applicant_List!AI260:BM260)</f>
        <v/>
      </c>
      <c r="J259" s="15">
        <f>Applicant_List!BT260</f>
        <v/>
      </c>
      <c r="K259" s="15">
        <f>Applicant_List!CA260</f>
        <v/>
      </c>
      <c r="L259" s="15">
        <f>IF(Applicant_List!BQ260="Y",IF(Applicant_List!CB260="Y","Would Advance","Would Not Advance"),"Existing Pipeline")</f>
        <v/>
      </c>
    </row>
    <row r="260">
      <c r="A260" s="15">
        <f>Applicant_List!C261</f>
        <v/>
      </c>
      <c r="B260" s="15">
        <f>Applicant_List!E261</f>
        <v/>
      </c>
      <c r="C260" s="15">
        <f>Applicant_List!L261</f>
        <v/>
      </c>
      <c r="D260" s="15">
        <f>Applicant_List!BU261</f>
        <v/>
      </c>
      <c r="E260" s="15">
        <f>Applicant_List!BV261</f>
        <v/>
      </c>
      <c r="F260" s="15">
        <f>Applicant_List!CB261</f>
        <v/>
      </c>
      <c r="G260" s="15">
        <f>Applicant_List!BW261</f>
        <v/>
      </c>
      <c r="H260" s="15">
        <f>Applicant_List!BY261</f>
        <v/>
      </c>
      <c r="I260" s="15">
        <f>COUNTIF(Applicant_List!AI261:BM261,"N")+COUNTBLANK(Applicant_List!AI261:BM261)</f>
        <v/>
      </c>
      <c r="J260" s="15">
        <f>Applicant_List!BT261</f>
        <v/>
      </c>
      <c r="K260" s="15">
        <f>Applicant_List!CA261</f>
        <v/>
      </c>
      <c r="L260" s="15">
        <f>IF(Applicant_List!BQ261="Y",IF(Applicant_List!CB261="Y","Would Advance","Would Not Advance"),"Existing Pipeline")</f>
        <v/>
      </c>
    </row>
    <row r="261">
      <c r="A261" s="15">
        <f>Applicant_List!C262</f>
        <v/>
      </c>
      <c r="B261" s="15">
        <f>Applicant_List!E262</f>
        <v/>
      </c>
      <c r="C261" s="15">
        <f>Applicant_List!L262</f>
        <v/>
      </c>
      <c r="D261" s="15">
        <f>Applicant_List!BU262</f>
        <v/>
      </c>
      <c r="E261" s="15">
        <f>Applicant_List!BV262</f>
        <v/>
      </c>
      <c r="F261" s="15">
        <f>Applicant_List!CB262</f>
        <v/>
      </c>
      <c r="G261" s="15">
        <f>Applicant_List!BW262</f>
        <v/>
      </c>
      <c r="H261" s="15">
        <f>Applicant_List!BY262</f>
        <v/>
      </c>
      <c r="I261" s="15">
        <f>COUNTIF(Applicant_List!AI262:BM262,"N")+COUNTBLANK(Applicant_List!AI262:BM262)</f>
        <v/>
      </c>
      <c r="J261" s="15">
        <f>Applicant_List!BT262</f>
        <v/>
      </c>
      <c r="K261" s="15">
        <f>Applicant_List!CA262</f>
        <v/>
      </c>
      <c r="L261" s="15">
        <f>IF(Applicant_List!BQ262="Y",IF(Applicant_List!CB262="Y","Would Advance","Would Not Advance"),"Existing Pipeline")</f>
        <v/>
      </c>
    </row>
    <row r="262">
      <c r="A262" s="15">
        <f>Applicant_List!C263</f>
        <v/>
      </c>
      <c r="B262" s="15">
        <f>Applicant_List!E263</f>
        <v/>
      </c>
      <c r="C262" s="15">
        <f>Applicant_List!L263</f>
        <v/>
      </c>
      <c r="D262" s="15">
        <f>Applicant_List!BU263</f>
        <v/>
      </c>
      <c r="E262" s="15">
        <f>Applicant_List!BV263</f>
        <v/>
      </c>
      <c r="F262" s="15">
        <f>Applicant_List!CB263</f>
        <v/>
      </c>
      <c r="G262" s="15">
        <f>Applicant_List!BW263</f>
        <v/>
      </c>
      <c r="H262" s="15">
        <f>Applicant_List!BY263</f>
        <v/>
      </c>
      <c r="I262" s="15">
        <f>COUNTIF(Applicant_List!AI263:BM263,"N")+COUNTBLANK(Applicant_List!AI263:BM263)</f>
        <v/>
      </c>
      <c r="J262" s="15">
        <f>Applicant_List!BT263</f>
        <v/>
      </c>
      <c r="K262" s="15">
        <f>Applicant_List!CA263</f>
        <v/>
      </c>
      <c r="L262" s="15">
        <f>IF(Applicant_List!BQ263="Y",IF(Applicant_List!CB263="Y","Would Advance","Would Not Advance"),"Existing Pipeline")</f>
        <v/>
      </c>
    </row>
    <row r="263">
      <c r="A263" s="15">
        <f>Applicant_List!C264</f>
        <v/>
      </c>
      <c r="B263" s="15">
        <f>Applicant_List!E264</f>
        <v/>
      </c>
      <c r="C263" s="15">
        <f>Applicant_List!L264</f>
        <v/>
      </c>
      <c r="D263" s="15">
        <f>Applicant_List!BU264</f>
        <v/>
      </c>
      <c r="E263" s="15">
        <f>Applicant_List!BV264</f>
        <v/>
      </c>
      <c r="F263" s="15">
        <f>Applicant_List!CB264</f>
        <v/>
      </c>
      <c r="G263" s="15">
        <f>Applicant_List!BW264</f>
        <v/>
      </c>
      <c r="H263" s="15">
        <f>Applicant_List!BY264</f>
        <v/>
      </c>
      <c r="I263" s="15">
        <f>COUNTIF(Applicant_List!AI264:BM264,"N")+COUNTBLANK(Applicant_List!AI264:BM264)</f>
        <v/>
      </c>
      <c r="J263" s="15">
        <f>Applicant_List!BT264</f>
        <v/>
      </c>
      <c r="K263" s="15">
        <f>Applicant_List!CA264</f>
        <v/>
      </c>
      <c r="L263" s="15">
        <f>IF(Applicant_List!BQ264="Y",IF(Applicant_List!CB264="Y","Would Advance","Would Not Advance"),"Existing Pipeline")</f>
        <v/>
      </c>
    </row>
    <row r="264">
      <c r="A264" s="15">
        <f>Applicant_List!C265</f>
        <v/>
      </c>
      <c r="B264" s="15">
        <f>Applicant_List!E265</f>
        <v/>
      </c>
      <c r="C264" s="15">
        <f>Applicant_List!L265</f>
        <v/>
      </c>
      <c r="D264" s="15">
        <f>Applicant_List!BU265</f>
        <v/>
      </c>
      <c r="E264" s="15">
        <f>Applicant_List!BV265</f>
        <v/>
      </c>
      <c r="F264" s="15">
        <f>Applicant_List!CB265</f>
        <v/>
      </c>
      <c r="G264" s="15">
        <f>Applicant_List!BW265</f>
        <v/>
      </c>
      <c r="H264" s="15">
        <f>Applicant_List!BY265</f>
        <v/>
      </c>
      <c r="I264" s="15">
        <f>COUNTIF(Applicant_List!AI265:BM265,"N")+COUNTBLANK(Applicant_List!AI265:BM265)</f>
        <v/>
      </c>
      <c r="J264" s="15">
        <f>Applicant_List!BT265</f>
        <v/>
      </c>
      <c r="K264" s="15">
        <f>Applicant_List!CA265</f>
        <v/>
      </c>
      <c r="L264" s="15">
        <f>IF(Applicant_List!BQ265="Y",IF(Applicant_List!CB265="Y","Would Advance","Would Not Advance"),"Existing Pipeline")</f>
        <v/>
      </c>
    </row>
    <row r="265">
      <c r="A265" s="15">
        <f>Applicant_List!C266</f>
        <v/>
      </c>
      <c r="B265" s="15">
        <f>Applicant_List!E266</f>
        <v/>
      </c>
      <c r="C265" s="15">
        <f>Applicant_List!L266</f>
        <v/>
      </c>
      <c r="D265" s="15">
        <f>Applicant_List!BU266</f>
        <v/>
      </c>
      <c r="E265" s="15">
        <f>Applicant_List!BV266</f>
        <v/>
      </c>
      <c r="F265" s="15">
        <f>Applicant_List!CB266</f>
        <v/>
      </c>
      <c r="G265" s="15">
        <f>Applicant_List!BW266</f>
        <v/>
      </c>
      <c r="H265" s="15">
        <f>Applicant_List!BY266</f>
        <v/>
      </c>
      <c r="I265" s="15">
        <f>COUNTIF(Applicant_List!AI266:BM266,"N")+COUNTBLANK(Applicant_List!AI266:BM266)</f>
        <v/>
      </c>
      <c r="J265" s="15">
        <f>Applicant_List!BT266</f>
        <v/>
      </c>
      <c r="K265" s="15">
        <f>Applicant_List!CA266</f>
        <v/>
      </c>
      <c r="L265" s="15">
        <f>IF(Applicant_List!BQ266="Y",IF(Applicant_List!CB266="Y","Would Advance","Would Not Advance"),"Existing Pipeline")</f>
        <v/>
      </c>
    </row>
    <row r="266">
      <c r="A266" s="15">
        <f>Applicant_List!C267</f>
        <v/>
      </c>
      <c r="B266" s="15">
        <f>Applicant_List!E267</f>
        <v/>
      </c>
      <c r="C266" s="15">
        <f>Applicant_List!L267</f>
        <v/>
      </c>
      <c r="D266" s="15">
        <f>Applicant_List!BU267</f>
        <v/>
      </c>
      <c r="E266" s="15">
        <f>Applicant_List!BV267</f>
        <v/>
      </c>
      <c r="F266" s="15">
        <f>Applicant_List!CB267</f>
        <v/>
      </c>
      <c r="G266" s="15">
        <f>Applicant_List!BW267</f>
        <v/>
      </c>
      <c r="H266" s="15">
        <f>Applicant_List!BY267</f>
        <v/>
      </c>
      <c r="I266" s="15">
        <f>COUNTIF(Applicant_List!AI267:BM267,"N")+COUNTBLANK(Applicant_List!AI267:BM267)</f>
        <v/>
      </c>
      <c r="J266" s="15">
        <f>Applicant_List!BT267</f>
        <v/>
      </c>
      <c r="K266" s="15">
        <f>Applicant_List!CA267</f>
        <v/>
      </c>
      <c r="L266" s="15">
        <f>IF(Applicant_List!BQ267="Y",IF(Applicant_List!CB267="Y","Would Advance","Would Not Advance"),"Existing Pipeline")</f>
        <v/>
      </c>
    </row>
    <row r="267">
      <c r="A267" s="15">
        <f>Applicant_List!C268</f>
        <v/>
      </c>
      <c r="B267" s="15">
        <f>Applicant_List!E268</f>
        <v/>
      </c>
      <c r="C267" s="15">
        <f>Applicant_List!L268</f>
        <v/>
      </c>
      <c r="D267" s="15">
        <f>Applicant_List!BU268</f>
        <v/>
      </c>
      <c r="E267" s="15">
        <f>Applicant_List!BV268</f>
        <v/>
      </c>
      <c r="F267" s="15">
        <f>Applicant_List!CB268</f>
        <v/>
      </c>
      <c r="G267" s="15">
        <f>Applicant_List!BW268</f>
        <v/>
      </c>
      <c r="H267" s="15">
        <f>Applicant_List!BY268</f>
        <v/>
      </c>
      <c r="I267" s="15">
        <f>COUNTIF(Applicant_List!AI268:BM268,"N")+COUNTBLANK(Applicant_List!AI268:BM268)</f>
        <v/>
      </c>
      <c r="J267" s="15">
        <f>Applicant_List!BT268</f>
        <v/>
      </c>
      <c r="K267" s="15">
        <f>Applicant_List!CA268</f>
        <v/>
      </c>
      <c r="L267" s="15">
        <f>IF(Applicant_List!BQ268="Y",IF(Applicant_List!CB268="Y","Would Advance","Would Not Advance"),"Existing Pipeline")</f>
        <v/>
      </c>
    </row>
    <row r="268">
      <c r="A268" s="15">
        <f>Applicant_List!C269</f>
        <v/>
      </c>
      <c r="B268" s="15">
        <f>Applicant_List!E269</f>
        <v/>
      </c>
      <c r="C268" s="15">
        <f>Applicant_List!L269</f>
        <v/>
      </c>
      <c r="D268" s="15">
        <f>Applicant_List!BU269</f>
        <v/>
      </c>
      <c r="E268" s="15">
        <f>Applicant_List!BV269</f>
        <v/>
      </c>
      <c r="F268" s="15">
        <f>Applicant_List!CB269</f>
        <v/>
      </c>
      <c r="G268" s="15">
        <f>Applicant_List!BW269</f>
        <v/>
      </c>
      <c r="H268" s="15">
        <f>Applicant_List!BY269</f>
        <v/>
      </c>
      <c r="I268" s="15">
        <f>COUNTIF(Applicant_List!AI269:BM269,"N")+COUNTBLANK(Applicant_List!AI269:BM269)</f>
        <v/>
      </c>
      <c r="J268" s="15">
        <f>Applicant_List!BT269</f>
        <v/>
      </c>
      <c r="K268" s="15">
        <f>Applicant_List!CA269</f>
        <v/>
      </c>
      <c r="L268" s="15">
        <f>IF(Applicant_List!BQ269="Y",IF(Applicant_List!CB269="Y","Would Advance","Would Not Advance"),"Existing Pipeline")</f>
        <v/>
      </c>
    </row>
    <row r="269">
      <c r="A269" s="15">
        <f>Applicant_List!C270</f>
        <v/>
      </c>
      <c r="B269" s="15">
        <f>Applicant_List!E270</f>
        <v/>
      </c>
      <c r="C269" s="15">
        <f>Applicant_List!L270</f>
        <v/>
      </c>
      <c r="D269" s="15">
        <f>Applicant_List!BU270</f>
        <v/>
      </c>
      <c r="E269" s="15">
        <f>Applicant_List!BV270</f>
        <v/>
      </c>
      <c r="F269" s="15">
        <f>Applicant_List!CB270</f>
        <v/>
      </c>
      <c r="G269" s="15">
        <f>Applicant_List!BW270</f>
        <v/>
      </c>
      <c r="H269" s="15">
        <f>Applicant_List!BY270</f>
        <v/>
      </c>
      <c r="I269" s="15">
        <f>COUNTIF(Applicant_List!AI270:BM270,"N")+COUNTBLANK(Applicant_List!AI270:BM270)</f>
        <v/>
      </c>
      <c r="J269" s="15">
        <f>Applicant_List!BT270</f>
        <v/>
      </c>
      <c r="K269" s="15">
        <f>Applicant_List!CA270</f>
        <v/>
      </c>
      <c r="L269" s="15">
        <f>IF(Applicant_List!BQ270="Y",IF(Applicant_List!CB270="Y","Would Advance","Would Not Advance"),"Existing Pipeline")</f>
        <v/>
      </c>
    </row>
    <row r="270">
      <c r="A270" s="15">
        <f>Applicant_List!C271</f>
        <v/>
      </c>
      <c r="B270" s="15">
        <f>Applicant_List!E271</f>
        <v/>
      </c>
      <c r="C270" s="15">
        <f>Applicant_List!L271</f>
        <v/>
      </c>
      <c r="D270" s="15">
        <f>Applicant_List!BU271</f>
        <v/>
      </c>
      <c r="E270" s="15">
        <f>Applicant_List!BV271</f>
        <v/>
      </c>
      <c r="F270" s="15">
        <f>Applicant_List!CB271</f>
        <v/>
      </c>
      <c r="G270" s="15">
        <f>Applicant_List!BW271</f>
        <v/>
      </c>
      <c r="H270" s="15">
        <f>Applicant_List!BY271</f>
        <v/>
      </c>
      <c r="I270" s="15">
        <f>COUNTIF(Applicant_List!AI271:BM271,"N")+COUNTBLANK(Applicant_List!AI271:BM271)</f>
        <v/>
      </c>
      <c r="J270" s="15">
        <f>Applicant_List!BT271</f>
        <v/>
      </c>
      <c r="K270" s="15">
        <f>Applicant_List!CA271</f>
        <v/>
      </c>
      <c r="L270" s="15">
        <f>IF(Applicant_List!BQ271="Y",IF(Applicant_List!CB271="Y","Would Advance","Would Not Advance"),"Existing Pipeline")</f>
        <v/>
      </c>
    </row>
    <row r="271">
      <c r="A271" s="15">
        <f>Applicant_List!C272</f>
        <v/>
      </c>
      <c r="B271" s="15">
        <f>Applicant_List!E272</f>
        <v/>
      </c>
      <c r="C271" s="15">
        <f>Applicant_List!L272</f>
        <v/>
      </c>
      <c r="D271" s="15">
        <f>Applicant_List!BU272</f>
        <v/>
      </c>
      <c r="E271" s="15">
        <f>Applicant_List!BV272</f>
        <v/>
      </c>
      <c r="F271" s="15">
        <f>Applicant_List!CB272</f>
        <v/>
      </c>
      <c r="G271" s="15">
        <f>Applicant_List!BW272</f>
        <v/>
      </c>
      <c r="H271" s="15">
        <f>Applicant_List!BY272</f>
        <v/>
      </c>
      <c r="I271" s="15">
        <f>COUNTIF(Applicant_List!AI272:BM272,"N")+COUNTBLANK(Applicant_List!AI272:BM272)</f>
        <v/>
      </c>
      <c r="J271" s="15">
        <f>Applicant_List!BT272</f>
        <v/>
      </c>
      <c r="K271" s="15">
        <f>Applicant_List!CA272</f>
        <v/>
      </c>
      <c r="L271" s="15">
        <f>IF(Applicant_List!BQ272="Y",IF(Applicant_List!CB272="Y","Would Advance","Would Not Advance"),"Existing Pipeline")</f>
        <v/>
      </c>
    </row>
    <row r="272">
      <c r="A272" s="15">
        <f>Applicant_List!C273</f>
        <v/>
      </c>
      <c r="B272" s="15">
        <f>Applicant_List!E273</f>
        <v/>
      </c>
      <c r="C272" s="15">
        <f>Applicant_List!L273</f>
        <v/>
      </c>
      <c r="D272" s="15">
        <f>Applicant_List!BU273</f>
        <v/>
      </c>
      <c r="E272" s="15">
        <f>Applicant_List!BV273</f>
        <v/>
      </c>
      <c r="F272" s="15">
        <f>Applicant_List!CB273</f>
        <v/>
      </c>
      <c r="G272" s="15">
        <f>Applicant_List!BW273</f>
        <v/>
      </c>
      <c r="H272" s="15">
        <f>Applicant_List!BY273</f>
        <v/>
      </c>
      <c r="I272" s="15">
        <f>COUNTIF(Applicant_List!AI273:BM273,"N")+COUNTBLANK(Applicant_List!AI273:BM273)</f>
        <v/>
      </c>
      <c r="J272" s="15">
        <f>Applicant_List!BT273</f>
        <v/>
      </c>
      <c r="K272" s="15">
        <f>Applicant_List!CA273</f>
        <v/>
      </c>
      <c r="L272" s="15">
        <f>IF(Applicant_List!BQ273="Y",IF(Applicant_List!CB273="Y","Would Advance","Would Not Advance"),"Existing Pipeline")</f>
        <v/>
      </c>
    </row>
    <row r="273">
      <c r="A273" s="15">
        <f>Applicant_List!C274</f>
        <v/>
      </c>
      <c r="B273" s="15">
        <f>Applicant_List!E274</f>
        <v/>
      </c>
      <c r="C273" s="15">
        <f>Applicant_List!L274</f>
        <v/>
      </c>
      <c r="D273" s="15">
        <f>Applicant_List!BU274</f>
        <v/>
      </c>
      <c r="E273" s="15">
        <f>Applicant_List!BV274</f>
        <v/>
      </c>
      <c r="F273" s="15">
        <f>Applicant_List!CB274</f>
        <v/>
      </c>
      <c r="G273" s="15">
        <f>Applicant_List!BW274</f>
        <v/>
      </c>
      <c r="H273" s="15">
        <f>Applicant_List!BY274</f>
        <v/>
      </c>
      <c r="I273" s="15">
        <f>COUNTIF(Applicant_List!AI274:BM274,"N")+COUNTBLANK(Applicant_List!AI274:BM274)</f>
        <v/>
      </c>
      <c r="J273" s="15">
        <f>Applicant_List!BT274</f>
        <v/>
      </c>
      <c r="K273" s="15">
        <f>Applicant_List!CA274</f>
        <v/>
      </c>
      <c r="L273" s="15">
        <f>IF(Applicant_List!BQ274="Y",IF(Applicant_List!CB274="Y","Would Advance","Would Not Advance"),"Existing Pipeline")</f>
        <v/>
      </c>
    </row>
    <row r="274">
      <c r="A274" s="15">
        <f>Applicant_List!C275</f>
        <v/>
      </c>
      <c r="B274" s="15">
        <f>Applicant_List!E275</f>
        <v/>
      </c>
      <c r="C274" s="15">
        <f>Applicant_List!L275</f>
        <v/>
      </c>
      <c r="D274" s="15">
        <f>Applicant_List!BU275</f>
        <v/>
      </c>
      <c r="E274" s="15">
        <f>Applicant_List!BV275</f>
        <v/>
      </c>
      <c r="F274" s="15">
        <f>Applicant_List!CB275</f>
        <v/>
      </c>
      <c r="G274" s="15">
        <f>Applicant_List!BW275</f>
        <v/>
      </c>
      <c r="H274" s="15">
        <f>Applicant_List!BY275</f>
        <v/>
      </c>
      <c r="I274" s="15">
        <f>COUNTIF(Applicant_List!AI275:BM275,"N")+COUNTBLANK(Applicant_List!AI275:BM275)</f>
        <v/>
      </c>
      <c r="J274" s="15">
        <f>Applicant_List!BT275</f>
        <v/>
      </c>
      <c r="K274" s="15">
        <f>Applicant_List!CA275</f>
        <v/>
      </c>
      <c r="L274" s="15">
        <f>IF(Applicant_List!BQ275="Y",IF(Applicant_List!CB275="Y","Would Advance","Would Not Advance"),"Existing Pipeline")</f>
        <v/>
      </c>
    </row>
    <row r="275">
      <c r="A275" s="15">
        <f>Applicant_List!C276</f>
        <v/>
      </c>
      <c r="B275" s="15">
        <f>Applicant_List!E276</f>
        <v/>
      </c>
      <c r="C275" s="15">
        <f>Applicant_List!L276</f>
        <v/>
      </c>
      <c r="D275" s="15">
        <f>Applicant_List!BU276</f>
        <v/>
      </c>
      <c r="E275" s="15">
        <f>Applicant_List!BV276</f>
        <v/>
      </c>
      <c r="F275" s="15">
        <f>Applicant_List!CB276</f>
        <v/>
      </c>
      <c r="G275" s="15">
        <f>Applicant_List!BW276</f>
        <v/>
      </c>
      <c r="H275" s="15">
        <f>Applicant_List!BY276</f>
        <v/>
      </c>
      <c r="I275" s="15">
        <f>COUNTIF(Applicant_List!AI276:BM276,"N")+COUNTBLANK(Applicant_List!AI276:BM276)</f>
        <v/>
      </c>
      <c r="J275" s="15">
        <f>Applicant_List!BT276</f>
        <v/>
      </c>
      <c r="K275" s="15">
        <f>Applicant_List!CA276</f>
        <v/>
      </c>
      <c r="L275" s="15">
        <f>IF(Applicant_List!BQ276="Y",IF(Applicant_List!CB276="Y","Would Advance","Would Not Advance"),"Existing Pipeline")</f>
        <v/>
      </c>
    </row>
    <row r="276">
      <c r="A276" s="15">
        <f>Applicant_List!C277</f>
        <v/>
      </c>
      <c r="B276" s="15">
        <f>Applicant_List!E277</f>
        <v/>
      </c>
      <c r="C276" s="15">
        <f>Applicant_List!L277</f>
        <v/>
      </c>
      <c r="D276" s="15">
        <f>Applicant_List!BU277</f>
        <v/>
      </c>
      <c r="E276" s="15">
        <f>Applicant_List!BV277</f>
        <v/>
      </c>
      <c r="F276" s="15">
        <f>Applicant_List!CB277</f>
        <v/>
      </c>
      <c r="G276" s="15">
        <f>Applicant_List!BW277</f>
        <v/>
      </c>
      <c r="H276" s="15">
        <f>Applicant_List!BY277</f>
        <v/>
      </c>
      <c r="I276" s="15">
        <f>COUNTIF(Applicant_List!AI277:BM277,"N")+COUNTBLANK(Applicant_List!AI277:BM277)</f>
        <v/>
      </c>
      <c r="J276" s="15">
        <f>Applicant_List!BT277</f>
        <v/>
      </c>
      <c r="K276" s="15">
        <f>Applicant_List!CA277</f>
        <v/>
      </c>
      <c r="L276" s="15">
        <f>IF(Applicant_List!BQ277="Y",IF(Applicant_List!CB277="Y","Would Advance","Would Not Advance"),"Existing Pipeline")</f>
        <v/>
      </c>
    </row>
    <row r="277">
      <c r="A277" s="15">
        <f>Applicant_List!C278</f>
        <v/>
      </c>
      <c r="B277" s="15">
        <f>Applicant_List!E278</f>
        <v/>
      </c>
      <c r="C277" s="15">
        <f>Applicant_List!L278</f>
        <v/>
      </c>
      <c r="D277" s="15">
        <f>Applicant_List!BU278</f>
        <v/>
      </c>
      <c r="E277" s="15">
        <f>Applicant_List!BV278</f>
        <v/>
      </c>
      <c r="F277" s="15">
        <f>Applicant_List!CB278</f>
        <v/>
      </c>
      <c r="G277" s="15">
        <f>Applicant_List!BW278</f>
        <v/>
      </c>
      <c r="H277" s="15">
        <f>Applicant_List!BY278</f>
        <v/>
      </c>
      <c r="I277" s="15">
        <f>COUNTIF(Applicant_List!AI278:BM278,"N")+COUNTBLANK(Applicant_List!AI278:BM278)</f>
        <v/>
      </c>
      <c r="J277" s="15">
        <f>Applicant_List!BT278</f>
        <v/>
      </c>
      <c r="K277" s="15">
        <f>Applicant_List!CA278</f>
        <v/>
      </c>
      <c r="L277" s="15">
        <f>IF(Applicant_List!BQ278="Y",IF(Applicant_List!CB278="Y","Would Advance","Would Not Advance"),"Existing Pipeline")</f>
        <v/>
      </c>
    </row>
    <row r="278">
      <c r="A278" s="15">
        <f>Applicant_List!C279</f>
        <v/>
      </c>
      <c r="B278" s="15">
        <f>Applicant_List!E279</f>
        <v/>
      </c>
      <c r="C278" s="15">
        <f>Applicant_List!L279</f>
        <v/>
      </c>
      <c r="D278" s="15">
        <f>Applicant_List!BU279</f>
        <v/>
      </c>
      <c r="E278" s="15">
        <f>Applicant_List!BV279</f>
        <v/>
      </c>
      <c r="F278" s="15">
        <f>Applicant_List!CB279</f>
        <v/>
      </c>
      <c r="G278" s="15">
        <f>Applicant_List!BW279</f>
        <v/>
      </c>
      <c r="H278" s="15">
        <f>Applicant_List!BY279</f>
        <v/>
      </c>
      <c r="I278" s="15">
        <f>COUNTIF(Applicant_List!AI279:BM279,"N")+COUNTBLANK(Applicant_List!AI279:BM279)</f>
        <v/>
      </c>
      <c r="J278" s="15">
        <f>Applicant_List!BT279</f>
        <v/>
      </c>
      <c r="K278" s="15">
        <f>Applicant_List!CA279</f>
        <v/>
      </c>
      <c r="L278" s="15">
        <f>IF(Applicant_List!BQ279="Y",IF(Applicant_List!CB279="Y","Would Advance","Would Not Advance"),"Existing Pipeline")</f>
        <v/>
      </c>
    </row>
    <row r="279">
      <c r="A279" s="15">
        <f>Applicant_List!C280</f>
        <v/>
      </c>
      <c r="B279" s="15">
        <f>Applicant_List!E280</f>
        <v/>
      </c>
      <c r="C279" s="15">
        <f>Applicant_List!L280</f>
        <v/>
      </c>
      <c r="D279" s="15">
        <f>Applicant_List!BU280</f>
        <v/>
      </c>
      <c r="E279" s="15">
        <f>Applicant_List!BV280</f>
        <v/>
      </c>
      <c r="F279" s="15">
        <f>Applicant_List!CB280</f>
        <v/>
      </c>
      <c r="G279" s="15">
        <f>Applicant_List!BW280</f>
        <v/>
      </c>
      <c r="H279" s="15">
        <f>Applicant_List!BY280</f>
        <v/>
      </c>
      <c r="I279" s="15">
        <f>COUNTIF(Applicant_List!AI280:BM280,"N")+COUNTBLANK(Applicant_List!AI280:BM280)</f>
        <v/>
      </c>
      <c r="J279" s="15">
        <f>Applicant_List!BT280</f>
        <v/>
      </c>
      <c r="K279" s="15">
        <f>Applicant_List!CA280</f>
        <v/>
      </c>
      <c r="L279" s="15">
        <f>IF(Applicant_List!BQ280="Y",IF(Applicant_List!CB280="Y","Would Advance","Would Not Advance"),"Existing Pipeline")</f>
        <v/>
      </c>
    </row>
    <row r="280">
      <c r="A280" s="15">
        <f>Applicant_List!C281</f>
        <v/>
      </c>
      <c r="B280" s="15">
        <f>Applicant_List!E281</f>
        <v/>
      </c>
      <c r="C280" s="15">
        <f>Applicant_List!L281</f>
        <v/>
      </c>
      <c r="D280" s="15">
        <f>Applicant_List!BU281</f>
        <v/>
      </c>
      <c r="E280" s="15">
        <f>Applicant_List!BV281</f>
        <v/>
      </c>
      <c r="F280" s="15">
        <f>Applicant_List!CB281</f>
        <v/>
      </c>
      <c r="G280" s="15">
        <f>Applicant_List!BW281</f>
        <v/>
      </c>
      <c r="H280" s="15">
        <f>Applicant_List!BY281</f>
        <v/>
      </c>
      <c r="I280" s="15">
        <f>COUNTIF(Applicant_List!AI281:BM281,"N")+COUNTBLANK(Applicant_List!AI281:BM281)</f>
        <v/>
      </c>
      <c r="J280" s="15">
        <f>Applicant_List!BT281</f>
        <v/>
      </c>
      <c r="K280" s="15">
        <f>Applicant_List!CA281</f>
        <v/>
      </c>
      <c r="L280" s="15">
        <f>IF(Applicant_List!BQ281="Y",IF(Applicant_List!CB281="Y","Would Advance","Would Not Advance"),"Existing Pipeline")</f>
        <v/>
      </c>
    </row>
    <row r="281">
      <c r="A281" s="15">
        <f>Applicant_List!C282</f>
        <v/>
      </c>
      <c r="B281" s="15">
        <f>Applicant_List!E282</f>
        <v/>
      </c>
      <c r="C281" s="15">
        <f>Applicant_List!L282</f>
        <v/>
      </c>
      <c r="D281" s="15">
        <f>Applicant_List!BU282</f>
        <v/>
      </c>
      <c r="E281" s="15">
        <f>Applicant_List!BV282</f>
        <v/>
      </c>
      <c r="F281" s="15">
        <f>Applicant_List!CB282</f>
        <v/>
      </c>
      <c r="G281" s="15">
        <f>Applicant_List!BW282</f>
        <v/>
      </c>
      <c r="H281" s="15">
        <f>Applicant_List!BY282</f>
        <v/>
      </c>
      <c r="I281" s="15">
        <f>COUNTIF(Applicant_List!AI282:BM282,"N")+COUNTBLANK(Applicant_List!AI282:BM282)</f>
        <v/>
      </c>
      <c r="J281" s="15">
        <f>Applicant_List!BT282</f>
        <v/>
      </c>
      <c r="K281" s="15">
        <f>Applicant_List!CA282</f>
        <v/>
      </c>
      <c r="L281" s="15">
        <f>IF(Applicant_List!BQ282="Y",IF(Applicant_List!CB282="Y","Would Advance","Would Not Advance"),"Existing Pipeline")</f>
        <v/>
      </c>
    </row>
    <row r="282">
      <c r="A282" s="15">
        <f>Applicant_List!C283</f>
        <v/>
      </c>
      <c r="B282" s="15">
        <f>Applicant_List!E283</f>
        <v/>
      </c>
      <c r="C282" s="15">
        <f>Applicant_List!L283</f>
        <v/>
      </c>
      <c r="D282" s="15">
        <f>Applicant_List!BU283</f>
        <v/>
      </c>
      <c r="E282" s="15">
        <f>Applicant_List!BV283</f>
        <v/>
      </c>
      <c r="F282" s="15">
        <f>Applicant_List!CB283</f>
        <v/>
      </c>
      <c r="G282" s="15">
        <f>Applicant_List!BW283</f>
        <v/>
      </c>
      <c r="H282" s="15">
        <f>Applicant_List!BY283</f>
        <v/>
      </c>
      <c r="I282" s="15">
        <f>COUNTIF(Applicant_List!AI283:BM283,"N")+COUNTBLANK(Applicant_List!AI283:BM283)</f>
        <v/>
      </c>
      <c r="J282" s="15">
        <f>Applicant_List!BT283</f>
        <v/>
      </c>
      <c r="K282" s="15">
        <f>Applicant_List!CA283</f>
        <v/>
      </c>
      <c r="L282" s="15">
        <f>IF(Applicant_List!BQ283="Y",IF(Applicant_List!CB283="Y","Would Advance","Would Not Advance"),"Existing Pipeline")</f>
        <v/>
      </c>
    </row>
    <row r="283">
      <c r="A283" s="15">
        <f>Applicant_List!C284</f>
        <v/>
      </c>
      <c r="B283" s="15">
        <f>Applicant_List!E284</f>
        <v/>
      </c>
      <c r="C283" s="15">
        <f>Applicant_List!L284</f>
        <v/>
      </c>
      <c r="D283" s="15">
        <f>Applicant_List!BU284</f>
        <v/>
      </c>
      <c r="E283" s="15">
        <f>Applicant_List!BV284</f>
        <v/>
      </c>
      <c r="F283" s="15">
        <f>Applicant_List!CB284</f>
        <v/>
      </c>
      <c r="G283" s="15">
        <f>Applicant_List!BW284</f>
        <v/>
      </c>
      <c r="H283" s="15">
        <f>Applicant_List!BY284</f>
        <v/>
      </c>
      <c r="I283" s="15">
        <f>COUNTIF(Applicant_List!AI284:BM284,"N")+COUNTBLANK(Applicant_List!AI284:BM284)</f>
        <v/>
      </c>
      <c r="J283" s="15">
        <f>Applicant_List!BT284</f>
        <v/>
      </c>
      <c r="K283" s="15">
        <f>Applicant_List!CA284</f>
        <v/>
      </c>
      <c r="L283" s="15">
        <f>IF(Applicant_List!BQ284="Y",IF(Applicant_List!CB284="Y","Would Advance","Would Not Advance"),"Existing Pipeline")</f>
        <v/>
      </c>
    </row>
    <row r="284">
      <c r="A284" s="15">
        <f>Applicant_List!C285</f>
        <v/>
      </c>
      <c r="B284" s="15">
        <f>Applicant_List!E285</f>
        <v/>
      </c>
      <c r="C284" s="15">
        <f>Applicant_List!L285</f>
        <v/>
      </c>
      <c r="D284" s="15">
        <f>Applicant_List!BU285</f>
        <v/>
      </c>
      <c r="E284" s="15">
        <f>Applicant_List!BV285</f>
        <v/>
      </c>
      <c r="F284" s="15">
        <f>Applicant_List!CB285</f>
        <v/>
      </c>
      <c r="G284" s="15">
        <f>Applicant_List!BW285</f>
        <v/>
      </c>
      <c r="H284" s="15">
        <f>Applicant_List!BY285</f>
        <v/>
      </c>
      <c r="I284" s="15">
        <f>COUNTIF(Applicant_List!AI285:BM285,"N")+COUNTBLANK(Applicant_List!AI285:BM285)</f>
        <v/>
      </c>
      <c r="J284" s="15">
        <f>Applicant_List!BT285</f>
        <v/>
      </c>
      <c r="K284" s="15">
        <f>Applicant_List!CA285</f>
        <v/>
      </c>
      <c r="L284" s="15">
        <f>IF(Applicant_List!BQ285="Y",IF(Applicant_List!CB285="Y","Would Advance","Would Not Advance"),"Existing Pipeline")</f>
        <v/>
      </c>
    </row>
    <row r="285">
      <c r="A285" s="15">
        <f>Applicant_List!C286</f>
        <v/>
      </c>
      <c r="B285" s="15">
        <f>Applicant_List!E286</f>
        <v/>
      </c>
      <c r="C285" s="15">
        <f>Applicant_List!L286</f>
        <v/>
      </c>
      <c r="D285" s="15">
        <f>Applicant_List!BU286</f>
        <v/>
      </c>
      <c r="E285" s="15">
        <f>Applicant_List!BV286</f>
        <v/>
      </c>
      <c r="F285" s="15">
        <f>Applicant_List!CB286</f>
        <v/>
      </c>
      <c r="G285" s="15">
        <f>Applicant_List!BW286</f>
        <v/>
      </c>
      <c r="H285" s="15">
        <f>Applicant_List!BY286</f>
        <v/>
      </c>
      <c r="I285" s="15">
        <f>COUNTIF(Applicant_List!AI286:BM286,"N")+COUNTBLANK(Applicant_List!AI286:BM286)</f>
        <v/>
      </c>
      <c r="J285" s="15">
        <f>Applicant_List!BT286</f>
        <v/>
      </c>
      <c r="K285" s="15">
        <f>Applicant_List!CA286</f>
        <v/>
      </c>
      <c r="L285" s="15">
        <f>IF(Applicant_List!BQ286="Y",IF(Applicant_List!CB286="Y","Would Advance","Would Not Advance"),"Existing Pipeline")</f>
        <v/>
      </c>
    </row>
    <row r="286">
      <c r="A286" s="15">
        <f>Applicant_List!C287</f>
        <v/>
      </c>
      <c r="B286" s="15">
        <f>Applicant_List!E287</f>
        <v/>
      </c>
      <c r="C286" s="15">
        <f>Applicant_List!L287</f>
        <v/>
      </c>
      <c r="D286" s="15">
        <f>Applicant_List!BU287</f>
        <v/>
      </c>
      <c r="E286" s="15">
        <f>Applicant_List!BV287</f>
        <v/>
      </c>
      <c r="F286" s="15">
        <f>Applicant_List!CB287</f>
        <v/>
      </c>
      <c r="G286" s="15">
        <f>Applicant_List!BW287</f>
        <v/>
      </c>
      <c r="H286" s="15">
        <f>Applicant_List!BY287</f>
        <v/>
      </c>
      <c r="I286" s="15">
        <f>COUNTIF(Applicant_List!AI287:BM287,"N")+COUNTBLANK(Applicant_List!AI287:BM287)</f>
        <v/>
      </c>
      <c r="J286" s="15">
        <f>Applicant_List!BT287</f>
        <v/>
      </c>
      <c r="K286" s="15">
        <f>Applicant_List!CA287</f>
        <v/>
      </c>
      <c r="L286" s="15">
        <f>IF(Applicant_List!BQ287="Y",IF(Applicant_List!CB287="Y","Would Advance","Would Not Advance"),"Existing Pipeline")</f>
        <v/>
      </c>
    </row>
    <row r="287">
      <c r="A287" s="15">
        <f>Applicant_List!C288</f>
        <v/>
      </c>
      <c r="B287" s="15">
        <f>Applicant_List!E288</f>
        <v/>
      </c>
      <c r="C287" s="15">
        <f>Applicant_List!L288</f>
        <v/>
      </c>
      <c r="D287" s="15">
        <f>Applicant_List!BU288</f>
        <v/>
      </c>
      <c r="E287" s="15">
        <f>Applicant_List!BV288</f>
        <v/>
      </c>
      <c r="F287" s="15">
        <f>Applicant_List!CB288</f>
        <v/>
      </c>
      <c r="G287" s="15">
        <f>Applicant_List!BW288</f>
        <v/>
      </c>
      <c r="H287" s="15">
        <f>Applicant_List!BY288</f>
        <v/>
      </c>
      <c r="I287" s="15">
        <f>COUNTIF(Applicant_List!AI288:BM288,"N")+COUNTBLANK(Applicant_List!AI288:BM288)</f>
        <v/>
      </c>
      <c r="J287" s="15">
        <f>Applicant_List!BT288</f>
        <v/>
      </c>
      <c r="K287" s="15">
        <f>Applicant_List!CA288</f>
        <v/>
      </c>
      <c r="L287" s="15">
        <f>IF(Applicant_List!BQ288="Y",IF(Applicant_List!CB288="Y","Would Advance","Would Not Advance"),"Existing Pipeline")</f>
        <v/>
      </c>
    </row>
    <row r="288">
      <c r="A288" s="15">
        <f>Applicant_List!C289</f>
        <v/>
      </c>
      <c r="B288" s="15">
        <f>Applicant_List!E289</f>
        <v/>
      </c>
      <c r="C288" s="15">
        <f>Applicant_List!L289</f>
        <v/>
      </c>
      <c r="D288" s="15">
        <f>Applicant_List!BU289</f>
        <v/>
      </c>
      <c r="E288" s="15">
        <f>Applicant_List!BV289</f>
        <v/>
      </c>
      <c r="F288" s="15">
        <f>Applicant_List!CB289</f>
        <v/>
      </c>
      <c r="G288" s="15">
        <f>Applicant_List!BW289</f>
        <v/>
      </c>
      <c r="H288" s="15">
        <f>Applicant_List!BY289</f>
        <v/>
      </c>
      <c r="I288" s="15">
        <f>COUNTIF(Applicant_List!AI289:BM289,"N")+COUNTBLANK(Applicant_List!AI289:BM289)</f>
        <v/>
      </c>
      <c r="J288" s="15">
        <f>Applicant_List!BT289</f>
        <v/>
      </c>
      <c r="K288" s="15">
        <f>Applicant_List!CA289</f>
        <v/>
      </c>
      <c r="L288" s="15">
        <f>IF(Applicant_List!BQ289="Y",IF(Applicant_List!CB289="Y","Would Advance","Would Not Advance"),"Existing Pipeline")</f>
        <v/>
      </c>
    </row>
    <row r="289">
      <c r="A289" s="15">
        <f>Applicant_List!C290</f>
        <v/>
      </c>
      <c r="B289" s="15">
        <f>Applicant_List!E290</f>
        <v/>
      </c>
      <c r="C289" s="15">
        <f>Applicant_List!L290</f>
        <v/>
      </c>
      <c r="D289" s="15">
        <f>Applicant_List!BU290</f>
        <v/>
      </c>
      <c r="E289" s="15">
        <f>Applicant_List!BV290</f>
        <v/>
      </c>
      <c r="F289" s="15">
        <f>Applicant_List!CB290</f>
        <v/>
      </c>
      <c r="G289" s="15">
        <f>Applicant_List!BW290</f>
        <v/>
      </c>
      <c r="H289" s="15">
        <f>Applicant_List!BY290</f>
        <v/>
      </c>
      <c r="I289" s="15">
        <f>COUNTIF(Applicant_List!AI290:BM290,"N")+COUNTBLANK(Applicant_List!AI290:BM290)</f>
        <v/>
      </c>
      <c r="J289" s="15">
        <f>Applicant_List!BT290</f>
        <v/>
      </c>
      <c r="K289" s="15">
        <f>Applicant_List!CA290</f>
        <v/>
      </c>
      <c r="L289" s="15">
        <f>IF(Applicant_List!BQ290="Y",IF(Applicant_List!CB290="Y","Would Advance","Would Not Advance"),"Existing Pipeline")</f>
        <v/>
      </c>
    </row>
    <row r="290">
      <c r="A290" s="15">
        <f>Applicant_List!C291</f>
        <v/>
      </c>
      <c r="B290" s="15">
        <f>Applicant_List!E291</f>
        <v/>
      </c>
      <c r="C290" s="15">
        <f>Applicant_List!L291</f>
        <v/>
      </c>
      <c r="D290" s="15">
        <f>Applicant_List!BU291</f>
        <v/>
      </c>
      <c r="E290" s="15">
        <f>Applicant_List!BV291</f>
        <v/>
      </c>
      <c r="F290" s="15">
        <f>Applicant_List!CB291</f>
        <v/>
      </c>
      <c r="G290" s="15">
        <f>Applicant_List!BW291</f>
        <v/>
      </c>
      <c r="H290" s="15">
        <f>Applicant_List!BY291</f>
        <v/>
      </c>
      <c r="I290" s="15">
        <f>COUNTIF(Applicant_List!AI291:BM291,"N")+COUNTBLANK(Applicant_List!AI291:BM291)</f>
        <v/>
      </c>
      <c r="J290" s="15">
        <f>Applicant_List!BT291</f>
        <v/>
      </c>
      <c r="K290" s="15">
        <f>Applicant_List!CA291</f>
        <v/>
      </c>
      <c r="L290" s="15">
        <f>IF(Applicant_List!BQ291="Y",IF(Applicant_List!CB291="Y","Would Advance","Would Not Advance"),"Existing Pipeline")</f>
        <v/>
      </c>
    </row>
    <row r="291">
      <c r="A291" s="15">
        <f>Applicant_List!C292</f>
        <v/>
      </c>
      <c r="B291" s="15">
        <f>Applicant_List!E292</f>
        <v/>
      </c>
      <c r="C291" s="15">
        <f>Applicant_List!L292</f>
        <v/>
      </c>
      <c r="D291" s="15">
        <f>Applicant_List!BU292</f>
        <v/>
      </c>
      <c r="E291" s="15">
        <f>Applicant_List!BV292</f>
        <v/>
      </c>
      <c r="F291" s="15">
        <f>Applicant_List!CB292</f>
        <v/>
      </c>
      <c r="G291" s="15">
        <f>Applicant_List!BW292</f>
        <v/>
      </c>
      <c r="H291" s="15">
        <f>Applicant_List!BY292</f>
        <v/>
      </c>
      <c r="I291" s="15">
        <f>COUNTIF(Applicant_List!AI292:BM292,"N")+COUNTBLANK(Applicant_List!AI292:BM292)</f>
        <v/>
      </c>
      <c r="J291" s="15">
        <f>Applicant_List!BT292</f>
        <v/>
      </c>
      <c r="K291" s="15">
        <f>Applicant_List!CA292</f>
        <v/>
      </c>
      <c r="L291" s="15">
        <f>IF(Applicant_List!BQ292="Y",IF(Applicant_List!CB292="Y","Would Advance","Would Not Advance"),"Existing Pipeline")</f>
        <v/>
      </c>
    </row>
    <row r="292">
      <c r="A292" s="15">
        <f>Applicant_List!C293</f>
        <v/>
      </c>
      <c r="B292" s="15">
        <f>Applicant_List!E293</f>
        <v/>
      </c>
      <c r="C292" s="15">
        <f>Applicant_List!L293</f>
        <v/>
      </c>
      <c r="D292" s="15">
        <f>Applicant_List!BU293</f>
        <v/>
      </c>
      <c r="E292" s="15">
        <f>Applicant_List!BV293</f>
        <v/>
      </c>
      <c r="F292" s="15">
        <f>Applicant_List!CB293</f>
        <v/>
      </c>
      <c r="G292" s="15">
        <f>Applicant_List!BW293</f>
        <v/>
      </c>
      <c r="H292" s="15">
        <f>Applicant_List!BY293</f>
        <v/>
      </c>
      <c r="I292" s="15">
        <f>COUNTIF(Applicant_List!AI293:BM293,"N")+COUNTBLANK(Applicant_List!AI293:BM293)</f>
        <v/>
      </c>
      <c r="J292" s="15">
        <f>Applicant_List!BT293</f>
        <v/>
      </c>
      <c r="K292" s="15">
        <f>Applicant_List!CA293</f>
        <v/>
      </c>
      <c r="L292" s="15">
        <f>IF(Applicant_List!BQ293="Y",IF(Applicant_List!CB293="Y","Would Advance","Would Not Advance"),"Existing Pipeline")</f>
        <v/>
      </c>
    </row>
    <row r="293">
      <c r="A293" s="15">
        <f>Applicant_List!C294</f>
        <v/>
      </c>
      <c r="B293" s="15">
        <f>Applicant_List!E294</f>
        <v/>
      </c>
      <c r="C293" s="15">
        <f>Applicant_List!L294</f>
        <v/>
      </c>
      <c r="D293" s="15">
        <f>Applicant_List!BU294</f>
        <v/>
      </c>
      <c r="E293" s="15">
        <f>Applicant_List!BV294</f>
        <v/>
      </c>
      <c r="F293" s="15">
        <f>Applicant_List!CB294</f>
        <v/>
      </c>
      <c r="G293" s="15">
        <f>Applicant_List!BW294</f>
        <v/>
      </c>
      <c r="H293" s="15">
        <f>Applicant_List!BY294</f>
        <v/>
      </c>
      <c r="I293" s="15">
        <f>COUNTIF(Applicant_List!AI294:BM294,"N")+COUNTBLANK(Applicant_List!AI294:BM294)</f>
        <v/>
      </c>
      <c r="J293" s="15">
        <f>Applicant_List!BT294</f>
        <v/>
      </c>
      <c r="K293" s="15">
        <f>Applicant_List!CA294</f>
        <v/>
      </c>
      <c r="L293" s="15">
        <f>IF(Applicant_List!BQ294="Y",IF(Applicant_List!CB294="Y","Would Advance","Would Not Advance"),"Existing Pipeline")</f>
        <v/>
      </c>
    </row>
    <row r="294">
      <c r="A294" s="15">
        <f>Applicant_List!C295</f>
        <v/>
      </c>
      <c r="B294" s="15">
        <f>Applicant_List!E295</f>
        <v/>
      </c>
      <c r="C294" s="15">
        <f>Applicant_List!L295</f>
        <v/>
      </c>
      <c r="D294" s="15">
        <f>Applicant_List!BU295</f>
        <v/>
      </c>
      <c r="E294" s="15">
        <f>Applicant_List!BV295</f>
        <v/>
      </c>
      <c r="F294" s="15">
        <f>Applicant_List!CB295</f>
        <v/>
      </c>
      <c r="G294" s="15">
        <f>Applicant_List!BW295</f>
        <v/>
      </c>
      <c r="H294" s="15">
        <f>Applicant_List!BY295</f>
        <v/>
      </c>
      <c r="I294" s="15">
        <f>COUNTIF(Applicant_List!AI295:BM295,"N")+COUNTBLANK(Applicant_List!AI295:BM295)</f>
        <v/>
      </c>
      <c r="J294" s="15">
        <f>Applicant_List!BT295</f>
        <v/>
      </c>
      <c r="K294" s="15">
        <f>Applicant_List!CA295</f>
        <v/>
      </c>
      <c r="L294" s="15">
        <f>IF(Applicant_List!BQ295="Y",IF(Applicant_List!CB295="Y","Would Advance","Would Not Advance"),"Existing Pipeline")</f>
        <v/>
      </c>
    </row>
    <row r="295">
      <c r="A295" s="15">
        <f>Applicant_List!C296</f>
        <v/>
      </c>
      <c r="B295" s="15">
        <f>Applicant_List!E296</f>
        <v/>
      </c>
      <c r="C295" s="15">
        <f>Applicant_List!L296</f>
        <v/>
      </c>
      <c r="D295" s="15">
        <f>Applicant_List!BU296</f>
        <v/>
      </c>
      <c r="E295" s="15">
        <f>Applicant_List!BV296</f>
        <v/>
      </c>
      <c r="F295" s="15">
        <f>Applicant_List!CB296</f>
        <v/>
      </c>
      <c r="G295" s="15">
        <f>Applicant_List!BW296</f>
        <v/>
      </c>
      <c r="H295" s="15">
        <f>Applicant_List!BY296</f>
        <v/>
      </c>
      <c r="I295" s="15">
        <f>COUNTIF(Applicant_List!AI296:BM296,"N")+COUNTBLANK(Applicant_List!AI296:BM296)</f>
        <v/>
      </c>
      <c r="J295" s="15">
        <f>Applicant_List!BT296</f>
        <v/>
      </c>
      <c r="K295" s="15">
        <f>Applicant_List!CA296</f>
        <v/>
      </c>
      <c r="L295" s="15">
        <f>IF(Applicant_List!BQ296="Y",IF(Applicant_List!CB296="Y","Would Advance","Would Not Advance"),"Existing Pipeline")</f>
        <v/>
      </c>
    </row>
    <row r="296">
      <c r="A296" s="15">
        <f>Applicant_List!C297</f>
        <v/>
      </c>
      <c r="B296" s="15">
        <f>Applicant_List!E297</f>
        <v/>
      </c>
      <c r="C296" s="15">
        <f>Applicant_List!L297</f>
        <v/>
      </c>
      <c r="D296" s="15">
        <f>Applicant_List!BU297</f>
        <v/>
      </c>
      <c r="E296" s="15">
        <f>Applicant_List!BV297</f>
        <v/>
      </c>
      <c r="F296" s="15">
        <f>Applicant_List!CB297</f>
        <v/>
      </c>
      <c r="G296" s="15">
        <f>Applicant_List!BW297</f>
        <v/>
      </c>
      <c r="H296" s="15">
        <f>Applicant_List!BY297</f>
        <v/>
      </c>
      <c r="I296" s="15">
        <f>COUNTIF(Applicant_List!AI297:BM297,"N")+COUNTBLANK(Applicant_List!AI297:BM297)</f>
        <v/>
      </c>
      <c r="J296" s="15">
        <f>Applicant_List!BT297</f>
        <v/>
      </c>
      <c r="K296" s="15">
        <f>Applicant_List!CA297</f>
        <v/>
      </c>
      <c r="L296" s="15">
        <f>IF(Applicant_List!BQ297="Y",IF(Applicant_List!CB297="Y","Would Advance","Would Not Advance"),"Existing Pipeline")</f>
        <v/>
      </c>
    </row>
    <row r="297">
      <c r="A297" s="15">
        <f>Applicant_List!C298</f>
        <v/>
      </c>
      <c r="B297" s="15">
        <f>Applicant_List!E298</f>
        <v/>
      </c>
      <c r="C297" s="15">
        <f>Applicant_List!L298</f>
        <v/>
      </c>
      <c r="D297" s="15">
        <f>Applicant_List!BU298</f>
        <v/>
      </c>
      <c r="E297" s="15">
        <f>Applicant_List!BV298</f>
        <v/>
      </c>
      <c r="F297" s="15">
        <f>Applicant_List!CB298</f>
        <v/>
      </c>
      <c r="G297" s="15">
        <f>Applicant_List!BW298</f>
        <v/>
      </c>
      <c r="H297" s="15">
        <f>Applicant_List!BY298</f>
        <v/>
      </c>
      <c r="I297" s="15">
        <f>COUNTIF(Applicant_List!AI298:BM298,"N")+COUNTBLANK(Applicant_List!AI298:BM298)</f>
        <v/>
      </c>
      <c r="J297" s="15">
        <f>Applicant_List!BT298</f>
        <v/>
      </c>
      <c r="K297" s="15">
        <f>Applicant_List!CA298</f>
        <v/>
      </c>
      <c r="L297" s="15">
        <f>IF(Applicant_List!BQ298="Y",IF(Applicant_List!CB298="Y","Would Advance","Would Not Advance"),"Existing Pipeline")</f>
        <v/>
      </c>
    </row>
    <row r="298">
      <c r="A298" s="15">
        <f>Applicant_List!C299</f>
        <v/>
      </c>
      <c r="B298" s="15">
        <f>Applicant_List!E299</f>
        <v/>
      </c>
      <c r="C298" s="15">
        <f>Applicant_List!L299</f>
        <v/>
      </c>
      <c r="D298" s="15">
        <f>Applicant_List!BU299</f>
        <v/>
      </c>
      <c r="E298" s="15">
        <f>Applicant_List!BV299</f>
        <v/>
      </c>
      <c r="F298" s="15">
        <f>Applicant_List!CB299</f>
        <v/>
      </c>
      <c r="G298" s="15">
        <f>Applicant_List!BW299</f>
        <v/>
      </c>
      <c r="H298" s="15">
        <f>Applicant_List!BY299</f>
        <v/>
      </c>
      <c r="I298" s="15">
        <f>COUNTIF(Applicant_List!AI299:BM299,"N")+COUNTBLANK(Applicant_List!AI299:BM299)</f>
        <v/>
      </c>
      <c r="J298" s="15">
        <f>Applicant_List!BT299</f>
        <v/>
      </c>
      <c r="K298" s="15">
        <f>Applicant_List!CA299</f>
        <v/>
      </c>
      <c r="L298" s="15">
        <f>IF(Applicant_List!BQ299="Y",IF(Applicant_List!CB299="Y","Would Advance","Would Not Advance"),"Existing Pipeline")</f>
        <v/>
      </c>
    </row>
    <row r="299">
      <c r="A299" s="15">
        <f>Applicant_List!C300</f>
        <v/>
      </c>
      <c r="B299" s="15">
        <f>Applicant_List!E300</f>
        <v/>
      </c>
      <c r="C299" s="15">
        <f>Applicant_List!L300</f>
        <v/>
      </c>
      <c r="D299" s="15">
        <f>Applicant_List!BU300</f>
        <v/>
      </c>
      <c r="E299" s="15">
        <f>Applicant_List!BV300</f>
        <v/>
      </c>
      <c r="F299" s="15">
        <f>Applicant_List!CB300</f>
        <v/>
      </c>
      <c r="G299" s="15">
        <f>Applicant_List!BW300</f>
        <v/>
      </c>
      <c r="H299" s="15">
        <f>Applicant_List!BY300</f>
        <v/>
      </c>
      <c r="I299" s="15">
        <f>COUNTIF(Applicant_List!AI300:BM300,"N")+COUNTBLANK(Applicant_List!AI300:BM300)</f>
        <v/>
      </c>
      <c r="J299" s="15">
        <f>Applicant_List!BT300</f>
        <v/>
      </c>
      <c r="K299" s="15">
        <f>Applicant_List!CA300</f>
        <v/>
      </c>
      <c r="L299" s="15">
        <f>IF(Applicant_List!BQ300="Y",IF(Applicant_List!CB300="Y","Would Advance","Would Not Advance"),"Existing Pipeline")</f>
        <v/>
      </c>
    </row>
    <row r="300">
      <c r="A300" s="15">
        <f>Applicant_List!C301</f>
        <v/>
      </c>
      <c r="B300" s="15">
        <f>Applicant_List!E301</f>
        <v/>
      </c>
      <c r="C300" s="15">
        <f>Applicant_List!L301</f>
        <v/>
      </c>
      <c r="D300" s="15">
        <f>Applicant_List!BU301</f>
        <v/>
      </c>
      <c r="E300" s="15">
        <f>Applicant_List!BV301</f>
        <v/>
      </c>
      <c r="F300" s="15">
        <f>Applicant_List!CB301</f>
        <v/>
      </c>
      <c r="G300" s="15">
        <f>Applicant_List!BW301</f>
        <v/>
      </c>
      <c r="H300" s="15">
        <f>Applicant_List!BY301</f>
        <v/>
      </c>
      <c r="I300" s="15">
        <f>COUNTIF(Applicant_List!AI301:BM301,"N")+COUNTBLANK(Applicant_List!AI301:BM301)</f>
        <v/>
      </c>
      <c r="J300" s="15">
        <f>Applicant_List!BT301</f>
        <v/>
      </c>
      <c r="K300" s="15">
        <f>Applicant_List!CA301</f>
        <v/>
      </c>
      <c r="L300" s="15">
        <f>IF(Applicant_List!BQ301="Y",IF(Applicant_List!CB301="Y","Would Advance","Would Not Advance"),"Existing Pipeline")</f>
        <v/>
      </c>
    </row>
    <row r="301">
      <c r="A301" s="15">
        <f>Applicant_List!C302</f>
        <v/>
      </c>
      <c r="B301" s="15">
        <f>Applicant_List!E302</f>
        <v/>
      </c>
      <c r="C301" s="15">
        <f>Applicant_List!L302</f>
        <v/>
      </c>
      <c r="D301" s="15">
        <f>Applicant_List!BU302</f>
        <v/>
      </c>
      <c r="E301" s="15">
        <f>Applicant_List!BV302</f>
        <v/>
      </c>
      <c r="F301" s="15">
        <f>Applicant_List!CB302</f>
        <v/>
      </c>
      <c r="G301" s="15">
        <f>Applicant_List!BW302</f>
        <v/>
      </c>
      <c r="H301" s="15">
        <f>Applicant_List!BY302</f>
        <v/>
      </c>
      <c r="I301" s="15">
        <f>COUNTIF(Applicant_List!AI302:BM302,"N")+COUNTBLANK(Applicant_List!AI302:BM302)</f>
        <v/>
      </c>
      <c r="J301" s="15">
        <f>Applicant_List!BT302</f>
        <v/>
      </c>
      <c r="K301" s="15">
        <f>Applicant_List!CA302</f>
        <v/>
      </c>
      <c r="L301" s="15">
        <f>IF(Applicant_List!BQ302="Y",IF(Applicant_List!CB302="Y","Would Advance","Would Not Advance"),"Existing Pipeline")</f>
        <v/>
      </c>
    </row>
    <row r="302">
      <c r="A302" s="15">
        <f>Applicant_List!C303</f>
        <v/>
      </c>
      <c r="B302" s="15">
        <f>Applicant_List!E303</f>
        <v/>
      </c>
      <c r="C302" s="15">
        <f>Applicant_List!L303</f>
        <v/>
      </c>
      <c r="D302" s="15">
        <f>Applicant_List!BU303</f>
        <v/>
      </c>
      <c r="E302" s="15">
        <f>Applicant_List!BV303</f>
        <v/>
      </c>
      <c r="F302" s="15">
        <f>Applicant_List!CB303</f>
        <v/>
      </c>
      <c r="G302" s="15">
        <f>Applicant_List!BW303</f>
        <v/>
      </c>
      <c r="H302" s="15">
        <f>Applicant_List!BY303</f>
        <v/>
      </c>
      <c r="I302" s="15">
        <f>COUNTIF(Applicant_List!AI303:BM303,"N")+COUNTBLANK(Applicant_List!AI303:BM303)</f>
        <v/>
      </c>
      <c r="J302" s="15">
        <f>Applicant_List!BT303</f>
        <v/>
      </c>
      <c r="K302" s="15">
        <f>Applicant_List!CA303</f>
        <v/>
      </c>
      <c r="L302" s="15">
        <f>IF(Applicant_List!BQ303="Y",IF(Applicant_List!CB303="Y","Would Advance","Would Not Advance"),"Existing Pipeline")</f>
        <v/>
      </c>
    </row>
    <row r="303">
      <c r="A303" s="15">
        <f>Applicant_List!C304</f>
        <v/>
      </c>
      <c r="B303" s="15">
        <f>Applicant_List!E304</f>
        <v/>
      </c>
      <c r="C303" s="15">
        <f>Applicant_List!L304</f>
        <v/>
      </c>
      <c r="D303" s="15">
        <f>Applicant_List!BU304</f>
        <v/>
      </c>
      <c r="E303" s="15">
        <f>Applicant_List!BV304</f>
        <v/>
      </c>
      <c r="F303" s="15">
        <f>Applicant_List!CB304</f>
        <v/>
      </c>
      <c r="G303" s="15">
        <f>Applicant_List!BW304</f>
        <v/>
      </c>
      <c r="H303" s="15">
        <f>Applicant_List!BY304</f>
        <v/>
      </c>
      <c r="I303" s="15">
        <f>COUNTIF(Applicant_List!AI304:BM304,"N")+COUNTBLANK(Applicant_List!AI304:BM304)</f>
        <v/>
      </c>
      <c r="J303" s="15">
        <f>Applicant_List!BT304</f>
        <v/>
      </c>
      <c r="K303" s="15">
        <f>Applicant_List!CA304</f>
        <v/>
      </c>
      <c r="L303" s="15">
        <f>IF(Applicant_List!BQ304="Y",IF(Applicant_List!CB304="Y","Would Advance","Would Not Advance"),"Existing Pipeline")</f>
        <v/>
      </c>
    </row>
    <row r="304">
      <c r="A304" s="15">
        <f>Applicant_List!C305</f>
        <v/>
      </c>
      <c r="B304" s="15">
        <f>Applicant_List!E305</f>
        <v/>
      </c>
      <c r="C304" s="15">
        <f>Applicant_List!L305</f>
        <v/>
      </c>
      <c r="D304" s="15">
        <f>Applicant_List!BU305</f>
        <v/>
      </c>
      <c r="E304" s="15">
        <f>Applicant_List!BV305</f>
        <v/>
      </c>
      <c r="F304" s="15">
        <f>Applicant_List!CB305</f>
        <v/>
      </c>
      <c r="G304" s="15">
        <f>Applicant_List!BW305</f>
        <v/>
      </c>
      <c r="H304" s="15">
        <f>Applicant_List!BY305</f>
        <v/>
      </c>
      <c r="I304" s="15">
        <f>COUNTIF(Applicant_List!AI305:BM305,"N")+COUNTBLANK(Applicant_List!AI305:BM305)</f>
        <v/>
      </c>
      <c r="J304" s="15">
        <f>Applicant_List!BT305</f>
        <v/>
      </c>
      <c r="K304" s="15">
        <f>Applicant_List!CA305</f>
        <v/>
      </c>
      <c r="L304" s="15">
        <f>IF(Applicant_List!BQ305="Y",IF(Applicant_List!CB305="Y","Would Advance","Would Not Advance"),"Existing Pipeline")</f>
        <v/>
      </c>
    </row>
    <row r="305">
      <c r="A305" s="15">
        <f>Applicant_List!C306</f>
        <v/>
      </c>
      <c r="B305" s="15">
        <f>Applicant_List!E306</f>
        <v/>
      </c>
      <c r="C305" s="15">
        <f>Applicant_List!L306</f>
        <v/>
      </c>
      <c r="D305" s="15">
        <f>Applicant_List!BU306</f>
        <v/>
      </c>
      <c r="E305" s="15">
        <f>Applicant_List!BV306</f>
        <v/>
      </c>
      <c r="F305" s="15">
        <f>Applicant_List!CB306</f>
        <v/>
      </c>
      <c r="G305" s="15">
        <f>Applicant_List!BW306</f>
        <v/>
      </c>
      <c r="H305" s="15">
        <f>Applicant_List!BY306</f>
        <v/>
      </c>
      <c r="I305" s="15">
        <f>COUNTIF(Applicant_List!AI306:BM306,"N")+COUNTBLANK(Applicant_List!AI306:BM306)</f>
        <v/>
      </c>
      <c r="J305" s="15">
        <f>Applicant_List!BT306</f>
        <v/>
      </c>
      <c r="K305" s="15">
        <f>Applicant_List!CA306</f>
        <v/>
      </c>
      <c r="L305" s="15">
        <f>IF(Applicant_List!BQ306="Y",IF(Applicant_List!CB306="Y","Would Advance","Would Not Advance"),"Existing Pipeline")</f>
        <v/>
      </c>
    </row>
    <row r="306">
      <c r="A306" s="15">
        <f>Applicant_List!C307</f>
        <v/>
      </c>
      <c r="B306" s="15">
        <f>Applicant_List!E307</f>
        <v/>
      </c>
      <c r="C306" s="15">
        <f>Applicant_List!L307</f>
        <v/>
      </c>
      <c r="D306" s="15">
        <f>Applicant_List!BU307</f>
        <v/>
      </c>
      <c r="E306" s="15">
        <f>Applicant_List!BV307</f>
        <v/>
      </c>
      <c r="F306" s="15">
        <f>Applicant_List!CB307</f>
        <v/>
      </c>
      <c r="G306" s="15">
        <f>Applicant_List!BW307</f>
        <v/>
      </c>
      <c r="H306" s="15">
        <f>Applicant_List!BY307</f>
        <v/>
      </c>
      <c r="I306" s="15">
        <f>COUNTIF(Applicant_List!AI307:BM307,"N")+COUNTBLANK(Applicant_List!AI307:BM307)</f>
        <v/>
      </c>
      <c r="J306" s="15">
        <f>Applicant_List!BT307</f>
        <v/>
      </c>
      <c r="K306" s="15">
        <f>Applicant_List!CA307</f>
        <v/>
      </c>
      <c r="L306" s="15">
        <f>IF(Applicant_List!BQ307="Y",IF(Applicant_List!CB307="Y","Would Advance","Would Not Advance"),"Existing Pipeline")</f>
        <v/>
      </c>
    </row>
    <row r="307">
      <c r="A307" s="15">
        <f>Applicant_List!C308</f>
        <v/>
      </c>
      <c r="B307" s="15">
        <f>Applicant_List!E308</f>
        <v/>
      </c>
      <c r="C307" s="15">
        <f>Applicant_List!L308</f>
        <v/>
      </c>
      <c r="D307" s="15">
        <f>Applicant_List!BU308</f>
        <v/>
      </c>
      <c r="E307" s="15">
        <f>Applicant_List!BV308</f>
        <v/>
      </c>
      <c r="F307" s="15">
        <f>Applicant_List!CB308</f>
        <v/>
      </c>
      <c r="G307" s="15">
        <f>Applicant_List!BW308</f>
        <v/>
      </c>
      <c r="H307" s="15">
        <f>Applicant_List!BY308</f>
        <v/>
      </c>
      <c r="I307" s="15">
        <f>COUNTIF(Applicant_List!AI308:BM308,"N")+COUNTBLANK(Applicant_List!AI308:BM308)</f>
        <v/>
      </c>
      <c r="J307" s="15">
        <f>Applicant_List!BT308</f>
        <v/>
      </c>
      <c r="K307" s="15">
        <f>Applicant_List!CA308</f>
        <v/>
      </c>
      <c r="L307" s="15">
        <f>IF(Applicant_List!BQ308="Y",IF(Applicant_List!CB308="Y","Would Advance","Would Not Advance"),"Existing Pipeline")</f>
        <v/>
      </c>
    </row>
    <row r="308">
      <c r="A308" s="15">
        <f>Applicant_List!C309</f>
        <v/>
      </c>
      <c r="B308" s="15">
        <f>Applicant_List!E309</f>
        <v/>
      </c>
      <c r="C308" s="15">
        <f>Applicant_List!L309</f>
        <v/>
      </c>
      <c r="D308" s="15">
        <f>Applicant_List!BU309</f>
        <v/>
      </c>
      <c r="E308" s="15">
        <f>Applicant_List!BV309</f>
        <v/>
      </c>
      <c r="F308" s="15">
        <f>Applicant_List!CB309</f>
        <v/>
      </c>
      <c r="G308" s="15">
        <f>Applicant_List!BW309</f>
        <v/>
      </c>
      <c r="H308" s="15">
        <f>Applicant_List!BY309</f>
        <v/>
      </c>
      <c r="I308" s="15">
        <f>COUNTIF(Applicant_List!AI309:BM309,"N")+COUNTBLANK(Applicant_List!AI309:BM309)</f>
        <v/>
      </c>
      <c r="J308" s="15">
        <f>Applicant_List!BT309</f>
        <v/>
      </c>
      <c r="K308" s="15">
        <f>Applicant_List!CA309</f>
        <v/>
      </c>
      <c r="L308" s="15">
        <f>IF(Applicant_List!BQ309="Y",IF(Applicant_List!CB309="Y","Would Advance","Would Not Advance"),"Existing Pipeline")</f>
        <v/>
      </c>
    </row>
    <row r="309">
      <c r="A309" s="15">
        <f>Applicant_List!C310</f>
        <v/>
      </c>
      <c r="B309" s="15">
        <f>Applicant_List!E310</f>
        <v/>
      </c>
      <c r="C309" s="15">
        <f>Applicant_List!L310</f>
        <v/>
      </c>
      <c r="D309" s="15">
        <f>Applicant_List!BU310</f>
        <v/>
      </c>
      <c r="E309" s="15">
        <f>Applicant_List!BV310</f>
        <v/>
      </c>
      <c r="F309" s="15">
        <f>Applicant_List!CB310</f>
        <v/>
      </c>
      <c r="G309" s="15">
        <f>Applicant_List!BW310</f>
        <v/>
      </c>
      <c r="H309" s="15">
        <f>Applicant_List!BY310</f>
        <v/>
      </c>
      <c r="I309" s="15">
        <f>COUNTIF(Applicant_List!AI310:BM310,"N")+COUNTBLANK(Applicant_List!AI310:BM310)</f>
        <v/>
      </c>
      <c r="J309" s="15">
        <f>Applicant_List!BT310</f>
        <v/>
      </c>
      <c r="K309" s="15">
        <f>Applicant_List!CA310</f>
        <v/>
      </c>
      <c r="L309" s="15">
        <f>IF(Applicant_List!BQ310="Y",IF(Applicant_List!CB310="Y","Would Advance","Would Not Advance"),"Existing Pipeline")</f>
        <v/>
      </c>
    </row>
    <row r="310">
      <c r="A310" s="15">
        <f>Applicant_List!C311</f>
        <v/>
      </c>
      <c r="B310" s="15">
        <f>Applicant_List!E311</f>
        <v/>
      </c>
      <c r="C310" s="15">
        <f>Applicant_List!L311</f>
        <v/>
      </c>
      <c r="D310" s="15">
        <f>Applicant_List!BU311</f>
        <v/>
      </c>
      <c r="E310" s="15">
        <f>Applicant_List!BV311</f>
        <v/>
      </c>
      <c r="F310" s="15">
        <f>Applicant_List!CB311</f>
        <v/>
      </c>
      <c r="G310" s="15">
        <f>Applicant_List!BW311</f>
        <v/>
      </c>
      <c r="H310" s="15">
        <f>Applicant_List!BY311</f>
        <v/>
      </c>
      <c r="I310" s="15">
        <f>COUNTIF(Applicant_List!AI311:BM311,"N")+COUNTBLANK(Applicant_List!AI311:BM311)</f>
        <v/>
      </c>
      <c r="J310" s="15">
        <f>Applicant_List!BT311</f>
        <v/>
      </c>
      <c r="K310" s="15">
        <f>Applicant_List!CA311</f>
        <v/>
      </c>
      <c r="L310" s="15">
        <f>IF(Applicant_List!BQ311="Y",IF(Applicant_List!CB311="Y","Would Advance","Would Not Advance"),"Existing Pipeline")</f>
        <v/>
      </c>
    </row>
    <row r="311">
      <c r="A311" s="15">
        <f>Applicant_List!C312</f>
        <v/>
      </c>
      <c r="B311" s="15">
        <f>Applicant_List!E312</f>
        <v/>
      </c>
      <c r="C311" s="15">
        <f>Applicant_List!L312</f>
        <v/>
      </c>
      <c r="D311" s="15">
        <f>Applicant_List!BU312</f>
        <v/>
      </c>
      <c r="E311" s="15">
        <f>Applicant_List!BV312</f>
        <v/>
      </c>
      <c r="F311" s="15">
        <f>Applicant_List!CB312</f>
        <v/>
      </c>
      <c r="G311" s="15">
        <f>Applicant_List!BW312</f>
        <v/>
      </c>
      <c r="H311" s="15">
        <f>Applicant_List!BY312</f>
        <v/>
      </c>
      <c r="I311" s="15">
        <f>COUNTIF(Applicant_List!AI312:BM312,"N")+COUNTBLANK(Applicant_List!AI312:BM312)</f>
        <v/>
      </c>
      <c r="J311" s="15">
        <f>Applicant_List!BT312</f>
        <v/>
      </c>
      <c r="K311" s="15">
        <f>Applicant_List!CA312</f>
        <v/>
      </c>
      <c r="L311" s="15">
        <f>IF(Applicant_List!BQ312="Y",IF(Applicant_List!CB312="Y","Would Advance","Would Not Advance"),"Existing Pipeline")</f>
        <v/>
      </c>
    </row>
    <row r="312">
      <c r="A312" s="15">
        <f>Applicant_List!C313</f>
        <v/>
      </c>
      <c r="B312" s="15">
        <f>Applicant_List!E313</f>
        <v/>
      </c>
      <c r="C312" s="15">
        <f>Applicant_List!L313</f>
        <v/>
      </c>
      <c r="D312" s="15">
        <f>Applicant_List!BU313</f>
        <v/>
      </c>
      <c r="E312" s="15">
        <f>Applicant_List!BV313</f>
        <v/>
      </c>
      <c r="F312" s="15">
        <f>Applicant_List!CB313</f>
        <v/>
      </c>
      <c r="G312" s="15">
        <f>Applicant_List!BW313</f>
        <v/>
      </c>
      <c r="H312" s="15">
        <f>Applicant_List!BY313</f>
        <v/>
      </c>
      <c r="I312" s="15">
        <f>COUNTIF(Applicant_List!AI313:BM313,"N")+COUNTBLANK(Applicant_List!AI313:BM313)</f>
        <v/>
      </c>
      <c r="J312" s="15">
        <f>Applicant_List!BT313</f>
        <v/>
      </c>
      <c r="K312" s="15">
        <f>Applicant_List!CA313</f>
        <v/>
      </c>
      <c r="L312" s="15">
        <f>IF(Applicant_List!BQ313="Y",IF(Applicant_List!CB313="Y","Would Advance","Would Not Advance"),"Existing Pipeline")</f>
        <v/>
      </c>
    </row>
    <row r="313">
      <c r="A313" s="15">
        <f>Applicant_List!C314</f>
        <v/>
      </c>
      <c r="B313" s="15">
        <f>Applicant_List!E314</f>
        <v/>
      </c>
      <c r="C313" s="15">
        <f>Applicant_List!L314</f>
        <v/>
      </c>
      <c r="D313" s="15">
        <f>Applicant_List!BU314</f>
        <v/>
      </c>
      <c r="E313" s="15">
        <f>Applicant_List!BV314</f>
        <v/>
      </c>
      <c r="F313" s="15">
        <f>Applicant_List!CB314</f>
        <v/>
      </c>
      <c r="G313" s="15">
        <f>Applicant_List!BW314</f>
        <v/>
      </c>
      <c r="H313" s="15">
        <f>Applicant_List!BY314</f>
        <v/>
      </c>
      <c r="I313" s="15">
        <f>COUNTIF(Applicant_List!AI314:BM314,"N")+COUNTBLANK(Applicant_List!AI314:BM314)</f>
        <v/>
      </c>
      <c r="J313" s="15">
        <f>Applicant_List!BT314</f>
        <v/>
      </c>
      <c r="K313" s="15">
        <f>Applicant_List!CA314</f>
        <v/>
      </c>
      <c r="L313" s="15">
        <f>IF(Applicant_List!BQ314="Y",IF(Applicant_List!CB314="Y","Would Advance","Would Not Advance"),"Existing Pipeline")</f>
        <v/>
      </c>
    </row>
    <row r="314">
      <c r="A314" s="15">
        <f>Applicant_List!C315</f>
        <v/>
      </c>
      <c r="B314" s="15">
        <f>Applicant_List!E315</f>
        <v/>
      </c>
      <c r="C314" s="15">
        <f>Applicant_List!L315</f>
        <v/>
      </c>
      <c r="D314" s="15">
        <f>Applicant_List!BU315</f>
        <v/>
      </c>
      <c r="E314" s="15">
        <f>Applicant_List!BV315</f>
        <v/>
      </c>
      <c r="F314" s="15">
        <f>Applicant_List!CB315</f>
        <v/>
      </c>
      <c r="G314" s="15">
        <f>Applicant_List!BW315</f>
        <v/>
      </c>
      <c r="H314" s="15">
        <f>Applicant_List!BY315</f>
        <v/>
      </c>
      <c r="I314" s="15">
        <f>COUNTIF(Applicant_List!AI315:BM315,"N")+COUNTBLANK(Applicant_List!AI315:BM315)</f>
        <v/>
      </c>
      <c r="J314" s="15">
        <f>Applicant_List!BT315</f>
        <v/>
      </c>
      <c r="K314" s="15">
        <f>Applicant_List!CA315</f>
        <v/>
      </c>
      <c r="L314" s="15">
        <f>IF(Applicant_List!BQ315="Y",IF(Applicant_List!CB315="Y","Would Advance","Would Not Advance"),"Existing Pipeline")</f>
        <v/>
      </c>
    </row>
    <row r="315">
      <c r="A315" s="15">
        <f>Applicant_List!C316</f>
        <v/>
      </c>
      <c r="B315" s="15">
        <f>Applicant_List!E316</f>
        <v/>
      </c>
      <c r="C315" s="15">
        <f>Applicant_List!L316</f>
        <v/>
      </c>
      <c r="D315" s="15">
        <f>Applicant_List!BU316</f>
        <v/>
      </c>
      <c r="E315" s="15">
        <f>Applicant_List!BV316</f>
        <v/>
      </c>
      <c r="F315" s="15">
        <f>Applicant_List!CB316</f>
        <v/>
      </c>
      <c r="G315" s="15">
        <f>Applicant_List!BW316</f>
        <v/>
      </c>
      <c r="H315" s="15">
        <f>Applicant_List!BY316</f>
        <v/>
      </c>
      <c r="I315" s="15">
        <f>COUNTIF(Applicant_List!AI316:BM316,"N")+COUNTBLANK(Applicant_List!AI316:BM316)</f>
        <v/>
      </c>
      <c r="J315" s="15">
        <f>Applicant_List!BT316</f>
        <v/>
      </c>
      <c r="K315" s="15">
        <f>Applicant_List!CA316</f>
        <v/>
      </c>
      <c r="L315" s="15">
        <f>IF(Applicant_List!BQ316="Y",IF(Applicant_List!CB316="Y","Would Advance","Would Not Advance"),"Existing Pipeline")</f>
        <v/>
      </c>
    </row>
    <row r="316">
      <c r="A316" s="15">
        <f>Applicant_List!C317</f>
        <v/>
      </c>
      <c r="B316" s="15">
        <f>Applicant_List!E317</f>
        <v/>
      </c>
      <c r="C316" s="15">
        <f>Applicant_List!L317</f>
        <v/>
      </c>
      <c r="D316" s="15">
        <f>Applicant_List!BU317</f>
        <v/>
      </c>
      <c r="E316" s="15">
        <f>Applicant_List!BV317</f>
        <v/>
      </c>
      <c r="F316" s="15">
        <f>Applicant_List!CB317</f>
        <v/>
      </c>
      <c r="G316" s="15">
        <f>Applicant_List!BW317</f>
        <v/>
      </c>
      <c r="H316" s="15">
        <f>Applicant_List!BY317</f>
        <v/>
      </c>
      <c r="I316" s="15">
        <f>COUNTIF(Applicant_List!AI317:BM317,"N")+COUNTBLANK(Applicant_List!AI317:BM317)</f>
        <v/>
      </c>
      <c r="J316" s="15">
        <f>Applicant_List!BT317</f>
        <v/>
      </c>
      <c r="K316" s="15">
        <f>Applicant_List!CA317</f>
        <v/>
      </c>
      <c r="L316" s="15">
        <f>IF(Applicant_List!BQ317="Y",IF(Applicant_List!CB317="Y","Would Advance","Would Not Advance"),"Existing Pipeline")</f>
        <v/>
      </c>
    </row>
    <row r="317">
      <c r="A317" s="15">
        <f>Applicant_List!C318</f>
        <v/>
      </c>
      <c r="B317" s="15">
        <f>Applicant_List!E318</f>
        <v/>
      </c>
      <c r="C317" s="15">
        <f>Applicant_List!L318</f>
        <v/>
      </c>
      <c r="D317" s="15">
        <f>Applicant_List!BU318</f>
        <v/>
      </c>
      <c r="E317" s="15">
        <f>Applicant_List!BV318</f>
        <v/>
      </c>
      <c r="F317" s="15">
        <f>Applicant_List!CB318</f>
        <v/>
      </c>
      <c r="G317" s="15">
        <f>Applicant_List!BW318</f>
        <v/>
      </c>
      <c r="H317" s="15">
        <f>Applicant_List!BY318</f>
        <v/>
      </c>
      <c r="I317" s="15">
        <f>COUNTIF(Applicant_List!AI318:BM318,"N")+COUNTBLANK(Applicant_List!AI318:BM318)</f>
        <v/>
      </c>
      <c r="J317" s="15">
        <f>Applicant_List!BT318</f>
        <v/>
      </c>
      <c r="K317" s="15">
        <f>Applicant_List!CA318</f>
        <v/>
      </c>
      <c r="L317" s="15">
        <f>IF(Applicant_List!BQ318="Y",IF(Applicant_List!CB318="Y","Would Advance","Would Not Advance"),"Existing Pipeline")</f>
        <v/>
      </c>
    </row>
    <row r="318">
      <c r="A318" s="15">
        <f>Applicant_List!C319</f>
        <v/>
      </c>
      <c r="B318" s="15">
        <f>Applicant_List!E319</f>
        <v/>
      </c>
      <c r="C318" s="15">
        <f>Applicant_List!L319</f>
        <v/>
      </c>
      <c r="D318" s="15">
        <f>Applicant_List!BU319</f>
        <v/>
      </c>
      <c r="E318" s="15">
        <f>Applicant_List!BV319</f>
        <v/>
      </c>
      <c r="F318" s="15">
        <f>Applicant_List!CB319</f>
        <v/>
      </c>
      <c r="G318" s="15">
        <f>Applicant_List!BW319</f>
        <v/>
      </c>
      <c r="H318" s="15">
        <f>Applicant_List!BY319</f>
        <v/>
      </c>
      <c r="I318" s="15">
        <f>COUNTIF(Applicant_List!AI319:BM319,"N")+COUNTBLANK(Applicant_List!AI319:BM319)</f>
        <v/>
      </c>
      <c r="J318" s="15">
        <f>Applicant_List!BT319</f>
        <v/>
      </c>
      <c r="K318" s="15">
        <f>Applicant_List!CA319</f>
        <v/>
      </c>
      <c r="L318" s="15">
        <f>IF(Applicant_List!BQ319="Y",IF(Applicant_List!CB319="Y","Would Advance","Would Not Advance"),"Existing Pipeline")</f>
        <v/>
      </c>
    </row>
    <row r="319">
      <c r="A319" s="15">
        <f>Applicant_List!C320</f>
        <v/>
      </c>
      <c r="B319" s="15">
        <f>Applicant_List!E320</f>
        <v/>
      </c>
      <c r="C319" s="15">
        <f>Applicant_List!L320</f>
        <v/>
      </c>
      <c r="D319" s="15">
        <f>Applicant_List!BU320</f>
        <v/>
      </c>
      <c r="E319" s="15">
        <f>Applicant_List!BV320</f>
        <v/>
      </c>
      <c r="F319" s="15">
        <f>Applicant_List!CB320</f>
        <v/>
      </c>
      <c r="G319" s="15">
        <f>Applicant_List!BW320</f>
        <v/>
      </c>
      <c r="H319" s="15">
        <f>Applicant_List!BY320</f>
        <v/>
      </c>
      <c r="I319" s="15">
        <f>COUNTIF(Applicant_List!AI320:BM320,"N")+COUNTBLANK(Applicant_List!AI320:BM320)</f>
        <v/>
      </c>
      <c r="J319" s="15">
        <f>Applicant_List!BT320</f>
        <v/>
      </c>
      <c r="K319" s="15">
        <f>Applicant_List!CA320</f>
        <v/>
      </c>
      <c r="L319" s="15">
        <f>IF(Applicant_List!BQ320="Y",IF(Applicant_List!CB320="Y","Would Advance","Would Not Advance"),"Existing Pipeline")</f>
        <v/>
      </c>
    </row>
    <row r="320">
      <c r="A320" s="15">
        <f>Applicant_List!C321</f>
        <v/>
      </c>
      <c r="B320" s="15">
        <f>Applicant_List!E321</f>
        <v/>
      </c>
      <c r="C320" s="15">
        <f>Applicant_List!L321</f>
        <v/>
      </c>
      <c r="D320" s="15">
        <f>Applicant_List!BU321</f>
        <v/>
      </c>
      <c r="E320" s="15">
        <f>Applicant_List!BV321</f>
        <v/>
      </c>
      <c r="F320" s="15">
        <f>Applicant_List!CB321</f>
        <v/>
      </c>
      <c r="G320" s="15">
        <f>Applicant_List!BW321</f>
        <v/>
      </c>
      <c r="H320" s="15">
        <f>Applicant_List!BY321</f>
        <v/>
      </c>
      <c r="I320" s="15">
        <f>COUNTIF(Applicant_List!AI321:BM321,"N")+COUNTBLANK(Applicant_List!AI321:BM321)</f>
        <v/>
      </c>
      <c r="J320" s="15">
        <f>Applicant_List!BT321</f>
        <v/>
      </c>
      <c r="K320" s="15">
        <f>Applicant_List!CA321</f>
        <v/>
      </c>
      <c r="L320" s="15">
        <f>IF(Applicant_List!BQ321="Y",IF(Applicant_List!CB321="Y","Would Advance","Would Not Advance"),"Existing Pipeline")</f>
        <v/>
      </c>
    </row>
    <row r="321">
      <c r="A321" s="15">
        <f>Applicant_List!C322</f>
        <v/>
      </c>
      <c r="B321" s="15">
        <f>Applicant_List!E322</f>
        <v/>
      </c>
      <c r="C321" s="15">
        <f>Applicant_List!L322</f>
        <v/>
      </c>
      <c r="D321" s="15">
        <f>Applicant_List!BU322</f>
        <v/>
      </c>
      <c r="E321" s="15">
        <f>Applicant_List!BV322</f>
        <v/>
      </c>
      <c r="F321" s="15">
        <f>Applicant_List!CB322</f>
        <v/>
      </c>
      <c r="G321" s="15">
        <f>Applicant_List!BW322</f>
        <v/>
      </c>
      <c r="H321" s="15">
        <f>Applicant_List!BY322</f>
        <v/>
      </c>
      <c r="I321" s="15">
        <f>COUNTIF(Applicant_List!AI322:BM322,"N")+COUNTBLANK(Applicant_List!AI322:BM322)</f>
        <v/>
      </c>
      <c r="J321" s="15">
        <f>Applicant_List!BT322</f>
        <v/>
      </c>
      <c r="K321" s="15">
        <f>Applicant_List!CA322</f>
        <v/>
      </c>
      <c r="L321" s="15">
        <f>IF(Applicant_List!BQ322="Y",IF(Applicant_List!CB322="Y","Would Advance","Would Not Advance"),"Existing Pipeline")</f>
        <v/>
      </c>
    </row>
    <row r="322">
      <c r="A322" s="15">
        <f>Applicant_List!C323</f>
        <v/>
      </c>
      <c r="B322" s="15">
        <f>Applicant_List!E323</f>
        <v/>
      </c>
      <c r="C322" s="15">
        <f>Applicant_List!L323</f>
        <v/>
      </c>
      <c r="D322" s="15">
        <f>Applicant_List!BU323</f>
        <v/>
      </c>
      <c r="E322" s="15">
        <f>Applicant_List!BV323</f>
        <v/>
      </c>
      <c r="F322" s="15">
        <f>Applicant_List!CB323</f>
        <v/>
      </c>
      <c r="G322" s="15">
        <f>Applicant_List!BW323</f>
        <v/>
      </c>
      <c r="H322" s="15">
        <f>Applicant_List!BY323</f>
        <v/>
      </c>
      <c r="I322" s="15">
        <f>COUNTIF(Applicant_List!AI323:BM323,"N")+COUNTBLANK(Applicant_List!AI323:BM323)</f>
        <v/>
      </c>
      <c r="J322" s="15">
        <f>Applicant_List!BT323</f>
        <v/>
      </c>
      <c r="K322" s="15">
        <f>Applicant_List!CA323</f>
        <v/>
      </c>
      <c r="L322" s="15">
        <f>IF(Applicant_List!BQ323="Y",IF(Applicant_List!CB323="Y","Would Advance","Would Not Advance"),"Existing Pipeline")</f>
        <v/>
      </c>
    </row>
    <row r="323">
      <c r="A323" s="15">
        <f>Applicant_List!C324</f>
        <v/>
      </c>
      <c r="B323" s="15">
        <f>Applicant_List!E324</f>
        <v/>
      </c>
      <c r="C323" s="15">
        <f>Applicant_List!L324</f>
        <v/>
      </c>
      <c r="D323" s="15">
        <f>Applicant_List!BU324</f>
        <v/>
      </c>
      <c r="E323" s="15">
        <f>Applicant_List!BV324</f>
        <v/>
      </c>
      <c r="F323" s="15">
        <f>Applicant_List!CB324</f>
        <v/>
      </c>
      <c r="G323" s="15">
        <f>Applicant_List!BW324</f>
        <v/>
      </c>
      <c r="H323" s="15">
        <f>Applicant_List!BY324</f>
        <v/>
      </c>
      <c r="I323" s="15">
        <f>COUNTIF(Applicant_List!AI324:BM324,"N")+COUNTBLANK(Applicant_List!AI324:BM324)</f>
        <v/>
      </c>
      <c r="J323" s="15">
        <f>Applicant_List!BT324</f>
        <v/>
      </c>
      <c r="K323" s="15">
        <f>Applicant_List!CA324</f>
        <v/>
      </c>
      <c r="L323" s="15">
        <f>IF(Applicant_List!BQ324="Y",IF(Applicant_List!CB324="Y","Would Advance","Would Not Advance"),"Existing Pipeline")</f>
        <v/>
      </c>
    </row>
    <row r="324">
      <c r="A324" s="15">
        <f>Applicant_List!C325</f>
        <v/>
      </c>
      <c r="B324" s="15">
        <f>Applicant_List!E325</f>
        <v/>
      </c>
      <c r="C324" s="15">
        <f>Applicant_List!L325</f>
        <v/>
      </c>
      <c r="D324" s="15">
        <f>Applicant_List!BU325</f>
        <v/>
      </c>
      <c r="E324" s="15">
        <f>Applicant_List!BV325</f>
        <v/>
      </c>
      <c r="F324" s="15">
        <f>Applicant_List!CB325</f>
        <v/>
      </c>
      <c r="G324" s="15">
        <f>Applicant_List!BW325</f>
        <v/>
      </c>
      <c r="H324" s="15">
        <f>Applicant_List!BY325</f>
        <v/>
      </c>
      <c r="I324" s="15">
        <f>COUNTIF(Applicant_List!AI325:BM325,"N")+COUNTBLANK(Applicant_List!AI325:BM325)</f>
        <v/>
      </c>
      <c r="J324" s="15">
        <f>Applicant_List!BT325</f>
        <v/>
      </c>
      <c r="K324" s="15">
        <f>Applicant_List!CA325</f>
        <v/>
      </c>
      <c r="L324" s="15">
        <f>IF(Applicant_List!BQ325="Y",IF(Applicant_List!CB325="Y","Would Advance","Would Not Advance"),"Existing Pipeline")</f>
        <v/>
      </c>
    </row>
    <row r="325">
      <c r="A325" s="15">
        <f>Applicant_List!C326</f>
        <v/>
      </c>
      <c r="B325" s="15">
        <f>Applicant_List!E326</f>
        <v/>
      </c>
      <c r="C325" s="15">
        <f>Applicant_List!L326</f>
        <v/>
      </c>
      <c r="D325" s="15">
        <f>Applicant_List!BU326</f>
        <v/>
      </c>
      <c r="E325" s="15">
        <f>Applicant_List!BV326</f>
        <v/>
      </c>
      <c r="F325" s="15">
        <f>Applicant_List!CB326</f>
        <v/>
      </c>
      <c r="G325" s="15">
        <f>Applicant_List!BW326</f>
        <v/>
      </c>
      <c r="H325" s="15">
        <f>Applicant_List!BY326</f>
        <v/>
      </c>
      <c r="I325" s="15">
        <f>COUNTIF(Applicant_List!AI326:BM326,"N")+COUNTBLANK(Applicant_List!AI326:BM326)</f>
        <v/>
      </c>
      <c r="J325" s="15">
        <f>Applicant_List!BT326</f>
        <v/>
      </c>
      <c r="K325" s="15">
        <f>Applicant_List!CA326</f>
        <v/>
      </c>
      <c r="L325" s="15">
        <f>IF(Applicant_List!BQ326="Y",IF(Applicant_List!CB326="Y","Would Advance","Would Not Advance"),"Existing Pipeline")</f>
        <v/>
      </c>
    </row>
    <row r="326">
      <c r="A326" s="15">
        <f>Applicant_List!C327</f>
        <v/>
      </c>
      <c r="B326" s="15">
        <f>Applicant_List!E327</f>
        <v/>
      </c>
      <c r="C326" s="15">
        <f>Applicant_List!L327</f>
        <v/>
      </c>
      <c r="D326" s="15">
        <f>Applicant_List!BU327</f>
        <v/>
      </c>
      <c r="E326" s="15">
        <f>Applicant_List!BV327</f>
        <v/>
      </c>
      <c r="F326" s="15">
        <f>Applicant_List!CB327</f>
        <v/>
      </c>
      <c r="G326" s="15">
        <f>Applicant_List!BW327</f>
        <v/>
      </c>
      <c r="H326" s="15">
        <f>Applicant_List!BY327</f>
        <v/>
      </c>
      <c r="I326" s="15">
        <f>COUNTIF(Applicant_List!AI327:BM327,"N")+COUNTBLANK(Applicant_List!AI327:BM327)</f>
        <v/>
      </c>
      <c r="J326" s="15">
        <f>Applicant_List!BT327</f>
        <v/>
      </c>
      <c r="K326" s="15">
        <f>Applicant_List!CA327</f>
        <v/>
      </c>
      <c r="L326" s="15">
        <f>IF(Applicant_List!BQ327="Y",IF(Applicant_List!CB327="Y","Would Advance","Would Not Advance"),"Existing Pipeline")</f>
        <v/>
      </c>
    </row>
    <row r="327">
      <c r="A327" s="15">
        <f>Applicant_List!C328</f>
        <v/>
      </c>
      <c r="B327" s="15">
        <f>Applicant_List!E328</f>
        <v/>
      </c>
      <c r="C327" s="15">
        <f>Applicant_List!L328</f>
        <v/>
      </c>
      <c r="D327" s="15">
        <f>Applicant_List!BU328</f>
        <v/>
      </c>
      <c r="E327" s="15">
        <f>Applicant_List!BV328</f>
        <v/>
      </c>
      <c r="F327" s="15">
        <f>Applicant_List!CB328</f>
        <v/>
      </c>
      <c r="G327" s="15">
        <f>Applicant_List!BW328</f>
        <v/>
      </c>
      <c r="H327" s="15">
        <f>Applicant_List!BY328</f>
        <v/>
      </c>
      <c r="I327" s="15">
        <f>COUNTIF(Applicant_List!AI328:BM328,"N")+COUNTBLANK(Applicant_List!AI328:BM328)</f>
        <v/>
      </c>
      <c r="J327" s="15">
        <f>Applicant_List!BT328</f>
        <v/>
      </c>
      <c r="K327" s="15">
        <f>Applicant_List!CA328</f>
        <v/>
      </c>
      <c r="L327" s="15">
        <f>IF(Applicant_List!BQ328="Y",IF(Applicant_List!CB328="Y","Would Advance","Would Not Advance"),"Existing Pipeline")</f>
        <v/>
      </c>
    </row>
    <row r="328">
      <c r="A328" s="15">
        <f>Applicant_List!C329</f>
        <v/>
      </c>
      <c r="B328" s="15">
        <f>Applicant_List!E329</f>
        <v/>
      </c>
      <c r="C328" s="15">
        <f>Applicant_List!L329</f>
        <v/>
      </c>
      <c r="D328" s="15">
        <f>Applicant_List!BU329</f>
        <v/>
      </c>
      <c r="E328" s="15">
        <f>Applicant_List!BV329</f>
        <v/>
      </c>
      <c r="F328" s="15">
        <f>Applicant_List!CB329</f>
        <v/>
      </c>
      <c r="G328" s="15">
        <f>Applicant_List!BW329</f>
        <v/>
      </c>
      <c r="H328" s="15">
        <f>Applicant_List!BY329</f>
        <v/>
      </c>
      <c r="I328" s="15">
        <f>COUNTIF(Applicant_List!AI329:BM329,"N")+COUNTBLANK(Applicant_List!AI329:BM329)</f>
        <v/>
      </c>
      <c r="J328" s="15">
        <f>Applicant_List!BT329</f>
        <v/>
      </c>
      <c r="K328" s="15">
        <f>Applicant_List!CA329</f>
        <v/>
      </c>
      <c r="L328" s="15">
        <f>IF(Applicant_List!BQ329="Y",IF(Applicant_List!CB329="Y","Would Advance","Would Not Advance"),"Existing Pipeline")</f>
        <v/>
      </c>
    </row>
    <row r="329">
      <c r="A329" s="15">
        <f>Applicant_List!C330</f>
        <v/>
      </c>
      <c r="B329" s="15">
        <f>Applicant_List!E330</f>
        <v/>
      </c>
      <c r="C329" s="15">
        <f>Applicant_List!L330</f>
        <v/>
      </c>
      <c r="D329" s="15">
        <f>Applicant_List!BU330</f>
        <v/>
      </c>
      <c r="E329" s="15">
        <f>Applicant_List!BV330</f>
        <v/>
      </c>
      <c r="F329" s="15">
        <f>Applicant_List!CB330</f>
        <v/>
      </c>
      <c r="G329" s="15">
        <f>Applicant_List!BW330</f>
        <v/>
      </c>
      <c r="H329" s="15">
        <f>Applicant_List!BY330</f>
        <v/>
      </c>
      <c r="I329" s="15">
        <f>COUNTIF(Applicant_List!AI330:BM330,"N")+COUNTBLANK(Applicant_List!AI330:BM330)</f>
        <v/>
      </c>
      <c r="J329" s="15">
        <f>Applicant_List!BT330</f>
        <v/>
      </c>
      <c r="K329" s="15">
        <f>Applicant_List!CA330</f>
        <v/>
      </c>
      <c r="L329" s="15">
        <f>IF(Applicant_List!BQ330="Y",IF(Applicant_List!CB330="Y","Would Advance","Would Not Advance"),"Existing Pipeline")</f>
        <v/>
      </c>
    </row>
    <row r="330">
      <c r="A330" s="15">
        <f>Applicant_List!C331</f>
        <v/>
      </c>
      <c r="B330" s="15">
        <f>Applicant_List!E331</f>
        <v/>
      </c>
      <c r="C330" s="15">
        <f>Applicant_List!L331</f>
        <v/>
      </c>
      <c r="D330" s="15">
        <f>Applicant_List!BU331</f>
        <v/>
      </c>
      <c r="E330" s="15">
        <f>Applicant_List!BV331</f>
        <v/>
      </c>
      <c r="F330" s="15">
        <f>Applicant_List!CB331</f>
        <v/>
      </c>
      <c r="G330" s="15">
        <f>Applicant_List!BW331</f>
        <v/>
      </c>
      <c r="H330" s="15">
        <f>Applicant_List!BY331</f>
        <v/>
      </c>
      <c r="I330" s="15">
        <f>COUNTIF(Applicant_List!AI331:BM331,"N")+COUNTBLANK(Applicant_List!AI331:BM331)</f>
        <v/>
      </c>
      <c r="J330" s="15">
        <f>Applicant_List!BT331</f>
        <v/>
      </c>
      <c r="K330" s="15">
        <f>Applicant_List!CA331</f>
        <v/>
      </c>
      <c r="L330" s="15">
        <f>IF(Applicant_List!BQ331="Y",IF(Applicant_List!CB331="Y","Would Advance","Would Not Advance"),"Existing Pipeline")</f>
        <v/>
      </c>
    </row>
    <row r="331">
      <c r="A331" s="15">
        <f>Applicant_List!C332</f>
        <v/>
      </c>
      <c r="B331" s="15">
        <f>Applicant_List!E332</f>
        <v/>
      </c>
      <c r="C331" s="15">
        <f>Applicant_List!L332</f>
        <v/>
      </c>
      <c r="D331" s="15">
        <f>Applicant_List!BU332</f>
        <v/>
      </c>
      <c r="E331" s="15">
        <f>Applicant_List!BV332</f>
        <v/>
      </c>
      <c r="F331" s="15">
        <f>Applicant_List!CB332</f>
        <v/>
      </c>
      <c r="G331" s="15">
        <f>Applicant_List!BW332</f>
        <v/>
      </c>
      <c r="H331" s="15">
        <f>Applicant_List!BY332</f>
        <v/>
      </c>
      <c r="I331" s="15">
        <f>COUNTIF(Applicant_List!AI332:BM332,"N")+COUNTBLANK(Applicant_List!AI332:BM332)</f>
        <v/>
      </c>
      <c r="J331" s="15">
        <f>Applicant_List!BT332</f>
        <v/>
      </c>
      <c r="K331" s="15">
        <f>Applicant_List!CA332</f>
        <v/>
      </c>
      <c r="L331" s="15">
        <f>IF(Applicant_List!BQ332="Y",IF(Applicant_List!CB332="Y","Would Advance","Would Not Advance"),"Existing Pipeline")</f>
        <v/>
      </c>
    </row>
    <row r="332">
      <c r="A332" s="15">
        <f>Applicant_List!C333</f>
        <v/>
      </c>
      <c r="B332" s="15">
        <f>Applicant_List!E333</f>
        <v/>
      </c>
      <c r="C332" s="15">
        <f>Applicant_List!L333</f>
        <v/>
      </c>
      <c r="D332" s="15">
        <f>Applicant_List!BU333</f>
        <v/>
      </c>
      <c r="E332" s="15">
        <f>Applicant_List!BV333</f>
        <v/>
      </c>
      <c r="F332" s="15">
        <f>Applicant_List!CB333</f>
        <v/>
      </c>
      <c r="G332" s="15">
        <f>Applicant_List!BW333</f>
        <v/>
      </c>
      <c r="H332" s="15">
        <f>Applicant_List!BY333</f>
        <v/>
      </c>
      <c r="I332" s="15">
        <f>COUNTIF(Applicant_List!AI333:BM333,"N")+COUNTBLANK(Applicant_List!AI333:BM333)</f>
        <v/>
      </c>
      <c r="J332" s="15">
        <f>Applicant_List!BT333</f>
        <v/>
      </c>
      <c r="K332" s="15">
        <f>Applicant_List!CA333</f>
        <v/>
      </c>
      <c r="L332" s="15">
        <f>IF(Applicant_List!BQ333="Y",IF(Applicant_List!CB333="Y","Would Advance","Would Not Advance"),"Existing Pipeline")</f>
        <v/>
      </c>
    </row>
    <row r="333">
      <c r="A333" s="15">
        <f>Applicant_List!C334</f>
        <v/>
      </c>
      <c r="B333" s="15">
        <f>Applicant_List!E334</f>
        <v/>
      </c>
      <c r="C333" s="15">
        <f>Applicant_List!L334</f>
        <v/>
      </c>
      <c r="D333" s="15">
        <f>Applicant_List!BU334</f>
        <v/>
      </c>
      <c r="E333" s="15">
        <f>Applicant_List!BV334</f>
        <v/>
      </c>
      <c r="F333" s="15">
        <f>Applicant_List!CB334</f>
        <v/>
      </c>
      <c r="G333" s="15">
        <f>Applicant_List!BW334</f>
        <v/>
      </c>
      <c r="H333" s="15">
        <f>Applicant_List!BY334</f>
        <v/>
      </c>
      <c r="I333" s="15">
        <f>COUNTIF(Applicant_List!AI334:BM334,"N")+COUNTBLANK(Applicant_List!AI334:BM334)</f>
        <v/>
      </c>
      <c r="J333" s="15">
        <f>Applicant_List!BT334</f>
        <v/>
      </c>
      <c r="K333" s="15">
        <f>Applicant_List!CA334</f>
        <v/>
      </c>
      <c r="L333" s="15">
        <f>IF(Applicant_List!BQ334="Y",IF(Applicant_List!CB334="Y","Would Advance","Would Not Advance"),"Existing Pipeline")</f>
        <v/>
      </c>
    </row>
    <row r="334">
      <c r="A334" s="15">
        <f>Applicant_List!C335</f>
        <v/>
      </c>
      <c r="B334" s="15">
        <f>Applicant_List!E335</f>
        <v/>
      </c>
      <c r="C334" s="15">
        <f>Applicant_List!L335</f>
        <v/>
      </c>
      <c r="D334" s="15">
        <f>Applicant_List!BU335</f>
        <v/>
      </c>
      <c r="E334" s="15">
        <f>Applicant_List!BV335</f>
        <v/>
      </c>
      <c r="F334" s="15">
        <f>Applicant_List!CB335</f>
        <v/>
      </c>
      <c r="G334" s="15">
        <f>Applicant_List!BW335</f>
        <v/>
      </c>
      <c r="H334" s="15">
        <f>Applicant_List!BY335</f>
        <v/>
      </c>
      <c r="I334" s="15">
        <f>COUNTIF(Applicant_List!AI335:BM335,"N")+COUNTBLANK(Applicant_List!AI335:BM335)</f>
        <v/>
      </c>
      <c r="J334" s="15">
        <f>Applicant_List!BT335</f>
        <v/>
      </c>
      <c r="K334" s="15">
        <f>Applicant_List!CA335</f>
        <v/>
      </c>
      <c r="L334" s="15">
        <f>IF(Applicant_List!BQ335="Y",IF(Applicant_List!CB335="Y","Would Advance","Would Not Advance"),"Existing Pipeline")</f>
        <v/>
      </c>
    </row>
    <row r="335">
      <c r="A335" s="15">
        <f>Applicant_List!C336</f>
        <v/>
      </c>
      <c r="B335" s="15">
        <f>Applicant_List!E336</f>
        <v/>
      </c>
      <c r="C335" s="15">
        <f>Applicant_List!L336</f>
        <v/>
      </c>
      <c r="D335" s="15">
        <f>Applicant_List!BU336</f>
        <v/>
      </c>
      <c r="E335" s="15">
        <f>Applicant_List!BV336</f>
        <v/>
      </c>
      <c r="F335" s="15">
        <f>Applicant_List!CB336</f>
        <v/>
      </c>
      <c r="G335" s="15">
        <f>Applicant_List!BW336</f>
        <v/>
      </c>
      <c r="H335" s="15">
        <f>Applicant_List!BY336</f>
        <v/>
      </c>
      <c r="I335" s="15">
        <f>COUNTIF(Applicant_List!AI336:BM336,"N")+COUNTBLANK(Applicant_List!AI336:BM336)</f>
        <v/>
      </c>
      <c r="J335" s="15">
        <f>Applicant_List!BT336</f>
        <v/>
      </c>
      <c r="K335" s="15">
        <f>Applicant_List!CA336</f>
        <v/>
      </c>
      <c r="L335" s="15">
        <f>IF(Applicant_List!BQ336="Y",IF(Applicant_List!CB336="Y","Would Advance","Would Not Advance"),"Existing Pipeline")</f>
        <v/>
      </c>
    </row>
    <row r="336">
      <c r="A336" s="15">
        <f>Applicant_List!C337</f>
        <v/>
      </c>
      <c r="B336" s="15">
        <f>Applicant_List!E337</f>
        <v/>
      </c>
      <c r="C336" s="15">
        <f>Applicant_List!L337</f>
        <v/>
      </c>
      <c r="D336" s="15">
        <f>Applicant_List!BU337</f>
        <v/>
      </c>
      <c r="E336" s="15">
        <f>Applicant_List!BV337</f>
        <v/>
      </c>
      <c r="F336" s="15">
        <f>Applicant_List!CB337</f>
        <v/>
      </c>
      <c r="G336" s="15">
        <f>Applicant_List!BW337</f>
        <v/>
      </c>
      <c r="H336" s="15">
        <f>Applicant_List!BY337</f>
        <v/>
      </c>
      <c r="I336" s="15">
        <f>COUNTIF(Applicant_List!AI337:BM337,"N")+COUNTBLANK(Applicant_List!AI337:BM337)</f>
        <v/>
      </c>
      <c r="J336" s="15">
        <f>Applicant_List!BT337</f>
        <v/>
      </c>
      <c r="K336" s="15">
        <f>Applicant_List!CA337</f>
        <v/>
      </c>
      <c r="L336" s="15">
        <f>IF(Applicant_List!BQ337="Y",IF(Applicant_List!CB337="Y","Would Advance","Would Not Advance"),"Existing Pipeline")</f>
        <v/>
      </c>
    </row>
    <row r="337">
      <c r="A337" s="15">
        <f>Applicant_List!C338</f>
        <v/>
      </c>
      <c r="B337" s="15">
        <f>Applicant_List!E338</f>
        <v/>
      </c>
      <c r="C337" s="15">
        <f>Applicant_List!L338</f>
        <v/>
      </c>
      <c r="D337" s="15">
        <f>Applicant_List!BU338</f>
        <v/>
      </c>
      <c r="E337" s="15">
        <f>Applicant_List!BV338</f>
        <v/>
      </c>
      <c r="F337" s="15">
        <f>Applicant_List!CB338</f>
        <v/>
      </c>
      <c r="G337" s="15">
        <f>Applicant_List!BW338</f>
        <v/>
      </c>
      <c r="H337" s="15">
        <f>Applicant_List!BY338</f>
        <v/>
      </c>
      <c r="I337" s="15">
        <f>COUNTIF(Applicant_List!AI338:BM338,"N")+COUNTBLANK(Applicant_List!AI338:BM338)</f>
        <v/>
      </c>
      <c r="J337" s="15">
        <f>Applicant_List!BT338</f>
        <v/>
      </c>
      <c r="K337" s="15">
        <f>Applicant_List!CA338</f>
        <v/>
      </c>
      <c r="L337" s="15">
        <f>IF(Applicant_List!BQ338="Y",IF(Applicant_List!CB338="Y","Would Advance","Would Not Advance"),"Existing Pipeline")</f>
        <v/>
      </c>
    </row>
    <row r="338">
      <c r="A338" s="15">
        <f>Applicant_List!C339</f>
        <v/>
      </c>
      <c r="B338" s="15">
        <f>Applicant_List!E339</f>
        <v/>
      </c>
      <c r="C338" s="15">
        <f>Applicant_List!L339</f>
        <v/>
      </c>
      <c r="D338" s="15">
        <f>Applicant_List!BU339</f>
        <v/>
      </c>
      <c r="E338" s="15">
        <f>Applicant_List!BV339</f>
        <v/>
      </c>
      <c r="F338" s="15">
        <f>Applicant_List!CB339</f>
        <v/>
      </c>
      <c r="G338" s="15">
        <f>Applicant_List!BW339</f>
        <v/>
      </c>
      <c r="H338" s="15">
        <f>Applicant_List!BY339</f>
        <v/>
      </c>
      <c r="I338" s="15">
        <f>COUNTIF(Applicant_List!AI339:BM339,"N")+COUNTBLANK(Applicant_List!AI339:BM339)</f>
        <v/>
      </c>
      <c r="J338" s="15">
        <f>Applicant_List!BT339</f>
        <v/>
      </c>
      <c r="K338" s="15">
        <f>Applicant_List!CA339</f>
        <v/>
      </c>
      <c r="L338" s="15">
        <f>IF(Applicant_List!BQ339="Y",IF(Applicant_List!CB339="Y","Would Advance","Would Not Advance"),"Existing Pipeline")</f>
        <v/>
      </c>
    </row>
    <row r="339">
      <c r="A339" s="15">
        <f>Applicant_List!C340</f>
        <v/>
      </c>
      <c r="B339" s="15">
        <f>Applicant_List!E340</f>
        <v/>
      </c>
      <c r="C339" s="15">
        <f>Applicant_List!L340</f>
        <v/>
      </c>
      <c r="D339" s="15">
        <f>Applicant_List!BU340</f>
        <v/>
      </c>
      <c r="E339" s="15">
        <f>Applicant_List!BV340</f>
        <v/>
      </c>
      <c r="F339" s="15">
        <f>Applicant_List!CB340</f>
        <v/>
      </c>
      <c r="G339" s="15">
        <f>Applicant_List!BW340</f>
        <v/>
      </c>
      <c r="H339" s="15">
        <f>Applicant_List!BY340</f>
        <v/>
      </c>
      <c r="I339" s="15">
        <f>COUNTIF(Applicant_List!AI340:BM340,"N")+COUNTBLANK(Applicant_List!AI340:BM340)</f>
        <v/>
      </c>
      <c r="J339" s="15">
        <f>Applicant_List!BT340</f>
        <v/>
      </c>
      <c r="K339" s="15">
        <f>Applicant_List!CA340</f>
        <v/>
      </c>
      <c r="L339" s="15">
        <f>IF(Applicant_List!BQ340="Y",IF(Applicant_List!CB340="Y","Would Advance","Would Not Advance"),"Existing Pipeline")</f>
        <v/>
      </c>
    </row>
    <row r="340">
      <c r="A340" s="15">
        <f>Applicant_List!C341</f>
        <v/>
      </c>
      <c r="B340" s="15">
        <f>Applicant_List!E341</f>
        <v/>
      </c>
      <c r="C340" s="15">
        <f>Applicant_List!L341</f>
        <v/>
      </c>
      <c r="D340" s="15">
        <f>Applicant_List!BU341</f>
        <v/>
      </c>
      <c r="E340" s="15">
        <f>Applicant_List!BV341</f>
        <v/>
      </c>
      <c r="F340" s="15">
        <f>Applicant_List!CB341</f>
        <v/>
      </c>
      <c r="G340" s="15">
        <f>Applicant_List!BW341</f>
        <v/>
      </c>
      <c r="H340" s="15">
        <f>Applicant_List!BY341</f>
        <v/>
      </c>
      <c r="I340" s="15">
        <f>COUNTIF(Applicant_List!AI341:BM341,"N")+COUNTBLANK(Applicant_List!AI341:BM341)</f>
        <v/>
      </c>
      <c r="J340" s="15">
        <f>Applicant_List!BT341</f>
        <v/>
      </c>
      <c r="K340" s="15">
        <f>Applicant_List!CA341</f>
        <v/>
      </c>
      <c r="L340" s="15">
        <f>IF(Applicant_List!BQ341="Y",IF(Applicant_List!CB341="Y","Would Advance","Would Not Advance"),"Existing Pipeline")</f>
        <v/>
      </c>
    </row>
    <row r="341">
      <c r="A341" s="15">
        <f>Applicant_List!C342</f>
        <v/>
      </c>
      <c r="B341" s="15">
        <f>Applicant_List!E342</f>
        <v/>
      </c>
      <c r="C341" s="15">
        <f>Applicant_List!L342</f>
        <v/>
      </c>
      <c r="D341" s="15">
        <f>Applicant_List!BU342</f>
        <v/>
      </c>
      <c r="E341" s="15">
        <f>Applicant_List!BV342</f>
        <v/>
      </c>
      <c r="F341" s="15">
        <f>Applicant_List!CB342</f>
        <v/>
      </c>
      <c r="G341" s="15">
        <f>Applicant_List!BW342</f>
        <v/>
      </c>
      <c r="H341" s="15">
        <f>Applicant_List!BY342</f>
        <v/>
      </c>
      <c r="I341" s="15">
        <f>COUNTIF(Applicant_List!AI342:BM342,"N")+COUNTBLANK(Applicant_List!AI342:BM342)</f>
        <v/>
      </c>
      <c r="J341" s="15">
        <f>Applicant_List!BT342</f>
        <v/>
      </c>
      <c r="K341" s="15">
        <f>Applicant_List!CA342</f>
        <v/>
      </c>
      <c r="L341" s="15">
        <f>IF(Applicant_List!BQ342="Y",IF(Applicant_List!CB342="Y","Would Advance","Would Not Advance"),"Existing Pipeline")</f>
        <v/>
      </c>
    </row>
    <row r="342">
      <c r="A342" s="15">
        <f>Applicant_List!C343</f>
        <v/>
      </c>
      <c r="B342" s="15">
        <f>Applicant_List!E343</f>
        <v/>
      </c>
      <c r="C342" s="15">
        <f>Applicant_List!L343</f>
        <v/>
      </c>
      <c r="D342" s="15">
        <f>Applicant_List!BU343</f>
        <v/>
      </c>
      <c r="E342" s="15">
        <f>Applicant_List!BV343</f>
        <v/>
      </c>
      <c r="F342" s="15">
        <f>Applicant_List!CB343</f>
        <v/>
      </c>
      <c r="G342" s="15">
        <f>Applicant_List!BW343</f>
        <v/>
      </c>
      <c r="H342" s="15">
        <f>Applicant_List!BY343</f>
        <v/>
      </c>
      <c r="I342" s="15">
        <f>COUNTIF(Applicant_List!AI343:BM343,"N")+COUNTBLANK(Applicant_List!AI343:BM343)</f>
        <v/>
      </c>
      <c r="J342" s="15">
        <f>Applicant_List!BT343</f>
        <v/>
      </c>
      <c r="K342" s="15">
        <f>Applicant_List!CA343</f>
        <v/>
      </c>
      <c r="L342" s="15">
        <f>IF(Applicant_List!BQ343="Y",IF(Applicant_List!CB343="Y","Would Advance","Would Not Advance"),"Existing Pipeline")</f>
        <v/>
      </c>
    </row>
    <row r="343">
      <c r="A343" s="15">
        <f>Applicant_List!C344</f>
        <v/>
      </c>
      <c r="B343" s="15">
        <f>Applicant_List!E344</f>
        <v/>
      </c>
      <c r="C343" s="15">
        <f>Applicant_List!L344</f>
        <v/>
      </c>
      <c r="D343" s="15">
        <f>Applicant_List!BU344</f>
        <v/>
      </c>
      <c r="E343" s="15">
        <f>Applicant_List!BV344</f>
        <v/>
      </c>
      <c r="F343" s="15">
        <f>Applicant_List!CB344</f>
        <v/>
      </c>
      <c r="G343" s="15">
        <f>Applicant_List!BW344</f>
        <v/>
      </c>
      <c r="H343" s="15">
        <f>Applicant_List!BY344</f>
        <v/>
      </c>
      <c r="I343" s="15">
        <f>COUNTIF(Applicant_List!AI344:BM344,"N")+COUNTBLANK(Applicant_List!AI344:BM344)</f>
        <v/>
      </c>
      <c r="J343" s="15">
        <f>Applicant_List!BT344</f>
        <v/>
      </c>
      <c r="K343" s="15">
        <f>Applicant_List!CA344</f>
        <v/>
      </c>
      <c r="L343" s="15">
        <f>IF(Applicant_List!BQ344="Y",IF(Applicant_List!CB344="Y","Would Advance","Would Not Advance"),"Existing Pipeline")</f>
        <v/>
      </c>
    </row>
    <row r="344">
      <c r="A344" s="15">
        <f>Applicant_List!C345</f>
        <v/>
      </c>
      <c r="B344" s="15">
        <f>Applicant_List!E345</f>
        <v/>
      </c>
      <c r="C344" s="15">
        <f>Applicant_List!L345</f>
        <v/>
      </c>
      <c r="D344" s="15">
        <f>Applicant_List!BU345</f>
        <v/>
      </c>
      <c r="E344" s="15">
        <f>Applicant_List!BV345</f>
        <v/>
      </c>
      <c r="F344" s="15">
        <f>Applicant_List!CB345</f>
        <v/>
      </c>
      <c r="G344" s="15">
        <f>Applicant_List!BW345</f>
        <v/>
      </c>
      <c r="H344" s="15">
        <f>Applicant_List!BY345</f>
        <v/>
      </c>
      <c r="I344" s="15">
        <f>COUNTIF(Applicant_List!AI345:BM345,"N")+COUNTBLANK(Applicant_List!AI345:BM345)</f>
        <v/>
      </c>
      <c r="J344" s="15">
        <f>Applicant_List!BT345</f>
        <v/>
      </c>
      <c r="K344" s="15">
        <f>Applicant_List!CA345</f>
        <v/>
      </c>
      <c r="L344" s="15">
        <f>IF(Applicant_List!BQ345="Y",IF(Applicant_List!CB345="Y","Would Advance","Would Not Advance"),"Existing Pipeline")</f>
        <v/>
      </c>
    </row>
    <row r="345">
      <c r="A345" s="15">
        <f>Applicant_List!C346</f>
        <v/>
      </c>
      <c r="B345" s="15">
        <f>Applicant_List!E346</f>
        <v/>
      </c>
      <c r="C345" s="15">
        <f>Applicant_List!L346</f>
        <v/>
      </c>
      <c r="D345" s="15">
        <f>Applicant_List!BU346</f>
        <v/>
      </c>
      <c r="E345" s="15">
        <f>Applicant_List!BV346</f>
        <v/>
      </c>
      <c r="F345" s="15">
        <f>Applicant_List!CB346</f>
        <v/>
      </c>
      <c r="G345" s="15">
        <f>Applicant_List!BW346</f>
        <v/>
      </c>
      <c r="H345" s="15">
        <f>Applicant_List!BY346</f>
        <v/>
      </c>
      <c r="I345" s="15">
        <f>COUNTIF(Applicant_List!AI346:BM346,"N")+COUNTBLANK(Applicant_List!AI346:BM346)</f>
        <v/>
      </c>
      <c r="J345" s="15">
        <f>Applicant_List!BT346</f>
        <v/>
      </c>
      <c r="K345" s="15">
        <f>Applicant_List!CA346</f>
        <v/>
      </c>
      <c r="L345" s="15">
        <f>IF(Applicant_List!BQ346="Y",IF(Applicant_List!CB346="Y","Would Advance","Would Not Advance"),"Existing Pipeline")</f>
        <v/>
      </c>
    </row>
    <row r="346">
      <c r="A346" s="15">
        <f>Applicant_List!C347</f>
        <v/>
      </c>
      <c r="B346" s="15">
        <f>Applicant_List!E347</f>
        <v/>
      </c>
      <c r="C346" s="15">
        <f>Applicant_List!L347</f>
        <v/>
      </c>
      <c r="D346" s="15">
        <f>Applicant_List!BU347</f>
        <v/>
      </c>
      <c r="E346" s="15">
        <f>Applicant_List!BV347</f>
        <v/>
      </c>
      <c r="F346" s="15">
        <f>Applicant_List!CB347</f>
        <v/>
      </c>
      <c r="G346" s="15">
        <f>Applicant_List!BW347</f>
        <v/>
      </c>
      <c r="H346" s="15">
        <f>Applicant_List!BY347</f>
        <v/>
      </c>
      <c r="I346" s="15">
        <f>COUNTIF(Applicant_List!AI347:BM347,"N")+COUNTBLANK(Applicant_List!AI347:BM347)</f>
        <v/>
      </c>
      <c r="J346" s="15">
        <f>Applicant_List!BT347</f>
        <v/>
      </c>
      <c r="K346" s="15">
        <f>Applicant_List!CA347</f>
        <v/>
      </c>
      <c r="L346" s="15">
        <f>IF(Applicant_List!BQ347="Y",IF(Applicant_List!CB347="Y","Would Advance","Would Not Advance"),"Existing Pipeline")</f>
        <v/>
      </c>
    </row>
    <row r="347">
      <c r="A347" s="15">
        <f>Applicant_List!C348</f>
        <v/>
      </c>
      <c r="B347" s="15">
        <f>Applicant_List!E348</f>
        <v/>
      </c>
      <c r="C347" s="15">
        <f>Applicant_List!L348</f>
        <v/>
      </c>
      <c r="D347" s="15">
        <f>Applicant_List!BU348</f>
        <v/>
      </c>
      <c r="E347" s="15">
        <f>Applicant_List!BV348</f>
        <v/>
      </c>
      <c r="F347" s="15">
        <f>Applicant_List!CB348</f>
        <v/>
      </c>
      <c r="G347" s="15">
        <f>Applicant_List!BW348</f>
        <v/>
      </c>
      <c r="H347" s="15">
        <f>Applicant_List!BY348</f>
        <v/>
      </c>
      <c r="I347" s="15">
        <f>COUNTIF(Applicant_List!AI348:BM348,"N")+COUNTBLANK(Applicant_List!AI348:BM348)</f>
        <v/>
      </c>
      <c r="J347" s="15">
        <f>Applicant_List!BT348</f>
        <v/>
      </c>
      <c r="K347" s="15">
        <f>Applicant_List!CA348</f>
        <v/>
      </c>
      <c r="L347" s="15">
        <f>IF(Applicant_List!BQ348="Y",IF(Applicant_List!CB348="Y","Would Advance","Would Not Advance"),"Existing Pipeline")</f>
        <v/>
      </c>
    </row>
    <row r="348">
      <c r="A348" s="15">
        <f>Applicant_List!C349</f>
        <v/>
      </c>
      <c r="B348" s="15">
        <f>Applicant_List!E349</f>
        <v/>
      </c>
      <c r="C348" s="15">
        <f>Applicant_List!L349</f>
        <v/>
      </c>
      <c r="D348" s="15">
        <f>Applicant_List!BU349</f>
        <v/>
      </c>
      <c r="E348" s="15">
        <f>Applicant_List!BV349</f>
        <v/>
      </c>
      <c r="F348" s="15">
        <f>Applicant_List!CB349</f>
        <v/>
      </c>
      <c r="G348" s="15">
        <f>Applicant_List!BW349</f>
        <v/>
      </c>
      <c r="H348" s="15">
        <f>Applicant_List!BY349</f>
        <v/>
      </c>
      <c r="I348" s="15">
        <f>COUNTIF(Applicant_List!AI349:BM349,"N")+COUNTBLANK(Applicant_List!AI349:BM349)</f>
        <v/>
      </c>
      <c r="J348" s="15">
        <f>Applicant_List!BT349</f>
        <v/>
      </c>
      <c r="K348" s="15">
        <f>Applicant_List!CA349</f>
        <v/>
      </c>
      <c r="L348" s="15">
        <f>IF(Applicant_List!BQ349="Y",IF(Applicant_List!CB349="Y","Would Advance","Would Not Advance"),"Existing Pipeline")</f>
        <v/>
      </c>
    </row>
    <row r="349">
      <c r="A349" s="15">
        <f>Applicant_List!C350</f>
        <v/>
      </c>
      <c r="B349" s="15">
        <f>Applicant_List!E350</f>
        <v/>
      </c>
      <c r="C349" s="15">
        <f>Applicant_List!L350</f>
        <v/>
      </c>
      <c r="D349" s="15">
        <f>Applicant_List!BU350</f>
        <v/>
      </c>
      <c r="E349" s="15">
        <f>Applicant_List!BV350</f>
        <v/>
      </c>
      <c r="F349" s="15">
        <f>Applicant_List!CB350</f>
        <v/>
      </c>
      <c r="G349" s="15">
        <f>Applicant_List!BW350</f>
        <v/>
      </c>
      <c r="H349" s="15">
        <f>Applicant_List!BY350</f>
        <v/>
      </c>
      <c r="I349" s="15">
        <f>COUNTIF(Applicant_List!AI350:BM350,"N")+COUNTBLANK(Applicant_List!AI350:BM350)</f>
        <v/>
      </c>
      <c r="J349" s="15">
        <f>Applicant_List!BT350</f>
        <v/>
      </c>
      <c r="K349" s="15">
        <f>Applicant_List!CA350</f>
        <v/>
      </c>
      <c r="L349" s="15">
        <f>IF(Applicant_List!BQ350="Y",IF(Applicant_List!CB350="Y","Would Advance","Would Not Advance"),"Existing Pipeline")</f>
        <v/>
      </c>
    </row>
    <row r="350">
      <c r="A350" s="15">
        <f>Applicant_List!C351</f>
        <v/>
      </c>
      <c r="B350" s="15">
        <f>Applicant_List!E351</f>
        <v/>
      </c>
      <c r="C350" s="15">
        <f>Applicant_List!L351</f>
        <v/>
      </c>
      <c r="D350" s="15">
        <f>Applicant_List!BU351</f>
        <v/>
      </c>
      <c r="E350" s="15">
        <f>Applicant_List!BV351</f>
        <v/>
      </c>
      <c r="F350" s="15">
        <f>Applicant_List!CB351</f>
        <v/>
      </c>
      <c r="G350" s="15">
        <f>Applicant_List!BW351</f>
        <v/>
      </c>
      <c r="H350" s="15">
        <f>Applicant_List!BY351</f>
        <v/>
      </c>
      <c r="I350" s="15">
        <f>COUNTIF(Applicant_List!AI351:BM351,"N")+COUNTBLANK(Applicant_List!AI351:BM351)</f>
        <v/>
      </c>
      <c r="J350" s="15">
        <f>Applicant_List!BT351</f>
        <v/>
      </c>
      <c r="K350" s="15">
        <f>Applicant_List!CA351</f>
        <v/>
      </c>
      <c r="L350" s="15">
        <f>IF(Applicant_List!BQ351="Y",IF(Applicant_List!CB351="Y","Would Advance","Would Not Advance"),"Existing Pipeline")</f>
        <v/>
      </c>
    </row>
    <row r="351">
      <c r="A351" s="15">
        <f>Applicant_List!C352</f>
        <v/>
      </c>
      <c r="B351" s="15">
        <f>Applicant_List!E352</f>
        <v/>
      </c>
      <c r="C351" s="15">
        <f>Applicant_List!L352</f>
        <v/>
      </c>
      <c r="D351" s="15">
        <f>Applicant_List!BU352</f>
        <v/>
      </c>
      <c r="E351" s="15">
        <f>Applicant_List!BV352</f>
        <v/>
      </c>
      <c r="F351" s="15">
        <f>Applicant_List!CB352</f>
        <v/>
      </c>
      <c r="G351" s="15">
        <f>Applicant_List!BW352</f>
        <v/>
      </c>
      <c r="H351" s="15">
        <f>Applicant_List!BY352</f>
        <v/>
      </c>
      <c r="I351" s="15">
        <f>COUNTIF(Applicant_List!AI352:BM352,"N")+COUNTBLANK(Applicant_List!AI352:BM352)</f>
        <v/>
      </c>
      <c r="J351" s="15">
        <f>Applicant_List!BT352</f>
        <v/>
      </c>
      <c r="K351" s="15">
        <f>Applicant_List!CA352</f>
        <v/>
      </c>
      <c r="L351" s="15">
        <f>IF(Applicant_List!BQ352="Y",IF(Applicant_List!CB352="Y","Would Advance","Would Not Advance"),"Existing Pipeline")</f>
        <v/>
      </c>
    </row>
    <row r="352">
      <c r="A352" s="15">
        <f>Applicant_List!C353</f>
        <v/>
      </c>
      <c r="B352" s="15">
        <f>Applicant_List!E353</f>
        <v/>
      </c>
      <c r="C352" s="15">
        <f>Applicant_List!L353</f>
        <v/>
      </c>
      <c r="D352" s="15">
        <f>Applicant_List!BU353</f>
        <v/>
      </c>
      <c r="E352" s="15">
        <f>Applicant_List!BV353</f>
        <v/>
      </c>
      <c r="F352" s="15">
        <f>Applicant_List!CB353</f>
        <v/>
      </c>
      <c r="G352" s="15">
        <f>Applicant_List!BW353</f>
        <v/>
      </c>
      <c r="H352" s="15">
        <f>Applicant_List!BY353</f>
        <v/>
      </c>
      <c r="I352" s="15">
        <f>COUNTIF(Applicant_List!AI353:BM353,"N")+COUNTBLANK(Applicant_List!AI353:BM353)</f>
        <v/>
      </c>
      <c r="J352" s="15">
        <f>Applicant_List!BT353</f>
        <v/>
      </c>
      <c r="K352" s="15">
        <f>Applicant_List!CA353</f>
        <v/>
      </c>
      <c r="L352" s="15">
        <f>IF(Applicant_List!BQ353="Y",IF(Applicant_List!CB353="Y","Would Advance","Would Not Advance"),"Existing Pipeline")</f>
        <v/>
      </c>
    </row>
    <row r="353">
      <c r="A353" s="15">
        <f>Applicant_List!C354</f>
        <v/>
      </c>
      <c r="B353" s="15">
        <f>Applicant_List!E354</f>
        <v/>
      </c>
      <c r="C353" s="15">
        <f>Applicant_List!L354</f>
        <v/>
      </c>
      <c r="D353" s="15">
        <f>Applicant_List!BU354</f>
        <v/>
      </c>
      <c r="E353" s="15">
        <f>Applicant_List!BV354</f>
        <v/>
      </c>
      <c r="F353" s="15">
        <f>Applicant_List!CB354</f>
        <v/>
      </c>
      <c r="G353" s="15">
        <f>Applicant_List!BW354</f>
        <v/>
      </c>
      <c r="H353" s="15">
        <f>Applicant_List!BY354</f>
        <v/>
      </c>
      <c r="I353" s="15">
        <f>COUNTIF(Applicant_List!AI354:BM354,"N")+COUNTBLANK(Applicant_List!AI354:BM354)</f>
        <v/>
      </c>
      <c r="J353" s="15">
        <f>Applicant_List!BT354</f>
        <v/>
      </c>
      <c r="K353" s="15">
        <f>Applicant_List!CA354</f>
        <v/>
      </c>
      <c r="L353" s="15">
        <f>IF(Applicant_List!BQ354="Y",IF(Applicant_List!CB354="Y","Would Advance","Would Not Advance"),"Existing Pipeline")</f>
        <v/>
      </c>
    </row>
    <row r="354">
      <c r="A354" s="15">
        <f>Applicant_List!C355</f>
        <v/>
      </c>
      <c r="B354" s="15">
        <f>Applicant_List!E355</f>
        <v/>
      </c>
      <c r="C354" s="15">
        <f>Applicant_List!L355</f>
        <v/>
      </c>
      <c r="D354" s="15">
        <f>Applicant_List!BU355</f>
        <v/>
      </c>
      <c r="E354" s="15">
        <f>Applicant_List!BV355</f>
        <v/>
      </c>
      <c r="F354" s="15">
        <f>Applicant_List!CB355</f>
        <v/>
      </c>
      <c r="G354" s="15">
        <f>Applicant_List!BW355</f>
        <v/>
      </c>
      <c r="H354" s="15">
        <f>Applicant_List!BY355</f>
        <v/>
      </c>
      <c r="I354" s="15">
        <f>COUNTIF(Applicant_List!AI355:BM355,"N")+COUNTBLANK(Applicant_List!AI355:BM355)</f>
        <v/>
      </c>
      <c r="J354" s="15">
        <f>Applicant_List!BT355</f>
        <v/>
      </c>
      <c r="K354" s="15">
        <f>Applicant_List!CA355</f>
        <v/>
      </c>
      <c r="L354" s="15">
        <f>IF(Applicant_List!BQ355="Y",IF(Applicant_List!CB355="Y","Would Advance","Would Not Advance"),"Existing Pipeline")</f>
        <v/>
      </c>
    </row>
    <row r="355">
      <c r="A355" s="15">
        <f>Applicant_List!C356</f>
        <v/>
      </c>
      <c r="B355" s="15">
        <f>Applicant_List!E356</f>
        <v/>
      </c>
      <c r="C355" s="15">
        <f>Applicant_List!L356</f>
        <v/>
      </c>
      <c r="D355" s="15">
        <f>Applicant_List!BU356</f>
        <v/>
      </c>
      <c r="E355" s="15">
        <f>Applicant_List!BV356</f>
        <v/>
      </c>
      <c r="F355" s="15">
        <f>Applicant_List!CB356</f>
        <v/>
      </c>
      <c r="G355" s="15">
        <f>Applicant_List!BW356</f>
        <v/>
      </c>
      <c r="H355" s="15">
        <f>Applicant_List!BY356</f>
        <v/>
      </c>
      <c r="I355" s="15">
        <f>COUNTIF(Applicant_List!AI356:BM356,"N")+COUNTBLANK(Applicant_List!AI356:BM356)</f>
        <v/>
      </c>
      <c r="J355" s="15">
        <f>Applicant_List!BT356</f>
        <v/>
      </c>
      <c r="K355" s="15">
        <f>Applicant_List!CA356</f>
        <v/>
      </c>
      <c r="L355" s="15">
        <f>IF(Applicant_List!BQ356="Y",IF(Applicant_List!CB356="Y","Would Advance","Would Not Advance"),"Existing Pipeline")</f>
        <v/>
      </c>
    </row>
    <row r="356">
      <c r="A356" s="15">
        <f>Applicant_List!C357</f>
        <v/>
      </c>
      <c r="B356" s="15">
        <f>Applicant_List!E357</f>
        <v/>
      </c>
      <c r="C356" s="15">
        <f>Applicant_List!L357</f>
        <v/>
      </c>
      <c r="D356" s="15">
        <f>Applicant_List!BU357</f>
        <v/>
      </c>
      <c r="E356" s="15">
        <f>Applicant_List!BV357</f>
        <v/>
      </c>
      <c r="F356" s="15">
        <f>Applicant_List!CB357</f>
        <v/>
      </c>
      <c r="G356" s="15">
        <f>Applicant_List!BW357</f>
        <v/>
      </c>
      <c r="H356" s="15">
        <f>Applicant_List!BY357</f>
        <v/>
      </c>
      <c r="I356" s="15">
        <f>COUNTIF(Applicant_List!AI357:BM357,"N")+COUNTBLANK(Applicant_List!AI357:BM357)</f>
        <v/>
      </c>
      <c r="J356" s="15">
        <f>Applicant_List!BT357</f>
        <v/>
      </c>
      <c r="K356" s="15">
        <f>Applicant_List!CA357</f>
        <v/>
      </c>
      <c r="L356" s="15">
        <f>IF(Applicant_List!BQ357="Y",IF(Applicant_List!CB357="Y","Would Advance","Would Not Advance"),"Existing Pipeline")</f>
        <v/>
      </c>
    </row>
    <row r="357">
      <c r="A357" s="15">
        <f>Applicant_List!C358</f>
        <v/>
      </c>
      <c r="B357" s="15">
        <f>Applicant_List!E358</f>
        <v/>
      </c>
      <c r="C357" s="15">
        <f>Applicant_List!L358</f>
        <v/>
      </c>
      <c r="D357" s="15">
        <f>Applicant_List!BU358</f>
        <v/>
      </c>
      <c r="E357" s="15">
        <f>Applicant_List!BV358</f>
        <v/>
      </c>
      <c r="F357" s="15">
        <f>Applicant_List!CB358</f>
        <v/>
      </c>
      <c r="G357" s="15">
        <f>Applicant_List!BW358</f>
        <v/>
      </c>
      <c r="H357" s="15">
        <f>Applicant_List!BY358</f>
        <v/>
      </c>
      <c r="I357" s="15">
        <f>COUNTIF(Applicant_List!AI358:BM358,"N")+COUNTBLANK(Applicant_List!AI358:BM358)</f>
        <v/>
      </c>
      <c r="J357" s="15">
        <f>Applicant_List!BT358</f>
        <v/>
      </c>
      <c r="K357" s="15">
        <f>Applicant_List!CA358</f>
        <v/>
      </c>
      <c r="L357" s="15">
        <f>IF(Applicant_List!BQ358="Y",IF(Applicant_List!CB358="Y","Would Advance","Would Not Advance"),"Existing Pipeline")</f>
        <v/>
      </c>
    </row>
    <row r="358">
      <c r="A358" s="15">
        <f>Applicant_List!C359</f>
        <v/>
      </c>
      <c r="B358" s="15">
        <f>Applicant_List!E359</f>
        <v/>
      </c>
      <c r="C358" s="15">
        <f>Applicant_List!L359</f>
        <v/>
      </c>
      <c r="D358" s="15">
        <f>Applicant_List!BU359</f>
        <v/>
      </c>
      <c r="E358" s="15">
        <f>Applicant_List!BV359</f>
        <v/>
      </c>
      <c r="F358" s="15">
        <f>Applicant_List!CB359</f>
        <v/>
      </c>
      <c r="G358" s="15">
        <f>Applicant_List!BW359</f>
        <v/>
      </c>
      <c r="H358" s="15">
        <f>Applicant_List!BY359</f>
        <v/>
      </c>
      <c r="I358" s="15">
        <f>COUNTIF(Applicant_List!AI359:BM359,"N")+COUNTBLANK(Applicant_List!AI359:BM359)</f>
        <v/>
      </c>
      <c r="J358" s="15">
        <f>Applicant_List!BT359</f>
        <v/>
      </c>
      <c r="K358" s="15">
        <f>Applicant_List!CA359</f>
        <v/>
      </c>
      <c r="L358" s="15">
        <f>IF(Applicant_List!BQ359="Y",IF(Applicant_List!CB359="Y","Would Advance","Would Not Advance"),"Existing Pipeline")</f>
        <v/>
      </c>
    </row>
    <row r="359">
      <c r="A359" s="15">
        <f>Applicant_List!C360</f>
        <v/>
      </c>
      <c r="B359" s="15">
        <f>Applicant_List!E360</f>
        <v/>
      </c>
      <c r="C359" s="15">
        <f>Applicant_List!L360</f>
        <v/>
      </c>
      <c r="D359" s="15">
        <f>Applicant_List!BU360</f>
        <v/>
      </c>
      <c r="E359" s="15">
        <f>Applicant_List!BV360</f>
        <v/>
      </c>
      <c r="F359" s="15">
        <f>Applicant_List!CB360</f>
        <v/>
      </c>
      <c r="G359" s="15">
        <f>Applicant_List!BW360</f>
        <v/>
      </c>
      <c r="H359" s="15">
        <f>Applicant_List!BY360</f>
        <v/>
      </c>
      <c r="I359" s="15">
        <f>COUNTIF(Applicant_List!AI360:BM360,"N")+COUNTBLANK(Applicant_List!AI360:BM360)</f>
        <v/>
      </c>
      <c r="J359" s="15">
        <f>Applicant_List!BT360</f>
        <v/>
      </c>
      <c r="K359" s="15">
        <f>Applicant_List!CA360</f>
        <v/>
      </c>
      <c r="L359" s="15">
        <f>IF(Applicant_List!BQ360="Y",IF(Applicant_List!CB360="Y","Would Advance","Would Not Advance"),"Existing Pipeline")</f>
        <v/>
      </c>
    </row>
    <row r="360">
      <c r="A360" s="15">
        <f>Applicant_List!C361</f>
        <v/>
      </c>
      <c r="B360" s="15">
        <f>Applicant_List!E361</f>
        <v/>
      </c>
      <c r="C360" s="15">
        <f>Applicant_List!L361</f>
        <v/>
      </c>
      <c r="D360" s="15">
        <f>Applicant_List!BU361</f>
        <v/>
      </c>
      <c r="E360" s="15">
        <f>Applicant_List!BV361</f>
        <v/>
      </c>
      <c r="F360" s="15">
        <f>Applicant_List!CB361</f>
        <v/>
      </c>
      <c r="G360" s="15">
        <f>Applicant_List!BW361</f>
        <v/>
      </c>
      <c r="H360" s="15">
        <f>Applicant_List!BY361</f>
        <v/>
      </c>
      <c r="I360" s="15">
        <f>COUNTIF(Applicant_List!AI361:BM361,"N")+COUNTBLANK(Applicant_List!AI361:BM361)</f>
        <v/>
      </c>
      <c r="J360" s="15">
        <f>Applicant_List!BT361</f>
        <v/>
      </c>
      <c r="K360" s="15">
        <f>Applicant_List!CA361</f>
        <v/>
      </c>
      <c r="L360" s="15">
        <f>IF(Applicant_List!BQ361="Y",IF(Applicant_List!CB361="Y","Would Advance","Would Not Advance"),"Existing Pipeline")</f>
        <v/>
      </c>
    </row>
    <row r="361">
      <c r="A361" s="15">
        <f>Applicant_List!C362</f>
        <v/>
      </c>
      <c r="B361" s="15">
        <f>Applicant_List!E362</f>
        <v/>
      </c>
      <c r="C361" s="15">
        <f>Applicant_List!L362</f>
        <v/>
      </c>
      <c r="D361" s="15">
        <f>Applicant_List!BU362</f>
        <v/>
      </c>
      <c r="E361" s="15">
        <f>Applicant_List!BV362</f>
        <v/>
      </c>
      <c r="F361" s="15">
        <f>Applicant_List!CB362</f>
        <v/>
      </c>
      <c r="G361" s="15">
        <f>Applicant_List!BW362</f>
        <v/>
      </c>
      <c r="H361" s="15">
        <f>Applicant_List!BY362</f>
        <v/>
      </c>
      <c r="I361" s="15">
        <f>COUNTIF(Applicant_List!AI362:BM362,"N")+COUNTBLANK(Applicant_List!AI362:BM362)</f>
        <v/>
      </c>
      <c r="J361" s="15">
        <f>Applicant_List!BT362</f>
        <v/>
      </c>
      <c r="K361" s="15">
        <f>Applicant_List!CA362</f>
        <v/>
      </c>
      <c r="L361" s="15">
        <f>IF(Applicant_List!BQ362="Y",IF(Applicant_List!CB362="Y","Would Advance","Would Not Advance"),"Existing Pipeline")</f>
        <v/>
      </c>
    </row>
    <row r="362">
      <c r="A362" s="15">
        <f>Applicant_List!C363</f>
        <v/>
      </c>
      <c r="B362" s="15">
        <f>Applicant_List!E363</f>
        <v/>
      </c>
      <c r="C362" s="15">
        <f>Applicant_List!L363</f>
        <v/>
      </c>
      <c r="D362" s="15">
        <f>Applicant_List!BU363</f>
        <v/>
      </c>
      <c r="E362" s="15">
        <f>Applicant_List!BV363</f>
        <v/>
      </c>
      <c r="F362" s="15">
        <f>Applicant_List!CB363</f>
        <v/>
      </c>
      <c r="G362" s="15">
        <f>Applicant_List!BW363</f>
        <v/>
      </c>
      <c r="H362" s="15">
        <f>Applicant_List!BY363</f>
        <v/>
      </c>
      <c r="I362" s="15">
        <f>COUNTIF(Applicant_List!AI363:BM363,"N")+COUNTBLANK(Applicant_List!AI363:BM363)</f>
        <v/>
      </c>
      <c r="J362" s="15">
        <f>Applicant_List!BT363</f>
        <v/>
      </c>
      <c r="K362" s="15">
        <f>Applicant_List!CA363</f>
        <v/>
      </c>
      <c r="L362" s="15">
        <f>IF(Applicant_List!BQ363="Y",IF(Applicant_List!CB363="Y","Would Advance","Would Not Advance"),"Existing Pipeline")</f>
        <v/>
      </c>
    </row>
    <row r="363">
      <c r="A363" s="15">
        <f>Applicant_List!C364</f>
        <v/>
      </c>
      <c r="B363" s="15">
        <f>Applicant_List!E364</f>
        <v/>
      </c>
      <c r="C363" s="15">
        <f>Applicant_List!L364</f>
        <v/>
      </c>
      <c r="D363" s="15">
        <f>Applicant_List!BU364</f>
        <v/>
      </c>
      <c r="E363" s="15">
        <f>Applicant_List!BV364</f>
        <v/>
      </c>
      <c r="F363" s="15">
        <f>Applicant_List!CB364</f>
        <v/>
      </c>
      <c r="G363" s="15">
        <f>Applicant_List!BW364</f>
        <v/>
      </c>
      <c r="H363" s="15">
        <f>Applicant_List!BY364</f>
        <v/>
      </c>
      <c r="I363" s="15">
        <f>COUNTIF(Applicant_List!AI364:BM364,"N")+COUNTBLANK(Applicant_List!AI364:BM364)</f>
        <v/>
      </c>
      <c r="J363" s="15">
        <f>Applicant_List!BT364</f>
        <v/>
      </c>
      <c r="K363" s="15">
        <f>Applicant_List!CA364</f>
        <v/>
      </c>
      <c r="L363" s="15">
        <f>IF(Applicant_List!BQ364="Y",IF(Applicant_List!CB364="Y","Would Advance","Would Not Advance"),"Existing Pipeline")</f>
        <v/>
      </c>
    </row>
    <row r="364">
      <c r="A364" s="15">
        <f>Applicant_List!C365</f>
        <v/>
      </c>
      <c r="B364" s="15">
        <f>Applicant_List!E365</f>
        <v/>
      </c>
      <c r="C364" s="15">
        <f>Applicant_List!L365</f>
        <v/>
      </c>
      <c r="D364" s="15">
        <f>Applicant_List!BU365</f>
        <v/>
      </c>
      <c r="E364" s="15">
        <f>Applicant_List!BV365</f>
        <v/>
      </c>
      <c r="F364" s="15">
        <f>Applicant_List!CB365</f>
        <v/>
      </c>
      <c r="G364" s="15">
        <f>Applicant_List!BW365</f>
        <v/>
      </c>
      <c r="H364" s="15">
        <f>Applicant_List!BY365</f>
        <v/>
      </c>
      <c r="I364" s="15">
        <f>COUNTIF(Applicant_List!AI365:BM365,"N")+COUNTBLANK(Applicant_List!AI365:BM365)</f>
        <v/>
      </c>
      <c r="J364" s="15">
        <f>Applicant_List!BT365</f>
        <v/>
      </c>
      <c r="K364" s="15">
        <f>Applicant_List!CA365</f>
        <v/>
      </c>
      <c r="L364" s="15">
        <f>IF(Applicant_List!BQ365="Y",IF(Applicant_List!CB365="Y","Would Advance","Would Not Advance"),"Existing Pipeline")</f>
        <v/>
      </c>
    </row>
    <row r="365">
      <c r="A365" s="15">
        <f>Applicant_List!C366</f>
        <v/>
      </c>
      <c r="B365" s="15">
        <f>Applicant_List!E366</f>
        <v/>
      </c>
      <c r="C365" s="15">
        <f>Applicant_List!L366</f>
        <v/>
      </c>
      <c r="D365" s="15">
        <f>Applicant_List!BU366</f>
        <v/>
      </c>
      <c r="E365" s="15">
        <f>Applicant_List!BV366</f>
        <v/>
      </c>
      <c r="F365" s="15">
        <f>Applicant_List!CB366</f>
        <v/>
      </c>
      <c r="G365" s="15">
        <f>Applicant_List!BW366</f>
        <v/>
      </c>
      <c r="H365" s="15">
        <f>Applicant_List!BY366</f>
        <v/>
      </c>
      <c r="I365" s="15">
        <f>COUNTIF(Applicant_List!AI366:BM366,"N")+COUNTBLANK(Applicant_List!AI366:BM366)</f>
        <v/>
      </c>
      <c r="J365" s="15">
        <f>Applicant_List!BT366</f>
        <v/>
      </c>
      <c r="K365" s="15">
        <f>Applicant_List!CA366</f>
        <v/>
      </c>
      <c r="L365" s="15">
        <f>IF(Applicant_List!BQ366="Y",IF(Applicant_List!CB366="Y","Would Advance","Would Not Advance"),"Existing Pipeline")</f>
        <v/>
      </c>
    </row>
    <row r="366">
      <c r="A366" s="15">
        <f>Applicant_List!C367</f>
        <v/>
      </c>
      <c r="B366" s="15">
        <f>Applicant_List!E367</f>
        <v/>
      </c>
      <c r="C366" s="15">
        <f>Applicant_List!L367</f>
        <v/>
      </c>
      <c r="D366" s="15">
        <f>Applicant_List!BU367</f>
        <v/>
      </c>
      <c r="E366" s="15">
        <f>Applicant_List!BV367</f>
        <v/>
      </c>
      <c r="F366" s="15">
        <f>Applicant_List!CB367</f>
        <v/>
      </c>
      <c r="G366" s="15">
        <f>Applicant_List!BW367</f>
        <v/>
      </c>
      <c r="H366" s="15">
        <f>Applicant_List!BY367</f>
        <v/>
      </c>
      <c r="I366" s="15">
        <f>COUNTIF(Applicant_List!AI367:BM367,"N")+COUNTBLANK(Applicant_List!AI367:BM367)</f>
        <v/>
      </c>
      <c r="J366" s="15">
        <f>Applicant_List!BT367</f>
        <v/>
      </c>
      <c r="K366" s="15">
        <f>Applicant_List!CA367</f>
        <v/>
      </c>
      <c r="L366" s="15">
        <f>IF(Applicant_List!BQ367="Y",IF(Applicant_List!CB367="Y","Would Advance","Would Not Advance"),"Existing Pipeline")</f>
        <v/>
      </c>
    </row>
    <row r="367">
      <c r="A367" s="15">
        <f>Applicant_List!C368</f>
        <v/>
      </c>
      <c r="B367" s="15">
        <f>Applicant_List!E368</f>
        <v/>
      </c>
      <c r="C367" s="15">
        <f>Applicant_List!L368</f>
        <v/>
      </c>
      <c r="D367" s="15">
        <f>Applicant_List!BU368</f>
        <v/>
      </c>
      <c r="E367" s="15">
        <f>Applicant_List!BV368</f>
        <v/>
      </c>
      <c r="F367" s="15">
        <f>Applicant_List!CB368</f>
        <v/>
      </c>
      <c r="G367" s="15">
        <f>Applicant_List!BW368</f>
        <v/>
      </c>
      <c r="H367" s="15">
        <f>Applicant_List!BY368</f>
        <v/>
      </c>
      <c r="I367" s="15">
        <f>COUNTIF(Applicant_List!AI368:BM368,"N")+COUNTBLANK(Applicant_List!AI368:BM368)</f>
        <v/>
      </c>
      <c r="J367" s="15">
        <f>Applicant_List!BT368</f>
        <v/>
      </c>
      <c r="K367" s="15">
        <f>Applicant_List!CA368</f>
        <v/>
      </c>
      <c r="L367" s="15">
        <f>IF(Applicant_List!BQ368="Y",IF(Applicant_List!CB368="Y","Would Advance","Would Not Advance"),"Existing Pipeline")</f>
        <v/>
      </c>
    </row>
    <row r="368">
      <c r="A368" s="15">
        <f>Applicant_List!C369</f>
        <v/>
      </c>
      <c r="B368" s="15">
        <f>Applicant_List!E369</f>
        <v/>
      </c>
      <c r="C368" s="15">
        <f>Applicant_List!L369</f>
        <v/>
      </c>
      <c r="D368" s="15">
        <f>Applicant_List!BU369</f>
        <v/>
      </c>
      <c r="E368" s="15">
        <f>Applicant_List!BV369</f>
        <v/>
      </c>
      <c r="F368" s="15">
        <f>Applicant_List!CB369</f>
        <v/>
      </c>
      <c r="G368" s="15">
        <f>Applicant_List!BW369</f>
        <v/>
      </c>
      <c r="H368" s="15">
        <f>Applicant_List!BY369</f>
        <v/>
      </c>
      <c r="I368" s="15">
        <f>COUNTIF(Applicant_List!AI369:BM369,"N")+COUNTBLANK(Applicant_List!AI369:BM369)</f>
        <v/>
      </c>
      <c r="J368" s="15">
        <f>Applicant_List!BT369</f>
        <v/>
      </c>
      <c r="K368" s="15">
        <f>Applicant_List!CA369</f>
        <v/>
      </c>
      <c r="L368" s="15">
        <f>IF(Applicant_List!BQ369="Y",IF(Applicant_List!CB369="Y","Would Advance","Would Not Advance"),"Existing Pipeline")</f>
        <v/>
      </c>
    </row>
    <row r="369">
      <c r="A369" s="15">
        <f>Applicant_List!C370</f>
        <v/>
      </c>
      <c r="B369" s="15">
        <f>Applicant_List!E370</f>
        <v/>
      </c>
      <c r="C369" s="15">
        <f>Applicant_List!L370</f>
        <v/>
      </c>
      <c r="D369" s="15">
        <f>Applicant_List!BU370</f>
        <v/>
      </c>
      <c r="E369" s="15">
        <f>Applicant_List!BV370</f>
        <v/>
      </c>
      <c r="F369" s="15">
        <f>Applicant_List!CB370</f>
        <v/>
      </c>
      <c r="G369" s="15">
        <f>Applicant_List!BW370</f>
        <v/>
      </c>
      <c r="H369" s="15">
        <f>Applicant_List!BY370</f>
        <v/>
      </c>
      <c r="I369" s="15">
        <f>COUNTIF(Applicant_List!AI370:BM370,"N")+COUNTBLANK(Applicant_List!AI370:BM370)</f>
        <v/>
      </c>
      <c r="J369" s="15">
        <f>Applicant_List!BT370</f>
        <v/>
      </c>
      <c r="K369" s="15">
        <f>Applicant_List!CA370</f>
        <v/>
      </c>
      <c r="L369" s="15">
        <f>IF(Applicant_List!BQ370="Y",IF(Applicant_List!CB370="Y","Would Advance","Would Not Advance"),"Existing Pipeline")</f>
        <v/>
      </c>
    </row>
    <row r="370">
      <c r="A370" s="15">
        <f>Applicant_List!C371</f>
        <v/>
      </c>
      <c r="B370" s="15">
        <f>Applicant_List!E371</f>
        <v/>
      </c>
      <c r="C370" s="15">
        <f>Applicant_List!L371</f>
        <v/>
      </c>
      <c r="D370" s="15">
        <f>Applicant_List!BU371</f>
        <v/>
      </c>
      <c r="E370" s="15">
        <f>Applicant_List!BV371</f>
        <v/>
      </c>
      <c r="F370" s="15">
        <f>Applicant_List!CB371</f>
        <v/>
      </c>
      <c r="G370" s="15">
        <f>Applicant_List!BW371</f>
        <v/>
      </c>
      <c r="H370" s="15">
        <f>Applicant_List!BY371</f>
        <v/>
      </c>
      <c r="I370" s="15">
        <f>COUNTIF(Applicant_List!AI371:BM371,"N")+COUNTBLANK(Applicant_List!AI371:BM371)</f>
        <v/>
      </c>
      <c r="J370" s="15">
        <f>Applicant_List!BT371</f>
        <v/>
      </c>
      <c r="K370" s="15">
        <f>Applicant_List!CA371</f>
        <v/>
      </c>
      <c r="L370" s="15">
        <f>IF(Applicant_List!BQ371="Y",IF(Applicant_List!CB371="Y","Would Advance","Would Not Advance"),"Existing Pipeline")</f>
        <v/>
      </c>
    </row>
    <row r="371">
      <c r="A371" s="15">
        <f>Applicant_List!C372</f>
        <v/>
      </c>
      <c r="B371" s="15">
        <f>Applicant_List!E372</f>
        <v/>
      </c>
      <c r="C371" s="15">
        <f>Applicant_List!L372</f>
        <v/>
      </c>
      <c r="D371" s="15">
        <f>Applicant_List!BU372</f>
        <v/>
      </c>
      <c r="E371" s="15">
        <f>Applicant_List!BV372</f>
        <v/>
      </c>
      <c r="F371" s="15">
        <f>Applicant_List!CB372</f>
        <v/>
      </c>
      <c r="G371" s="15">
        <f>Applicant_List!BW372</f>
        <v/>
      </c>
      <c r="H371" s="15">
        <f>Applicant_List!BY372</f>
        <v/>
      </c>
      <c r="I371" s="15">
        <f>COUNTIF(Applicant_List!AI372:BM372,"N")+COUNTBLANK(Applicant_List!AI372:BM372)</f>
        <v/>
      </c>
      <c r="J371" s="15">
        <f>Applicant_List!BT372</f>
        <v/>
      </c>
      <c r="K371" s="15">
        <f>Applicant_List!CA372</f>
        <v/>
      </c>
      <c r="L371" s="15">
        <f>IF(Applicant_List!BQ372="Y",IF(Applicant_List!CB372="Y","Would Advance","Would Not Advance"),"Existing Pipeline")</f>
        <v/>
      </c>
    </row>
    <row r="372">
      <c r="A372" s="15">
        <f>Applicant_List!C373</f>
        <v/>
      </c>
      <c r="B372" s="15">
        <f>Applicant_List!E373</f>
        <v/>
      </c>
      <c r="C372" s="15">
        <f>Applicant_List!L373</f>
        <v/>
      </c>
      <c r="D372" s="15">
        <f>Applicant_List!BU373</f>
        <v/>
      </c>
      <c r="E372" s="15">
        <f>Applicant_List!BV373</f>
        <v/>
      </c>
      <c r="F372" s="15">
        <f>Applicant_List!CB373</f>
        <v/>
      </c>
      <c r="G372" s="15">
        <f>Applicant_List!BW373</f>
        <v/>
      </c>
      <c r="H372" s="15">
        <f>Applicant_List!BY373</f>
        <v/>
      </c>
      <c r="I372" s="15">
        <f>COUNTIF(Applicant_List!AI373:BM373,"N")+COUNTBLANK(Applicant_List!AI373:BM373)</f>
        <v/>
      </c>
      <c r="J372" s="15">
        <f>Applicant_List!BT373</f>
        <v/>
      </c>
      <c r="K372" s="15">
        <f>Applicant_List!CA373</f>
        <v/>
      </c>
      <c r="L372" s="15">
        <f>IF(Applicant_List!BQ373="Y",IF(Applicant_List!CB373="Y","Would Advance","Would Not Advance"),"Existing Pipeline")</f>
        <v/>
      </c>
    </row>
    <row r="373">
      <c r="A373" s="15">
        <f>Applicant_List!C374</f>
        <v/>
      </c>
      <c r="B373" s="15">
        <f>Applicant_List!E374</f>
        <v/>
      </c>
      <c r="C373" s="15">
        <f>Applicant_List!L374</f>
        <v/>
      </c>
      <c r="D373" s="15">
        <f>Applicant_List!BU374</f>
        <v/>
      </c>
      <c r="E373" s="15">
        <f>Applicant_List!BV374</f>
        <v/>
      </c>
      <c r="F373" s="15">
        <f>Applicant_List!CB374</f>
        <v/>
      </c>
      <c r="G373" s="15">
        <f>Applicant_List!BW374</f>
        <v/>
      </c>
      <c r="H373" s="15">
        <f>Applicant_List!BY374</f>
        <v/>
      </c>
      <c r="I373" s="15">
        <f>COUNTIF(Applicant_List!AI374:BM374,"N")+COUNTBLANK(Applicant_List!AI374:BM374)</f>
        <v/>
      </c>
      <c r="J373" s="15">
        <f>Applicant_List!BT374</f>
        <v/>
      </c>
      <c r="K373" s="15">
        <f>Applicant_List!CA374</f>
        <v/>
      </c>
      <c r="L373" s="15">
        <f>IF(Applicant_List!BQ374="Y",IF(Applicant_List!CB374="Y","Would Advance","Would Not Advance"),"Existing Pipeline")</f>
        <v/>
      </c>
    </row>
    <row r="374">
      <c r="A374" s="15">
        <f>Applicant_List!C375</f>
        <v/>
      </c>
      <c r="B374" s="15">
        <f>Applicant_List!E375</f>
        <v/>
      </c>
      <c r="C374" s="15">
        <f>Applicant_List!L375</f>
        <v/>
      </c>
      <c r="D374" s="15">
        <f>Applicant_List!BU375</f>
        <v/>
      </c>
      <c r="E374" s="15">
        <f>Applicant_List!BV375</f>
        <v/>
      </c>
      <c r="F374" s="15">
        <f>Applicant_List!CB375</f>
        <v/>
      </c>
      <c r="G374" s="15">
        <f>Applicant_List!BW375</f>
        <v/>
      </c>
      <c r="H374" s="15">
        <f>Applicant_List!BY375</f>
        <v/>
      </c>
      <c r="I374" s="15">
        <f>COUNTIF(Applicant_List!AI375:BM375,"N")+COUNTBLANK(Applicant_List!AI375:BM375)</f>
        <v/>
      </c>
      <c r="J374" s="15">
        <f>Applicant_List!BT375</f>
        <v/>
      </c>
      <c r="K374" s="15">
        <f>Applicant_List!CA375</f>
        <v/>
      </c>
      <c r="L374" s="15">
        <f>IF(Applicant_List!BQ375="Y",IF(Applicant_List!CB375="Y","Would Advance","Would Not Advance"),"Existing Pipeline")</f>
        <v/>
      </c>
    </row>
    <row r="375">
      <c r="A375" s="15">
        <f>Applicant_List!C376</f>
        <v/>
      </c>
      <c r="B375" s="15">
        <f>Applicant_List!E376</f>
        <v/>
      </c>
      <c r="C375" s="15">
        <f>Applicant_List!L376</f>
        <v/>
      </c>
      <c r="D375" s="15">
        <f>Applicant_List!BU376</f>
        <v/>
      </c>
      <c r="E375" s="15">
        <f>Applicant_List!BV376</f>
        <v/>
      </c>
      <c r="F375" s="15">
        <f>Applicant_List!CB376</f>
        <v/>
      </c>
      <c r="G375" s="15">
        <f>Applicant_List!BW376</f>
        <v/>
      </c>
      <c r="H375" s="15">
        <f>Applicant_List!BY376</f>
        <v/>
      </c>
      <c r="I375" s="15">
        <f>COUNTIF(Applicant_List!AI376:BM376,"N")+COUNTBLANK(Applicant_List!AI376:BM376)</f>
        <v/>
      </c>
      <c r="J375" s="15">
        <f>Applicant_List!BT376</f>
        <v/>
      </c>
      <c r="K375" s="15">
        <f>Applicant_List!CA376</f>
        <v/>
      </c>
      <c r="L375" s="15">
        <f>IF(Applicant_List!BQ376="Y",IF(Applicant_List!CB376="Y","Would Advance","Would Not Advance"),"Existing Pipeline")</f>
        <v/>
      </c>
    </row>
    <row r="376">
      <c r="A376" s="15">
        <f>Applicant_List!C377</f>
        <v/>
      </c>
      <c r="B376" s="15">
        <f>Applicant_List!E377</f>
        <v/>
      </c>
      <c r="C376" s="15">
        <f>Applicant_List!L377</f>
        <v/>
      </c>
      <c r="D376" s="15">
        <f>Applicant_List!BU377</f>
        <v/>
      </c>
      <c r="E376" s="15">
        <f>Applicant_List!BV377</f>
        <v/>
      </c>
      <c r="F376" s="15">
        <f>Applicant_List!CB377</f>
        <v/>
      </c>
      <c r="G376" s="15">
        <f>Applicant_List!BW377</f>
        <v/>
      </c>
      <c r="H376" s="15">
        <f>Applicant_List!BY377</f>
        <v/>
      </c>
      <c r="I376" s="15">
        <f>COUNTIF(Applicant_List!AI377:BM377,"N")+COUNTBLANK(Applicant_List!AI377:BM377)</f>
        <v/>
      </c>
      <c r="J376" s="15">
        <f>Applicant_List!BT377</f>
        <v/>
      </c>
      <c r="K376" s="15">
        <f>Applicant_List!CA377</f>
        <v/>
      </c>
      <c r="L376" s="15">
        <f>IF(Applicant_List!BQ377="Y",IF(Applicant_List!CB377="Y","Would Advance","Would Not Advance"),"Existing Pipeline")</f>
        <v/>
      </c>
    </row>
    <row r="377">
      <c r="A377" s="15">
        <f>Applicant_List!C378</f>
        <v/>
      </c>
      <c r="B377" s="15">
        <f>Applicant_List!E378</f>
        <v/>
      </c>
      <c r="C377" s="15">
        <f>Applicant_List!L378</f>
        <v/>
      </c>
      <c r="D377" s="15">
        <f>Applicant_List!BU378</f>
        <v/>
      </c>
      <c r="E377" s="15">
        <f>Applicant_List!BV378</f>
        <v/>
      </c>
      <c r="F377" s="15">
        <f>Applicant_List!CB378</f>
        <v/>
      </c>
      <c r="G377" s="15">
        <f>Applicant_List!BW378</f>
        <v/>
      </c>
      <c r="H377" s="15">
        <f>Applicant_List!BY378</f>
        <v/>
      </c>
      <c r="I377" s="15">
        <f>COUNTIF(Applicant_List!AI378:BM378,"N")+COUNTBLANK(Applicant_List!AI378:BM378)</f>
        <v/>
      </c>
      <c r="J377" s="15">
        <f>Applicant_List!BT378</f>
        <v/>
      </c>
      <c r="K377" s="15">
        <f>Applicant_List!CA378</f>
        <v/>
      </c>
      <c r="L377" s="15">
        <f>IF(Applicant_List!BQ378="Y",IF(Applicant_List!CB378="Y","Would Advance","Would Not Advance"),"Existing Pipeline")</f>
        <v/>
      </c>
    </row>
    <row r="378">
      <c r="A378" s="15">
        <f>Applicant_List!C379</f>
        <v/>
      </c>
      <c r="B378" s="15">
        <f>Applicant_List!E379</f>
        <v/>
      </c>
      <c r="C378" s="15">
        <f>Applicant_List!L379</f>
        <v/>
      </c>
      <c r="D378" s="15">
        <f>Applicant_List!BU379</f>
        <v/>
      </c>
      <c r="E378" s="15">
        <f>Applicant_List!BV379</f>
        <v/>
      </c>
      <c r="F378" s="15">
        <f>Applicant_List!CB379</f>
        <v/>
      </c>
      <c r="G378" s="15">
        <f>Applicant_List!BW379</f>
        <v/>
      </c>
      <c r="H378" s="15">
        <f>Applicant_List!BY379</f>
        <v/>
      </c>
      <c r="I378" s="15">
        <f>COUNTIF(Applicant_List!AI379:BM379,"N")+COUNTBLANK(Applicant_List!AI379:BM379)</f>
        <v/>
      </c>
      <c r="J378" s="15">
        <f>Applicant_List!BT379</f>
        <v/>
      </c>
      <c r="K378" s="15">
        <f>Applicant_List!CA379</f>
        <v/>
      </c>
      <c r="L378" s="15">
        <f>IF(Applicant_List!BQ379="Y",IF(Applicant_List!CB379="Y","Would Advance","Would Not Advance"),"Existing Pipeline")</f>
        <v/>
      </c>
    </row>
    <row r="379">
      <c r="A379" s="15">
        <f>Applicant_List!C380</f>
        <v/>
      </c>
      <c r="B379" s="15">
        <f>Applicant_List!E380</f>
        <v/>
      </c>
      <c r="C379" s="15">
        <f>Applicant_List!L380</f>
        <v/>
      </c>
      <c r="D379" s="15">
        <f>Applicant_List!BU380</f>
        <v/>
      </c>
      <c r="E379" s="15">
        <f>Applicant_List!BV380</f>
        <v/>
      </c>
      <c r="F379" s="15">
        <f>Applicant_List!CB380</f>
        <v/>
      </c>
      <c r="G379" s="15">
        <f>Applicant_List!BW380</f>
        <v/>
      </c>
      <c r="H379" s="15">
        <f>Applicant_List!BY380</f>
        <v/>
      </c>
      <c r="I379" s="15">
        <f>COUNTIF(Applicant_List!AI380:BM380,"N")+COUNTBLANK(Applicant_List!AI380:BM380)</f>
        <v/>
      </c>
      <c r="J379" s="15">
        <f>Applicant_List!BT380</f>
        <v/>
      </c>
      <c r="K379" s="15">
        <f>Applicant_List!CA380</f>
        <v/>
      </c>
      <c r="L379" s="15">
        <f>IF(Applicant_List!BQ380="Y",IF(Applicant_List!CB380="Y","Would Advance","Would Not Advance"),"Existing Pipeline")</f>
        <v/>
      </c>
    </row>
    <row r="380">
      <c r="A380" s="15">
        <f>Applicant_List!C381</f>
        <v/>
      </c>
      <c r="B380" s="15">
        <f>Applicant_List!E381</f>
        <v/>
      </c>
      <c r="C380" s="15">
        <f>Applicant_List!L381</f>
        <v/>
      </c>
      <c r="D380" s="15">
        <f>Applicant_List!BU381</f>
        <v/>
      </c>
      <c r="E380" s="15">
        <f>Applicant_List!BV381</f>
        <v/>
      </c>
      <c r="F380" s="15">
        <f>Applicant_List!CB381</f>
        <v/>
      </c>
      <c r="G380" s="15">
        <f>Applicant_List!BW381</f>
        <v/>
      </c>
      <c r="H380" s="15">
        <f>Applicant_List!BY381</f>
        <v/>
      </c>
      <c r="I380" s="15">
        <f>COUNTIF(Applicant_List!AI381:BM381,"N")+COUNTBLANK(Applicant_List!AI381:BM381)</f>
        <v/>
      </c>
      <c r="J380" s="15">
        <f>Applicant_List!BT381</f>
        <v/>
      </c>
      <c r="K380" s="15">
        <f>Applicant_List!CA381</f>
        <v/>
      </c>
      <c r="L380" s="15">
        <f>IF(Applicant_List!BQ381="Y",IF(Applicant_List!CB381="Y","Would Advance","Would Not Advance"),"Existing Pipeline")</f>
        <v/>
      </c>
    </row>
    <row r="381">
      <c r="A381" s="15">
        <f>Applicant_List!C382</f>
        <v/>
      </c>
      <c r="B381" s="15">
        <f>Applicant_List!E382</f>
        <v/>
      </c>
      <c r="C381" s="15">
        <f>Applicant_List!L382</f>
        <v/>
      </c>
      <c r="D381" s="15">
        <f>Applicant_List!BU382</f>
        <v/>
      </c>
      <c r="E381" s="15">
        <f>Applicant_List!BV382</f>
        <v/>
      </c>
      <c r="F381" s="15">
        <f>Applicant_List!CB382</f>
        <v/>
      </c>
      <c r="G381" s="15">
        <f>Applicant_List!BW382</f>
        <v/>
      </c>
      <c r="H381" s="15">
        <f>Applicant_List!BY382</f>
        <v/>
      </c>
      <c r="I381" s="15">
        <f>COUNTIF(Applicant_List!AI382:BM382,"N")+COUNTBLANK(Applicant_List!AI382:BM382)</f>
        <v/>
      </c>
      <c r="J381" s="15">
        <f>Applicant_List!BT382</f>
        <v/>
      </c>
      <c r="K381" s="15">
        <f>Applicant_List!CA382</f>
        <v/>
      </c>
      <c r="L381" s="15">
        <f>IF(Applicant_List!BQ382="Y",IF(Applicant_List!CB382="Y","Would Advance","Would Not Advance"),"Existing Pipeline")</f>
        <v/>
      </c>
    </row>
    <row r="382">
      <c r="A382" s="15">
        <f>Applicant_List!C383</f>
        <v/>
      </c>
      <c r="B382" s="15">
        <f>Applicant_List!E383</f>
        <v/>
      </c>
      <c r="C382" s="15">
        <f>Applicant_List!L383</f>
        <v/>
      </c>
      <c r="D382" s="15">
        <f>Applicant_List!BU383</f>
        <v/>
      </c>
      <c r="E382" s="15">
        <f>Applicant_List!BV383</f>
        <v/>
      </c>
      <c r="F382" s="15">
        <f>Applicant_List!CB383</f>
        <v/>
      </c>
      <c r="G382" s="15">
        <f>Applicant_List!BW383</f>
        <v/>
      </c>
      <c r="H382" s="15">
        <f>Applicant_List!BY383</f>
        <v/>
      </c>
      <c r="I382" s="15">
        <f>COUNTIF(Applicant_List!AI383:BM383,"N")+COUNTBLANK(Applicant_List!AI383:BM383)</f>
        <v/>
      </c>
      <c r="J382" s="15">
        <f>Applicant_List!BT383</f>
        <v/>
      </c>
      <c r="K382" s="15">
        <f>Applicant_List!CA383</f>
        <v/>
      </c>
      <c r="L382" s="15">
        <f>IF(Applicant_List!BQ383="Y",IF(Applicant_List!CB383="Y","Would Advance","Would Not Advance"),"Existing Pipeline")</f>
        <v/>
      </c>
    </row>
    <row r="383">
      <c r="A383" s="15">
        <f>Applicant_List!C384</f>
        <v/>
      </c>
      <c r="B383" s="15">
        <f>Applicant_List!E384</f>
        <v/>
      </c>
      <c r="C383" s="15">
        <f>Applicant_List!L384</f>
        <v/>
      </c>
      <c r="D383" s="15">
        <f>Applicant_List!BU384</f>
        <v/>
      </c>
      <c r="E383" s="15">
        <f>Applicant_List!BV384</f>
        <v/>
      </c>
      <c r="F383" s="15">
        <f>Applicant_List!CB384</f>
        <v/>
      </c>
      <c r="G383" s="15">
        <f>Applicant_List!BW384</f>
        <v/>
      </c>
      <c r="H383" s="15">
        <f>Applicant_List!BY384</f>
        <v/>
      </c>
      <c r="I383" s="15">
        <f>COUNTIF(Applicant_List!AI384:BM384,"N")+COUNTBLANK(Applicant_List!AI384:BM384)</f>
        <v/>
      </c>
      <c r="J383" s="15">
        <f>Applicant_List!BT384</f>
        <v/>
      </c>
      <c r="K383" s="15">
        <f>Applicant_List!CA384</f>
        <v/>
      </c>
      <c r="L383" s="15">
        <f>IF(Applicant_List!BQ384="Y",IF(Applicant_List!CB384="Y","Would Advance","Would Not Advance"),"Existing Pipeline")</f>
        <v/>
      </c>
    </row>
    <row r="384">
      <c r="A384" s="15">
        <f>Applicant_List!C385</f>
        <v/>
      </c>
      <c r="B384" s="15">
        <f>Applicant_List!E385</f>
        <v/>
      </c>
      <c r="C384" s="15">
        <f>Applicant_List!L385</f>
        <v/>
      </c>
      <c r="D384" s="15">
        <f>Applicant_List!BU385</f>
        <v/>
      </c>
      <c r="E384" s="15">
        <f>Applicant_List!BV385</f>
        <v/>
      </c>
      <c r="F384" s="15">
        <f>Applicant_List!CB385</f>
        <v/>
      </c>
      <c r="G384" s="15">
        <f>Applicant_List!BW385</f>
        <v/>
      </c>
      <c r="H384" s="15">
        <f>Applicant_List!BY385</f>
        <v/>
      </c>
      <c r="I384" s="15">
        <f>COUNTIF(Applicant_List!AI385:BM385,"N")+COUNTBLANK(Applicant_List!AI385:BM385)</f>
        <v/>
      </c>
      <c r="J384" s="15">
        <f>Applicant_List!BT385</f>
        <v/>
      </c>
      <c r="K384" s="15">
        <f>Applicant_List!CA385</f>
        <v/>
      </c>
      <c r="L384" s="15">
        <f>IF(Applicant_List!BQ385="Y",IF(Applicant_List!CB385="Y","Would Advance","Would Not Advance"),"Existing Pipeline")</f>
        <v/>
      </c>
    </row>
    <row r="385">
      <c r="A385" s="15">
        <f>Applicant_List!C386</f>
        <v/>
      </c>
      <c r="B385" s="15">
        <f>Applicant_List!E386</f>
        <v/>
      </c>
      <c r="C385" s="15">
        <f>Applicant_List!L386</f>
        <v/>
      </c>
      <c r="D385" s="15">
        <f>Applicant_List!BU386</f>
        <v/>
      </c>
      <c r="E385" s="15">
        <f>Applicant_List!BV386</f>
        <v/>
      </c>
      <c r="F385" s="15">
        <f>Applicant_List!CB386</f>
        <v/>
      </c>
      <c r="G385" s="15">
        <f>Applicant_List!BW386</f>
        <v/>
      </c>
      <c r="H385" s="15">
        <f>Applicant_List!BY386</f>
        <v/>
      </c>
      <c r="I385" s="15">
        <f>COUNTIF(Applicant_List!AI386:BM386,"N")+COUNTBLANK(Applicant_List!AI386:BM386)</f>
        <v/>
      </c>
      <c r="J385" s="15">
        <f>Applicant_List!BT386</f>
        <v/>
      </c>
      <c r="K385" s="15">
        <f>Applicant_List!CA386</f>
        <v/>
      </c>
      <c r="L385" s="15">
        <f>IF(Applicant_List!BQ386="Y",IF(Applicant_List!CB386="Y","Would Advance","Would Not Advance"),"Existing Pipeline")</f>
        <v/>
      </c>
    </row>
    <row r="386">
      <c r="A386" s="15">
        <f>Applicant_List!C387</f>
        <v/>
      </c>
      <c r="B386" s="15">
        <f>Applicant_List!E387</f>
        <v/>
      </c>
      <c r="C386" s="15">
        <f>Applicant_List!L387</f>
        <v/>
      </c>
      <c r="D386" s="15">
        <f>Applicant_List!BU387</f>
        <v/>
      </c>
      <c r="E386" s="15">
        <f>Applicant_List!BV387</f>
        <v/>
      </c>
      <c r="F386" s="15">
        <f>Applicant_List!CB387</f>
        <v/>
      </c>
      <c r="G386" s="15">
        <f>Applicant_List!BW387</f>
        <v/>
      </c>
      <c r="H386" s="15">
        <f>Applicant_List!BY387</f>
        <v/>
      </c>
      <c r="I386" s="15">
        <f>COUNTIF(Applicant_List!AI387:BM387,"N")+COUNTBLANK(Applicant_List!AI387:BM387)</f>
        <v/>
      </c>
      <c r="J386" s="15">
        <f>Applicant_List!BT387</f>
        <v/>
      </c>
      <c r="K386" s="15">
        <f>Applicant_List!CA387</f>
        <v/>
      </c>
      <c r="L386" s="15">
        <f>IF(Applicant_List!BQ387="Y",IF(Applicant_List!CB387="Y","Would Advance","Would Not Advance"),"Existing Pipeline")</f>
        <v/>
      </c>
    </row>
    <row r="387">
      <c r="A387" s="15">
        <f>Applicant_List!C388</f>
        <v/>
      </c>
      <c r="B387" s="15">
        <f>Applicant_List!E388</f>
        <v/>
      </c>
      <c r="C387" s="15">
        <f>Applicant_List!L388</f>
        <v/>
      </c>
      <c r="D387" s="15">
        <f>Applicant_List!BU388</f>
        <v/>
      </c>
      <c r="E387" s="15">
        <f>Applicant_List!BV388</f>
        <v/>
      </c>
      <c r="F387" s="15">
        <f>Applicant_List!CB388</f>
        <v/>
      </c>
      <c r="G387" s="15">
        <f>Applicant_List!BW388</f>
        <v/>
      </c>
      <c r="H387" s="15">
        <f>Applicant_List!BY388</f>
        <v/>
      </c>
      <c r="I387" s="15">
        <f>COUNTIF(Applicant_List!AI388:BM388,"N")+COUNTBLANK(Applicant_List!AI388:BM388)</f>
        <v/>
      </c>
      <c r="J387" s="15">
        <f>Applicant_List!BT388</f>
        <v/>
      </c>
      <c r="K387" s="15">
        <f>Applicant_List!CA388</f>
        <v/>
      </c>
      <c r="L387" s="15">
        <f>IF(Applicant_List!BQ388="Y",IF(Applicant_List!CB388="Y","Would Advance","Would Not Advance"),"Existing Pipeline")</f>
        <v/>
      </c>
    </row>
    <row r="388">
      <c r="A388" s="15">
        <f>Applicant_List!C389</f>
        <v/>
      </c>
      <c r="B388" s="15">
        <f>Applicant_List!E389</f>
        <v/>
      </c>
      <c r="C388" s="15">
        <f>Applicant_List!L389</f>
        <v/>
      </c>
      <c r="D388" s="15">
        <f>Applicant_List!BU389</f>
        <v/>
      </c>
      <c r="E388" s="15">
        <f>Applicant_List!BV389</f>
        <v/>
      </c>
      <c r="F388" s="15">
        <f>Applicant_List!CB389</f>
        <v/>
      </c>
      <c r="G388" s="15">
        <f>Applicant_List!BW389</f>
        <v/>
      </c>
      <c r="H388" s="15">
        <f>Applicant_List!BY389</f>
        <v/>
      </c>
      <c r="I388" s="15">
        <f>COUNTIF(Applicant_List!AI389:BM389,"N")+COUNTBLANK(Applicant_List!AI389:BM389)</f>
        <v/>
      </c>
      <c r="J388" s="15">
        <f>Applicant_List!BT389</f>
        <v/>
      </c>
      <c r="K388" s="15">
        <f>Applicant_List!CA389</f>
        <v/>
      </c>
      <c r="L388" s="15">
        <f>IF(Applicant_List!BQ389="Y",IF(Applicant_List!CB389="Y","Would Advance","Would Not Advance"),"Existing Pipeline")</f>
        <v/>
      </c>
    </row>
    <row r="389">
      <c r="A389" s="15">
        <f>Applicant_List!C390</f>
        <v/>
      </c>
      <c r="B389" s="15">
        <f>Applicant_List!E390</f>
        <v/>
      </c>
      <c r="C389" s="15">
        <f>Applicant_List!L390</f>
        <v/>
      </c>
      <c r="D389" s="15">
        <f>Applicant_List!BU390</f>
        <v/>
      </c>
      <c r="E389" s="15">
        <f>Applicant_List!BV390</f>
        <v/>
      </c>
      <c r="F389" s="15">
        <f>Applicant_List!CB390</f>
        <v/>
      </c>
      <c r="G389" s="15">
        <f>Applicant_List!BW390</f>
        <v/>
      </c>
      <c r="H389" s="15">
        <f>Applicant_List!BY390</f>
        <v/>
      </c>
      <c r="I389" s="15">
        <f>COUNTIF(Applicant_List!AI390:BM390,"N")+COUNTBLANK(Applicant_List!AI390:BM390)</f>
        <v/>
      </c>
      <c r="J389" s="15">
        <f>Applicant_List!BT390</f>
        <v/>
      </c>
      <c r="K389" s="15">
        <f>Applicant_List!CA390</f>
        <v/>
      </c>
      <c r="L389" s="15">
        <f>IF(Applicant_List!BQ390="Y",IF(Applicant_List!CB390="Y","Would Advance","Would Not Advance"),"Existing Pipeline")</f>
        <v/>
      </c>
    </row>
    <row r="390">
      <c r="A390" s="15">
        <f>Applicant_List!C391</f>
        <v/>
      </c>
      <c r="B390" s="15">
        <f>Applicant_List!E391</f>
        <v/>
      </c>
      <c r="C390" s="15">
        <f>Applicant_List!L391</f>
        <v/>
      </c>
      <c r="D390" s="15">
        <f>Applicant_List!BU391</f>
        <v/>
      </c>
      <c r="E390" s="15">
        <f>Applicant_List!BV391</f>
        <v/>
      </c>
      <c r="F390" s="15">
        <f>Applicant_List!CB391</f>
        <v/>
      </c>
      <c r="G390" s="15">
        <f>Applicant_List!BW391</f>
        <v/>
      </c>
      <c r="H390" s="15">
        <f>Applicant_List!BY391</f>
        <v/>
      </c>
      <c r="I390" s="15">
        <f>COUNTIF(Applicant_List!AI391:BM391,"N")+COUNTBLANK(Applicant_List!AI391:BM391)</f>
        <v/>
      </c>
      <c r="J390" s="15">
        <f>Applicant_List!BT391</f>
        <v/>
      </c>
      <c r="K390" s="15">
        <f>Applicant_List!CA391</f>
        <v/>
      </c>
      <c r="L390" s="15">
        <f>IF(Applicant_List!BQ391="Y",IF(Applicant_List!CB391="Y","Would Advance","Would Not Advance"),"Existing Pipeline")</f>
        <v/>
      </c>
    </row>
    <row r="391">
      <c r="A391" s="15">
        <f>Applicant_List!C392</f>
        <v/>
      </c>
      <c r="B391" s="15">
        <f>Applicant_List!E392</f>
        <v/>
      </c>
      <c r="C391" s="15">
        <f>Applicant_List!L392</f>
        <v/>
      </c>
      <c r="D391" s="15">
        <f>Applicant_List!BU392</f>
        <v/>
      </c>
      <c r="E391" s="15">
        <f>Applicant_List!BV392</f>
        <v/>
      </c>
      <c r="F391" s="15">
        <f>Applicant_List!CB392</f>
        <v/>
      </c>
      <c r="G391" s="15">
        <f>Applicant_List!BW392</f>
        <v/>
      </c>
      <c r="H391" s="15">
        <f>Applicant_List!BY392</f>
        <v/>
      </c>
      <c r="I391" s="15">
        <f>COUNTIF(Applicant_List!AI392:BM392,"N")+COUNTBLANK(Applicant_List!AI392:BM392)</f>
        <v/>
      </c>
      <c r="J391" s="15">
        <f>Applicant_List!BT392</f>
        <v/>
      </c>
      <c r="K391" s="15">
        <f>Applicant_List!CA392</f>
        <v/>
      </c>
      <c r="L391" s="15">
        <f>IF(Applicant_List!BQ392="Y",IF(Applicant_List!CB392="Y","Would Advance","Would Not Advance"),"Existing Pipeline")</f>
        <v/>
      </c>
    </row>
    <row r="392">
      <c r="A392" s="15">
        <f>Applicant_List!C393</f>
        <v/>
      </c>
      <c r="B392" s="15">
        <f>Applicant_List!E393</f>
        <v/>
      </c>
      <c r="C392" s="15">
        <f>Applicant_List!L393</f>
        <v/>
      </c>
      <c r="D392" s="15">
        <f>Applicant_List!BU393</f>
        <v/>
      </c>
      <c r="E392" s="15">
        <f>Applicant_List!BV393</f>
        <v/>
      </c>
      <c r="F392" s="15">
        <f>Applicant_List!CB393</f>
        <v/>
      </c>
      <c r="G392" s="15">
        <f>Applicant_List!BW393</f>
        <v/>
      </c>
      <c r="H392" s="15">
        <f>Applicant_List!BY393</f>
        <v/>
      </c>
      <c r="I392" s="15">
        <f>COUNTIF(Applicant_List!AI393:BM393,"N")+COUNTBLANK(Applicant_List!AI393:BM393)</f>
        <v/>
      </c>
      <c r="J392" s="15">
        <f>Applicant_List!BT393</f>
        <v/>
      </c>
      <c r="K392" s="15">
        <f>Applicant_List!CA393</f>
        <v/>
      </c>
      <c r="L392" s="15">
        <f>IF(Applicant_List!BQ393="Y",IF(Applicant_List!CB393="Y","Would Advance","Would Not Advance"),"Existing Pipeline")</f>
        <v/>
      </c>
    </row>
    <row r="393">
      <c r="A393" s="15">
        <f>Applicant_List!C394</f>
        <v/>
      </c>
      <c r="B393" s="15">
        <f>Applicant_List!E394</f>
        <v/>
      </c>
      <c r="C393" s="15">
        <f>Applicant_List!L394</f>
        <v/>
      </c>
      <c r="D393" s="15">
        <f>Applicant_List!BU394</f>
        <v/>
      </c>
      <c r="E393" s="15">
        <f>Applicant_List!BV394</f>
        <v/>
      </c>
      <c r="F393" s="15">
        <f>Applicant_List!CB394</f>
        <v/>
      </c>
      <c r="G393" s="15">
        <f>Applicant_List!BW394</f>
        <v/>
      </c>
      <c r="H393" s="15">
        <f>Applicant_List!BY394</f>
        <v/>
      </c>
      <c r="I393" s="15">
        <f>COUNTIF(Applicant_List!AI394:BM394,"N")+COUNTBLANK(Applicant_List!AI394:BM394)</f>
        <v/>
      </c>
      <c r="J393" s="15">
        <f>Applicant_List!BT394</f>
        <v/>
      </c>
      <c r="K393" s="15">
        <f>Applicant_List!CA394</f>
        <v/>
      </c>
      <c r="L393" s="15">
        <f>IF(Applicant_List!BQ394="Y",IF(Applicant_List!CB394="Y","Would Advance","Would Not Advance"),"Existing Pipeline")</f>
        <v/>
      </c>
    </row>
    <row r="394">
      <c r="A394" s="15">
        <f>Applicant_List!C395</f>
        <v/>
      </c>
      <c r="B394" s="15">
        <f>Applicant_List!E395</f>
        <v/>
      </c>
      <c r="C394" s="15">
        <f>Applicant_List!L395</f>
        <v/>
      </c>
      <c r="D394" s="15">
        <f>Applicant_List!BU395</f>
        <v/>
      </c>
      <c r="E394" s="15">
        <f>Applicant_List!BV395</f>
        <v/>
      </c>
      <c r="F394" s="15">
        <f>Applicant_List!CB395</f>
        <v/>
      </c>
      <c r="G394" s="15">
        <f>Applicant_List!BW395</f>
        <v/>
      </c>
      <c r="H394" s="15">
        <f>Applicant_List!BY395</f>
        <v/>
      </c>
      <c r="I394" s="15">
        <f>COUNTIF(Applicant_List!AI395:BM395,"N")+COUNTBLANK(Applicant_List!AI395:BM395)</f>
        <v/>
      </c>
      <c r="J394" s="15">
        <f>Applicant_List!BT395</f>
        <v/>
      </c>
      <c r="K394" s="15">
        <f>Applicant_List!CA395</f>
        <v/>
      </c>
      <c r="L394" s="15">
        <f>IF(Applicant_List!BQ395="Y",IF(Applicant_List!CB395="Y","Would Advance","Would Not Advance"),"Existing Pipeline")</f>
        <v/>
      </c>
    </row>
    <row r="395">
      <c r="A395" s="15">
        <f>Applicant_List!C396</f>
        <v/>
      </c>
      <c r="B395" s="15">
        <f>Applicant_List!E396</f>
        <v/>
      </c>
      <c r="C395" s="15">
        <f>Applicant_List!L396</f>
        <v/>
      </c>
      <c r="D395" s="15">
        <f>Applicant_List!BU396</f>
        <v/>
      </c>
      <c r="E395" s="15">
        <f>Applicant_List!BV396</f>
        <v/>
      </c>
      <c r="F395" s="15">
        <f>Applicant_List!CB396</f>
        <v/>
      </c>
      <c r="G395" s="15">
        <f>Applicant_List!BW396</f>
        <v/>
      </c>
      <c r="H395" s="15">
        <f>Applicant_List!BY396</f>
        <v/>
      </c>
      <c r="I395" s="15">
        <f>COUNTIF(Applicant_List!AI396:BM396,"N")+COUNTBLANK(Applicant_List!AI396:BM396)</f>
        <v/>
      </c>
      <c r="J395" s="15">
        <f>Applicant_List!BT396</f>
        <v/>
      </c>
      <c r="K395" s="15">
        <f>Applicant_List!CA396</f>
        <v/>
      </c>
      <c r="L395" s="15">
        <f>IF(Applicant_List!BQ396="Y",IF(Applicant_List!CB396="Y","Would Advance","Would Not Advance"),"Existing Pipeline")</f>
        <v/>
      </c>
    </row>
    <row r="396">
      <c r="A396" s="15">
        <f>Applicant_List!C397</f>
        <v/>
      </c>
      <c r="B396" s="15">
        <f>Applicant_List!E397</f>
        <v/>
      </c>
      <c r="C396" s="15">
        <f>Applicant_List!L397</f>
        <v/>
      </c>
      <c r="D396" s="15">
        <f>Applicant_List!BU397</f>
        <v/>
      </c>
      <c r="E396" s="15">
        <f>Applicant_List!BV397</f>
        <v/>
      </c>
      <c r="F396" s="15">
        <f>Applicant_List!CB397</f>
        <v/>
      </c>
      <c r="G396" s="15">
        <f>Applicant_List!BW397</f>
        <v/>
      </c>
      <c r="H396" s="15">
        <f>Applicant_List!BY397</f>
        <v/>
      </c>
      <c r="I396" s="15">
        <f>COUNTIF(Applicant_List!AI397:BM397,"N")+COUNTBLANK(Applicant_List!AI397:BM397)</f>
        <v/>
      </c>
      <c r="J396" s="15">
        <f>Applicant_List!BT397</f>
        <v/>
      </c>
      <c r="K396" s="15">
        <f>Applicant_List!CA397</f>
        <v/>
      </c>
      <c r="L396" s="15">
        <f>IF(Applicant_List!BQ397="Y",IF(Applicant_List!CB397="Y","Would Advance","Would Not Advance"),"Existing Pipeline")</f>
        <v/>
      </c>
    </row>
    <row r="397">
      <c r="A397" s="15">
        <f>Applicant_List!C398</f>
        <v/>
      </c>
      <c r="B397" s="15">
        <f>Applicant_List!E398</f>
        <v/>
      </c>
      <c r="C397" s="15">
        <f>Applicant_List!L398</f>
        <v/>
      </c>
      <c r="D397" s="15">
        <f>Applicant_List!BU398</f>
        <v/>
      </c>
      <c r="E397" s="15">
        <f>Applicant_List!BV398</f>
        <v/>
      </c>
      <c r="F397" s="15">
        <f>Applicant_List!CB398</f>
        <v/>
      </c>
      <c r="G397" s="15">
        <f>Applicant_List!BW398</f>
        <v/>
      </c>
      <c r="H397" s="15">
        <f>Applicant_List!BY398</f>
        <v/>
      </c>
      <c r="I397" s="15">
        <f>COUNTIF(Applicant_List!AI398:BM398,"N")+COUNTBLANK(Applicant_List!AI398:BM398)</f>
        <v/>
      </c>
      <c r="J397" s="15">
        <f>Applicant_List!BT398</f>
        <v/>
      </c>
      <c r="K397" s="15">
        <f>Applicant_List!CA398</f>
        <v/>
      </c>
      <c r="L397" s="15">
        <f>IF(Applicant_List!BQ398="Y",IF(Applicant_List!CB398="Y","Would Advance","Would Not Advance"),"Existing Pipeline")</f>
        <v/>
      </c>
    </row>
    <row r="398">
      <c r="A398" s="15">
        <f>Applicant_List!C399</f>
        <v/>
      </c>
      <c r="B398" s="15">
        <f>Applicant_List!E399</f>
        <v/>
      </c>
      <c r="C398" s="15">
        <f>Applicant_List!L399</f>
        <v/>
      </c>
      <c r="D398" s="15">
        <f>Applicant_List!BU399</f>
        <v/>
      </c>
      <c r="E398" s="15">
        <f>Applicant_List!BV399</f>
        <v/>
      </c>
      <c r="F398" s="15">
        <f>Applicant_List!CB399</f>
        <v/>
      </c>
      <c r="G398" s="15">
        <f>Applicant_List!BW399</f>
        <v/>
      </c>
      <c r="H398" s="15">
        <f>Applicant_List!BY399</f>
        <v/>
      </c>
      <c r="I398" s="15">
        <f>COUNTIF(Applicant_List!AI399:BM399,"N")+COUNTBLANK(Applicant_List!AI399:BM399)</f>
        <v/>
      </c>
      <c r="J398" s="15">
        <f>Applicant_List!BT399</f>
        <v/>
      </c>
      <c r="K398" s="15">
        <f>Applicant_List!CA399</f>
        <v/>
      </c>
      <c r="L398" s="15">
        <f>IF(Applicant_List!BQ399="Y",IF(Applicant_List!CB399="Y","Would Advance","Would Not Advance"),"Existing Pipeline")</f>
        <v/>
      </c>
    </row>
    <row r="399">
      <c r="A399" s="15">
        <f>Applicant_List!C400</f>
        <v/>
      </c>
      <c r="B399" s="15">
        <f>Applicant_List!E400</f>
        <v/>
      </c>
      <c r="C399" s="15">
        <f>Applicant_List!L400</f>
        <v/>
      </c>
      <c r="D399" s="15">
        <f>Applicant_List!BU400</f>
        <v/>
      </c>
      <c r="E399" s="15">
        <f>Applicant_List!BV400</f>
        <v/>
      </c>
      <c r="F399" s="15">
        <f>Applicant_List!CB400</f>
        <v/>
      </c>
      <c r="G399" s="15">
        <f>Applicant_List!BW400</f>
        <v/>
      </c>
      <c r="H399" s="15">
        <f>Applicant_List!BY400</f>
        <v/>
      </c>
      <c r="I399" s="15">
        <f>COUNTIF(Applicant_List!AI400:BM400,"N")+COUNTBLANK(Applicant_List!AI400:BM400)</f>
        <v/>
      </c>
      <c r="J399" s="15">
        <f>Applicant_List!BT400</f>
        <v/>
      </c>
      <c r="K399" s="15">
        <f>Applicant_List!CA400</f>
        <v/>
      </c>
      <c r="L399" s="15">
        <f>IF(Applicant_List!BQ400="Y",IF(Applicant_List!CB400="Y","Would Advance","Would Not Advance"),"Existing Pipeline")</f>
        <v/>
      </c>
    </row>
    <row r="400">
      <c r="A400" s="15">
        <f>Applicant_List!C401</f>
        <v/>
      </c>
      <c r="B400" s="15">
        <f>Applicant_List!E401</f>
        <v/>
      </c>
      <c r="C400" s="15">
        <f>Applicant_List!L401</f>
        <v/>
      </c>
      <c r="D400" s="15">
        <f>Applicant_List!BU401</f>
        <v/>
      </c>
      <c r="E400" s="15">
        <f>Applicant_List!BV401</f>
        <v/>
      </c>
      <c r="F400" s="15">
        <f>Applicant_List!CB401</f>
        <v/>
      </c>
      <c r="G400" s="15">
        <f>Applicant_List!BW401</f>
        <v/>
      </c>
      <c r="H400" s="15">
        <f>Applicant_List!BY401</f>
        <v/>
      </c>
      <c r="I400" s="15">
        <f>COUNTIF(Applicant_List!AI401:BM401,"N")+COUNTBLANK(Applicant_List!AI401:BM401)</f>
        <v/>
      </c>
      <c r="J400" s="15">
        <f>Applicant_List!BT401</f>
        <v/>
      </c>
      <c r="K400" s="15">
        <f>Applicant_List!CA401</f>
        <v/>
      </c>
      <c r="L400" s="15">
        <f>IF(Applicant_List!BQ401="Y",IF(Applicant_List!CB401="Y","Would Advance","Would Not Advance"),"Existing Pipeline")</f>
        <v/>
      </c>
    </row>
    <row r="401">
      <c r="A401" s="15">
        <f>Applicant_List!C402</f>
        <v/>
      </c>
      <c r="B401" s="15">
        <f>Applicant_List!E402</f>
        <v/>
      </c>
      <c r="C401" s="15">
        <f>Applicant_List!L402</f>
        <v/>
      </c>
      <c r="D401" s="15">
        <f>Applicant_List!BU402</f>
        <v/>
      </c>
      <c r="E401" s="15">
        <f>Applicant_List!BV402</f>
        <v/>
      </c>
      <c r="F401" s="15">
        <f>Applicant_List!CB402</f>
        <v/>
      </c>
      <c r="G401" s="15">
        <f>Applicant_List!BW402</f>
        <v/>
      </c>
      <c r="H401" s="15">
        <f>Applicant_List!BY402</f>
        <v/>
      </c>
      <c r="I401" s="15">
        <f>COUNTIF(Applicant_List!AI402:BM402,"N")+COUNTBLANK(Applicant_List!AI402:BM402)</f>
        <v/>
      </c>
      <c r="J401" s="15">
        <f>Applicant_List!BT402</f>
        <v/>
      </c>
      <c r="K401" s="15">
        <f>Applicant_List!CA402</f>
        <v/>
      </c>
      <c r="L401" s="15">
        <f>IF(Applicant_List!BQ402="Y",IF(Applicant_List!CB402="Y","Would Advance","Would Not Advance"),"Existing Pipeline")</f>
        <v/>
      </c>
    </row>
    <row r="402">
      <c r="A402" s="15">
        <f>Applicant_List!C403</f>
        <v/>
      </c>
      <c r="B402" s="15">
        <f>Applicant_List!E403</f>
        <v/>
      </c>
      <c r="C402" s="15">
        <f>Applicant_List!L403</f>
        <v/>
      </c>
      <c r="D402" s="15">
        <f>Applicant_List!BU403</f>
        <v/>
      </c>
      <c r="E402" s="15">
        <f>Applicant_List!BV403</f>
        <v/>
      </c>
      <c r="F402" s="15">
        <f>Applicant_List!CB403</f>
        <v/>
      </c>
      <c r="G402" s="15">
        <f>Applicant_List!BW403</f>
        <v/>
      </c>
      <c r="H402" s="15">
        <f>Applicant_List!BY403</f>
        <v/>
      </c>
      <c r="I402" s="15">
        <f>COUNTIF(Applicant_List!AI403:BM403,"N")+COUNTBLANK(Applicant_List!AI403:BM403)</f>
        <v/>
      </c>
      <c r="J402" s="15">
        <f>Applicant_List!BT403</f>
        <v/>
      </c>
      <c r="K402" s="15">
        <f>Applicant_List!CA403</f>
        <v/>
      </c>
      <c r="L402" s="15">
        <f>IF(Applicant_List!BQ403="Y",IF(Applicant_List!CB403="Y","Would Advance","Would Not Advance"),"Existing Pipeline")</f>
        <v/>
      </c>
    </row>
  </sheetData>
  <mergeCells count="1">
    <mergeCell ref="A1:L1"/>
  </mergeCells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0" customWidth="1" style="23" min="1" max="1"/>
    <col width="16" customWidth="1" style="23" min="2" max="2"/>
    <col width="14" customWidth="1" style="23" min="3" max="3"/>
    <col width="30" customWidth="1" style="23" min="4" max="4"/>
    <col width="16" customWidth="1" style="23" min="5" max="5"/>
    <col width="24" customWidth="1" style="23" min="6" max="6"/>
    <col width="12" customWidth="1" style="23" min="7" max="7"/>
    <col width="18" customWidth="1" style="23" min="8" max="8"/>
    <col width="14" customWidth="1" style="23" min="9" max="9"/>
    <col width="18" customWidth="1" style="23" min="10" max="10"/>
    <col width="22" customWidth="1" style="23" min="11" max="11"/>
    <col width="16" customWidth="1" style="23" min="12" max="12"/>
    <col width="20" customWidth="1" style="23" min="13" max="13"/>
    <col width="60" customWidth="1" style="23" min="14" max="14"/>
  </cols>
  <sheetData>
    <row r="1">
      <c r="A1" s="22" t="inlineStr">
        <is>
          <t>Funding Output / Queue + Capacity Simulator</t>
        </is>
      </c>
    </row>
    <row r="2">
      <c r="A2" s="37" t="inlineStr">
        <is>
          <t>Summary</t>
        </is>
      </c>
    </row>
    <row r="3">
      <c r="A3" s="21" t="inlineStr">
        <is>
          <t>Capacity assumption</t>
        </is>
      </c>
      <c r="B3" s="21" t="n">
        <v>300000000</v>
      </c>
    </row>
    <row r="4">
      <c r="A4" s="21" t="inlineStr">
        <is>
          <t>Eligible projects in queue</t>
        </is>
      </c>
      <c r="B4" s="21" t="n">
        <v>34</v>
      </c>
    </row>
    <row r="5">
      <c r="A5" s="21" t="inlineStr">
        <is>
          <t>Projects funded in simulation</t>
        </is>
      </c>
      <c r="B5" s="21" t="n">
        <v>12</v>
      </c>
    </row>
    <row r="6">
      <c r="A6" s="21" t="inlineStr">
        <is>
          <t>Total requested by funded projects</t>
        </is>
      </c>
      <c r="B6" s="21" t="n">
        <v>293115886</v>
      </c>
    </row>
    <row r="7">
      <c r="A7" s="21" t="inlineStr">
        <is>
          <t>Remaining unallocated capacity</t>
        </is>
      </c>
      <c r="B7" s="21" t="n">
        <v>6884114</v>
      </c>
    </row>
    <row r="8">
      <c r="A8" s="21" t="inlineStr">
        <is>
          <t>Hypothetical project funded?</t>
        </is>
      </c>
      <c r="B8" s="21" t="inlineStr">
        <is>
          <t>Y</t>
        </is>
      </c>
    </row>
    <row r="11">
      <c r="A11" s="3" t="inlineStr">
        <is>
          <t>queue_rank</t>
        </is>
      </c>
      <c r="B11" s="3" t="inlineStr">
        <is>
          <t>source</t>
        </is>
      </c>
      <c r="C11" s="3" t="inlineStr">
        <is>
          <t>tdhca_number</t>
        </is>
      </c>
      <c r="D11" s="3" t="inlineStr">
        <is>
          <t>development_name</t>
        </is>
      </c>
      <c r="E11" s="3" t="inlineStr">
        <is>
          <t>status_current</t>
        </is>
      </c>
      <c r="F11" s="3" t="inlineStr">
        <is>
          <t>status_predicted</t>
        </is>
      </c>
      <c r="G11" s="3" t="inlineStr">
        <is>
          <t>advance_flag</t>
        </is>
      </c>
      <c r="H11" s="3" t="inlineStr">
        <is>
          <t>allocation_eligible_flag</t>
        </is>
      </c>
      <c r="I11" s="3" t="inlineStr">
        <is>
          <t>priority_date</t>
        </is>
      </c>
      <c r="J11" s="3" t="inlineStr">
        <is>
          <t>requested_bond_amount</t>
        </is>
      </c>
      <c r="K11" s="3" t="inlineStr">
        <is>
          <t>cumulative_allocated_if_funded</t>
        </is>
      </c>
      <c r="L11" s="3" t="inlineStr">
        <is>
          <t>simulated_funded_flag</t>
        </is>
      </c>
      <c r="M11" s="3" t="inlineStr">
        <is>
          <t>remaining_capacity_after</t>
        </is>
      </c>
      <c r="N11" s="3" t="inlineStr">
        <is>
          <t>funding_reason</t>
        </is>
      </c>
    </row>
    <row r="12">
      <c r="A12" s="21" t="n">
        <v>34</v>
      </c>
      <c r="B12" s="21" t="inlineStr">
        <is>
          <t>Hypothetical</t>
        </is>
      </c>
      <c r="C12" s="21" t="n"/>
      <c r="D12" s="21" t="inlineStr">
        <is>
          <t>Jimbo's Apartment</t>
        </is>
      </c>
      <c r="E12" s="21" t="inlineStr"/>
      <c r="F12" s="21" t="inlineStr">
        <is>
          <t>Determination Notice Issued</t>
        </is>
      </c>
      <c r="G12" s="21" t="inlineStr">
        <is>
          <t>Y</t>
        </is>
      </c>
      <c r="H12" s="21" t="inlineStr">
        <is>
          <t>Y</t>
        </is>
      </c>
      <c r="I12" s="21" t="n"/>
      <c r="J12" s="21" t="n">
        <v>10</v>
      </c>
      <c r="K12" s="21" t="n">
        <v>293115886</v>
      </c>
      <c r="L12" s="21" t="inlineStr">
        <is>
          <t>Y</t>
        </is>
      </c>
      <c r="M12" s="21" t="n">
        <v>6884114</v>
      </c>
      <c r="N12" s="21" t="inlineStr">
        <is>
          <t>Funded within current simulated capacity.</t>
        </is>
      </c>
    </row>
    <row r="13">
      <c r="A13" s="21" t="n">
        <v>1</v>
      </c>
      <c r="B13" s="21" t="inlineStr">
        <is>
          <t>Existing Pipeline</t>
        </is>
      </c>
      <c r="C13" s="21" t="inlineStr">
        <is>
          <t>25451</t>
        </is>
      </c>
      <c r="D13" s="21" t="inlineStr">
        <is>
          <t>Mesa Hills I</t>
        </is>
      </c>
      <c r="E13" s="21" t="inlineStr">
        <is>
          <t>Approved</t>
        </is>
      </c>
      <c r="F13" s="21" t="inlineStr">
        <is>
          <t>Determination Notice Issued</t>
        </is>
      </c>
      <c r="G13" s="21" t="inlineStr">
        <is>
          <t>Y</t>
        </is>
      </c>
      <c r="H13" s="21" t="inlineStr">
        <is>
          <t>Y</t>
        </is>
      </c>
      <c r="I13" s="21" t="n">
        <v>45667</v>
      </c>
      <c r="J13" s="21" t="n">
        <v>11115876</v>
      </c>
      <c r="K13" s="21" t="n">
        <v>11115876</v>
      </c>
      <c r="L13" s="21" t="inlineStr">
        <is>
          <t>Y</t>
        </is>
      </c>
      <c r="M13" s="21" t="n">
        <v>288884124</v>
      </c>
      <c r="N13" s="21" t="inlineStr">
        <is>
          <t>Funded within current simulated capacity.</t>
        </is>
      </c>
    </row>
    <row r="14">
      <c r="A14" s="21" t="n">
        <v>2</v>
      </c>
      <c r="B14" s="21" t="inlineStr">
        <is>
          <t>Existing Pipeline</t>
        </is>
      </c>
      <c r="C14" s="21" t="inlineStr">
        <is>
          <t>25438</t>
        </is>
      </c>
      <c r="D14" s="21" t="inlineStr">
        <is>
          <t>Britton's Place</t>
        </is>
      </c>
      <c r="E14" s="21" t="inlineStr">
        <is>
          <t>Approved</t>
        </is>
      </c>
      <c r="F14" s="21" t="inlineStr">
        <is>
          <t>Determination Notice Issued</t>
        </is>
      </c>
      <c r="G14" s="21" t="inlineStr">
        <is>
          <t>Y</t>
        </is>
      </c>
      <c r="H14" s="21" t="inlineStr">
        <is>
          <t>Y</t>
        </is>
      </c>
      <c r="I14" s="21" t="n">
        <v>45880</v>
      </c>
      <c r="J14" s="21" t="n">
        <v>20000000</v>
      </c>
      <c r="K14" s="21" t="n">
        <v>31115876</v>
      </c>
      <c r="L14" s="21" t="inlineStr">
        <is>
          <t>Y</t>
        </is>
      </c>
      <c r="M14" s="21" t="n">
        <v>268884124</v>
      </c>
      <c r="N14" s="21" t="inlineStr">
        <is>
          <t>Funded within current simulated capacity.</t>
        </is>
      </c>
    </row>
    <row r="15">
      <c r="A15" s="21" t="n">
        <v>3</v>
      </c>
      <c r="B15" s="21" t="inlineStr">
        <is>
          <t>Existing Pipeline</t>
        </is>
      </c>
      <c r="C15" s="21" t="inlineStr">
        <is>
          <t>25439</t>
        </is>
      </c>
      <c r="D15" s="21" t="inlineStr">
        <is>
          <t>Pleasant Hill Village</t>
        </is>
      </c>
      <c r="E15" s="21" t="inlineStr">
        <is>
          <t>Approved</t>
        </is>
      </c>
      <c r="F15" s="21" t="inlineStr">
        <is>
          <t>Determination Notice Issued</t>
        </is>
      </c>
      <c r="G15" s="21" t="inlineStr">
        <is>
          <t>Y</t>
        </is>
      </c>
      <c r="H15" s="21" t="inlineStr">
        <is>
          <t>Y</t>
        </is>
      </c>
      <c r="I15" s="21" t="n">
        <v>45880</v>
      </c>
      <c r="J15" s="21" t="n">
        <v>20000000</v>
      </c>
      <c r="K15" s="21" t="n">
        <v>51115876</v>
      </c>
      <c r="L15" s="21" t="inlineStr">
        <is>
          <t>Y</t>
        </is>
      </c>
      <c r="M15" s="21" t="n">
        <v>248884124</v>
      </c>
      <c r="N15" s="21" t="inlineStr">
        <is>
          <t>Funded within current simulated capacity.</t>
        </is>
      </c>
    </row>
    <row r="16">
      <c r="A16" s="21" t="n">
        <v>4</v>
      </c>
      <c r="B16" s="21" t="inlineStr">
        <is>
          <t>Existing Pipeline</t>
        </is>
      </c>
      <c r="C16" s="21" t="inlineStr">
        <is>
          <t>25403</t>
        </is>
      </c>
      <c r="D16" s="21" t="inlineStr">
        <is>
          <t>Waters at Stone Creek</t>
        </is>
      </c>
      <c r="E16" s="21" t="inlineStr">
        <is>
          <t>Approved</t>
        </is>
      </c>
      <c r="F16" s="21" t="inlineStr">
        <is>
          <t>Determination Notice Issued</t>
        </is>
      </c>
      <c r="G16" s="21" t="inlineStr">
        <is>
          <t>Y</t>
        </is>
      </c>
      <c r="H16" s="21" t="inlineStr">
        <is>
          <t>Y</t>
        </is>
      </c>
      <c r="I16" s="21" t="n">
        <v>45882</v>
      </c>
      <c r="J16" s="21" t="n">
        <v>30000000</v>
      </c>
      <c r="K16" s="21" t="n">
        <v>81115876</v>
      </c>
      <c r="L16" s="21" t="inlineStr">
        <is>
          <t>Y</t>
        </is>
      </c>
      <c r="M16" s="21" t="n">
        <v>218884124</v>
      </c>
      <c r="N16" s="21" t="inlineStr">
        <is>
          <t>Funded within current simulated capacity.</t>
        </is>
      </c>
    </row>
    <row r="17">
      <c r="A17" s="21" t="n">
        <v>5</v>
      </c>
      <c r="B17" s="21" t="inlineStr">
        <is>
          <t>Existing Pipeline</t>
        </is>
      </c>
      <c r="C17" s="21" t="inlineStr">
        <is>
          <t>25402</t>
        </is>
      </c>
      <c r="D17" s="21" t="inlineStr">
        <is>
          <t>Tapestry at Katy</t>
        </is>
      </c>
      <c r="E17" s="21" t="inlineStr">
        <is>
          <t>Approved</t>
        </is>
      </c>
      <c r="F17" s="21" t="inlineStr">
        <is>
          <t>Determination Notice Issued</t>
        </is>
      </c>
      <c r="G17" s="21" t="inlineStr">
        <is>
          <t>Y</t>
        </is>
      </c>
      <c r="H17" s="21" t="inlineStr">
        <is>
          <t>Y</t>
        </is>
      </c>
      <c r="I17" s="21" t="n">
        <v>45884</v>
      </c>
      <c r="J17" s="21" t="n">
        <v>50000000</v>
      </c>
      <c r="K17" s="21" t="n">
        <v>131115876</v>
      </c>
      <c r="L17" s="21" t="inlineStr">
        <is>
          <t>Y</t>
        </is>
      </c>
      <c r="M17" s="21" t="n">
        <v>168884124</v>
      </c>
      <c r="N17" s="21" t="inlineStr">
        <is>
          <t>Funded within current simulated capacity.</t>
        </is>
      </c>
    </row>
    <row r="18">
      <c r="A18" s="21" t="n">
        <v>6</v>
      </c>
      <c r="B18" s="21" t="inlineStr">
        <is>
          <t>Existing Pipeline</t>
        </is>
      </c>
      <c r="C18" s="21" t="inlineStr">
        <is>
          <t>21614S</t>
        </is>
      </c>
      <c r="D18" s="21" t="inlineStr">
        <is>
          <t>Murdeaux Villas</t>
        </is>
      </c>
      <c r="E18" s="21" t="inlineStr">
        <is>
          <t>Active</t>
        </is>
      </c>
      <c r="F18" s="21" t="inlineStr">
        <is>
          <t>Determination Notice Issued</t>
        </is>
      </c>
      <c r="G18" s="21" t="inlineStr">
        <is>
          <t>Y</t>
        </is>
      </c>
      <c r="H18" s="21" t="inlineStr">
        <is>
          <t>Y</t>
        </is>
      </c>
      <c r="I18" s="21" t="n">
        <v>46049</v>
      </c>
      <c r="J18" s="21" t="n">
        <v>5000000</v>
      </c>
      <c r="K18" s="21" t="n">
        <v>136115876</v>
      </c>
      <c r="L18" s="21" t="inlineStr">
        <is>
          <t>Y</t>
        </is>
      </c>
      <c r="M18" s="21" t="n">
        <v>163884124</v>
      </c>
      <c r="N18" s="21" t="inlineStr">
        <is>
          <t>Funded within current simulated capacity.</t>
        </is>
      </c>
    </row>
    <row r="19">
      <c r="A19" s="21" t="n">
        <v>7</v>
      </c>
      <c r="B19" s="21" t="inlineStr">
        <is>
          <t>Existing Pipeline</t>
        </is>
      </c>
      <c r="C19" s="21" t="inlineStr">
        <is>
          <t>21608S</t>
        </is>
      </c>
      <c r="D19" s="21" t="inlineStr">
        <is>
          <t>Fiji Lofts</t>
        </is>
      </c>
      <c r="E19" s="21" t="inlineStr">
        <is>
          <t>Active</t>
        </is>
      </c>
      <c r="F19" s="21" t="inlineStr">
        <is>
          <t>Determination Notice Issued</t>
        </is>
      </c>
      <c r="G19" s="21" t="inlineStr">
        <is>
          <t>Y</t>
        </is>
      </c>
      <c r="H19" s="21" t="inlineStr">
        <is>
          <t>Y</t>
        </is>
      </c>
      <c r="I19" s="21" t="n">
        <v>46057</v>
      </c>
      <c r="J19" s="21" t="n">
        <v>6000000</v>
      </c>
      <c r="K19" s="21" t="n">
        <v>142115876</v>
      </c>
      <c r="L19" s="21" t="inlineStr">
        <is>
          <t>Y</t>
        </is>
      </c>
      <c r="M19" s="21" t="n">
        <v>157884124</v>
      </c>
      <c r="N19" s="21" t="inlineStr">
        <is>
          <t>Funded within current simulated capacity.</t>
        </is>
      </c>
    </row>
    <row r="20">
      <c r="A20" s="21" t="n">
        <v>8</v>
      </c>
      <c r="B20" s="21" t="inlineStr">
        <is>
          <t>Existing Pipeline</t>
        </is>
      </c>
      <c r="C20" s="21" t="inlineStr">
        <is>
          <t>25606</t>
        </is>
      </c>
      <c r="D20" s="21" t="inlineStr">
        <is>
          <t>Braniff Lofts</t>
        </is>
      </c>
      <c r="E20" s="21" t="inlineStr">
        <is>
          <t>Active</t>
        </is>
      </c>
      <c r="F20" s="21" t="inlineStr">
        <is>
          <t>Determination Notice Issued</t>
        </is>
      </c>
      <c r="G20" s="21" t="inlineStr">
        <is>
          <t>Y</t>
        </is>
      </c>
      <c r="H20" s="21" t="inlineStr">
        <is>
          <t>Y</t>
        </is>
      </c>
      <c r="I20" s="21" t="n">
        <v>45663</v>
      </c>
      <c r="J20" s="21" t="n">
        <v>20000000</v>
      </c>
      <c r="K20" s="21" t="n">
        <v>162115876</v>
      </c>
      <c r="L20" s="21" t="inlineStr">
        <is>
          <t>Y</t>
        </is>
      </c>
      <c r="M20" s="21" t="n">
        <v>137884124</v>
      </c>
      <c r="N20" s="21" t="inlineStr">
        <is>
          <t>Funded within current simulated capacity.</t>
        </is>
      </c>
    </row>
    <row r="21">
      <c r="A21" s="21" t="n">
        <v>9</v>
      </c>
      <c r="B21" s="21" t="inlineStr">
        <is>
          <t>Existing Pipeline</t>
        </is>
      </c>
      <c r="C21" s="21" t="inlineStr">
        <is>
          <t>25456</t>
        </is>
      </c>
      <c r="D21" s="21" t="inlineStr">
        <is>
          <t>Stones Crossing Apt Homes</t>
        </is>
      </c>
      <c r="E21" s="21" t="inlineStr">
        <is>
          <t>Approved</t>
        </is>
      </c>
      <c r="F21" s="21" t="inlineStr">
        <is>
          <t>Determination Notice Issued</t>
        </is>
      </c>
      <c r="G21" s="21" t="inlineStr">
        <is>
          <t>Y</t>
        </is>
      </c>
      <c r="H21" s="21" t="inlineStr">
        <is>
          <t>Y</t>
        </is>
      </c>
      <c r="I21" s="21" t="n">
        <v>45672</v>
      </c>
      <c r="J21" s="21" t="n">
        <v>60000000</v>
      </c>
      <c r="K21" s="21" t="n">
        <v>222115876</v>
      </c>
      <c r="L21" s="21" t="inlineStr">
        <is>
          <t>Y</t>
        </is>
      </c>
      <c r="M21" s="21" t="n">
        <v>77884124</v>
      </c>
      <c r="N21" s="21" t="inlineStr">
        <is>
          <t>Funded within current simulated capacity.</t>
        </is>
      </c>
    </row>
    <row r="22">
      <c r="A22" s="21" t="n">
        <v>10</v>
      </c>
      <c r="B22" s="21" t="inlineStr">
        <is>
          <t>Existing Pipeline</t>
        </is>
      </c>
      <c r="C22" s="21" t="inlineStr">
        <is>
          <t>25426</t>
        </is>
      </c>
      <c r="D22" s="21" t="inlineStr">
        <is>
          <t>Roselawn Village</t>
        </is>
      </c>
      <c r="E22" s="21" t="inlineStr">
        <is>
          <t>Approved</t>
        </is>
      </c>
      <c r="F22" s="21" t="inlineStr">
        <is>
          <t>Determination Notice Issued</t>
        </is>
      </c>
      <c r="G22" s="21" t="inlineStr">
        <is>
          <t>Y</t>
        </is>
      </c>
      <c r="H22" s="21" t="inlineStr">
        <is>
          <t>Y</t>
        </is>
      </c>
      <c r="I22" s="21" t="n">
        <v>45789</v>
      </c>
      <c r="J22" s="21" t="n">
        <v>49000000</v>
      </c>
      <c r="K22" s="21" t="n">
        <v>271115876</v>
      </c>
      <c r="L22" s="21" t="inlineStr">
        <is>
          <t>Y</t>
        </is>
      </c>
      <c r="M22" s="21" t="n">
        <v>28884124</v>
      </c>
      <c r="N22" s="21" t="inlineStr">
        <is>
          <t>Funded within current simulated capacity.</t>
        </is>
      </c>
    </row>
    <row r="23">
      <c r="A23" s="21" t="n">
        <v>11</v>
      </c>
      <c r="B23" s="21" t="inlineStr">
        <is>
          <t>Existing Pipeline</t>
        </is>
      </c>
      <c r="C23" s="21" t="inlineStr">
        <is>
          <t>25423</t>
        </is>
      </c>
      <c r="D23" s="21" t="inlineStr">
        <is>
          <t>Emberstone Apartments</t>
        </is>
      </c>
      <c r="E23" s="21" t="inlineStr">
        <is>
          <t>Approved</t>
        </is>
      </c>
      <c r="F23" s="21" t="inlineStr">
        <is>
          <t>Determination Notice Issued</t>
        </is>
      </c>
      <c r="G23" s="21" t="inlineStr">
        <is>
          <t>Y</t>
        </is>
      </c>
      <c r="H23" s="21" t="inlineStr">
        <is>
          <t>Y</t>
        </is>
      </c>
      <c r="I23" s="21" t="n">
        <v>45800</v>
      </c>
      <c r="J23" s="21" t="n">
        <v>35000000</v>
      </c>
      <c r="K23" s="21" t="n">
        <v>271115876</v>
      </c>
      <c r="L23" s="21" t="inlineStr">
        <is>
          <t>N</t>
        </is>
      </c>
      <c r="M23" s="21" t="n">
        <v>28884124</v>
      </c>
      <c r="N23" s="21" t="inlineStr">
        <is>
          <t>Eligible, but insufficient remaining capacity in current simulated cycle.</t>
        </is>
      </c>
    </row>
    <row r="24">
      <c r="A24" s="21" t="n">
        <v>12</v>
      </c>
      <c r="B24" s="21" t="inlineStr">
        <is>
          <t>Existing Pipeline</t>
        </is>
      </c>
      <c r="C24" s="21" t="inlineStr">
        <is>
          <t>25470</t>
        </is>
      </c>
      <c r="D24" s="21" t="inlineStr">
        <is>
          <t>Lafayette Village</t>
        </is>
      </c>
      <c r="E24" s="21" t="inlineStr">
        <is>
          <t>Approved</t>
        </is>
      </c>
      <c r="F24" s="21" t="inlineStr">
        <is>
          <t>Determination Notice Issued</t>
        </is>
      </c>
      <c r="G24" s="21" t="inlineStr">
        <is>
          <t>Y</t>
        </is>
      </c>
      <c r="H24" s="21" t="inlineStr">
        <is>
          <t>Y</t>
        </is>
      </c>
      <c r="I24" s="21" t="n">
        <v>45880</v>
      </c>
      <c r="J24" s="21" t="n">
        <v>30000000</v>
      </c>
      <c r="K24" s="21" t="n">
        <v>271115876</v>
      </c>
      <c r="L24" s="21" t="inlineStr">
        <is>
          <t>N</t>
        </is>
      </c>
      <c r="M24" s="21" t="n">
        <v>28884124</v>
      </c>
      <c r="N24" s="21" t="inlineStr">
        <is>
          <t>Eligible, but insufficient remaining capacity in current simulated cycle.</t>
        </is>
      </c>
    </row>
    <row r="25">
      <c r="A25" s="21" t="n">
        <v>13</v>
      </c>
      <c r="B25" s="21" t="inlineStr">
        <is>
          <t>Existing Pipeline</t>
        </is>
      </c>
      <c r="C25" s="21" t="inlineStr">
        <is>
          <t>25471</t>
        </is>
      </c>
      <c r="D25" s="21" t="inlineStr">
        <is>
          <t>Idlewilde Apartments</t>
        </is>
      </c>
      <c r="E25" s="21" t="inlineStr">
        <is>
          <t>Approved</t>
        </is>
      </c>
      <c r="F25" s="21" t="inlineStr">
        <is>
          <t>Determination Notice Issued</t>
        </is>
      </c>
      <c r="G25" s="21" t="inlineStr">
        <is>
          <t>Y</t>
        </is>
      </c>
      <c r="H25" s="21" t="inlineStr">
        <is>
          <t>Y</t>
        </is>
      </c>
      <c r="I25" s="21" t="n">
        <v>45880</v>
      </c>
      <c r="J25" s="21" t="n">
        <v>30000000</v>
      </c>
      <c r="K25" s="21" t="n">
        <v>271115876</v>
      </c>
      <c r="L25" s="21" t="inlineStr">
        <is>
          <t>N</t>
        </is>
      </c>
      <c r="M25" s="21" t="n">
        <v>28884124</v>
      </c>
      <c r="N25" s="21" t="inlineStr">
        <is>
          <t>Eligible, but insufficient remaining capacity in current simulated cycle.</t>
        </is>
      </c>
    </row>
    <row r="26">
      <c r="A26" s="21" t="n">
        <v>14</v>
      </c>
      <c r="B26" s="21" t="inlineStr">
        <is>
          <t>Existing Pipeline</t>
        </is>
      </c>
      <c r="C26" s="21" t="inlineStr">
        <is>
          <t>25484</t>
        </is>
      </c>
      <c r="D26" s="21" t="inlineStr">
        <is>
          <t>Ella Apartments</t>
        </is>
      </c>
      <c r="E26" s="21" t="inlineStr">
        <is>
          <t>Approved</t>
        </is>
      </c>
      <c r="F26" s="21" t="inlineStr">
        <is>
          <t>Determination Notice Issued</t>
        </is>
      </c>
      <c r="G26" s="21" t="inlineStr">
        <is>
          <t>Y</t>
        </is>
      </c>
      <c r="H26" s="21" t="inlineStr">
        <is>
          <t>Y</t>
        </is>
      </c>
      <c r="I26" s="21" t="n">
        <v>45882</v>
      </c>
      <c r="J26" s="21" t="n">
        <v>22000000</v>
      </c>
      <c r="K26" s="21" t="n">
        <v>293115876</v>
      </c>
      <c r="L26" s="21" t="inlineStr">
        <is>
          <t>Y</t>
        </is>
      </c>
      <c r="M26" s="21" t="n">
        <v>6884124</v>
      </c>
      <c r="N26" s="21" t="inlineStr">
        <is>
          <t>Funded within current simulated capacity.</t>
        </is>
      </c>
    </row>
    <row r="27">
      <c r="A27" s="21" t="n">
        <v>15</v>
      </c>
      <c r="B27" s="21" t="inlineStr">
        <is>
          <t>Existing Pipeline</t>
        </is>
      </c>
      <c r="C27" s="21" t="inlineStr">
        <is>
          <t>25601</t>
        </is>
      </c>
      <c r="D27" s="21" t="inlineStr">
        <is>
          <t>Waters at Waterchase</t>
        </is>
      </c>
      <c r="E27" s="21" t="inlineStr">
        <is>
          <t>Active</t>
        </is>
      </c>
      <c r="F27" s="21" t="inlineStr">
        <is>
          <t>Determination Notice Issued</t>
        </is>
      </c>
      <c r="G27" s="21" t="inlineStr">
        <is>
          <t>Y</t>
        </is>
      </c>
      <c r="H27" s="21" t="inlineStr">
        <is>
          <t>Y</t>
        </is>
      </c>
      <c r="I27" s="21" t="n">
        <v>45883</v>
      </c>
      <c r="J27" s="21" t="n">
        <v>20000000</v>
      </c>
      <c r="K27" s="21" t="n">
        <v>293115876</v>
      </c>
      <c r="L27" s="21" t="inlineStr">
        <is>
          <t>N</t>
        </is>
      </c>
      <c r="M27" s="21" t="n">
        <v>6884124</v>
      </c>
      <c r="N27" s="21" t="inlineStr">
        <is>
          <t>Eligible, but insufficient remaining capacity in current simulated cycle.</t>
        </is>
      </c>
    </row>
    <row r="28">
      <c r="A28" s="21" t="n">
        <v>16</v>
      </c>
      <c r="B28" s="21" t="inlineStr">
        <is>
          <t>Existing Pipeline</t>
        </is>
      </c>
      <c r="C28" s="21" t="inlineStr">
        <is>
          <t>25608</t>
        </is>
      </c>
      <c r="D28" s="21" t="inlineStr">
        <is>
          <t>The Preserve at Dominion Park</t>
        </is>
      </c>
      <c r="E28" s="21" t="inlineStr">
        <is>
          <t>Active</t>
        </is>
      </c>
      <c r="F28" s="21" t="inlineStr">
        <is>
          <t>Determination Notice Issued</t>
        </is>
      </c>
      <c r="G28" s="21" t="inlineStr">
        <is>
          <t>Y</t>
        </is>
      </c>
      <c r="H28" s="21" t="inlineStr">
        <is>
          <t>Y</t>
        </is>
      </c>
      <c r="I28" s="21" t="n">
        <v>45883</v>
      </c>
      <c r="J28" s="21" t="n">
        <v>20000000</v>
      </c>
      <c r="K28" s="21" t="n">
        <v>293115876</v>
      </c>
      <c r="L28" s="21" t="inlineStr">
        <is>
          <t>N</t>
        </is>
      </c>
      <c r="M28" s="21" t="n">
        <v>6884124</v>
      </c>
      <c r="N28" s="21" t="inlineStr">
        <is>
          <t>Eligible, but insufficient remaining capacity in current simulated cycle.</t>
        </is>
      </c>
    </row>
    <row r="29">
      <c r="A29" s="21" t="n">
        <v>17</v>
      </c>
      <c r="B29" s="21" t="inlineStr">
        <is>
          <t>Existing Pipeline</t>
        </is>
      </c>
      <c r="C29" s="21" t="inlineStr">
        <is>
          <t>25604</t>
        </is>
      </c>
      <c r="D29" s="21" t="inlineStr">
        <is>
          <t>Trinity Junction</t>
        </is>
      </c>
      <c r="E29" s="21" t="inlineStr">
        <is>
          <t>Pre-Application</t>
        </is>
      </c>
      <c r="F29" s="21" t="inlineStr">
        <is>
          <t>Determination Notice Issued</t>
        </is>
      </c>
      <c r="G29" s="21" t="inlineStr">
        <is>
          <t>Y</t>
        </is>
      </c>
      <c r="H29" s="21" t="inlineStr">
        <is>
          <t>Y</t>
        </is>
      </c>
      <c r="I29" s="21" t="n">
        <v>45883</v>
      </c>
      <c r="J29" s="21" t="n">
        <v>50000000</v>
      </c>
      <c r="K29" s="21" t="n">
        <v>293115876</v>
      </c>
      <c r="L29" s="21" t="inlineStr">
        <is>
          <t>N</t>
        </is>
      </c>
      <c r="M29" s="21" t="n">
        <v>6884124</v>
      </c>
      <c r="N29" s="21" t="inlineStr">
        <is>
          <t>Eligible, but insufficient remaining capacity in current simulated cycle.</t>
        </is>
      </c>
    </row>
    <row r="30">
      <c r="A30" s="21" t="n">
        <v>18</v>
      </c>
      <c r="B30" s="21" t="inlineStr">
        <is>
          <t>Existing Pipeline</t>
        </is>
      </c>
      <c r="C30" s="21" t="inlineStr">
        <is>
          <t>25461</t>
        </is>
      </c>
      <c r="D30" s="21" t="inlineStr">
        <is>
          <t>Coolwood Oaks</t>
        </is>
      </c>
      <c r="E30" s="21" t="inlineStr">
        <is>
          <t>Approved</t>
        </is>
      </c>
      <c r="F30" s="21" t="inlineStr">
        <is>
          <t>Determination Notice Issued</t>
        </is>
      </c>
      <c r="G30" s="21" t="inlineStr">
        <is>
          <t>Y</t>
        </is>
      </c>
      <c r="H30" s="21" t="inlineStr">
        <is>
          <t>Y</t>
        </is>
      </c>
      <c r="I30" s="21" t="n">
        <v>45890</v>
      </c>
      <c r="J30" s="21" t="n">
        <v>27000000</v>
      </c>
      <c r="K30" s="21" t="n">
        <v>293115876</v>
      </c>
      <c r="L30" s="21" t="inlineStr">
        <is>
          <t>N</t>
        </is>
      </c>
      <c r="M30" s="21" t="n">
        <v>6884124</v>
      </c>
      <c r="N30" s="21" t="inlineStr">
        <is>
          <t>Eligible, but insufficient remaining capacity in current simulated cycle.</t>
        </is>
      </c>
    </row>
    <row r="31">
      <c r="A31" s="21" t="n">
        <v>19</v>
      </c>
      <c r="B31" s="21" t="inlineStr">
        <is>
          <t>Existing Pipeline</t>
        </is>
      </c>
      <c r="C31" s="21" t="inlineStr">
        <is>
          <t>25487</t>
        </is>
      </c>
      <c r="D31" s="21" t="inlineStr">
        <is>
          <t>Heritage Oaks</t>
        </is>
      </c>
      <c r="E31" s="21" t="inlineStr">
        <is>
          <t>Approved</t>
        </is>
      </c>
      <c r="F31" s="21" t="inlineStr">
        <is>
          <t>Determination Notice Issued</t>
        </is>
      </c>
      <c r="G31" s="21" t="inlineStr">
        <is>
          <t>Y</t>
        </is>
      </c>
      <c r="H31" s="21" t="inlineStr">
        <is>
          <t>Y</t>
        </is>
      </c>
      <c r="I31" s="21" t="n">
        <v>45890</v>
      </c>
      <c r="J31" s="21" t="n">
        <v>22000000</v>
      </c>
      <c r="K31" s="21" t="n">
        <v>293115876</v>
      </c>
      <c r="L31" s="21" t="inlineStr">
        <is>
          <t>N</t>
        </is>
      </c>
      <c r="M31" s="21" t="n">
        <v>6884124</v>
      </c>
      <c r="N31" s="21" t="inlineStr">
        <is>
          <t>Eligible, but insufficient remaining capacity in current simulated cycle.</t>
        </is>
      </c>
    </row>
    <row r="32">
      <c r="A32" s="21" t="n">
        <v>20</v>
      </c>
      <c r="B32" s="21" t="inlineStr">
        <is>
          <t>Existing Pipeline</t>
        </is>
      </c>
      <c r="C32" s="21" t="inlineStr">
        <is>
          <t>25488</t>
        </is>
      </c>
      <c r="D32" s="21" t="inlineStr">
        <is>
          <t>Paseo de Paz</t>
        </is>
      </c>
      <c r="E32" s="21" t="inlineStr">
        <is>
          <t>Approved</t>
        </is>
      </c>
      <c r="F32" s="21" t="inlineStr">
        <is>
          <t>Determination Notice Issued</t>
        </is>
      </c>
      <c r="G32" s="21" t="inlineStr">
        <is>
          <t>Y</t>
        </is>
      </c>
      <c r="H32" s="21" t="inlineStr">
        <is>
          <t>Y</t>
        </is>
      </c>
      <c r="I32" s="21" t="n">
        <v>45890</v>
      </c>
      <c r="J32" s="21" t="n">
        <v>22000000</v>
      </c>
      <c r="K32" s="21" t="n">
        <v>293115876</v>
      </c>
      <c r="L32" s="21" t="inlineStr">
        <is>
          <t>N</t>
        </is>
      </c>
      <c r="M32" s="21" t="n">
        <v>6884124</v>
      </c>
      <c r="N32" s="21" t="inlineStr">
        <is>
          <t>Eligible, but insufficient remaining capacity in current simulated cycle.</t>
        </is>
      </c>
    </row>
    <row r="33">
      <c r="A33" s="21" t="n">
        <v>21</v>
      </c>
      <c r="B33" s="21" t="inlineStr">
        <is>
          <t>Existing Pipeline</t>
        </is>
      </c>
      <c r="C33" s="21" t="inlineStr">
        <is>
          <t>25489</t>
        </is>
      </c>
      <c r="D33" s="21" t="inlineStr">
        <is>
          <t>The Meadows</t>
        </is>
      </c>
      <c r="E33" s="21" t="inlineStr">
        <is>
          <t>Approved</t>
        </is>
      </c>
      <c r="F33" s="21" t="inlineStr">
        <is>
          <t>Determination Notice Issued</t>
        </is>
      </c>
      <c r="G33" s="21" t="inlineStr">
        <is>
          <t>Y</t>
        </is>
      </c>
      <c r="H33" s="21" t="inlineStr">
        <is>
          <t>Y</t>
        </is>
      </c>
      <c r="I33" s="21" t="n">
        <v>45890</v>
      </c>
      <c r="J33" s="21" t="n">
        <v>22000000</v>
      </c>
      <c r="K33" s="21" t="n">
        <v>293115876</v>
      </c>
      <c r="L33" s="21" t="inlineStr">
        <is>
          <t>N</t>
        </is>
      </c>
      <c r="M33" s="21" t="n">
        <v>6884124</v>
      </c>
      <c r="N33" s="21" t="inlineStr">
        <is>
          <t>Eligible, but insufficient remaining capacity in current simulated cycle.</t>
        </is>
      </c>
    </row>
    <row r="34">
      <c r="A34" s="21" t="n">
        <v>22</v>
      </c>
      <c r="B34" s="21" t="inlineStr">
        <is>
          <t>Existing Pipeline</t>
        </is>
      </c>
      <c r="C34" s="21" t="inlineStr">
        <is>
          <t>25483</t>
        </is>
      </c>
      <c r="D34" s="21" t="inlineStr">
        <is>
          <t>Cobblestone Manor</t>
        </is>
      </c>
      <c r="E34" s="21" t="inlineStr">
        <is>
          <t>Approved</t>
        </is>
      </c>
      <c r="F34" s="21" t="inlineStr">
        <is>
          <t>Determination Notice Issued</t>
        </is>
      </c>
      <c r="G34" s="21" t="inlineStr">
        <is>
          <t>Y</t>
        </is>
      </c>
      <c r="H34" s="21" t="inlineStr">
        <is>
          <t>Y</t>
        </is>
      </c>
      <c r="I34" s="21" t="n">
        <v>45891</v>
      </c>
      <c r="J34" s="21" t="n">
        <v>45000000</v>
      </c>
      <c r="K34" s="21" t="n">
        <v>293115876</v>
      </c>
      <c r="L34" s="21" t="inlineStr">
        <is>
          <t>N</t>
        </is>
      </c>
      <c r="M34" s="21" t="n">
        <v>6884124</v>
      </c>
      <c r="N34" s="21" t="inlineStr">
        <is>
          <t>Eligible, but insufficient remaining capacity in current simulated cycle.</t>
        </is>
      </c>
    </row>
    <row r="35">
      <c r="A35" s="21" t="n">
        <v>23</v>
      </c>
      <c r="B35" s="21" t="inlineStr">
        <is>
          <t>Existing Pipeline</t>
        </is>
      </c>
      <c r="C35" s="21" t="inlineStr">
        <is>
          <t>24499/25419</t>
        </is>
      </c>
      <c r="D35" s="21" t="inlineStr">
        <is>
          <t>Belmont Apartments</t>
        </is>
      </c>
      <c r="E35" s="21" t="inlineStr">
        <is>
          <t>Approved</t>
        </is>
      </c>
      <c r="F35" s="21" t="inlineStr">
        <is>
          <t>Determination Notice Issued</t>
        </is>
      </c>
      <c r="G35" s="21" t="inlineStr">
        <is>
          <t>Y</t>
        </is>
      </c>
      <c r="H35" s="21" t="inlineStr">
        <is>
          <t>Y</t>
        </is>
      </c>
      <c r="I35" s="21" t="n">
        <v>45904</v>
      </c>
      <c r="J35" s="21" t="n">
        <v>60000000</v>
      </c>
      <c r="K35" s="21" t="n">
        <v>293115876</v>
      </c>
      <c r="L35" s="21" t="inlineStr">
        <is>
          <t>N</t>
        </is>
      </c>
      <c r="M35" s="21" t="n">
        <v>6884124</v>
      </c>
      <c r="N35" s="21" t="inlineStr">
        <is>
          <t>Eligible, but insufficient remaining capacity in current simulated cycle.</t>
        </is>
      </c>
    </row>
    <row r="36">
      <c r="A36" s="21" t="n">
        <v>24</v>
      </c>
      <c r="B36" s="21" t="inlineStr">
        <is>
          <t>Existing Pipeline</t>
        </is>
      </c>
      <c r="C36" s="21" t="inlineStr">
        <is>
          <t>25421</t>
        </is>
      </c>
      <c r="D36" s="21" t="inlineStr">
        <is>
          <t>Sycamores at Pleasant Valley</t>
        </is>
      </c>
      <c r="E36" s="21" t="inlineStr">
        <is>
          <t>Approved</t>
        </is>
      </c>
      <c r="F36" s="21" t="inlineStr">
        <is>
          <t>Determination Notice Issued</t>
        </is>
      </c>
      <c r="G36" s="21" t="inlineStr">
        <is>
          <t>Y</t>
        </is>
      </c>
      <c r="H36" s="21" t="inlineStr">
        <is>
          <t>Y</t>
        </is>
      </c>
      <c r="I36" s="21" t="n">
        <v>45911</v>
      </c>
      <c r="J36" s="21" t="n">
        <v>25000000</v>
      </c>
      <c r="K36" s="21" t="n">
        <v>293115876</v>
      </c>
      <c r="L36" s="21" t="inlineStr">
        <is>
          <t>N</t>
        </is>
      </c>
      <c r="M36" s="21" t="n">
        <v>6884124</v>
      </c>
      <c r="N36" s="21" t="inlineStr">
        <is>
          <t>Eligible, but insufficient remaining capacity in current simulated cycle.</t>
        </is>
      </c>
    </row>
    <row r="37">
      <c r="A37" s="21" t="n">
        <v>25</v>
      </c>
      <c r="B37" s="21" t="inlineStr">
        <is>
          <t>Existing Pipeline</t>
        </is>
      </c>
      <c r="C37" s="21" t="inlineStr">
        <is>
          <t>25610</t>
        </is>
      </c>
      <c r="D37" s="21" t="inlineStr">
        <is>
          <t>South 1st Affordable Apartments</t>
        </is>
      </c>
      <c r="E37" s="21" t="inlineStr">
        <is>
          <t>Pre-Application</t>
        </is>
      </c>
      <c r="F37" s="21" t="inlineStr">
        <is>
          <t>Determination Notice Issued</t>
        </is>
      </c>
      <c r="G37" s="21" t="inlineStr">
        <is>
          <t>Y</t>
        </is>
      </c>
      <c r="H37" s="21" t="inlineStr">
        <is>
          <t>Y</t>
        </is>
      </c>
      <c r="I37" s="21" t="n">
        <v>45931</v>
      </c>
      <c r="J37" s="21" t="n">
        <v>20000000</v>
      </c>
      <c r="K37" s="21" t="n">
        <v>293115876</v>
      </c>
      <c r="L37" s="21" t="inlineStr">
        <is>
          <t>N</t>
        </is>
      </c>
      <c r="M37" s="21" t="n">
        <v>6884124</v>
      </c>
      <c r="N37" s="21" t="inlineStr">
        <is>
          <t>Eligible, but insufficient remaining capacity in current simulated cycle.</t>
        </is>
      </c>
    </row>
    <row r="38">
      <c r="A38" s="21" t="n">
        <v>26</v>
      </c>
      <c r="B38" s="21" t="inlineStr">
        <is>
          <t>Existing Pipeline</t>
        </is>
      </c>
      <c r="C38" s="21" t="inlineStr">
        <is>
          <t>24702/25453</t>
        </is>
      </c>
      <c r="D38" s="21" t="inlineStr">
        <is>
          <t>Payton Gin</t>
        </is>
      </c>
      <c r="E38" s="21" t="inlineStr">
        <is>
          <t>Approved</t>
        </is>
      </c>
      <c r="F38" s="21" t="inlineStr">
        <is>
          <t>Determination Notice Issued</t>
        </is>
      </c>
      <c r="G38" s="21" t="inlineStr">
        <is>
          <t>Y</t>
        </is>
      </c>
      <c r="H38" s="21" t="inlineStr">
        <is>
          <t>Y</t>
        </is>
      </c>
      <c r="I38" s="21" t="n">
        <v>45971</v>
      </c>
      <c r="J38" s="21" t="n">
        <v>33000000</v>
      </c>
      <c r="K38" s="21" t="n">
        <v>293115876</v>
      </c>
      <c r="L38" s="21" t="inlineStr">
        <is>
          <t>N</t>
        </is>
      </c>
      <c r="M38" s="21" t="n">
        <v>6884124</v>
      </c>
      <c r="N38" s="21" t="inlineStr">
        <is>
          <t>Eligible, but insufficient remaining capacity in current simulated cycle.</t>
        </is>
      </c>
    </row>
    <row r="39">
      <c r="A39" s="21" t="n">
        <v>27</v>
      </c>
      <c r="B39" s="21" t="inlineStr">
        <is>
          <t>Existing Pipeline</t>
        </is>
      </c>
      <c r="C39" s="21" t="inlineStr">
        <is>
          <t>25615</t>
        </is>
      </c>
      <c r="D39" s="21" t="inlineStr">
        <is>
          <t>Mela Ranch</t>
        </is>
      </c>
      <c r="E39" s="21" t="inlineStr">
        <is>
          <t>Pre-Application</t>
        </is>
      </c>
      <c r="F39" s="21" t="inlineStr">
        <is>
          <t>Determination Notice Issued</t>
        </is>
      </c>
      <c r="G39" s="21" t="inlineStr">
        <is>
          <t>Y</t>
        </is>
      </c>
      <c r="H39" s="21" t="inlineStr">
        <is>
          <t>Y</t>
        </is>
      </c>
      <c r="I39" s="21" t="n">
        <v>45987</v>
      </c>
      <c r="J39" s="21" t="n">
        <v>31000000</v>
      </c>
      <c r="K39" s="21" t="n">
        <v>293115876</v>
      </c>
      <c r="L39" s="21" t="inlineStr">
        <is>
          <t>N</t>
        </is>
      </c>
      <c r="M39" s="21" t="n">
        <v>6884124</v>
      </c>
      <c r="N39" s="21" t="inlineStr">
        <is>
          <t>Eligible, but insufficient remaining capacity in current simulated cycle.</t>
        </is>
      </c>
    </row>
    <row r="40">
      <c r="A40" s="21" t="n">
        <v>28</v>
      </c>
      <c r="B40" s="21" t="inlineStr">
        <is>
          <t>Existing Pipeline</t>
        </is>
      </c>
      <c r="C40" s="21" t="inlineStr">
        <is>
          <t>25491</t>
        </is>
      </c>
      <c r="D40" s="21" t="inlineStr">
        <is>
          <t>Avanti Hills</t>
        </is>
      </c>
      <c r="E40" s="21" t="inlineStr">
        <is>
          <t>Approved</t>
        </is>
      </c>
      <c r="F40" s="21" t="inlineStr">
        <is>
          <t>Determination Notice Issued</t>
        </is>
      </c>
      <c r="G40" s="21" t="inlineStr">
        <is>
          <t>Y</t>
        </is>
      </c>
      <c r="H40" s="21" t="inlineStr">
        <is>
          <t>Y</t>
        </is>
      </c>
      <c r="I40" s="21" t="n">
        <v>46049</v>
      </c>
      <c r="J40" s="21" t="n">
        <v>60000000</v>
      </c>
      <c r="K40" s="21" t="n">
        <v>293115876</v>
      </c>
      <c r="L40" s="21" t="inlineStr">
        <is>
          <t>N</t>
        </is>
      </c>
      <c r="M40" s="21" t="n">
        <v>6884124</v>
      </c>
      <c r="N40" s="21" t="inlineStr">
        <is>
          <t>Eligible, but insufficient remaining capacity in current simulated cycle.</t>
        </is>
      </c>
    </row>
    <row r="41">
      <c r="A41" s="21" t="n">
        <v>29</v>
      </c>
      <c r="B41" s="21" t="inlineStr">
        <is>
          <t>Existing Pipeline</t>
        </is>
      </c>
      <c r="C41" s="21" t="inlineStr">
        <is>
          <t>25469</t>
        </is>
      </c>
      <c r="D41" s="21" t="inlineStr">
        <is>
          <t>Sacred Heart Villas</t>
        </is>
      </c>
      <c r="E41" s="21" t="inlineStr">
        <is>
          <t>Approved</t>
        </is>
      </c>
      <c r="F41" s="21" t="inlineStr">
        <is>
          <t>Determination Notice Issued</t>
        </is>
      </c>
      <c r="G41" s="21" t="inlineStr">
        <is>
          <t>Y</t>
        </is>
      </c>
      <c r="H41" s="21" t="inlineStr">
        <is>
          <t>Y</t>
        </is>
      </c>
      <c r="I41" s="21" t="n">
        <v>46051</v>
      </c>
      <c r="J41" s="21" t="n">
        <v>12000000</v>
      </c>
      <c r="K41" s="21" t="n">
        <v>293115876</v>
      </c>
      <c r="L41" s="21" t="inlineStr">
        <is>
          <t>N</t>
        </is>
      </c>
      <c r="M41" s="21" t="n">
        <v>6884124</v>
      </c>
      <c r="N41" s="21" t="inlineStr">
        <is>
          <t>Eligible, but insufficient remaining capacity in current simulated cycle.</t>
        </is>
      </c>
    </row>
    <row r="42">
      <c r="A42" s="21" t="n">
        <v>30</v>
      </c>
      <c r="B42" s="21" t="inlineStr">
        <is>
          <t>Existing Pipeline</t>
        </is>
      </c>
      <c r="C42" s="21" t="inlineStr">
        <is>
          <t>25473</t>
        </is>
      </c>
      <c r="D42" s="21" t="inlineStr">
        <is>
          <t>Seville Place</t>
        </is>
      </c>
      <c r="E42" s="21" t="inlineStr">
        <is>
          <t>Approved</t>
        </is>
      </c>
      <c r="F42" s="21" t="inlineStr">
        <is>
          <t>Determination Notice Issued</t>
        </is>
      </c>
      <c r="G42" s="21" t="inlineStr">
        <is>
          <t>Y</t>
        </is>
      </c>
      <c r="H42" s="21" t="inlineStr">
        <is>
          <t>Y</t>
        </is>
      </c>
      <c r="I42" s="21" t="n">
        <v>46057</v>
      </c>
      <c r="J42" s="21" t="n">
        <v>22500000</v>
      </c>
      <c r="K42" s="21" t="n">
        <v>293115876</v>
      </c>
      <c r="L42" s="21" t="inlineStr">
        <is>
          <t>N</t>
        </is>
      </c>
      <c r="M42" s="21" t="n">
        <v>6884124</v>
      </c>
      <c r="N42" s="21" t="inlineStr">
        <is>
          <t>Eligible, but insufficient remaining capacity in current simulated cycle.</t>
        </is>
      </c>
    </row>
    <row r="43">
      <c r="A43" s="21" t="n">
        <v>31</v>
      </c>
      <c r="B43" s="21" t="inlineStr">
        <is>
          <t>Existing Pipeline</t>
        </is>
      </c>
      <c r="C43" s="21" t="inlineStr">
        <is>
          <t>25477</t>
        </is>
      </c>
      <c r="D43" s="21" t="inlineStr">
        <is>
          <t>Torrington Forest</t>
        </is>
      </c>
      <c r="E43" s="21" t="inlineStr">
        <is>
          <t>Approved</t>
        </is>
      </c>
      <c r="F43" s="21" t="inlineStr">
        <is>
          <t>Determination Notice Issued</t>
        </is>
      </c>
      <c r="G43" s="21" t="inlineStr">
        <is>
          <t>Y</t>
        </is>
      </c>
      <c r="H43" s="21" t="inlineStr">
        <is>
          <t>Y</t>
        </is>
      </c>
      <c r="I43" s="21" t="n">
        <v>46057</v>
      </c>
      <c r="J43" s="21" t="n">
        <v>40000000</v>
      </c>
      <c r="K43" s="21" t="n">
        <v>293115876</v>
      </c>
      <c r="L43" s="21" t="inlineStr">
        <is>
          <t>N</t>
        </is>
      </c>
      <c r="M43" s="21" t="n">
        <v>6884124</v>
      </c>
      <c r="N43" s="21" t="inlineStr">
        <is>
          <t>Eligible, but insufficient remaining capacity in current simulated cycle.</t>
        </is>
      </c>
    </row>
    <row r="44">
      <c r="A44" s="21" t="n">
        <v>32</v>
      </c>
      <c r="B44" s="21" t="inlineStr">
        <is>
          <t>Existing Pipeline</t>
        </is>
      </c>
      <c r="C44" s="21" t="inlineStr">
        <is>
          <t>25494</t>
        </is>
      </c>
      <c r="D44" s="21" t="inlineStr">
        <is>
          <t>Lakeside Lofts</t>
        </is>
      </c>
      <c r="E44" s="21" t="inlineStr">
        <is>
          <t>Approved</t>
        </is>
      </c>
      <c r="F44" s="21" t="inlineStr">
        <is>
          <t>Determination Notice Issued</t>
        </is>
      </c>
      <c r="G44" s="21" t="inlineStr">
        <is>
          <t>Y</t>
        </is>
      </c>
      <c r="H44" s="21" t="inlineStr">
        <is>
          <t>Y</t>
        </is>
      </c>
      <c r="I44" s="21" t="n">
        <v>46057</v>
      </c>
      <c r="J44" s="21" t="n">
        <v>45000000</v>
      </c>
      <c r="K44" s="21" t="n">
        <v>293115876</v>
      </c>
      <c r="L44" s="21" t="inlineStr">
        <is>
          <t>N</t>
        </is>
      </c>
      <c r="M44" s="21" t="n">
        <v>6884124</v>
      </c>
      <c r="N44" s="21" t="inlineStr">
        <is>
          <t>Eligible, but insufficient remaining capacity in current simulated cycle.</t>
        </is>
      </c>
    </row>
    <row r="45">
      <c r="A45" s="21" t="n">
        <v>33</v>
      </c>
      <c r="B45" s="21" t="inlineStr">
        <is>
          <t>Existing Pipeline</t>
        </is>
      </c>
      <c r="C45" s="21" t="n"/>
      <c r="D45" s="21" t="inlineStr">
        <is>
          <t>Jimbo's Apartment</t>
        </is>
      </c>
      <c r="E45" s="21" t="inlineStr"/>
      <c r="F45" s="21" t="inlineStr">
        <is>
          <t>Determination Notice Issued</t>
        </is>
      </c>
      <c r="G45" s="21" t="inlineStr">
        <is>
          <t>Y</t>
        </is>
      </c>
      <c r="H45" s="21" t="inlineStr">
        <is>
          <t>Y</t>
        </is>
      </c>
      <c r="I45" s="21" t="n"/>
      <c r="J45" s="21" t="n"/>
      <c r="K45" s="21" t="n">
        <v>293115876</v>
      </c>
      <c r="L45" s="21" t="inlineStr">
        <is>
          <t>N</t>
        </is>
      </c>
      <c r="M45" s="21" t="n">
        <v>6884124</v>
      </c>
      <c r="N45" s="21" t="inlineStr">
        <is>
          <t>No requested bond amount entered.</t>
        </is>
      </c>
    </row>
    <row r="46">
      <c r="A46" s="21" t="n"/>
      <c r="B46" s="21" t="inlineStr">
        <is>
          <t>Existing Pipeline</t>
        </is>
      </c>
      <c r="C46" s="21" t="inlineStr">
        <is>
          <t>25490</t>
        </is>
      </c>
      <c r="D46" s="21" t="inlineStr">
        <is>
          <t>Aster Villas Apartments</t>
        </is>
      </c>
      <c r="E46" s="21" t="inlineStr">
        <is>
          <t>Withdrawn</t>
        </is>
      </c>
      <c r="F46" s="21" t="inlineStr">
        <is>
          <t>Withdrawn</t>
        </is>
      </c>
      <c r="G46" s="21" t="inlineStr">
        <is>
          <t>N</t>
        </is>
      </c>
      <c r="H46" s="21" t="inlineStr">
        <is>
          <t>N</t>
        </is>
      </c>
      <c r="I46" s="21" t="n">
        <v>45866</v>
      </c>
      <c r="J46" s="21" t="n">
        <v>37000000</v>
      </c>
      <c r="K46" s="21" t="n"/>
      <c r="L46" s="21" t="inlineStr">
        <is>
          <t>N</t>
        </is>
      </c>
      <c r="M46" s="21" t="n"/>
      <c r="N46" s="21" t="inlineStr">
        <is>
          <t>Terminal / already resolved project; excluded from new allocation cycle.</t>
        </is>
      </c>
    </row>
    <row r="47">
      <c r="A47" s="21" t="n"/>
      <c r="B47" s="21" t="inlineStr">
        <is>
          <t>Existing Pipeline</t>
        </is>
      </c>
      <c r="C47" s="21" t="inlineStr">
        <is>
          <t>25441</t>
        </is>
      </c>
      <c r="D47" s="21" t="inlineStr">
        <is>
          <t>Aureus at Whisper Hills</t>
        </is>
      </c>
      <c r="E47" s="21" t="inlineStr">
        <is>
          <t>Withdrawn</t>
        </is>
      </c>
      <c r="F47" s="21" t="inlineStr">
        <is>
          <t>Withdrawn</t>
        </is>
      </c>
      <c r="G47" s="21" t="inlineStr">
        <is>
          <t>N</t>
        </is>
      </c>
      <c r="H47" s="21" t="inlineStr">
        <is>
          <t>N</t>
        </is>
      </c>
      <c r="I47" s="21" t="n">
        <v>45671</v>
      </c>
      <c r="J47" s="21" t="n">
        <v>40000000</v>
      </c>
      <c r="K47" s="21" t="n"/>
      <c r="L47" s="21" t="inlineStr">
        <is>
          <t>N</t>
        </is>
      </c>
      <c r="M47" s="21" t="n"/>
      <c r="N47" s="21" t="inlineStr">
        <is>
          <t>Terminal / already resolved project; excluded from new allocation cycle.</t>
        </is>
      </c>
    </row>
    <row r="48">
      <c r="A48" s="21" t="n"/>
      <c r="B48" s="21" t="inlineStr">
        <is>
          <t>Existing Pipeline</t>
        </is>
      </c>
      <c r="C48" s="21" t="inlineStr">
        <is>
          <t>25427</t>
        </is>
      </c>
      <c r="D48" s="21" t="inlineStr">
        <is>
          <t>Bay Terrace</t>
        </is>
      </c>
      <c r="E48" s="21" t="inlineStr">
        <is>
          <t>Closed</t>
        </is>
      </c>
      <c r="F48" s="21" t="inlineStr">
        <is>
          <t>Closed</t>
        </is>
      </c>
      <c r="G48" s="21" t="inlineStr">
        <is>
          <t>Y</t>
        </is>
      </c>
      <c r="H48" s="21" t="inlineStr">
        <is>
          <t>N</t>
        </is>
      </c>
      <c r="I48" s="21" t="n">
        <v>45670</v>
      </c>
      <c r="J48" s="21" t="n">
        <v>22500000</v>
      </c>
      <c r="K48" s="21" t="n"/>
      <c r="L48" s="21" t="inlineStr">
        <is>
          <t>N</t>
        </is>
      </c>
      <c r="M48" s="21" t="n"/>
      <c r="N48" s="21" t="inlineStr">
        <is>
          <t>Terminal / already resolved project; excluded from new allocation cycle.</t>
        </is>
      </c>
    </row>
    <row r="49">
      <c r="A49" s="21" t="n"/>
      <c r="B49" s="21" t="inlineStr">
        <is>
          <t>Existing Pipeline</t>
        </is>
      </c>
      <c r="C49" s="21" t="inlineStr">
        <is>
          <t>25408</t>
        </is>
      </c>
      <c r="D49" s="21" t="inlineStr">
        <is>
          <t>Baypointe Apartments</t>
        </is>
      </c>
      <c r="E49" s="21" t="inlineStr">
        <is>
          <t>Closed</t>
        </is>
      </c>
      <c r="F49" s="21" t="inlineStr">
        <is>
          <t>Closed</t>
        </is>
      </c>
      <c r="G49" s="21" t="inlineStr">
        <is>
          <t>Y</t>
        </is>
      </c>
      <c r="H49" s="21" t="inlineStr">
        <is>
          <t>N</t>
        </is>
      </c>
      <c r="I49" s="21" t="n">
        <v>45709</v>
      </c>
      <c r="J49" s="21" t="n">
        <v>35000000</v>
      </c>
      <c r="K49" s="21" t="n"/>
      <c r="L49" s="21" t="inlineStr">
        <is>
          <t>N</t>
        </is>
      </c>
      <c r="M49" s="21" t="n"/>
      <c r="N49" s="21" t="inlineStr">
        <is>
          <t>Terminal / already resolved project; excluded from new allocation cycle.</t>
        </is>
      </c>
    </row>
    <row r="50">
      <c r="A50" s="21" t="n"/>
      <c r="B50" s="21" t="inlineStr">
        <is>
          <t>Existing Pipeline</t>
        </is>
      </c>
      <c r="C50" s="21" t="inlineStr">
        <is>
          <t>25433</t>
        </is>
      </c>
      <c r="D50" s="21" t="inlineStr">
        <is>
          <t>Brady Village</t>
        </is>
      </c>
      <c r="E50" s="21" t="inlineStr">
        <is>
          <t>Withdrawn</t>
        </is>
      </c>
      <c r="F50" s="21" t="inlineStr">
        <is>
          <t>Withdrawn</t>
        </is>
      </c>
      <c r="G50" s="21" t="inlineStr">
        <is>
          <t>N</t>
        </is>
      </c>
      <c r="H50" s="21" t="inlineStr">
        <is>
          <t>N</t>
        </is>
      </c>
      <c r="I50" s="21" t="n">
        <v>45667</v>
      </c>
      <c r="J50" s="21" t="n">
        <v>25000000</v>
      </c>
      <c r="K50" s="21" t="n"/>
      <c r="L50" s="21" t="inlineStr">
        <is>
          <t>N</t>
        </is>
      </c>
      <c r="M50" s="21" t="n"/>
      <c r="N50" s="21" t="inlineStr">
        <is>
          <t>Terminal / already resolved project; excluded from new allocation cycle.</t>
        </is>
      </c>
    </row>
    <row r="51">
      <c r="A51" s="21" t="n"/>
      <c r="B51" s="21" t="inlineStr">
        <is>
          <t>Existing Pipeline</t>
        </is>
      </c>
      <c r="C51" s="21" t="inlineStr">
        <is>
          <t>25424</t>
        </is>
      </c>
      <c r="D51" s="21" t="inlineStr">
        <is>
          <t>Branchview Apartments</t>
        </is>
      </c>
      <c r="E51" s="21" t="inlineStr">
        <is>
          <t>Withdrawn</t>
        </is>
      </c>
      <c r="F51" s="21" t="inlineStr">
        <is>
          <t>Withdrawn</t>
        </is>
      </c>
      <c r="G51" s="21" t="inlineStr">
        <is>
          <t>N</t>
        </is>
      </c>
      <c r="H51" s="21" t="inlineStr">
        <is>
          <t>N</t>
        </is>
      </c>
      <c r="I51" s="21" t="n">
        <v>45715</v>
      </c>
      <c r="J51" s="21" t="n">
        <v>42000000</v>
      </c>
      <c r="K51" s="21" t="n"/>
      <c r="L51" s="21" t="inlineStr">
        <is>
          <t>N</t>
        </is>
      </c>
      <c r="M51" s="21" t="n"/>
      <c r="N51" s="21" t="inlineStr">
        <is>
          <t>Terminal / already resolved project; excluded from new allocation cycle.</t>
        </is>
      </c>
    </row>
    <row r="52">
      <c r="A52" s="21" t="n"/>
      <c r="B52" s="21" t="inlineStr">
        <is>
          <t>Existing Pipeline</t>
        </is>
      </c>
      <c r="C52" s="21" t="inlineStr">
        <is>
          <t>25425</t>
        </is>
      </c>
      <c r="D52" s="21" t="inlineStr">
        <is>
          <t>Bridge at Treeline</t>
        </is>
      </c>
      <c r="E52" s="21" t="inlineStr">
        <is>
          <t>Withdrawn</t>
        </is>
      </c>
      <c r="F52" s="21" t="inlineStr">
        <is>
          <t>Withdrawn</t>
        </is>
      </c>
      <c r="G52" s="21" t="inlineStr">
        <is>
          <t>N</t>
        </is>
      </c>
      <c r="H52" s="21" t="inlineStr">
        <is>
          <t>N</t>
        </is>
      </c>
      <c r="I52" s="21" t="n">
        <v>45672</v>
      </c>
      <c r="J52" s="21" t="n">
        <v>40000000</v>
      </c>
      <c r="K52" s="21" t="n"/>
      <c r="L52" s="21" t="inlineStr">
        <is>
          <t>N</t>
        </is>
      </c>
      <c r="M52" s="21" t="n"/>
      <c r="N52" s="21" t="inlineStr">
        <is>
          <t>Terminal / already resolved project; excluded from new allocation cycle.</t>
        </is>
      </c>
    </row>
    <row r="53">
      <c r="A53" s="21" t="n"/>
      <c r="B53" s="21" t="inlineStr">
        <is>
          <t>Existing Pipeline</t>
        </is>
      </c>
      <c r="C53" s="21" t="inlineStr">
        <is>
          <t>25467</t>
        </is>
      </c>
      <c r="D53" s="21" t="inlineStr">
        <is>
          <t>Cameron HiLine</t>
        </is>
      </c>
      <c r="E53" s="21" t="inlineStr">
        <is>
          <t>Closed</t>
        </is>
      </c>
      <c r="F53" s="21" t="inlineStr">
        <is>
          <t>Closed</t>
        </is>
      </c>
      <c r="G53" s="21" t="inlineStr">
        <is>
          <t>Y</t>
        </is>
      </c>
      <c r="H53" s="21" t="inlineStr">
        <is>
          <t>N</t>
        </is>
      </c>
      <c r="I53" s="21" t="n">
        <v>45785</v>
      </c>
      <c r="J53" s="21" t="n">
        <v>40000000</v>
      </c>
      <c r="K53" s="21" t="n"/>
      <c r="L53" s="21" t="inlineStr">
        <is>
          <t>N</t>
        </is>
      </c>
      <c r="M53" s="21" t="n"/>
      <c r="N53" s="21" t="inlineStr">
        <is>
          <t>Terminal / already resolved project; excluded from new allocation cycle.</t>
        </is>
      </c>
    </row>
    <row r="54">
      <c r="A54" s="21" t="n"/>
      <c r="B54" s="21" t="inlineStr">
        <is>
          <t>Existing Pipeline</t>
        </is>
      </c>
      <c r="C54" s="21" t="inlineStr">
        <is>
          <t>25474</t>
        </is>
      </c>
      <c r="D54" s="21" t="inlineStr">
        <is>
          <t>Central at Commerce</t>
        </is>
      </c>
      <c r="E54" s="21" t="inlineStr">
        <is>
          <t>Closed</t>
        </is>
      </c>
      <c r="F54" s="21" t="inlineStr">
        <is>
          <t>Closed</t>
        </is>
      </c>
      <c r="G54" s="21" t="inlineStr">
        <is>
          <t>Y</t>
        </is>
      </c>
      <c r="H54" s="21" t="inlineStr">
        <is>
          <t>N</t>
        </is>
      </c>
      <c r="I54" s="21" t="n">
        <v>45863</v>
      </c>
      <c r="J54" s="21" t="n">
        <v>50000000</v>
      </c>
      <c r="K54" s="21" t="n"/>
      <c r="L54" s="21" t="inlineStr">
        <is>
          <t>N</t>
        </is>
      </c>
      <c r="M54" s="21" t="n"/>
      <c r="N54" s="21" t="inlineStr">
        <is>
          <t>Terminal / already resolved project; excluded from new allocation cycle.</t>
        </is>
      </c>
    </row>
    <row r="55">
      <c r="A55" s="21" t="n"/>
      <c r="B55" s="21" t="inlineStr">
        <is>
          <t>Existing Pipeline</t>
        </is>
      </c>
      <c r="C55" s="21" t="inlineStr">
        <is>
          <t>25447</t>
        </is>
      </c>
      <c r="D55" s="21" t="inlineStr">
        <is>
          <t>Columbia Renaissance Square</t>
        </is>
      </c>
      <c r="E55" s="21" t="inlineStr">
        <is>
          <t>Closed</t>
        </is>
      </c>
      <c r="F55" s="21" t="inlineStr">
        <is>
          <t>Closed</t>
        </is>
      </c>
      <c r="G55" s="21" t="inlineStr">
        <is>
          <t>Y</t>
        </is>
      </c>
      <c r="H55" s="21" t="inlineStr">
        <is>
          <t>N</t>
        </is>
      </c>
      <c r="I55" s="21" t="n">
        <v>45685</v>
      </c>
      <c r="J55" s="21" t="n">
        <v>25000000</v>
      </c>
      <c r="K55" s="21" t="n"/>
      <c r="L55" s="21" t="inlineStr">
        <is>
          <t>N</t>
        </is>
      </c>
      <c r="M55" s="21" t="n"/>
      <c r="N55" s="21" t="inlineStr">
        <is>
          <t>Terminal / already resolved project; excluded from new allocation cycle.</t>
        </is>
      </c>
    </row>
    <row r="56">
      <c r="A56" s="21" t="n"/>
      <c r="B56" s="21" t="inlineStr">
        <is>
          <t>Existing Pipeline</t>
        </is>
      </c>
      <c r="C56" s="21" t="inlineStr">
        <is>
          <t>25422</t>
        </is>
      </c>
      <c r="D56" s="21" t="inlineStr">
        <is>
          <t>Covington Acres</t>
        </is>
      </c>
      <c r="E56" s="21" t="inlineStr">
        <is>
          <t>Closed</t>
        </is>
      </c>
      <c r="F56" s="21" t="inlineStr">
        <is>
          <t>Closed</t>
        </is>
      </c>
      <c r="G56" s="21" t="inlineStr">
        <is>
          <t>Y</t>
        </is>
      </c>
      <c r="H56" s="21" t="inlineStr">
        <is>
          <t>N</t>
        </is>
      </c>
      <c r="I56" s="21" t="n">
        <v>45674</v>
      </c>
      <c r="J56" s="21" t="n">
        <v>40000000</v>
      </c>
      <c r="K56" s="21" t="n"/>
      <c r="L56" s="21" t="inlineStr">
        <is>
          <t>N</t>
        </is>
      </c>
      <c r="M56" s="21" t="n"/>
      <c r="N56" s="21" t="inlineStr">
        <is>
          <t>Terminal / already resolved project; excluded from new allocation cycle.</t>
        </is>
      </c>
    </row>
    <row r="57">
      <c r="A57" s="21" t="n"/>
      <c r="B57" s="21" t="inlineStr">
        <is>
          <t>Existing Pipeline</t>
        </is>
      </c>
      <c r="C57" s="21" t="inlineStr">
        <is>
          <t>25414</t>
        </is>
      </c>
      <c r="D57" s="21" t="inlineStr">
        <is>
          <t>Enclave at Crosby</t>
        </is>
      </c>
      <c r="E57" s="21" t="inlineStr">
        <is>
          <t>Withdrawn</t>
        </is>
      </c>
      <c r="F57" s="21" t="inlineStr">
        <is>
          <t>Withdrawn</t>
        </is>
      </c>
      <c r="G57" s="21" t="inlineStr">
        <is>
          <t>N</t>
        </is>
      </c>
      <c r="H57" s="21" t="inlineStr">
        <is>
          <t>N</t>
        </is>
      </c>
      <c r="I57" s="21" t="n">
        <v>45709</v>
      </c>
      <c r="J57" s="21" t="n">
        <v>50000000</v>
      </c>
      <c r="K57" s="21" t="n"/>
      <c r="L57" s="21" t="inlineStr">
        <is>
          <t>N</t>
        </is>
      </c>
      <c r="M57" s="21" t="n"/>
      <c r="N57" s="21" t="inlineStr">
        <is>
          <t>Terminal / already resolved project; excluded from new allocation cycle.</t>
        </is>
      </c>
    </row>
    <row r="58">
      <c r="A58" s="21" t="n"/>
      <c r="B58" s="21" t="inlineStr">
        <is>
          <t>Existing Pipeline</t>
        </is>
      </c>
      <c r="C58" s="21" t="inlineStr">
        <is>
          <t>25401</t>
        </is>
      </c>
      <c r="D58" s="21" t="inlineStr">
        <is>
          <t>Enclave at Cypress</t>
        </is>
      </c>
      <c r="E58" s="21" t="inlineStr">
        <is>
          <t>Withdrawn</t>
        </is>
      </c>
      <c r="F58" s="21" t="inlineStr">
        <is>
          <t>Withdrawn</t>
        </is>
      </c>
      <c r="G58" s="21" t="inlineStr">
        <is>
          <t>N</t>
        </is>
      </c>
      <c r="H58" s="21" t="inlineStr">
        <is>
          <t>N</t>
        </is>
      </c>
      <c r="I58" s="21" t="n">
        <v>45672</v>
      </c>
      <c r="J58" s="21" t="n">
        <v>50000000</v>
      </c>
      <c r="K58" s="21" t="n"/>
      <c r="L58" s="21" t="inlineStr">
        <is>
          <t>N</t>
        </is>
      </c>
      <c r="M58" s="21" t="n"/>
      <c r="N58" s="21" t="inlineStr">
        <is>
          <t>Terminal / already resolved project; excluded from new allocation cycle.</t>
        </is>
      </c>
    </row>
    <row r="59">
      <c r="A59" s="21" t="n"/>
      <c r="B59" s="21" t="inlineStr">
        <is>
          <t>Existing Pipeline</t>
        </is>
      </c>
      <c r="C59" s="21" t="inlineStr">
        <is>
          <t>25445</t>
        </is>
      </c>
      <c r="D59" s="21" t="inlineStr">
        <is>
          <t>Enclave at Sherman</t>
        </is>
      </c>
      <c r="E59" s="21" t="inlineStr">
        <is>
          <t>Withdrawn</t>
        </is>
      </c>
      <c r="F59" s="21" t="inlineStr">
        <is>
          <t>Withdrawn</t>
        </is>
      </c>
      <c r="G59" s="21" t="inlineStr">
        <is>
          <t>N</t>
        </is>
      </c>
      <c r="H59" s="21" t="inlineStr">
        <is>
          <t>N</t>
        </is>
      </c>
      <c r="I59" s="21" t="n">
        <v>45680</v>
      </c>
      <c r="J59" s="21" t="n">
        <v>50000000</v>
      </c>
      <c r="K59" s="21" t="n"/>
      <c r="L59" s="21" t="inlineStr">
        <is>
          <t>N</t>
        </is>
      </c>
      <c r="M59" s="21" t="n"/>
      <c r="N59" s="21" t="inlineStr">
        <is>
          <t>Terminal / already resolved project; excluded from new allocation cycle.</t>
        </is>
      </c>
    </row>
    <row r="60">
      <c r="A60" s="21" t="n"/>
      <c r="B60" s="21" t="inlineStr">
        <is>
          <t>Existing Pipeline</t>
        </is>
      </c>
      <c r="C60" s="21" t="inlineStr">
        <is>
          <t>25449</t>
        </is>
      </c>
      <c r="D60" s="21" t="inlineStr">
        <is>
          <t>Enclave on Louetta</t>
        </is>
      </c>
      <c r="E60" s="21" t="inlineStr">
        <is>
          <t>Closed</t>
        </is>
      </c>
      <c r="F60" s="21" t="inlineStr">
        <is>
          <t>Closed</t>
        </is>
      </c>
      <c r="G60" s="21" t="inlineStr">
        <is>
          <t>Y</t>
        </is>
      </c>
      <c r="H60" s="21" t="inlineStr">
        <is>
          <t>N</t>
        </is>
      </c>
      <c r="I60" s="21" t="n">
        <v>45680</v>
      </c>
      <c r="J60" s="21" t="n">
        <v>50000000</v>
      </c>
      <c r="K60" s="21" t="n"/>
      <c r="L60" s="21" t="inlineStr">
        <is>
          <t>N</t>
        </is>
      </c>
      <c r="M60" s="21" t="n"/>
      <c r="N60" s="21" t="inlineStr">
        <is>
          <t>Terminal / already resolved project; excluded from new allocation cycle.</t>
        </is>
      </c>
    </row>
    <row r="61">
      <c r="A61" s="21" t="n"/>
      <c r="B61" s="21" t="inlineStr">
        <is>
          <t>Existing Pipeline</t>
        </is>
      </c>
      <c r="C61" s="21" t="inlineStr">
        <is>
          <t>25406</t>
        </is>
      </c>
      <c r="D61" s="21" t="inlineStr">
        <is>
          <t>Fairlake Cove</t>
        </is>
      </c>
      <c r="E61" s="21" t="inlineStr">
        <is>
          <t>Withdrawn</t>
        </is>
      </c>
      <c r="F61" s="21" t="inlineStr">
        <is>
          <t>Withdrawn</t>
        </is>
      </c>
      <c r="G61" s="21" t="inlineStr">
        <is>
          <t>N</t>
        </is>
      </c>
      <c r="H61" s="21" t="inlineStr">
        <is>
          <t>N</t>
        </is>
      </c>
      <c r="I61" s="21" t="n">
        <v>45671</v>
      </c>
      <c r="J61" s="21" t="n">
        <v>40000000</v>
      </c>
      <c r="K61" s="21" t="n"/>
      <c r="L61" s="21" t="inlineStr">
        <is>
          <t>N</t>
        </is>
      </c>
      <c r="M61" s="21" t="n"/>
      <c r="N61" s="21" t="inlineStr">
        <is>
          <t>Terminal / already resolved project; excluded from new allocation cycle.</t>
        </is>
      </c>
    </row>
    <row r="62">
      <c r="A62" s="21" t="n"/>
      <c r="B62" s="21" t="inlineStr">
        <is>
          <t>Existing Pipeline</t>
        </is>
      </c>
      <c r="C62" s="21" t="inlineStr">
        <is>
          <t>25465</t>
        </is>
      </c>
      <c r="D62" s="21" t="inlineStr">
        <is>
          <t>Haverstock Hills East</t>
        </is>
      </c>
      <c r="E62" s="21" t="inlineStr">
        <is>
          <t>Closed</t>
        </is>
      </c>
      <c r="F62" s="21" t="inlineStr">
        <is>
          <t>Closed</t>
        </is>
      </c>
      <c r="G62" s="21" t="inlineStr">
        <is>
          <t>Y</t>
        </is>
      </c>
      <c r="H62" s="21" t="inlineStr">
        <is>
          <t>N</t>
        </is>
      </c>
      <c r="I62" s="21" t="n">
        <v>45818</v>
      </c>
      <c r="J62" s="21" t="n">
        <v>69152737</v>
      </c>
      <c r="K62" s="21" t="n"/>
      <c r="L62" s="21" t="inlineStr">
        <is>
          <t>N</t>
        </is>
      </c>
      <c r="M62" s="21" t="n"/>
      <c r="N62" s="21" t="inlineStr">
        <is>
          <t>Terminal / already resolved project; excluded from new allocation cycle.</t>
        </is>
      </c>
    </row>
    <row r="63">
      <c r="A63" s="21" t="n"/>
      <c r="B63" s="21" t="inlineStr">
        <is>
          <t>Existing Pipeline</t>
        </is>
      </c>
      <c r="C63" s="21" t="inlineStr">
        <is>
          <t>25466</t>
        </is>
      </c>
      <c r="D63" s="21" t="inlineStr">
        <is>
          <t>Haverstock Hills West</t>
        </is>
      </c>
      <c r="E63" s="21" t="inlineStr">
        <is>
          <t>Closed</t>
        </is>
      </c>
      <c r="F63" s="21" t="inlineStr">
        <is>
          <t>Closed</t>
        </is>
      </c>
      <c r="G63" s="21" t="inlineStr">
        <is>
          <t>Y</t>
        </is>
      </c>
      <c r="H63" s="21" t="inlineStr">
        <is>
          <t>N</t>
        </is>
      </c>
      <c r="I63" s="21" t="n">
        <v>45819</v>
      </c>
      <c r="J63" s="21" t="n">
        <v>69152737</v>
      </c>
      <c r="K63" s="21" t="n"/>
      <c r="L63" s="21" t="inlineStr">
        <is>
          <t>N</t>
        </is>
      </c>
      <c r="M63" s="21" t="n"/>
      <c r="N63" s="21" t="inlineStr">
        <is>
          <t>Terminal / already resolved project; excluded from new allocation cycle.</t>
        </is>
      </c>
    </row>
    <row r="64">
      <c r="A64" s="21" t="n"/>
      <c r="B64" s="21" t="inlineStr">
        <is>
          <t>Existing Pipeline</t>
        </is>
      </c>
      <c r="C64" s="21" t="inlineStr">
        <is>
          <t>25460</t>
        </is>
      </c>
      <c r="D64" s="21" t="inlineStr">
        <is>
          <t>Hays Street Apartments</t>
        </is>
      </c>
      <c r="E64" s="21" t="inlineStr">
        <is>
          <t>Withdrawn</t>
        </is>
      </c>
      <c r="F64" s="21" t="inlineStr">
        <is>
          <t>Withdrawn</t>
        </is>
      </c>
      <c r="G64" s="21" t="inlineStr">
        <is>
          <t>N</t>
        </is>
      </c>
      <c r="H64" s="21" t="inlineStr">
        <is>
          <t>N</t>
        </is>
      </c>
      <c r="I64" s="21" t="n">
        <v>45737</v>
      </c>
      <c r="J64" s="21" t="n">
        <v>20000000</v>
      </c>
      <c r="K64" s="21" t="n"/>
      <c r="L64" s="21" t="inlineStr">
        <is>
          <t>N</t>
        </is>
      </c>
      <c r="M64" s="21" t="n"/>
      <c r="N64" s="21" t="inlineStr">
        <is>
          <t>Terminal / already resolved project; excluded from new allocation cycle.</t>
        </is>
      </c>
    </row>
    <row r="65">
      <c r="A65" s="21" t="n"/>
      <c r="B65" s="21" t="inlineStr">
        <is>
          <t>Existing Pipeline</t>
        </is>
      </c>
      <c r="C65" s="21" t="inlineStr">
        <is>
          <t>25405</t>
        </is>
      </c>
      <c r="D65" s="21" t="inlineStr">
        <is>
          <t>HiLine Illinois</t>
        </is>
      </c>
      <c r="E65" s="21" t="inlineStr">
        <is>
          <t>Closed</t>
        </is>
      </c>
      <c r="F65" s="21" t="inlineStr">
        <is>
          <t>Closed</t>
        </is>
      </c>
      <c r="G65" s="21" t="inlineStr">
        <is>
          <t>Y</t>
        </is>
      </c>
      <c r="H65" s="21" t="inlineStr">
        <is>
          <t>N</t>
        </is>
      </c>
      <c r="I65" s="21" t="n">
        <v>45672</v>
      </c>
      <c r="J65" s="21" t="n">
        <v>35000000</v>
      </c>
      <c r="K65" s="21" t="n"/>
      <c r="L65" s="21" t="inlineStr">
        <is>
          <t>N</t>
        </is>
      </c>
      <c r="M65" s="21" t="n"/>
      <c r="N65" s="21" t="inlineStr">
        <is>
          <t>Terminal / already resolved project; excluded from new allocation cycle.</t>
        </is>
      </c>
    </row>
    <row r="66">
      <c r="A66" s="21" t="n"/>
      <c r="B66" s="21" t="inlineStr">
        <is>
          <t>Existing Pipeline</t>
        </is>
      </c>
      <c r="C66" s="21" t="inlineStr">
        <is>
          <t>25448</t>
        </is>
      </c>
      <c r="D66" s="21" t="inlineStr">
        <is>
          <t>Hillcrest Manor</t>
        </is>
      </c>
      <c r="E66" s="21" t="inlineStr">
        <is>
          <t>Closed</t>
        </is>
      </c>
      <c r="F66" s="21" t="inlineStr">
        <is>
          <t>Closed</t>
        </is>
      </c>
      <c r="G66" s="21" t="inlineStr">
        <is>
          <t>Y</t>
        </is>
      </c>
      <c r="H66" s="21" t="inlineStr">
        <is>
          <t>N</t>
        </is>
      </c>
      <c r="I66" s="21" t="n">
        <v>45890</v>
      </c>
      <c r="J66" s="21" t="n">
        <v>25000000</v>
      </c>
      <c r="K66" s="21" t="n"/>
      <c r="L66" s="21" t="inlineStr">
        <is>
          <t>N</t>
        </is>
      </c>
      <c r="M66" s="21" t="n"/>
      <c r="N66" s="21" t="inlineStr">
        <is>
          <t>Terminal / already resolved project; excluded from new allocation cycle.</t>
        </is>
      </c>
    </row>
    <row r="67">
      <c r="A67" s="21" t="n"/>
      <c r="B67" s="21" t="inlineStr">
        <is>
          <t>Existing Pipeline</t>
        </is>
      </c>
      <c r="C67" s="21" t="inlineStr">
        <is>
          <t>25475</t>
        </is>
      </c>
      <c r="D67" s="21" t="inlineStr">
        <is>
          <t>Humble Family Apartments</t>
        </is>
      </c>
      <c r="E67" s="21" t="inlineStr">
        <is>
          <t>Withdrawn</t>
        </is>
      </c>
      <c r="F67" s="21" t="inlineStr">
        <is>
          <t>Withdrawn</t>
        </is>
      </c>
      <c r="G67" s="21" t="inlineStr">
        <is>
          <t>N</t>
        </is>
      </c>
      <c r="H67" s="21" t="inlineStr">
        <is>
          <t>N</t>
        </is>
      </c>
      <c r="I67" s="21" t="n">
        <v>45881</v>
      </c>
      <c r="J67" s="21" t="n">
        <v>69152737</v>
      </c>
      <c r="K67" s="21" t="n"/>
      <c r="L67" s="21" t="inlineStr">
        <is>
          <t>N</t>
        </is>
      </c>
      <c r="M67" s="21" t="n"/>
      <c r="N67" s="21" t="inlineStr">
        <is>
          <t>Terminal / already resolved project; excluded from new allocation cycle.</t>
        </is>
      </c>
    </row>
    <row r="68">
      <c r="A68" s="21" t="n"/>
      <c r="B68" s="21" t="inlineStr">
        <is>
          <t>Existing Pipeline</t>
        </is>
      </c>
      <c r="C68" s="21" t="inlineStr">
        <is>
          <t>25429</t>
        </is>
      </c>
      <c r="D68" s="21" t="inlineStr">
        <is>
          <t>Huntington Place Senior Little Elm</t>
        </is>
      </c>
      <c r="E68" s="21" t="inlineStr">
        <is>
          <t>Closed</t>
        </is>
      </c>
      <c r="F68" s="21" t="inlineStr">
        <is>
          <t>Closed</t>
        </is>
      </c>
      <c r="G68" s="21" t="inlineStr">
        <is>
          <t>Y</t>
        </is>
      </c>
      <c r="H68" s="21" t="inlineStr">
        <is>
          <t>N</t>
        </is>
      </c>
      <c r="I68" s="21" t="n">
        <v>45670</v>
      </c>
      <c r="J68" s="21" t="n">
        <v>35000000</v>
      </c>
      <c r="K68" s="21" t="n"/>
      <c r="L68" s="21" t="inlineStr">
        <is>
          <t>N</t>
        </is>
      </c>
      <c r="M68" s="21" t="n"/>
      <c r="N68" s="21" t="inlineStr">
        <is>
          <t>Terminal / already resolved project; excluded from new allocation cycle.</t>
        </is>
      </c>
    </row>
    <row r="69">
      <c r="A69" s="21" t="n"/>
      <c r="B69" s="21" t="inlineStr">
        <is>
          <t>Existing Pipeline</t>
        </is>
      </c>
      <c r="C69" s="21" t="inlineStr">
        <is>
          <t>25428</t>
        </is>
      </c>
      <c r="D69" s="21" t="inlineStr">
        <is>
          <t>Independence Village</t>
        </is>
      </c>
      <c r="E69" s="21" t="inlineStr">
        <is>
          <t>Withdrawn</t>
        </is>
      </c>
      <c r="F69" s="21" t="inlineStr">
        <is>
          <t>Withdrawn</t>
        </is>
      </c>
      <c r="G69" s="21" t="inlineStr">
        <is>
          <t>N</t>
        </is>
      </c>
      <c r="H69" s="21" t="inlineStr">
        <is>
          <t>N</t>
        </is>
      </c>
      <c r="I69" s="21" t="n">
        <v>45723</v>
      </c>
      <c r="J69" s="21" t="n">
        <v>25000000</v>
      </c>
      <c r="K69" s="21" t="n"/>
      <c r="L69" s="21" t="inlineStr">
        <is>
          <t>N</t>
        </is>
      </c>
      <c r="M69" s="21" t="n"/>
      <c r="N69" s="21" t="inlineStr">
        <is>
          <t>Terminal / already resolved project; excluded from new allocation cycle.</t>
        </is>
      </c>
    </row>
    <row r="70">
      <c r="A70" s="21" t="n"/>
      <c r="B70" s="21" t="inlineStr">
        <is>
          <t>Existing Pipeline</t>
        </is>
      </c>
      <c r="C70" s="21" t="inlineStr">
        <is>
          <t>25436</t>
        </is>
      </c>
      <c r="D70" s="21" t="inlineStr">
        <is>
          <t>Jackson Apartments</t>
        </is>
      </c>
      <c r="E70" s="21" t="inlineStr">
        <is>
          <t>Withdrawn</t>
        </is>
      </c>
      <c r="F70" s="21" t="inlineStr">
        <is>
          <t>Withdrawn</t>
        </is>
      </c>
      <c r="G70" s="21" t="inlineStr">
        <is>
          <t>N</t>
        </is>
      </c>
      <c r="H70" s="21" t="inlineStr">
        <is>
          <t>N</t>
        </is>
      </c>
      <c r="I70" s="21" t="n">
        <v>45883</v>
      </c>
      <c r="J70" s="21" t="n">
        <v>12000000</v>
      </c>
      <c r="K70" s="21" t="n"/>
      <c r="L70" s="21" t="inlineStr">
        <is>
          <t>N</t>
        </is>
      </c>
      <c r="M70" s="21" t="n"/>
      <c r="N70" s="21" t="inlineStr">
        <is>
          <t>Terminal / already resolved project; excluded from new allocation cycle.</t>
        </is>
      </c>
    </row>
    <row r="71">
      <c r="A71" s="21" t="n"/>
      <c r="B71" s="21" t="inlineStr">
        <is>
          <t>Existing Pipeline</t>
        </is>
      </c>
      <c r="C71" s="21" t="inlineStr">
        <is>
          <t>25409</t>
        </is>
      </c>
      <c r="D71" s="21" t="inlineStr">
        <is>
          <t>Lancaster Apartments</t>
        </is>
      </c>
      <c r="E71" s="21" t="inlineStr">
        <is>
          <t>Closed</t>
        </is>
      </c>
      <c r="F71" s="21" t="inlineStr">
        <is>
          <t>Closed</t>
        </is>
      </c>
      <c r="G71" s="21" t="inlineStr">
        <is>
          <t>Y</t>
        </is>
      </c>
      <c r="H71" s="21" t="inlineStr">
        <is>
          <t>N</t>
        </is>
      </c>
      <c r="I71" s="21" t="n">
        <v>45670</v>
      </c>
      <c r="J71" s="21" t="n">
        <v>30000000</v>
      </c>
      <c r="K71" s="21" t="n"/>
      <c r="L71" s="21" t="inlineStr">
        <is>
          <t>N</t>
        </is>
      </c>
      <c r="M71" s="21" t="n"/>
      <c r="N71" s="21" t="inlineStr">
        <is>
          <t>Terminal / already resolved project; excluded from new allocation cycle.</t>
        </is>
      </c>
    </row>
    <row r="72">
      <c r="A72" s="21" t="n"/>
      <c r="B72" s="21" t="inlineStr">
        <is>
          <t>Existing Pipeline</t>
        </is>
      </c>
      <c r="C72" s="21" t="inlineStr">
        <is>
          <t>25614</t>
        </is>
      </c>
      <c r="D72" s="21" t="inlineStr">
        <is>
          <t>Lariat</t>
        </is>
      </c>
      <c r="E72" s="21" t="inlineStr">
        <is>
          <t>Withdrawn</t>
        </is>
      </c>
      <c r="F72" s="21" t="inlineStr">
        <is>
          <t>Withdrawn</t>
        </is>
      </c>
      <c r="G72" s="21" t="inlineStr">
        <is>
          <t>N</t>
        </is>
      </c>
      <c r="H72" s="21" t="inlineStr">
        <is>
          <t>N</t>
        </is>
      </c>
      <c r="I72" s="21" t="n">
        <v>45966</v>
      </c>
      <c r="J72" s="21" t="n">
        <v>50000000</v>
      </c>
      <c r="K72" s="21" t="n"/>
      <c r="L72" s="21" t="inlineStr">
        <is>
          <t>N</t>
        </is>
      </c>
      <c r="M72" s="21" t="n"/>
      <c r="N72" s="21" t="inlineStr">
        <is>
          <t>Terminal / already resolved project; excluded from new allocation cycle.</t>
        </is>
      </c>
    </row>
    <row r="73">
      <c r="A73" s="21" t="n"/>
      <c r="B73" s="21" t="inlineStr">
        <is>
          <t>Existing Pipeline</t>
        </is>
      </c>
      <c r="C73" s="21" t="inlineStr">
        <is>
          <t>25603</t>
        </is>
      </c>
      <c r="D73" s="21" t="inlineStr">
        <is>
          <t>Legacy on Kiest</t>
        </is>
      </c>
      <c r="E73" s="21" t="inlineStr">
        <is>
          <t>Closed</t>
        </is>
      </c>
      <c r="F73" s="21" t="inlineStr">
        <is>
          <t>Closed</t>
        </is>
      </c>
      <c r="G73" s="21" t="inlineStr">
        <is>
          <t>Y</t>
        </is>
      </c>
      <c r="H73" s="21" t="inlineStr">
        <is>
          <t>N</t>
        </is>
      </c>
      <c r="I73" s="21" t="n">
        <v>45665</v>
      </c>
      <c r="J73" s="21" t="n">
        <v>30000000</v>
      </c>
      <c r="K73" s="21" t="n"/>
      <c r="L73" s="21" t="inlineStr">
        <is>
          <t>N</t>
        </is>
      </c>
      <c r="M73" s="21" t="n"/>
      <c r="N73" s="21" t="inlineStr">
        <is>
          <t>Terminal / already resolved project; excluded from new allocation cycle.</t>
        </is>
      </c>
    </row>
    <row r="74">
      <c r="A74" s="21" t="n"/>
      <c r="B74" s="21" t="inlineStr">
        <is>
          <t>Existing Pipeline</t>
        </is>
      </c>
      <c r="C74" s="21" t="inlineStr">
        <is>
          <t>25458</t>
        </is>
      </c>
      <c r="D74" s="21" t="inlineStr">
        <is>
          <t>Liberty Hill Apts</t>
        </is>
      </c>
      <c r="E74" s="21" t="inlineStr">
        <is>
          <t>Withdrawn</t>
        </is>
      </c>
      <c r="F74" s="21" t="inlineStr">
        <is>
          <t>Withdrawn</t>
        </is>
      </c>
      <c r="G74" s="21" t="inlineStr">
        <is>
          <t>N</t>
        </is>
      </c>
      <c r="H74" s="21" t="inlineStr">
        <is>
          <t>N</t>
        </is>
      </c>
      <c r="I74" s="21" t="n">
        <v>45723</v>
      </c>
      <c r="J74" s="21" t="n">
        <v>69152737</v>
      </c>
      <c r="K74" s="21" t="n"/>
      <c r="L74" s="21" t="inlineStr">
        <is>
          <t>N</t>
        </is>
      </c>
      <c r="M74" s="21" t="n"/>
      <c r="N74" s="21" t="inlineStr">
        <is>
          <t>Terminal / already resolved project; excluded from new allocation cycle.</t>
        </is>
      </c>
    </row>
    <row r="75">
      <c r="A75" s="21" t="n"/>
      <c r="B75" s="21" t="inlineStr">
        <is>
          <t>Existing Pipeline</t>
        </is>
      </c>
      <c r="C75" s="21" t="inlineStr">
        <is>
          <t>25450</t>
        </is>
      </c>
      <c r="D75" s="21" t="inlineStr">
        <is>
          <t>Little Elm Family Apartments</t>
        </is>
      </c>
      <c r="E75" s="21" t="inlineStr">
        <is>
          <t>Withdrawn</t>
        </is>
      </c>
      <c r="F75" s="21" t="inlineStr">
        <is>
          <t>Withdrawn</t>
        </is>
      </c>
      <c r="G75" s="21" t="inlineStr">
        <is>
          <t>N</t>
        </is>
      </c>
      <c r="H75" s="21" t="inlineStr">
        <is>
          <t>N</t>
        </is>
      </c>
      <c r="I75" s="21" t="n">
        <v>45709</v>
      </c>
      <c r="J75" s="21" t="n">
        <v>69152737</v>
      </c>
      <c r="K75" s="21" t="n"/>
      <c r="L75" s="21" t="inlineStr">
        <is>
          <t>N</t>
        </is>
      </c>
      <c r="M75" s="21" t="n"/>
      <c r="N75" s="21" t="inlineStr">
        <is>
          <t>Terminal / already resolved project; excluded from new allocation cycle.</t>
        </is>
      </c>
    </row>
    <row r="76">
      <c r="A76" s="21" t="n"/>
      <c r="B76" s="21" t="inlineStr">
        <is>
          <t>Existing Pipeline</t>
        </is>
      </c>
      <c r="C76" s="21" t="inlineStr">
        <is>
          <t>25468</t>
        </is>
      </c>
      <c r="D76" s="21" t="inlineStr">
        <is>
          <t>Lofts at Creekview</t>
        </is>
      </c>
      <c r="E76" s="21" t="inlineStr">
        <is>
          <t>Closed</t>
        </is>
      </c>
      <c r="F76" s="21" t="inlineStr">
        <is>
          <t>Closed</t>
        </is>
      </c>
      <c r="G76" s="21" t="inlineStr">
        <is>
          <t>Y</t>
        </is>
      </c>
      <c r="H76" s="21" t="inlineStr">
        <is>
          <t>N</t>
        </is>
      </c>
      <c r="I76" s="21" t="n">
        <v>45770</v>
      </c>
      <c r="J76" s="21" t="n">
        <v>40000000</v>
      </c>
      <c r="K76" s="21" t="n"/>
      <c r="L76" s="21" t="inlineStr">
        <is>
          <t>N</t>
        </is>
      </c>
      <c r="M76" s="21" t="n"/>
      <c r="N76" s="21" t="inlineStr">
        <is>
          <t>Terminal / already resolved project; excluded from new allocation cycle.</t>
        </is>
      </c>
    </row>
    <row r="77">
      <c r="A77" s="21" t="n"/>
      <c r="B77" s="21" t="inlineStr">
        <is>
          <t>Existing Pipeline</t>
        </is>
      </c>
      <c r="C77" s="21" t="inlineStr">
        <is>
          <t>25437</t>
        </is>
      </c>
      <c r="D77" s="21" t="inlineStr">
        <is>
          <t>Manor Apartments</t>
        </is>
      </c>
      <c r="E77" s="21" t="inlineStr">
        <is>
          <t>Withdrawn</t>
        </is>
      </c>
      <c r="F77" s="21" t="inlineStr">
        <is>
          <t>Withdrawn</t>
        </is>
      </c>
      <c r="G77" s="21" t="inlineStr">
        <is>
          <t>N</t>
        </is>
      </c>
      <c r="H77" s="21" t="inlineStr">
        <is>
          <t>N</t>
        </is>
      </c>
      <c r="I77" s="21" t="n">
        <v>45671</v>
      </c>
      <c r="J77" s="21" t="n">
        <v>35000000</v>
      </c>
      <c r="K77" s="21" t="n"/>
      <c r="L77" s="21" t="inlineStr">
        <is>
          <t>N</t>
        </is>
      </c>
      <c r="M77" s="21" t="n"/>
      <c r="N77" s="21" t="inlineStr">
        <is>
          <t>Terminal / already resolved project; excluded from new allocation cycle.</t>
        </is>
      </c>
    </row>
    <row r="78">
      <c r="A78" s="21" t="n"/>
      <c r="B78" s="21" t="inlineStr">
        <is>
          <t>Existing Pipeline</t>
        </is>
      </c>
      <c r="C78" s="21" t="inlineStr">
        <is>
          <t>25407</t>
        </is>
      </c>
      <c r="D78" s="21" t="inlineStr">
        <is>
          <t>Northland Woods</t>
        </is>
      </c>
      <c r="E78" s="21" t="inlineStr">
        <is>
          <t>Withdrawn</t>
        </is>
      </c>
      <c r="F78" s="21" t="inlineStr">
        <is>
          <t>Withdrawn</t>
        </is>
      </c>
      <c r="G78" s="21" t="inlineStr">
        <is>
          <t>N</t>
        </is>
      </c>
      <c r="H78" s="21" t="inlineStr">
        <is>
          <t>N</t>
        </is>
      </c>
      <c r="I78" s="21" t="n">
        <v>45673</v>
      </c>
      <c r="J78" s="21" t="n">
        <v>45000000</v>
      </c>
      <c r="K78" s="21" t="n"/>
      <c r="L78" s="21" t="inlineStr">
        <is>
          <t>N</t>
        </is>
      </c>
      <c r="M78" s="21" t="n"/>
      <c r="N78" s="21" t="inlineStr">
        <is>
          <t>Terminal / already resolved project; excluded from new allocation cycle.</t>
        </is>
      </c>
    </row>
    <row r="79">
      <c r="A79" s="21" t="n"/>
      <c r="B79" s="21" t="inlineStr">
        <is>
          <t>Existing Pipeline</t>
        </is>
      </c>
      <c r="C79" s="21" t="inlineStr">
        <is>
          <t>25481</t>
        </is>
      </c>
      <c r="D79" s="21" t="inlineStr">
        <is>
          <t>Odem Victoria Apartments</t>
        </is>
      </c>
      <c r="E79" s="21" t="inlineStr">
        <is>
          <t>Withdrawn</t>
        </is>
      </c>
      <c r="F79" s="21" t="inlineStr">
        <is>
          <t>Withdrawn</t>
        </is>
      </c>
      <c r="G79" s="21" t="inlineStr">
        <is>
          <t>N</t>
        </is>
      </c>
      <c r="H79" s="21" t="inlineStr">
        <is>
          <t>N</t>
        </is>
      </c>
      <c r="I79" s="21" t="n">
        <v>45882</v>
      </c>
      <c r="J79" s="21" t="n">
        <v>35000000</v>
      </c>
      <c r="K79" s="21" t="n"/>
      <c r="L79" s="21" t="inlineStr">
        <is>
          <t>N</t>
        </is>
      </c>
      <c r="M79" s="21" t="n"/>
      <c r="N79" s="21" t="inlineStr">
        <is>
          <t>Terminal / already resolved project; excluded from new allocation cycle.</t>
        </is>
      </c>
    </row>
    <row r="80">
      <c r="A80" s="21" t="n"/>
      <c r="B80" s="21" t="inlineStr">
        <is>
          <t>Existing Pipeline</t>
        </is>
      </c>
      <c r="C80" s="21" t="inlineStr">
        <is>
          <t>25455</t>
        </is>
      </c>
      <c r="D80" s="21" t="inlineStr">
        <is>
          <t>Orion Apartments</t>
        </is>
      </c>
      <c r="E80" s="21" t="inlineStr">
        <is>
          <t>Closed</t>
        </is>
      </c>
      <c r="F80" s="21" t="inlineStr">
        <is>
          <t>Closed</t>
        </is>
      </c>
      <c r="G80" s="21" t="inlineStr">
        <is>
          <t>Y</t>
        </is>
      </c>
      <c r="H80" s="21" t="inlineStr">
        <is>
          <t>N</t>
        </is>
      </c>
      <c r="I80" s="21" t="n">
        <v>45672</v>
      </c>
      <c r="J80" s="21" t="n">
        <v>50000000</v>
      </c>
      <c r="K80" s="21" t="n"/>
      <c r="L80" s="21" t="inlineStr">
        <is>
          <t>N</t>
        </is>
      </c>
      <c r="M80" s="21" t="n"/>
      <c r="N80" s="21" t="inlineStr">
        <is>
          <t>Terminal / already resolved project; excluded from new allocation cycle.</t>
        </is>
      </c>
    </row>
    <row r="81">
      <c r="A81" s="21" t="n"/>
      <c r="B81" s="21" t="inlineStr">
        <is>
          <t>Existing Pipeline</t>
        </is>
      </c>
      <c r="C81" s="21" t="inlineStr">
        <is>
          <t>25442</t>
        </is>
      </c>
      <c r="D81" s="21" t="inlineStr">
        <is>
          <t>Palladium Buckner Station</t>
        </is>
      </c>
      <c r="E81" s="21" t="inlineStr">
        <is>
          <t>Closed</t>
        </is>
      </c>
      <c r="F81" s="21" t="inlineStr">
        <is>
          <t>Closed</t>
        </is>
      </c>
      <c r="G81" s="21" t="inlineStr">
        <is>
          <t>Y</t>
        </is>
      </c>
      <c r="H81" s="21" t="inlineStr">
        <is>
          <t>N</t>
        </is>
      </c>
      <c r="I81" s="21" t="n">
        <v>45685</v>
      </c>
      <c r="J81" s="21" t="n">
        <v>50000000</v>
      </c>
      <c r="K81" s="21" t="n"/>
      <c r="L81" s="21" t="inlineStr">
        <is>
          <t>N</t>
        </is>
      </c>
      <c r="M81" s="21" t="n"/>
      <c r="N81" s="21" t="inlineStr">
        <is>
          <t>Terminal / already resolved project; excluded from new allocation cycle.</t>
        </is>
      </c>
    </row>
    <row r="82">
      <c r="A82" s="21" t="n"/>
      <c r="B82" s="21" t="inlineStr">
        <is>
          <t>Existing Pipeline</t>
        </is>
      </c>
      <c r="C82" s="21" t="inlineStr">
        <is>
          <t>25454</t>
        </is>
      </c>
      <c r="D82" s="21" t="inlineStr">
        <is>
          <t>Palms Breeze Village</t>
        </is>
      </c>
      <c r="E82" s="21" t="inlineStr">
        <is>
          <t>Withdrawn</t>
        </is>
      </c>
      <c r="F82" s="21" t="inlineStr">
        <is>
          <t>Withdrawn</t>
        </is>
      </c>
      <c r="G82" s="21" t="inlineStr">
        <is>
          <t>N</t>
        </is>
      </c>
      <c r="H82" s="21" t="inlineStr">
        <is>
          <t>N</t>
        </is>
      </c>
      <c r="I82" s="21" t="n">
        <v>45715</v>
      </c>
      <c r="J82" s="21" t="n">
        <v>35000000</v>
      </c>
      <c r="K82" s="21" t="n"/>
      <c r="L82" s="21" t="inlineStr">
        <is>
          <t>N</t>
        </is>
      </c>
      <c r="M82" s="21" t="n"/>
      <c r="N82" s="21" t="inlineStr">
        <is>
          <t>Terminal / already resolved project; excluded from new allocation cycle.</t>
        </is>
      </c>
    </row>
    <row r="83">
      <c r="A83" s="21" t="n"/>
      <c r="B83" s="21" t="inlineStr">
        <is>
          <t>Existing Pipeline</t>
        </is>
      </c>
      <c r="C83" s="21" t="inlineStr">
        <is>
          <t>25418</t>
        </is>
      </c>
      <c r="D83" s="21" t="inlineStr">
        <is>
          <t>Parmer North Apartments</t>
        </is>
      </c>
      <c r="E83" s="21" t="inlineStr">
        <is>
          <t>Withdrawn</t>
        </is>
      </c>
      <c r="F83" s="21" t="inlineStr">
        <is>
          <t>Withdrawn</t>
        </is>
      </c>
      <c r="G83" s="21" t="inlineStr">
        <is>
          <t>N</t>
        </is>
      </c>
      <c r="H83" s="21" t="inlineStr">
        <is>
          <t>N</t>
        </is>
      </c>
      <c r="I83" s="21" t="n">
        <v>45680</v>
      </c>
      <c r="J83" s="21" t="n">
        <v>40000000</v>
      </c>
      <c r="K83" s="21" t="n"/>
      <c r="L83" s="21" t="inlineStr">
        <is>
          <t>N</t>
        </is>
      </c>
      <c r="M83" s="21" t="n"/>
      <c r="N83" s="21" t="inlineStr">
        <is>
          <t>Terminal / already resolved project; excluded from new allocation cycle.</t>
        </is>
      </c>
    </row>
    <row r="84">
      <c r="A84" s="21" t="n"/>
      <c r="B84" s="21" t="inlineStr">
        <is>
          <t>Existing Pipeline</t>
        </is>
      </c>
      <c r="C84" s="21" t="inlineStr">
        <is>
          <t>25410</t>
        </is>
      </c>
      <c r="D84" s="21" t="inlineStr">
        <is>
          <t>Regency Park</t>
        </is>
      </c>
      <c r="E84" s="21" t="inlineStr">
        <is>
          <t>Closed</t>
        </is>
      </c>
      <c r="F84" s="21" t="inlineStr">
        <is>
          <t>Closed</t>
        </is>
      </c>
      <c r="G84" s="21" t="inlineStr">
        <is>
          <t>Y</t>
        </is>
      </c>
      <c r="H84" s="21" t="inlineStr">
        <is>
          <t>N</t>
        </is>
      </c>
      <c r="I84" s="21" t="n">
        <v>45670</v>
      </c>
      <c r="J84" s="21" t="n">
        <v>30000000</v>
      </c>
      <c r="K84" s="21" t="n"/>
      <c r="L84" s="21" t="inlineStr">
        <is>
          <t>N</t>
        </is>
      </c>
      <c r="M84" s="21" t="n"/>
      <c r="N84" s="21" t="inlineStr">
        <is>
          <t>Terminal / already resolved project; excluded from new allocation cycle.</t>
        </is>
      </c>
    </row>
    <row r="85">
      <c r="A85" s="21" t="n"/>
      <c r="B85" s="21" t="inlineStr">
        <is>
          <t>Existing Pipeline</t>
        </is>
      </c>
      <c r="C85" s="21" t="inlineStr">
        <is>
          <t>25417</t>
        </is>
      </c>
      <c r="D85" s="21" t="inlineStr">
        <is>
          <t>Reserve at Ella</t>
        </is>
      </c>
      <c r="E85" s="21" t="inlineStr">
        <is>
          <t>Withdrawn</t>
        </is>
      </c>
      <c r="F85" s="21" t="inlineStr">
        <is>
          <t>Withdrawn</t>
        </is>
      </c>
      <c r="G85" s="21" t="inlineStr">
        <is>
          <t>N</t>
        </is>
      </c>
      <c r="H85" s="21" t="inlineStr">
        <is>
          <t>N</t>
        </is>
      </c>
      <c r="I85" s="21" t="n">
        <v>45671</v>
      </c>
      <c r="J85" s="21" t="n">
        <v>50000000</v>
      </c>
      <c r="K85" s="21" t="n"/>
      <c r="L85" s="21" t="inlineStr">
        <is>
          <t>N</t>
        </is>
      </c>
      <c r="M85" s="21" t="n"/>
      <c r="N85" s="21" t="inlineStr">
        <is>
          <t>Terminal / already resolved project; excluded from new allocation cycle.</t>
        </is>
      </c>
    </row>
    <row r="86">
      <c r="A86" s="21" t="n"/>
      <c r="B86" s="21" t="inlineStr">
        <is>
          <t>Existing Pipeline</t>
        </is>
      </c>
      <c r="C86" s="21" t="inlineStr">
        <is>
          <t>25434</t>
        </is>
      </c>
      <c r="D86" s="21" t="inlineStr">
        <is>
          <t>Seaport Village</t>
        </is>
      </c>
      <c r="E86" s="21" t="inlineStr">
        <is>
          <t>Withdrawn</t>
        </is>
      </c>
      <c r="F86" s="21" t="inlineStr">
        <is>
          <t>Withdrawn</t>
        </is>
      </c>
      <c r="G86" s="21" t="inlineStr">
        <is>
          <t>N</t>
        </is>
      </c>
      <c r="H86" s="21" t="inlineStr">
        <is>
          <t>N</t>
        </is>
      </c>
      <c r="I86" s="21" t="n">
        <v>45667</v>
      </c>
      <c r="J86" s="21" t="n">
        <v>25000000</v>
      </c>
      <c r="K86" s="21" t="n"/>
      <c r="L86" s="21" t="inlineStr">
        <is>
          <t>N</t>
        </is>
      </c>
      <c r="M86" s="21" t="n"/>
      <c r="N86" s="21" t="inlineStr">
        <is>
          <t>Terminal / already resolved project; excluded from new allocation cycle.</t>
        </is>
      </c>
    </row>
    <row r="87">
      <c r="A87" s="21" t="n"/>
      <c r="B87" s="21" t="inlineStr">
        <is>
          <t>Existing Pipeline</t>
        </is>
      </c>
      <c r="C87" s="21" t="inlineStr">
        <is>
          <t>25415</t>
        </is>
      </c>
      <c r="D87" s="21" t="inlineStr">
        <is>
          <t>Seville Apartments</t>
        </is>
      </c>
      <c r="E87" s="21" t="inlineStr">
        <is>
          <t>Closed</t>
        </is>
      </c>
      <c r="F87" s="21" t="inlineStr">
        <is>
          <t>Closed</t>
        </is>
      </c>
      <c r="G87" s="21" t="inlineStr">
        <is>
          <t>Y</t>
        </is>
      </c>
      <c r="H87" s="21" t="inlineStr">
        <is>
          <t>N</t>
        </is>
      </c>
      <c r="I87" s="21" t="n">
        <v>45667</v>
      </c>
      <c r="J87" s="21" t="n">
        <v>10000000</v>
      </c>
      <c r="K87" s="21" t="n"/>
      <c r="L87" s="21" t="inlineStr">
        <is>
          <t>N</t>
        </is>
      </c>
      <c r="M87" s="21" t="n"/>
      <c r="N87" s="21" t="inlineStr">
        <is>
          <t>Terminal / already resolved project; excluded from new allocation cycle.</t>
        </is>
      </c>
    </row>
    <row r="88">
      <c r="A88" s="21" t="n"/>
      <c r="B88" s="21" t="inlineStr">
        <is>
          <t>Existing Pipeline</t>
        </is>
      </c>
      <c r="C88" s="21" t="inlineStr">
        <is>
          <t>25435</t>
        </is>
      </c>
      <c r="D88" s="21" t="inlineStr">
        <is>
          <t>Sienna Villas</t>
        </is>
      </c>
      <c r="E88" s="21" t="inlineStr">
        <is>
          <t>Withdrawn</t>
        </is>
      </c>
      <c r="F88" s="21" t="inlineStr">
        <is>
          <t>Withdrawn</t>
        </is>
      </c>
      <c r="G88" s="21" t="inlineStr">
        <is>
          <t>N</t>
        </is>
      </c>
      <c r="H88" s="21" t="inlineStr">
        <is>
          <t>N</t>
        </is>
      </c>
      <c r="I88" s="21" t="n">
        <v>45883</v>
      </c>
      <c r="J88" s="21" t="n">
        <v>20000000</v>
      </c>
      <c r="K88" s="21" t="n"/>
      <c r="L88" s="21" t="inlineStr">
        <is>
          <t>N</t>
        </is>
      </c>
      <c r="M88" s="21" t="n"/>
      <c r="N88" s="21" t="inlineStr">
        <is>
          <t>Terminal / already resolved project; excluded from new allocation cycle.</t>
        </is>
      </c>
    </row>
    <row r="89">
      <c r="A89" s="21" t="n"/>
      <c r="B89" s="21" t="inlineStr">
        <is>
          <t>Existing Pipeline</t>
        </is>
      </c>
      <c r="C89" s="21" t="inlineStr">
        <is>
          <t>25411</t>
        </is>
      </c>
      <c r="D89" s="21" t="inlineStr">
        <is>
          <t>Sugar Creek</t>
        </is>
      </c>
      <c r="E89" s="21" t="inlineStr">
        <is>
          <t>Closed</t>
        </is>
      </c>
      <c r="F89" s="21" t="inlineStr">
        <is>
          <t>Closed</t>
        </is>
      </c>
      <c r="G89" s="21" t="inlineStr">
        <is>
          <t>Y</t>
        </is>
      </c>
      <c r="H89" s="21" t="inlineStr">
        <is>
          <t>N</t>
        </is>
      </c>
      <c r="I89" s="21" t="n">
        <v>45672</v>
      </c>
      <c r="J89" s="21" t="n">
        <v>28000000</v>
      </c>
      <c r="K89" s="21" t="n"/>
      <c r="L89" s="21" t="inlineStr">
        <is>
          <t>N</t>
        </is>
      </c>
      <c r="M89" s="21" t="n"/>
      <c r="N89" s="21" t="inlineStr">
        <is>
          <t>Terminal / already resolved project; excluded from new allocation cycle.</t>
        </is>
      </c>
    </row>
    <row r="90">
      <c r="A90" s="21" t="n"/>
      <c r="B90" s="21" t="inlineStr">
        <is>
          <t>Existing Pipeline</t>
        </is>
      </c>
      <c r="C90" s="21" t="inlineStr">
        <is>
          <t>25413</t>
        </is>
      </c>
      <c r="D90" s="21" t="inlineStr">
        <is>
          <t>Sunflower Terrace</t>
        </is>
      </c>
      <c r="E90" s="21" t="inlineStr">
        <is>
          <t>Closed</t>
        </is>
      </c>
      <c r="F90" s="21" t="inlineStr">
        <is>
          <t>Closed</t>
        </is>
      </c>
      <c r="G90" s="21" t="inlineStr">
        <is>
          <t>Y</t>
        </is>
      </c>
      <c r="H90" s="21" t="inlineStr">
        <is>
          <t>N</t>
        </is>
      </c>
      <c r="I90" s="21" t="n">
        <v>45671</v>
      </c>
      <c r="J90" s="21" t="n">
        <v>28000000</v>
      </c>
      <c r="K90" s="21" t="n"/>
      <c r="L90" s="21" t="inlineStr">
        <is>
          <t>N</t>
        </is>
      </c>
      <c r="M90" s="21" t="n"/>
      <c r="N90" s="21" t="inlineStr">
        <is>
          <t>Terminal / already resolved project; excluded from new allocation cycle.</t>
        </is>
      </c>
    </row>
    <row r="91">
      <c r="A91" s="21" t="n"/>
      <c r="B91" s="21" t="inlineStr">
        <is>
          <t>Existing Pipeline</t>
        </is>
      </c>
      <c r="C91" s="21" t="inlineStr">
        <is>
          <t>25479</t>
        </is>
      </c>
      <c r="D91" s="21" t="inlineStr">
        <is>
          <t>Tabor Village</t>
        </is>
      </c>
      <c r="E91" s="21" t="inlineStr">
        <is>
          <t>Closed</t>
        </is>
      </c>
      <c r="F91" s="21" t="inlineStr">
        <is>
          <t>Closed</t>
        </is>
      </c>
      <c r="G91" s="21" t="inlineStr">
        <is>
          <t>Y</t>
        </is>
      </c>
      <c r="H91" s="21" t="inlineStr">
        <is>
          <t>N</t>
        </is>
      </c>
      <c r="I91" s="21" t="n">
        <v>45866</v>
      </c>
      <c r="J91" s="21" t="n">
        <v>38000000</v>
      </c>
      <c r="K91" s="21" t="n"/>
      <c r="L91" s="21" t="inlineStr">
        <is>
          <t>N</t>
        </is>
      </c>
      <c r="M91" s="21" t="n"/>
      <c r="N91" s="21" t="inlineStr">
        <is>
          <t>Terminal / already resolved project; excluded from new allocation cycle.</t>
        </is>
      </c>
    </row>
    <row r="92">
      <c r="A92" s="21" t="n"/>
      <c r="B92" s="21" t="inlineStr">
        <is>
          <t>Existing Pipeline</t>
        </is>
      </c>
      <c r="C92" s="21" t="inlineStr">
        <is>
          <t>25482</t>
        </is>
      </c>
      <c r="D92" s="21" t="inlineStr">
        <is>
          <t>Tapestry at Easton Park</t>
        </is>
      </c>
      <c r="E92" s="21" t="inlineStr">
        <is>
          <t>Withdrawn</t>
        </is>
      </c>
      <c r="F92" s="21" t="inlineStr">
        <is>
          <t>Withdrawn</t>
        </is>
      </c>
      <c r="G92" s="21" t="inlineStr">
        <is>
          <t>N</t>
        </is>
      </c>
      <c r="H92" s="21" t="inlineStr">
        <is>
          <t>N</t>
        </is>
      </c>
      <c r="I92" s="21" t="n">
        <v>45881</v>
      </c>
      <c r="J92" s="21" t="n">
        <v>52000000</v>
      </c>
      <c r="K92" s="21" t="n"/>
      <c r="L92" s="21" t="inlineStr">
        <is>
          <t>N</t>
        </is>
      </c>
      <c r="M92" s="21" t="n"/>
      <c r="N92" s="21" t="inlineStr">
        <is>
          <t>Terminal / already resolved project; excluded from new allocation cycle.</t>
        </is>
      </c>
    </row>
    <row r="93">
      <c r="A93" s="21" t="n"/>
      <c r="B93" s="21" t="inlineStr">
        <is>
          <t>Existing Pipeline</t>
        </is>
      </c>
      <c r="C93" s="21" t="inlineStr">
        <is>
          <t>25443</t>
        </is>
      </c>
      <c r="D93" s="21" t="inlineStr">
        <is>
          <t>Taylor RAD Family Apts</t>
        </is>
      </c>
      <c r="E93" s="21" t="inlineStr">
        <is>
          <t>Closed</t>
        </is>
      </c>
      <c r="F93" s="21" t="inlineStr">
        <is>
          <t>Closed</t>
        </is>
      </c>
      <c r="G93" s="21" t="inlineStr">
        <is>
          <t>Y</t>
        </is>
      </c>
      <c r="H93" s="21" t="inlineStr">
        <is>
          <t>N</t>
        </is>
      </c>
      <c r="I93" s="21" t="n">
        <v>45670</v>
      </c>
      <c r="J93" s="21" t="n">
        <v>15000000</v>
      </c>
      <c r="K93" s="21" t="n"/>
      <c r="L93" s="21" t="inlineStr">
        <is>
          <t>N</t>
        </is>
      </c>
      <c r="M93" s="21" t="n"/>
      <c r="N93" s="21" t="inlineStr">
        <is>
          <t>Terminal / already resolved project; excluded from new allocation cycle.</t>
        </is>
      </c>
    </row>
    <row r="94">
      <c r="A94" s="21" t="n"/>
      <c r="B94" s="21" t="inlineStr">
        <is>
          <t>Existing Pipeline</t>
        </is>
      </c>
      <c r="C94" s="21" t="inlineStr">
        <is>
          <t>25420</t>
        </is>
      </c>
      <c r="D94" s="21" t="inlineStr">
        <is>
          <t>The Bloom at Lamar Square</t>
        </is>
      </c>
      <c r="E94" s="21" t="inlineStr">
        <is>
          <t>Withdrawn</t>
        </is>
      </c>
      <c r="F94" s="21" t="inlineStr">
        <is>
          <t>Withdrawn</t>
        </is>
      </c>
      <c r="G94" s="21" t="inlineStr">
        <is>
          <t>N</t>
        </is>
      </c>
      <c r="H94" s="21" t="inlineStr">
        <is>
          <t>N</t>
        </is>
      </c>
      <c r="I94" s="21" t="n">
        <v>45880</v>
      </c>
      <c r="J94" s="21" t="n">
        <v>16500000</v>
      </c>
      <c r="K94" s="21" t="n"/>
      <c r="L94" s="21" t="inlineStr">
        <is>
          <t>N</t>
        </is>
      </c>
      <c r="M94" s="21" t="n"/>
      <c r="N94" s="21" t="inlineStr">
        <is>
          <t>Terminal / already resolved project; excluded from new allocation cycle.</t>
        </is>
      </c>
    </row>
    <row r="95">
      <c r="A95" s="21" t="n"/>
      <c r="B95" s="21" t="inlineStr">
        <is>
          <t>Existing Pipeline</t>
        </is>
      </c>
      <c r="C95" s="21" t="inlineStr">
        <is>
          <t>25459</t>
        </is>
      </c>
      <c r="D95" s="21" t="inlineStr">
        <is>
          <t>The Foundry</t>
        </is>
      </c>
      <c r="E95" s="21" t="inlineStr">
        <is>
          <t>Withdrawn</t>
        </is>
      </c>
      <c r="F95" s="21" t="inlineStr">
        <is>
          <t>Withdrawn</t>
        </is>
      </c>
      <c r="G95" s="21" t="inlineStr">
        <is>
          <t>N</t>
        </is>
      </c>
      <c r="H95" s="21" t="inlineStr">
        <is>
          <t>N</t>
        </is>
      </c>
      <c r="I95" s="21" t="n">
        <v>45726</v>
      </c>
      <c r="J95" s="21" t="n">
        <v>50000000</v>
      </c>
      <c r="K95" s="21" t="n"/>
      <c r="L95" s="21" t="inlineStr">
        <is>
          <t>N</t>
        </is>
      </c>
      <c r="M95" s="21" t="n"/>
      <c r="N95" s="21" t="inlineStr">
        <is>
          <t>Terminal / already resolved project; excluded from new allocation cycle.</t>
        </is>
      </c>
    </row>
    <row r="96">
      <c r="A96" s="21" t="n"/>
      <c r="B96" s="21" t="inlineStr">
        <is>
          <t>Existing Pipeline</t>
        </is>
      </c>
      <c r="C96" s="21" t="inlineStr">
        <is>
          <t>25609</t>
        </is>
      </c>
      <c r="D96" s="21" t="inlineStr">
        <is>
          <t>The Gateway at Trinity Forest</t>
        </is>
      </c>
      <c r="E96" s="21" t="inlineStr">
        <is>
          <t>Closed</t>
        </is>
      </c>
      <c r="F96" s="21" t="inlineStr">
        <is>
          <t>Closed</t>
        </is>
      </c>
      <c r="G96" s="21" t="inlineStr">
        <is>
          <t>Y</t>
        </is>
      </c>
      <c r="H96" s="21" t="inlineStr">
        <is>
          <t>N</t>
        </is>
      </c>
      <c r="I96" s="21" t="n">
        <v>45883</v>
      </c>
      <c r="J96" s="21" t="n">
        <v>50000000</v>
      </c>
      <c r="K96" s="21" t="n"/>
      <c r="L96" s="21" t="inlineStr">
        <is>
          <t>N</t>
        </is>
      </c>
      <c r="M96" s="21" t="n"/>
      <c r="N96" s="21" t="inlineStr">
        <is>
          <t>Terminal / already resolved project; excluded from new allocation cycle.</t>
        </is>
      </c>
    </row>
    <row r="97">
      <c r="A97" s="21" t="n"/>
      <c r="B97" s="21" t="inlineStr">
        <is>
          <t>Existing Pipeline</t>
        </is>
      </c>
      <c r="C97" s="21" t="inlineStr">
        <is>
          <t>25431</t>
        </is>
      </c>
      <c r="D97" s="21" t="inlineStr">
        <is>
          <t>The Meadows</t>
        </is>
      </c>
      <c r="E97" s="21" t="inlineStr">
        <is>
          <t>Withdrawn</t>
        </is>
      </c>
      <c r="F97" s="21" t="inlineStr">
        <is>
          <t>Withdrawn</t>
        </is>
      </c>
      <c r="G97" s="21" t="inlineStr">
        <is>
          <t>N</t>
        </is>
      </c>
      <c r="H97" s="21" t="inlineStr">
        <is>
          <t>N</t>
        </is>
      </c>
      <c r="I97" s="21" t="n">
        <v>45672</v>
      </c>
      <c r="J97" s="21" t="n">
        <v>25000000</v>
      </c>
      <c r="K97" s="21" t="n"/>
      <c r="L97" s="21" t="inlineStr">
        <is>
          <t>N</t>
        </is>
      </c>
      <c r="M97" s="21" t="n"/>
      <c r="N97" s="21" t="inlineStr">
        <is>
          <t>Terminal / already resolved project; excluded from new allocation cycle.</t>
        </is>
      </c>
    </row>
    <row r="98">
      <c r="A98" s="21" t="n"/>
      <c r="B98" s="21" t="inlineStr">
        <is>
          <t>Existing Pipeline</t>
        </is>
      </c>
      <c r="C98" s="21" t="inlineStr">
        <is>
          <t>25404</t>
        </is>
      </c>
      <c r="D98" s="21" t="inlineStr">
        <is>
          <t>Torrington Briarwood</t>
        </is>
      </c>
      <c r="E98" s="21" t="inlineStr">
        <is>
          <t>Closed</t>
        </is>
      </c>
      <c r="F98" s="21" t="inlineStr">
        <is>
          <t>Closed</t>
        </is>
      </c>
      <c r="G98" s="21" t="inlineStr">
        <is>
          <t>Y</t>
        </is>
      </c>
      <c r="H98" s="21" t="inlineStr">
        <is>
          <t>N</t>
        </is>
      </c>
      <c r="I98" s="21" t="n">
        <v>45671</v>
      </c>
      <c r="J98" s="21" t="n">
        <v>50000000</v>
      </c>
      <c r="K98" s="21" t="n"/>
      <c r="L98" s="21" t="inlineStr">
        <is>
          <t>N</t>
        </is>
      </c>
      <c r="M98" s="21" t="n"/>
      <c r="N98" s="21" t="inlineStr">
        <is>
          <t>Terminal / already resolved project; excluded from new allocation cycle.</t>
        </is>
      </c>
    </row>
    <row r="99">
      <c r="A99" s="21" t="n"/>
      <c r="B99" s="21" t="inlineStr">
        <is>
          <t>Existing Pipeline</t>
        </is>
      </c>
      <c r="C99" s="21" t="inlineStr">
        <is>
          <t>25462</t>
        </is>
      </c>
      <c r="D99" s="21" t="inlineStr">
        <is>
          <t>Tuscany at Goldmark</t>
        </is>
      </c>
      <c r="E99" s="21" t="inlineStr">
        <is>
          <t>Withdrawn</t>
        </is>
      </c>
      <c r="F99" s="21" t="inlineStr">
        <is>
          <t>Withdrawn</t>
        </is>
      </c>
      <c r="G99" s="21" t="inlineStr">
        <is>
          <t>N</t>
        </is>
      </c>
      <c r="H99" s="21" t="inlineStr">
        <is>
          <t>N</t>
        </is>
      </c>
      <c r="I99" s="21" t="n">
        <v>45748</v>
      </c>
      <c r="J99" s="21" t="n">
        <v>32000000</v>
      </c>
      <c r="K99" s="21" t="n"/>
      <c r="L99" s="21" t="inlineStr">
        <is>
          <t>N</t>
        </is>
      </c>
      <c r="M99" s="21" t="n"/>
      <c r="N99" s="21" t="inlineStr">
        <is>
          <t>Terminal / already resolved project; excluded from new allocation cycle.</t>
        </is>
      </c>
    </row>
    <row r="100">
      <c r="A100" s="21" t="n"/>
      <c r="B100" s="21" t="inlineStr">
        <is>
          <t>Existing Pipeline</t>
        </is>
      </c>
      <c r="C100" s="21" t="inlineStr">
        <is>
          <t>25432</t>
        </is>
      </c>
      <c r="D100" s="21" t="inlineStr">
        <is>
          <t>Village at Meadowbend</t>
        </is>
      </c>
      <c r="E100" s="21" t="inlineStr">
        <is>
          <t>Withdrawn</t>
        </is>
      </c>
      <c r="F100" s="21" t="inlineStr">
        <is>
          <t>Withdrawn</t>
        </is>
      </c>
      <c r="G100" s="21" t="inlineStr">
        <is>
          <t>N</t>
        </is>
      </c>
      <c r="H100" s="21" t="inlineStr">
        <is>
          <t>N</t>
        </is>
      </c>
      <c r="I100" s="21" t="n">
        <v>45672</v>
      </c>
      <c r="J100" s="21" t="n">
        <v>25000000</v>
      </c>
      <c r="K100" s="21" t="n"/>
      <c r="L100" s="21" t="inlineStr">
        <is>
          <t>N</t>
        </is>
      </c>
      <c r="M100" s="21" t="n"/>
      <c r="N100" s="21" t="inlineStr">
        <is>
          <t>Terminal / already resolved project; excluded from new allocation cycle.</t>
        </is>
      </c>
    </row>
    <row r="101">
      <c r="A101" s="21" t="n"/>
      <c r="B101" s="21" t="inlineStr">
        <is>
          <t>Existing Pipeline</t>
        </is>
      </c>
      <c r="C101" s="21" t="inlineStr">
        <is>
          <t>25463</t>
        </is>
      </c>
      <c r="D101" s="21" t="inlineStr">
        <is>
          <t>Waterford at Spencer Oaks</t>
        </is>
      </c>
      <c r="E101" s="21" t="inlineStr">
        <is>
          <t>Closed</t>
        </is>
      </c>
      <c r="F101" s="21" t="inlineStr">
        <is>
          <t>Closed</t>
        </is>
      </c>
      <c r="G101" s="21" t="inlineStr">
        <is>
          <t>Y</t>
        </is>
      </c>
      <c r="H101" s="21" t="inlineStr">
        <is>
          <t>N</t>
        </is>
      </c>
      <c r="I101" s="21" t="n">
        <v>45748</v>
      </c>
      <c r="J101" s="21" t="n">
        <v>44200000</v>
      </c>
      <c r="K101" s="21" t="n"/>
      <c r="L101" s="21" t="inlineStr">
        <is>
          <t>N</t>
        </is>
      </c>
      <c r="M101" s="21" t="n"/>
      <c r="N101" s="21" t="inlineStr">
        <is>
          <t>Terminal / already resolved project; excluded from new allocation cycle.</t>
        </is>
      </c>
    </row>
    <row r="102">
      <c r="A102" s="21" t="n"/>
      <c r="B102" s="21" t="inlineStr">
        <is>
          <t>Existing Pipeline</t>
        </is>
      </c>
      <c r="C102" s="21" t="inlineStr">
        <is>
          <t>25600</t>
        </is>
      </c>
      <c r="D102" s="21" t="inlineStr">
        <is>
          <t>Waters at Arrowood</t>
        </is>
      </c>
      <c r="E102" s="21" t="inlineStr">
        <is>
          <t>Withdrawn</t>
        </is>
      </c>
      <c r="F102" s="21" t="inlineStr">
        <is>
          <t>Withdrawn</t>
        </is>
      </c>
      <c r="G102" s="21" t="inlineStr">
        <is>
          <t>N</t>
        </is>
      </c>
      <c r="H102" s="21" t="inlineStr">
        <is>
          <t>N</t>
        </is>
      </c>
      <c r="I102" s="21" t="n">
        <v>45883</v>
      </c>
      <c r="J102" s="21" t="n">
        <v>30500000</v>
      </c>
      <c r="K102" s="21" t="n"/>
      <c r="L102" s="21" t="inlineStr">
        <is>
          <t>N</t>
        </is>
      </c>
      <c r="M102" s="21" t="n"/>
      <c r="N102" s="21" t="inlineStr">
        <is>
          <t>Terminal / already resolved project; excluded from new allocation cycle.</t>
        </is>
      </c>
    </row>
    <row r="103">
      <c r="A103" s="21" t="n"/>
      <c r="B103" s="21" t="inlineStr">
        <is>
          <t>Existing Pipeline</t>
        </is>
      </c>
      <c r="C103" s="21" t="inlineStr">
        <is>
          <t>25480</t>
        </is>
      </c>
      <c r="D103" s="21" t="inlineStr">
        <is>
          <t>Westmoreland Townhomes</t>
        </is>
      </c>
      <c r="E103" s="21" t="inlineStr">
        <is>
          <t>Closed</t>
        </is>
      </c>
      <c r="F103" s="21" t="inlineStr">
        <is>
          <t>Closed</t>
        </is>
      </c>
      <c r="G103" s="21" t="inlineStr">
        <is>
          <t>Y</t>
        </is>
      </c>
      <c r="H103" s="21" t="inlineStr">
        <is>
          <t>N</t>
        </is>
      </c>
      <c r="I103" s="21" t="n">
        <v>45832</v>
      </c>
      <c r="J103" s="21" t="n">
        <v>40000000</v>
      </c>
      <c r="K103" s="21" t="n"/>
      <c r="L103" s="21" t="inlineStr">
        <is>
          <t>N</t>
        </is>
      </c>
      <c r="M103" s="21" t="n"/>
      <c r="N103" s="21" t="inlineStr">
        <is>
          <t>Terminal / already resolved project; excluded from new allocation cycle.</t>
        </is>
      </c>
    </row>
    <row r="104">
      <c r="A104" s="21" t="n"/>
      <c r="B104" s="21" t="inlineStr">
        <is>
          <t>Existing Pipeline</t>
        </is>
      </c>
      <c r="C104" s="21" t="inlineStr">
        <is>
          <t>25412</t>
        </is>
      </c>
      <c r="D104" s="21" t="inlineStr">
        <is>
          <t>Wyndham Park</t>
        </is>
      </c>
      <c r="E104" s="21" t="inlineStr">
        <is>
          <t>Closed</t>
        </is>
      </c>
      <c r="F104" s="21" t="inlineStr">
        <is>
          <t>Closed</t>
        </is>
      </c>
      <c r="G104" s="21" t="inlineStr">
        <is>
          <t>Y</t>
        </is>
      </c>
      <c r="H104" s="21" t="inlineStr">
        <is>
          <t>N</t>
        </is>
      </c>
      <c r="I104" s="21" t="n">
        <v>45673</v>
      </c>
      <c r="J104" s="21" t="n">
        <v>20000000</v>
      </c>
      <c r="K104" s="21" t="n"/>
      <c r="L104" s="21" t="inlineStr">
        <is>
          <t>N</t>
        </is>
      </c>
      <c r="M104" s="21" t="n"/>
      <c r="N104" s="21" t="inlineStr">
        <is>
          <t>Terminal / already resolved project; excluded from new allocation cycle.</t>
        </is>
      </c>
    </row>
  </sheetData>
  <autoFilter ref="A11:N104"/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7F7F7F"/>
    <outlinePr summaryBelow="1" summaryRight="1"/>
    <pageSetUpPr/>
  </sheetPr>
  <dimension ref="A1:W89"/>
  <sheetViews>
    <sheetView showGridLines="0" workbookViewId="0">
      <selection activeCell="A1" sqref="A1"/>
    </sheetView>
  </sheetViews>
  <sheetFormatPr baseColWidth="8" defaultRowHeight="14.5"/>
  <cols>
    <col width="18" customWidth="1" style="23" min="1" max="1"/>
    <col width="28" customWidth="1" style="23" min="2" max="2"/>
    <col width="20" customWidth="1" style="23" min="3" max="23"/>
  </cols>
  <sheetData>
    <row r="1">
      <c r="A1" s="22" t="inlineStr">
        <is>
          <t>Lookup Lists</t>
        </is>
      </c>
    </row>
    <row r="3">
      <c r="A3" s="1" t="inlineStr">
        <is>
          <t>List Name</t>
        </is>
      </c>
      <c r="B3" s="1" t="inlineStr">
        <is>
          <t>Allowed Value</t>
        </is>
      </c>
      <c r="R3" s="1" t="inlineStr">
        <is>
          <t>header_name</t>
        </is>
      </c>
      <c r="S3" s="1" t="inlineStr">
        <is>
          <t>section</t>
        </is>
      </c>
      <c r="T3" s="1" t="inlineStr">
        <is>
          <t>input_type</t>
        </is>
      </c>
      <c r="U3" s="1" t="inlineStr">
        <is>
          <t>required_status</t>
        </is>
      </c>
      <c r="V3" s="1" t="inlineStr">
        <is>
          <t>allowed_values</t>
        </is>
      </c>
      <c r="W3" s="1" t="inlineStr">
        <is>
          <t>description</t>
        </is>
      </c>
    </row>
    <row r="4">
      <c r="A4" s="17" t="inlineStr">
        <is>
          <t>yes_no</t>
        </is>
      </c>
      <c r="C4" s="17" t="inlineStr">
        <is>
          <t>application_status_current</t>
        </is>
      </c>
      <c r="E4" s="17" t="inlineStr">
        <is>
          <t>construction_type</t>
        </is>
      </c>
      <c r="G4" s="17" t="inlineStr">
        <is>
          <t>target_population</t>
        </is>
      </c>
      <c r="I4" s="17" t="inlineStr">
        <is>
          <t>bond_issuer_type</t>
        </is>
      </c>
      <c r="K4" s="17" t="inlineStr">
        <is>
          <t>predicted_next_status</t>
        </is>
      </c>
      <c r="M4" s="17" t="inlineStr">
        <is>
          <t>predicted_next_path</t>
        </is>
      </c>
      <c r="O4" s="17" t="inlineStr">
        <is>
          <t>predicted_advance_flag</t>
        </is>
      </c>
      <c r="R4" s="6" t="inlineStr">
        <is>
          <t>snapshot_date</t>
        </is>
      </c>
      <c r="S4" s="6" t="inlineStr">
        <is>
          <t>Identity &amp; Snapshot</t>
        </is>
      </c>
      <c r="T4" s="6" t="inlineStr">
        <is>
          <t>date</t>
        </is>
      </c>
      <c r="U4" s="6" t="inlineStr">
        <is>
          <t>Req</t>
        </is>
      </c>
      <c r="V4" s="6" t="n"/>
      <c r="W4" s="6" t="inlineStr">
        <is>
          <t>Snapshot date for the input universe (usually the status-log date).</t>
        </is>
      </c>
    </row>
    <row r="5">
      <c r="A5" t="inlineStr">
        <is>
          <t>Y</t>
        </is>
      </c>
      <c r="C5" t="inlineStr">
        <is>
          <t>Submitted</t>
        </is>
      </c>
      <c r="E5" t="inlineStr">
        <is>
          <t>New Construction</t>
        </is>
      </c>
      <c r="G5" t="inlineStr">
        <is>
          <t>General</t>
        </is>
      </c>
      <c r="I5" t="inlineStr">
        <is>
          <t>Local HFC</t>
        </is>
      </c>
      <c r="K5" t="inlineStr">
        <is>
          <t>Submitted</t>
        </is>
      </c>
      <c r="M5" t="inlineStr">
        <is>
          <t>Remain Submitted</t>
        </is>
      </c>
      <c r="O5" t="inlineStr">
        <is>
          <t>Y</t>
        </is>
      </c>
      <c r="R5" s="6" t="inlineStr">
        <is>
          <t>application_source_log</t>
        </is>
      </c>
      <c r="S5" s="6" t="inlineStr">
        <is>
          <t>Identity &amp; Snapshot</t>
        </is>
      </c>
      <c r="T5" s="6" t="inlineStr">
        <is>
          <t>text</t>
        </is>
      </c>
      <c r="U5" s="6" t="inlineStr">
        <is>
          <t>Req</t>
        </is>
      </c>
      <c r="V5" s="6" t="n"/>
      <c r="W5" s="6" t="inlineStr">
        <is>
          <t>Identifier for the source log or file, e.g. 2025-03-10.</t>
        </is>
      </c>
    </row>
    <row r="6">
      <c r="A6" t="inlineStr">
        <is>
          <t>N</t>
        </is>
      </c>
      <c r="C6" t="inlineStr">
        <is>
          <t>Under Review</t>
        </is>
      </c>
      <c r="E6" t="inlineStr">
        <is>
          <t>Acq/Rehab</t>
        </is>
      </c>
      <c r="G6" t="inlineStr">
        <is>
          <t>Elderly</t>
        </is>
      </c>
      <c r="I6" t="inlineStr">
        <is>
          <t>TDHCA</t>
        </is>
      </c>
      <c r="K6" t="inlineStr">
        <is>
          <t>Under Review</t>
        </is>
      </c>
      <c r="M6" t="inlineStr">
        <is>
          <t>Under Review</t>
        </is>
      </c>
      <c r="O6" t="inlineStr">
        <is>
          <t>N</t>
        </is>
      </c>
      <c r="R6" s="6" t="inlineStr">
        <is>
          <t>tdhca_number</t>
        </is>
      </c>
      <c r="S6" s="6" t="inlineStr">
        <is>
          <t>Identity &amp; Snapshot</t>
        </is>
      </c>
      <c r="T6" s="6" t="inlineStr">
        <is>
          <t>text/number</t>
        </is>
      </c>
      <c r="U6" s="6" t="inlineStr">
        <is>
          <t>Req</t>
        </is>
      </c>
      <c r="V6" s="6" t="n"/>
      <c r="W6" s="6" t="inlineStr">
        <is>
          <t>Unique TDHCA deal ID for the cycle.</t>
        </is>
      </c>
    </row>
    <row r="7">
      <c r="C7" t="inlineStr">
        <is>
          <t>Active</t>
        </is>
      </c>
      <c r="E7" t="inlineStr">
        <is>
          <t>Rehabilitation</t>
        </is>
      </c>
      <c r="G7" t="inlineStr">
        <is>
          <t>Supportive Housing</t>
        </is>
      </c>
      <c r="I7" t="inlineStr">
        <is>
          <t>Other</t>
        </is>
      </c>
      <c r="K7" t="inlineStr">
        <is>
          <t>Board</t>
        </is>
      </c>
      <c r="M7" t="inlineStr">
        <is>
          <t>Board</t>
        </is>
      </c>
      <c r="O7" t="inlineStr">
        <is>
          <t>Conditional</t>
        </is>
      </c>
      <c r="R7" s="6" t="inlineStr">
        <is>
          <t>previous_tdhca_number</t>
        </is>
      </c>
      <c r="S7" s="6" t="inlineStr">
        <is>
          <t>Identity &amp; Snapshot</t>
        </is>
      </c>
      <c r="T7" s="6" t="inlineStr">
        <is>
          <t>text/number</t>
        </is>
      </c>
      <c r="U7" s="6" t="inlineStr">
        <is>
          <t>Opt</t>
        </is>
      </c>
      <c r="V7" s="6" t="n"/>
      <c r="W7" s="6" t="inlineStr">
        <is>
          <t>Prior TDHCA number for resubmissions/refis.</t>
        </is>
      </c>
    </row>
    <row r="8">
      <c r="C8" t="inlineStr">
        <is>
          <t>Approved</t>
        </is>
      </c>
      <c r="E8" t="inlineStr">
        <is>
          <t>Adaptive Reuse</t>
        </is>
      </c>
      <c r="G8" t="inlineStr">
        <is>
          <t>Other</t>
        </is>
      </c>
      <c r="K8" t="inlineStr">
        <is>
          <t>Determination Notice Issued</t>
        </is>
      </c>
      <c r="M8" t="inlineStr">
        <is>
          <t>Determination Notice</t>
        </is>
      </c>
      <c r="R8" s="6" t="inlineStr">
        <is>
          <t>development_name</t>
        </is>
      </c>
      <c r="S8" s="6" t="inlineStr">
        <is>
          <t>Identity &amp; Snapshot</t>
        </is>
      </c>
      <c r="T8" s="6" t="inlineStr">
        <is>
          <t>text</t>
        </is>
      </c>
      <c r="U8" s="6" t="inlineStr">
        <is>
          <t>Req</t>
        </is>
      </c>
      <c r="V8" s="6" t="n"/>
      <c r="W8" s="6" t="inlineStr">
        <is>
          <t>Development name.</t>
        </is>
      </c>
    </row>
    <row r="9">
      <c r="C9" t="inlineStr">
        <is>
          <t>Closed</t>
        </is>
      </c>
      <c r="E9" t="inlineStr">
        <is>
          <t>Reconstruction</t>
        </is>
      </c>
      <c r="K9" t="inlineStr">
        <is>
          <t>Closed</t>
        </is>
      </c>
      <c r="M9" t="inlineStr">
        <is>
          <t>Closed</t>
        </is>
      </c>
      <c r="R9" s="6" t="inlineStr">
        <is>
          <t>development_city</t>
        </is>
      </c>
      <c r="S9" s="6" t="inlineStr">
        <is>
          <t>Identity &amp; Snapshot</t>
        </is>
      </c>
      <c r="T9" s="6" t="inlineStr">
        <is>
          <t>text</t>
        </is>
      </c>
      <c r="U9" s="6" t="inlineStr">
        <is>
          <t>Req</t>
        </is>
      </c>
      <c r="V9" s="6" t="n"/>
      <c r="W9" s="6" t="inlineStr">
        <is>
          <t>Development city.</t>
        </is>
      </c>
    </row>
    <row r="10">
      <c r="C10" t="inlineStr">
        <is>
          <t>Withdrawn</t>
        </is>
      </c>
      <c r="K10" t="inlineStr">
        <is>
          <t>Withdrawn</t>
        </is>
      </c>
      <c r="M10" t="inlineStr">
        <is>
          <t>No Advancement</t>
        </is>
      </c>
      <c r="R10" s="6" t="inlineStr">
        <is>
          <t>development_county</t>
        </is>
      </c>
      <c r="S10" s="6" t="inlineStr">
        <is>
          <t>Identity &amp; Snapshot</t>
        </is>
      </c>
      <c r="T10" s="6" t="inlineStr">
        <is>
          <t>text</t>
        </is>
      </c>
      <c r="U10" s="6" t="inlineStr">
        <is>
          <t>Req</t>
        </is>
      </c>
      <c r="V10" s="6" t="n"/>
      <c r="W10" s="6" t="inlineStr">
        <is>
          <t>Development county.</t>
        </is>
      </c>
    </row>
    <row r="11">
      <c r="C11" t="inlineStr">
        <is>
          <t>Pre-Application</t>
        </is>
      </c>
      <c r="K11" t="inlineStr">
        <is>
          <t>Terminated</t>
        </is>
      </c>
      <c r="M11" t="inlineStr">
        <is>
          <t>Terminated</t>
        </is>
      </c>
      <c r="R11" s="6" t="inlineStr">
        <is>
          <t>development_region</t>
        </is>
      </c>
      <c r="S11" s="6" t="inlineStr">
        <is>
          <t>Identity &amp; Snapshot</t>
        </is>
      </c>
      <c r="T11" s="6" t="inlineStr">
        <is>
          <t>number/text</t>
        </is>
      </c>
      <c r="U11" s="6" t="inlineStr">
        <is>
          <t>Req</t>
        </is>
      </c>
      <c r="V11" s="6" t="n"/>
      <c r="W11" s="6" t="inlineStr">
        <is>
          <t>Development region used in TDHCA reporting.</t>
        </is>
      </c>
    </row>
    <row r="12">
      <c r="C12" t="inlineStr">
        <is>
          <t>Board</t>
        </is>
      </c>
      <c r="K12" t="inlineStr">
        <is>
          <t>No Advancement</t>
        </is>
      </c>
      <c r="R12" s="6" t="inlineStr">
        <is>
          <t>development_address</t>
        </is>
      </c>
      <c r="S12" s="6" t="inlineStr">
        <is>
          <t>Identity &amp; Snapshot</t>
        </is>
      </c>
      <c r="T12" s="6" t="inlineStr">
        <is>
          <t>text</t>
        </is>
      </c>
      <c r="U12" s="6" t="inlineStr">
        <is>
          <t>Opt</t>
        </is>
      </c>
      <c r="V12" s="6" t="n"/>
      <c r="W12" s="6" t="inlineStr">
        <is>
          <t>Project street address.</t>
        </is>
      </c>
    </row>
    <row r="13">
      <c r="C13" t="inlineStr">
        <is>
          <t>Determination Notice Issued</t>
        </is>
      </c>
      <c r="R13" s="6" t="inlineStr">
        <is>
          <t>zip_code</t>
        </is>
      </c>
      <c r="S13" s="6" t="inlineStr">
        <is>
          <t>Identity &amp; Snapshot</t>
        </is>
      </c>
      <c r="T13" s="6" t="inlineStr">
        <is>
          <t>text/number</t>
        </is>
      </c>
      <c r="U13" s="6" t="inlineStr">
        <is>
          <t>Opt</t>
        </is>
      </c>
      <c r="V13" s="6" t="n"/>
      <c r="W13" s="6" t="inlineStr">
        <is>
          <t>Project ZIP Code.</t>
        </is>
      </c>
    </row>
    <row r="14">
      <c r="C14" t="inlineStr">
        <is>
          <t>Stalled</t>
        </is>
      </c>
      <c r="R14" s="6" t="inlineStr">
        <is>
          <t>full_application_submission_date</t>
        </is>
      </c>
      <c r="S14" s="6" t="inlineStr">
        <is>
          <t>Current Public Process</t>
        </is>
      </c>
      <c r="T14" s="6" t="inlineStr">
        <is>
          <t>date</t>
        </is>
      </c>
      <c r="U14" s="6" t="inlineStr">
        <is>
          <t>Req</t>
        </is>
      </c>
      <c r="V14" s="6" t="n"/>
      <c r="W14" s="6" t="inlineStr">
        <is>
          <t>Date the full 4% application was submitted.</t>
        </is>
      </c>
    </row>
    <row r="15" ht="58" customHeight="1" s="23">
      <c r="C15" t="inlineStr">
        <is>
          <t>Terminated</t>
        </is>
      </c>
      <c r="R15" s="6" t="inlineStr">
        <is>
          <t>application_status_current</t>
        </is>
      </c>
      <c r="S15" s="6" t="inlineStr">
        <is>
          <t>Current Public Process</t>
        </is>
      </c>
      <c r="T15" s="6" t="inlineStr">
        <is>
          <t>dropdown</t>
        </is>
      </c>
      <c r="U15" s="6" t="inlineStr">
        <is>
          <t>Req</t>
        </is>
      </c>
      <c r="V15" s="24" t="inlineStr">
        <is>
          <t>Submitted,Under Review,Active,Approved,Closed,Withdrawn,Pre-application,Stalled</t>
        </is>
      </c>
      <c r="W15" s="6" t="inlineStr">
        <is>
          <t>Current public-log status.</t>
        </is>
      </c>
    </row>
    <row r="16">
      <c r="R16" s="6" t="inlineStr">
        <is>
          <t>board_meeting_date_current</t>
        </is>
      </c>
      <c r="S16" s="6" t="inlineStr">
        <is>
          <t>Current Public Process</t>
        </is>
      </c>
      <c r="T16" s="6" t="inlineStr">
        <is>
          <t>date</t>
        </is>
      </c>
      <c r="U16" s="6" t="inlineStr">
        <is>
          <t>Opt</t>
        </is>
      </c>
      <c r="V16" s="6" t="n"/>
      <c r="W16" s="6" t="inlineStr">
        <is>
          <t>Current board meeting date, if any.</t>
        </is>
      </c>
    </row>
    <row r="17">
      <c r="R17" s="6" t="inlineStr">
        <is>
          <t>determination_notice_issuance_date_current</t>
        </is>
      </c>
      <c r="S17" s="6" t="inlineStr">
        <is>
          <t>Current Public Process</t>
        </is>
      </c>
      <c r="T17" s="6" t="inlineStr">
        <is>
          <t>date</t>
        </is>
      </c>
      <c r="U17" s="6" t="inlineStr">
        <is>
          <t>Opt</t>
        </is>
      </c>
      <c r="V17" s="6" t="n"/>
      <c r="W17" s="6" t="inlineStr">
        <is>
          <t>Current determination notice issuance date, if any.</t>
        </is>
      </c>
    </row>
    <row r="18">
      <c r="R18" s="6" t="inlineStr">
        <is>
          <t>bond_reservation_date_current</t>
        </is>
      </c>
      <c r="S18" s="6" t="inlineStr">
        <is>
          <t>Current Public Process</t>
        </is>
      </c>
      <c r="T18" s="6" t="inlineStr">
        <is>
          <t>date</t>
        </is>
      </c>
      <c r="U18" s="6" t="inlineStr">
        <is>
          <t>Opt</t>
        </is>
      </c>
      <c r="V18" s="6" t="n"/>
      <c r="W18" s="6" t="inlineStr">
        <is>
          <t>Current bond reservation date.</t>
        </is>
      </c>
    </row>
    <row r="19">
      <c r="R19" s="6" t="inlineStr">
        <is>
          <t>bond_expiration_date_current</t>
        </is>
      </c>
      <c r="S19" s="6" t="inlineStr">
        <is>
          <t>Current Public Process</t>
        </is>
      </c>
      <c r="T19" s="6" t="inlineStr">
        <is>
          <t>date</t>
        </is>
      </c>
      <c r="U19" s="6" t="inlineStr">
        <is>
          <t>Opt</t>
        </is>
      </c>
      <c r="V19" s="6" t="n"/>
      <c r="W19" s="6" t="inlineStr">
        <is>
          <t>Current bond expiration date.</t>
        </is>
      </c>
    </row>
    <row r="20">
      <c r="R20" s="6" t="inlineStr">
        <is>
          <t>closed_date_current</t>
        </is>
      </c>
      <c r="S20" s="6" t="inlineStr">
        <is>
          <t>Current Public Process</t>
        </is>
      </c>
      <c r="T20" s="6" t="inlineStr">
        <is>
          <t>date</t>
        </is>
      </c>
      <c r="U20" s="6" t="inlineStr">
        <is>
          <t>Opt</t>
        </is>
      </c>
      <c r="V20" s="6" t="n"/>
      <c r="W20" s="6" t="inlineStr">
        <is>
          <t>Date closed, if already closed.</t>
        </is>
      </c>
    </row>
    <row r="21" ht="72.5" customHeight="1" s="23">
      <c r="R21" s="6" t="inlineStr">
        <is>
          <t>construction_type</t>
        </is>
      </c>
      <c r="S21" s="6" t="inlineStr">
        <is>
          <t>Project Characteristics</t>
        </is>
      </c>
      <c r="T21" s="6" t="inlineStr">
        <is>
          <t>dropdown</t>
        </is>
      </c>
      <c r="U21" s="6" t="inlineStr">
        <is>
          <t>Req</t>
        </is>
      </c>
      <c r="V21" s="24" t="inlineStr">
        <is>
          <t>New Construction,Acq/Rehab,Rehabilitation,Adaptive Reuse,Reconstruction</t>
        </is>
      </c>
      <c r="W21" s="6" t="inlineStr">
        <is>
          <t>Construction type.</t>
        </is>
      </c>
    </row>
    <row r="22" ht="29" customHeight="1" s="23">
      <c r="R22" s="6" t="inlineStr">
        <is>
          <t>target_population</t>
        </is>
      </c>
      <c r="S22" s="6" t="inlineStr">
        <is>
          <t>Project Characteristics</t>
        </is>
      </c>
      <c r="T22" s="6" t="inlineStr">
        <is>
          <t>dropdown</t>
        </is>
      </c>
      <c r="U22" s="6" t="inlineStr">
        <is>
          <t>Req</t>
        </is>
      </c>
      <c r="V22" s="24" t="inlineStr">
        <is>
          <t>General,Elderly,Supportive Housing,Other</t>
        </is>
      </c>
      <c r="W22" s="6" t="inlineStr">
        <is>
          <t>Target population.</t>
        </is>
      </c>
    </row>
    <row r="23">
      <c r="R23" s="6" t="inlineStr">
        <is>
          <t>total_units</t>
        </is>
      </c>
      <c r="S23" s="6" t="inlineStr">
        <is>
          <t>Project Characteristics</t>
        </is>
      </c>
      <c r="T23" s="6" t="inlineStr">
        <is>
          <t>number</t>
        </is>
      </c>
      <c r="U23" s="6" t="inlineStr">
        <is>
          <t>Req</t>
        </is>
      </c>
      <c r="V23" s="6" t="n"/>
      <c r="W23" s="6" t="inlineStr">
        <is>
          <t>Total units.</t>
        </is>
      </c>
    </row>
    <row r="24">
      <c r="R24" s="6" t="inlineStr">
        <is>
          <t>total_low_income_units</t>
        </is>
      </c>
      <c r="S24" s="6" t="inlineStr">
        <is>
          <t>Project Characteristics</t>
        </is>
      </c>
      <c r="T24" s="6" t="inlineStr">
        <is>
          <t>number</t>
        </is>
      </c>
      <c r="U24" s="6" t="inlineStr">
        <is>
          <t>Req</t>
        </is>
      </c>
      <c r="V24" s="6" t="n"/>
      <c r="W24" s="6" t="inlineStr">
        <is>
          <t>Total low-income units.</t>
        </is>
      </c>
    </row>
    <row r="25">
      <c r="R25" s="6" t="inlineStr">
        <is>
          <t>scattered_site_flag</t>
        </is>
      </c>
      <c r="S25" s="6" t="inlineStr">
        <is>
          <t>Project Characteristics</t>
        </is>
      </c>
      <c r="T25" s="6" t="inlineStr">
        <is>
          <t>Y/N</t>
        </is>
      </c>
      <c r="U25" s="6" t="inlineStr">
        <is>
          <t>Opt</t>
        </is>
      </c>
      <c r="V25" s="24" t="inlineStr">
        <is>
          <t>Y,N</t>
        </is>
      </c>
      <c r="W25" s="6" t="inlineStr">
        <is>
          <t>Whether the development is scattered-site.</t>
        </is>
      </c>
    </row>
    <row r="26">
      <c r="R26" s="6" t="inlineStr">
        <is>
          <t>existing_residential_development_flag</t>
        </is>
      </c>
      <c r="S26" s="6" t="inlineStr">
        <is>
          <t>Project Characteristics</t>
        </is>
      </c>
      <c r="T26" s="6" t="inlineStr">
        <is>
          <t>Y/N</t>
        </is>
      </c>
      <c r="U26" s="6" t="inlineStr">
        <is>
          <t>Opt</t>
        </is>
      </c>
      <c r="V26" s="24" t="inlineStr">
        <is>
          <t>Y,N</t>
        </is>
      </c>
      <c r="W26" s="6" t="inlineStr">
        <is>
          <t>Whether the site is an existing residential development.</t>
        </is>
      </c>
    </row>
    <row r="27">
      <c r="R27" s="6" t="inlineStr">
        <is>
          <t>bond_issuer</t>
        </is>
      </c>
      <c r="S27" s="6" t="inlineStr">
        <is>
          <t>Bond &amp; Credit Structure</t>
        </is>
      </c>
      <c r="T27" s="6" t="inlineStr">
        <is>
          <t>text</t>
        </is>
      </c>
      <c r="U27" s="6" t="inlineStr">
        <is>
          <t>Req</t>
        </is>
      </c>
      <c r="V27" s="6" t="n"/>
      <c r="W27" s="6" t="inlineStr">
        <is>
          <t>Bond issuer name.</t>
        </is>
      </c>
    </row>
    <row r="28" ht="29" customHeight="1" s="23">
      <c r="R28" s="6" t="inlineStr">
        <is>
          <t>bond_issuer_type</t>
        </is>
      </c>
      <c r="S28" s="6" t="inlineStr">
        <is>
          <t>Bond &amp; Credit Structure</t>
        </is>
      </c>
      <c r="T28" s="6" t="inlineStr">
        <is>
          <t>dropdown</t>
        </is>
      </c>
      <c r="U28" s="6" t="inlineStr">
        <is>
          <t>Req</t>
        </is>
      </c>
      <c r="V28" s="24" t="inlineStr">
        <is>
          <t>Local HFC,TDHCA,Other</t>
        </is>
      </c>
      <c r="W28" s="6" t="inlineStr">
        <is>
          <t>Issuer type.</t>
        </is>
      </c>
    </row>
    <row r="29">
      <c r="R29" s="6" t="inlineStr">
        <is>
          <t>bond_reservation_amount_requested</t>
        </is>
      </c>
      <c r="S29" s="6" t="inlineStr">
        <is>
          <t>Bond &amp; Credit Structure</t>
        </is>
      </c>
      <c r="T29" s="6" t="inlineStr">
        <is>
          <t>currency</t>
        </is>
      </c>
      <c r="U29" s="6" t="inlineStr">
        <is>
          <t>Opt</t>
        </is>
      </c>
      <c r="V29" s="6" t="n"/>
      <c r="W29" s="6" t="inlineStr">
        <is>
          <t>Bond reservation amount/requested bond amount.</t>
        </is>
      </c>
    </row>
    <row r="30">
      <c r="R30" s="6" t="inlineStr">
        <is>
          <t>bond_amount_recommended</t>
        </is>
      </c>
      <c r="S30" s="6" t="inlineStr">
        <is>
          <t>Bond &amp; Credit Structure</t>
        </is>
      </c>
      <c r="T30" s="6" t="inlineStr">
        <is>
          <t>currency</t>
        </is>
      </c>
      <c r="U30" s="6" t="inlineStr">
        <is>
          <t>Opt</t>
        </is>
      </c>
      <c r="V30" s="6" t="n"/>
      <c r="W30" s="6" t="inlineStr">
        <is>
          <t>Recommended bond amount, if any.</t>
        </is>
      </c>
    </row>
    <row r="31">
      <c r="R31" s="6" t="inlineStr">
        <is>
          <t>requested_htc_amount</t>
        </is>
      </c>
      <c r="S31" s="6" t="inlineStr">
        <is>
          <t>Bond &amp; Credit Structure</t>
        </is>
      </c>
      <c r="T31" s="6" t="inlineStr">
        <is>
          <t>currency</t>
        </is>
      </c>
      <c r="U31" s="6" t="inlineStr">
        <is>
          <t>Opt</t>
        </is>
      </c>
      <c r="V31" s="6" t="n"/>
      <c r="W31" s="6" t="inlineStr">
        <is>
          <t>Requested annual HTC amount.</t>
        </is>
      </c>
    </row>
    <row r="32">
      <c r="R32" s="6" t="inlineStr">
        <is>
          <t>recommended_htc_amount</t>
        </is>
      </c>
      <c r="S32" s="6" t="inlineStr">
        <is>
          <t>Bond &amp; Credit Structure</t>
        </is>
      </c>
      <c r="T32" s="6" t="inlineStr">
        <is>
          <t>currency</t>
        </is>
      </c>
      <c r="U32" s="6" t="inlineStr">
        <is>
          <t>Opt</t>
        </is>
      </c>
      <c r="V32" s="6" t="n"/>
      <c r="W32" s="6" t="inlineStr">
        <is>
          <t>Recommended annual HTC amount.</t>
        </is>
      </c>
    </row>
    <row r="33">
      <c r="R33" s="6" t="inlineStr">
        <is>
          <t>requested_state_tax_credit_amount</t>
        </is>
      </c>
      <c r="S33" s="6" t="inlineStr">
        <is>
          <t>Bond &amp; Credit Structure</t>
        </is>
      </c>
      <c r="T33" s="6" t="inlineStr">
        <is>
          <t>currency</t>
        </is>
      </c>
      <c r="U33" s="6" t="inlineStr">
        <is>
          <t>Opt</t>
        </is>
      </c>
      <c r="V33" s="6" t="n"/>
      <c r="W33" s="6" t="inlineStr">
        <is>
          <t>Requested state tax credit amount.</t>
        </is>
      </c>
    </row>
    <row r="34">
      <c r="R34" s="6" t="inlineStr">
        <is>
          <t>recommended_state_tax_credit_amount</t>
        </is>
      </c>
      <c r="S34" s="6" t="inlineStr">
        <is>
          <t>Bond &amp; Credit Structure</t>
        </is>
      </c>
      <c r="T34" s="6" t="inlineStr">
        <is>
          <t>currency</t>
        </is>
      </c>
      <c r="U34" s="6" t="inlineStr">
        <is>
          <t>Opt</t>
        </is>
      </c>
      <c r="V34" s="6" t="n"/>
      <c r="W34" s="6" t="inlineStr">
        <is>
          <t>Recommended state tax credit amount.</t>
        </is>
      </c>
    </row>
    <row r="35">
      <c r="R35" s="6" t="inlineStr">
        <is>
          <t>direct_loan_request_flag</t>
        </is>
      </c>
      <c r="S35" s="6" t="inlineStr">
        <is>
          <t>Bond &amp; Credit Structure</t>
        </is>
      </c>
      <c r="T35" s="6" t="inlineStr">
        <is>
          <t>Y/N</t>
        </is>
      </c>
      <c r="U35" s="6" t="inlineStr">
        <is>
          <t>Opt</t>
        </is>
      </c>
      <c r="V35" s="24" t="inlineStr">
        <is>
          <t>Y,N</t>
        </is>
      </c>
      <c r="W35" s="6" t="inlineStr">
        <is>
          <t>Direct loan requested.</t>
        </is>
      </c>
    </row>
    <row r="36">
      <c r="R36" s="6" t="inlineStr">
        <is>
          <t>property_tax_exemption_flag</t>
        </is>
      </c>
      <c r="S36" s="6" t="inlineStr">
        <is>
          <t>Bond &amp; Credit Structure</t>
        </is>
      </c>
      <c r="T36" s="6" t="inlineStr">
        <is>
          <t>Y/N</t>
        </is>
      </c>
      <c r="U36" s="6" t="inlineStr">
        <is>
          <t>Opt</t>
        </is>
      </c>
      <c r="V36" s="24" t="inlineStr">
        <is>
          <t>Y,N</t>
        </is>
      </c>
      <c r="W36" s="6" t="inlineStr">
        <is>
          <t>Property tax exemption structure.</t>
        </is>
      </c>
    </row>
    <row r="37">
      <c r="R37" s="6" t="inlineStr">
        <is>
          <t>pfc_structure_flag</t>
        </is>
      </c>
      <c r="S37" s="6" t="inlineStr">
        <is>
          <t>Bond &amp; Credit Structure</t>
        </is>
      </c>
      <c r="T37" s="6" t="inlineStr">
        <is>
          <t>Y/N</t>
        </is>
      </c>
      <c r="U37" s="6" t="inlineStr">
        <is>
          <t>Opt</t>
        </is>
      </c>
      <c r="V37" s="24" t="inlineStr">
        <is>
          <t>Y,N</t>
        </is>
      </c>
      <c r="W37" s="6" t="inlineStr">
        <is>
          <t>Public Facility Corporation / related structure.</t>
        </is>
      </c>
    </row>
    <row r="38">
      <c r="R38" s="6" t="inlineStr">
        <is>
          <t>site_control_valid_flag</t>
        </is>
      </c>
      <c r="S38" s="6" t="inlineStr">
        <is>
          <t>Manual QAP Thresholds</t>
        </is>
      </c>
      <c r="T38" s="6" t="inlineStr">
        <is>
          <t>Y/N</t>
        </is>
      </c>
      <c r="U38" s="6" t="inlineStr">
        <is>
          <t>Req</t>
        </is>
      </c>
      <c r="V38" s="24" t="inlineStr">
        <is>
          <t>Y,N</t>
        </is>
      </c>
      <c r="W38" s="6" t="inlineStr">
        <is>
          <t>Manual input: valid site control?</t>
        </is>
      </c>
    </row>
    <row r="39">
      <c r="R39" s="6" t="inlineStr">
        <is>
          <t>site_control_document_date</t>
        </is>
      </c>
      <c r="S39" s="6" t="inlineStr">
        <is>
          <t>Manual QAP Thresholds</t>
        </is>
      </c>
      <c r="T39" s="6" t="inlineStr">
        <is>
          <t>date</t>
        </is>
      </c>
      <c r="U39" s="6" t="inlineStr">
        <is>
          <t>Opt</t>
        </is>
      </c>
      <c r="V39" s="6" t="n"/>
      <c r="W39" s="6" t="inlineStr">
        <is>
          <t>Date of site control document.</t>
        </is>
      </c>
    </row>
    <row r="40">
      <c r="R40" s="6" t="inlineStr">
        <is>
          <t>resolutions_complete_flag</t>
        </is>
      </c>
      <c r="S40" s="6" t="inlineStr">
        <is>
          <t>Manual QAP Thresholds</t>
        </is>
      </c>
      <c r="T40" s="6" t="inlineStr">
        <is>
          <t>Y/N</t>
        </is>
      </c>
      <c r="U40" s="6" t="inlineStr">
        <is>
          <t>Req</t>
        </is>
      </c>
      <c r="V40" s="24" t="inlineStr">
        <is>
          <t>Y,N</t>
        </is>
      </c>
      <c r="W40" s="6" t="inlineStr">
        <is>
          <t>All required resolutions complete?</t>
        </is>
      </c>
    </row>
    <row r="41">
      <c r="R41" s="6" t="inlineStr">
        <is>
          <t>local_approval_complete_flag</t>
        </is>
      </c>
      <c r="S41" s="6" t="inlineStr">
        <is>
          <t>Manual QAP Thresholds</t>
        </is>
      </c>
      <c r="T41" s="6" t="inlineStr">
        <is>
          <t>Y/N</t>
        </is>
      </c>
      <c r="U41" s="6" t="inlineStr">
        <is>
          <t>Req</t>
        </is>
      </c>
      <c r="V41" s="24" t="inlineStr">
        <is>
          <t>Y,N</t>
        </is>
      </c>
      <c r="W41" s="6" t="inlineStr">
        <is>
          <t>Local approvals complete?</t>
        </is>
      </c>
    </row>
    <row r="42">
      <c r="R42" s="6" t="inlineStr">
        <is>
          <t>third_party_reports_complete_flag</t>
        </is>
      </c>
      <c r="S42" s="6" t="inlineStr">
        <is>
          <t>Manual QAP Thresholds</t>
        </is>
      </c>
      <c r="T42" s="6" t="inlineStr">
        <is>
          <t>Y/N</t>
        </is>
      </c>
      <c r="U42" s="6" t="inlineStr">
        <is>
          <t>Req</t>
        </is>
      </c>
      <c r="V42" s="24" t="inlineStr">
        <is>
          <t>Y,N</t>
        </is>
      </c>
      <c r="W42" s="6" t="inlineStr">
        <is>
          <t>All required third-party reports complete?</t>
        </is>
      </c>
    </row>
    <row r="43">
      <c r="R43" s="6" t="inlineStr">
        <is>
          <t>esa_complete_flag</t>
        </is>
      </c>
      <c r="S43" s="6" t="inlineStr">
        <is>
          <t>Manual QAP Thresholds</t>
        </is>
      </c>
      <c r="T43" s="6" t="inlineStr">
        <is>
          <t>Y/N</t>
        </is>
      </c>
      <c r="U43" s="6" t="inlineStr">
        <is>
          <t>Opt</t>
        </is>
      </c>
      <c r="V43" s="24" t="inlineStr">
        <is>
          <t>Y,N</t>
        </is>
      </c>
      <c r="W43" s="6" t="inlineStr">
        <is>
          <t>Environmental site assessment complete?</t>
        </is>
      </c>
    </row>
    <row r="44">
      <c r="R44" s="6" t="inlineStr">
        <is>
          <t>market_analysis_complete_flag</t>
        </is>
      </c>
      <c r="S44" s="6" t="inlineStr">
        <is>
          <t>Manual QAP Thresholds</t>
        </is>
      </c>
      <c r="T44" s="6" t="inlineStr">
        <is>
          <t>Y/N</t>
        </is>
      </c>
      <c r="U44" s="6" t="inlineStr">
        <is>
          <t>Opt</t>
        </is>
      </c>
      <c r="V44" s="24" t="inlineStr">
        <is>
          <t>Y,N</t>
        </is>
      </c>
      <c r="W44" s="6" t="inlineStr">
        <is>
          <t>Market analysis complete?</t>
        </is>
      </c>
    </row>
    <row r="45">
      <c r="R45" s="6" t="inlineStr">
        <is>
          <t>appraisal_complete_flag</t>
        </is>
      </c>
      <c r="S45" s="6" t="inlineStr">
        <is>
          <t>Manual QAP Thresholds</t>
        </is>
      </c>
      <c r="T45" s="6" t="inlineStr">
        <is>
          <t>Y/N</t>
        </is>
      </c>
      <c r="U45" s="6" t="inlineStr">
        <is>
          <t>Opt</t>
        </is>
      </c>
      <c r="V45" s="24" t="inlineStr">
        <is>
          <t>Y,N</t>
        </is>
      </c>
      <c r="W45" s="6" t="inlineStr">
        <is>
          <t>Appraisal complete?</t>
        </is>
      </c>
    </row>
    <row r="46">
      <c r="R46" s="6" t="inlineStr">
        <is>
          <t>scr_complete_flag</t>
        </is>
      </c>
      <c r="S46" s="6" t="inlineStr">
        <is>
          <t>Manual QAP Thresholds</t>
        </is>
      </c>
      <c r="T46" s="6" t="inlineStr">
        <is>
          <t>Y/N</t>
        </is>
      </c>
      <c r="U46" s="6" t="inlineStr">
        <is>
          <t>Opt</t>
        </is>
      </c>
      <c r="V46" s="24" t="inlineStr">
        <is>
          <t>Y,N</t>
        </is>
      </c>
      <c r="W46" s="6" t="inlineStr">
        <is>
          <t>Site and neighborhood standards / SCR complete?</t>
        </is>
      </c>
    </row>
    <row r="47">
      <c r="R47" s="6" t="inlineStr">
        <is>
          <t>feasibility_report_complete_flag</t>
        </is>
      </c>
      <c r="S47" s="6" t="inlineStr">
        <is>
          <t>Manual QAP Thresholds</t>
        </is>
      </c>
      <c r="T47" s="6" t="inlineStr">
        <is>
          <t>Y/N</t>
        </is>
      </c>
      <c r="U47" s="6" t="inlineStr">
        <is>
          <t>Opt</t>
        </is>
      </c>
      <c r="V47" s="24" t="inlineStr">
        <is>
          <t>Y,N</t>
        </is>
      </c>
      <c r="W47" s="6" t="inlineStr">
        <is>
          <t>Feasibility report complete?</t>
        </is>
      </c>
    </row>
    <row r="48">
      <c r="R48" s="6" t="inlineStr">
        <is>
          <t>deficiency_notice_issued_flag</t>
        </is>
      </c>
      <c r="S48" s="6" t="inlineStr">
        <is>
          <t>Manual QAP Thresholds</t>
        </is>
      </c>
      <c r="T48" s="6" t="inlineStr">
        <is>
          <t>Y/N</t>
        </is>
      </c>
      <c r="U48" s="6" t="inlineStr">
        <is>
          <t>Opt</t>
        </is>
      </c>
      <c r="V48" s="24" t="inlineStr">
        <is>
          <t>Y,N</t>
        </is>
      </c>
      <c r="W48" s="6" t="inlineStr">
        <is>
          <t>Was a deficiency notice issued?</t>
        </is>
      </c>
    </row>
    <row r="49">
      <c r="R49" s="6" t="inlineStr">
        <is>
          <t>deficiency_notice_date</t>
        </is>
      </c>
      <c r="S49" s="6" t="inlineStr">
        <is>
          <t>Manual QAP Thresholds</t>
        </is>
      </c>
      <c r="T49" s="6" t="inlineStr">
        <is>
          <t>date</t>
        </is>
      </c>
      <c r="U49" s="6" t="inlineStr">
        <is>
          <t>Opt</t>
        </is>
      </c>
      <c r="V49" s="6" t="n"/>
      <c r="W49" s="6" t="inlineStr">
        <is>
          <t>Deficiency notice date.</t>
        </is>
      </c>
    </row>
    <row r="50">
      <c r="R50" s="6" t="inlineStr">
        <is>
          <t>deficiency_response_due_date</t>
        </is>
      </c>
      <c r="S50" s="6" t="inlineStr">
        <is>
          <t>Manual QAP Thresholds</t>
        </is>
      </c>
      <c r="T50" s="6" t="inlineStr">
        <is>
          <t>date</t>
        </is>
      </c>
      <c r="U50" s="6" t="inlineStr">
        <is>
          <t>Opt</t>
        </is>
      </c>
      <c r="V50" s="6" t="n"/>
      <c r="W50" s="6" t="inlineStr">
        <is>
          <t>Deficiency response due date.</t>
        </is>
      </c>
    </row>
    <row r="51">
      <c r="R51" s="6" t="inlineStr">
        <is>
          <t>deficiency_cleared_flag</t>
        </is>
      </c>
      <c r="S51" s="6" t="inlineStr">
        <is>
          <t>Manual QAP Thresholds</t>
        </is>
      </c>
      <c r="T51" s="6" t="inlineStr">
        <is>
          <t>Y/N</t>
        </is>
      </c>
      <c r="U51" s="6" t="inlineStr">
        <is>
          <t>Opt</t>
        </is>
      </c>
      <c r="V51" s="24" t="inlineStr">
        <is>
          <t>Y,N</t>
        </is>
      </c>
      <c r="W51" s="6" t="inlineStr">
        <is>
          <t>If a deficiency was issued, has it been cleared?</t>
        </is>
      </c>
    </row>
    <row r="52">
      <c r="R52" s="6" t="inlineStr">
        <is>
          <t>deficiency_cleared_date</t>
        </is>
      </c>
      <c r="S52" s="6" t="inlineStr">
        <is>
          <t>Manual QAP Thresholds</t>
        </is>
      </c>
      <c r="T52" s="6" t="inlineStr">
        <is>
          <t>date</t>
        </is>
      </c>
      <c r="U52" s="6" t="inlineStr">
        <is>
          <t>Opt</t>
        </is>
      </c>
      <c r="V52" s="6" t="n"/>
      <c r="W52" s="6" t="inlineStr">
        <is>
          <t>Date deficiency cleared.</t>
        </is>
      </c>
    </row>
    <row r="53">
      <c r="R53" s="6" t="inlineStr">
        <is>
          <t>material_deficiency_flag</t>
        </is>
      </c>
      <c r="S53" s="6" t="inlineStr">
        <is>
          <t>Manual QAP Thresholds</t>
        </is>
      </c>
      <c r="T53" s="6" t="inlineStr">
        <is>
          <t>Y/N</t>
        </is>
      </c>
      <c r="U53" s="6" t="inlineStr">
        <is>
          <t>Opt</t>
        </is>
      </c>
      <c r="V53" s="24" t="inlineStr">
        <is>
          <t>Y,N</t>
        </is>
      </c>
      <c r="W53" s="6" t="inlineStr">
        <is>
          <t>Material deficiency present?</t>
        </is>
      </c>
    </row>
    <row r="54">
      <c r="R54" s="6" t="inlineStr">
        <is>
          <t>underwriting_complete_flag</t>
        </is>
      </c>
      <c r="S54" s="6" t="inlineStr">
        <is>
          <t>Manual QAP Thresholds</t>
        </is>
      </c>
      <c r="T54" s="6" t="inlineStr">
        <is>
          <t>Y/N</t>
        </is>
      </c>
      <c r="U54" s="6" t="inlineStr">
        <is>
          <t>Req</t>
        </is>
      </c>
      <c r="V54" s="24" t="inlineStr">
        <is>
          <t>Y,N</t>
        </is>
      </c>
      <c r="W54" s="6" t="inlineStr">
        <is>
          <t>Underwriting review complete?</t>
        </is>
      </c>
    </row>
    <row r="55">
      <c r="R55" s="6" t="inlineStr">
        <is>
          <t>underwriting_pass_flag</t>
        </is>
      </c>
      <c r="S55" s="6" t="inlineStr">
        <is>
          <t>Manual QAP Thresholds</t>
        </is>
      </c>
      <c r="T55" s="6" t="inlineStr">
        <is>
          <t>Y/N</t>
        </is>
      </c>
      <c r="U55" s="6" t="inlineStr">
        <is>
          <t>Req</t>
        </is>
      </c>
      <c r="V55" s="24" t="inlineStr">
        <is>
          <t>Y,N</t>
        </is>
      </c>
      <c r="W55" s="6" t="inlineStr">
        <is>
          <t>Underwriting passed?</t>
        </is>
      </c>
    </row>
    <row r="56">
      <c r="R56" s="6" t="inlineStr">
        <is>
          <t>financial_feasible_flag</t>
        </is>
      </c>
      <c r="S56" s="6" t="inlineStr">
        <is>
          <t>Manual QAP Thresholds</t>
        </is>
      </c>
      <c r="T56" s="6" t="inlineStr">
        <is>
          <t>Y/N</t>
        </is>
      </c>
      <c r="U56" s="6" t="inlineStr">
        <is>
          <t>Req</t>
        </is>
      </c>
      <c r="V56" s="24" t="inlineStr">
        <is>
          <t>Y,N</t>
        </is>
      </c>
      <c r="W56" s="6" t="inlineStr">
        <is>
          <t>Financially feasible?</t>
        </is>
      </c>
    </row>
    <row r="57">
      <c r="R57" s="6" t="inlineStr">
        <is>
          <t>deconcentration_compliant_flag</t>
        </is>
      </c>
      <c r="S57" s="6" t="inlineStr">
        <is>
          <t>Site / Deconcentration</t>
        </is>
      </c>
      <c r="T57" s="6" t="inlineStr">
        <is>
          <t>Y/N</t>
        </is>
      </c>
      <c r="U57" s="6" t="inlineStr">
        <is>
          <t>Req</t>
        </is>
      </c>
      <c r="V57" s="24" t="inlineStr">
        <is>
          <t>Y,N</t>
        </is>
      </c>
      <c r="W57" s="6" t="inlineStr">
        <is>
          <t>Passes deconcentration / relevant site restrictions?</t>
        </is>
      </c>
    </row>
    <row r="58">
      <c r="R58" s="6" t="inlineStr">
        <is>
          <t>one_mile_rule_compliant_flag</t>
        </is>
      </c>
      <c r="S58" s="6" t="inlineStr">
        <is>
          <t>Site / Deconcentration</t>
        </is>
      </c>
      <c r="T58" s="6" t="inlineStr">
        <is>
          <t>Y/N</t>
        </is>
      </c>
      <c r="U58" s="6" t="inlineStr">
        <is>
          <t>Req</t>
        </is>
      </c>
      <c r="V58" s="24" t="inlineStr">
        <is>
          <t>Y,N</t>
        </is>
      </c>
      <c r="W58" s="6" t="inlineStr">
        <is>
          <t>Complies with one-mile rule where applicable?</t>
        </is>
      </c>
    </row>
    <row r="59">
      <c r="R59" s="6" t="inlineStr">
        <is>
          <t>two_mile_same_year_rule_relevant_flag</t>
        </is>
      </c>
      <c r="S59" s="6" t="inlineStr">
        <is>
          <t>Site / Deconcentration</t>
        </is>
      </c>
      <c r="T59" s="6" t="inlineStr">
        <is>
          <t>Y/N</t>
        </is>
      </c>
      <c r="U59" s="6" t="inlineStr">
        <is>
          <t>Opt</t>
        </is>
      </c>
      <c r="V59" s="24" t="inlineStr">
        <is>
          <t>Y,N</t>
        </is>
      </c>
      <c r="W59" s="6" t="inlineStr">
        <is>
          <t>Whether same-year two-mile issue is relevant.</t>
        </is>
      </c>
    </row>
    <row r="60">
      <c r="R60" s="6" t="inlineStr">
        <is>
          <t>existing_lura_conflict_flag</t>
        </is>
      </c>
      <c r="S60" s="6" t="inlineStr">
        <is>
          <t>Site / Deconcentration</t>
        </is>
      </c>
      <c r="T60" s="6" t="inlineStr">
        <is>
          <t>Y/N</t>
        </is>
      </c>
      <c r="U60" s="6" t="inlineStr">
        <is>
          <t>Opt</t>
        </is>
      </c>
      <c r="V60" s="24" t="inlineStr">
        <is>
          <t>Y,N</t>
        </is>
      </c>
      <c r="W60" s="6" t="inlineStr">
        <is>
          <t>Existing LURA or other site conflict present?</t>
        </is>
      </c>
    </row>
    <row r="61">
      <c r="R61" s="6" t="inlineStr">
        <is>
          <t>rural_area_flag</t>
        </is>
      </c>
      <c r="S61" s="6" t="inlineStr">
        <is>
          <t>Site / Deconcentration</t>
        </is>
      </c>
      <c r="T61" s="6" t="inlineStr">
        <is>
          <t>Y/N</t>
        </is>
      </c>
      <c r="U61" s="6" t="inlineStr">
        <is>
          <t>Opt</t>
        </is>
      </c>
      <c r="V61" s="24" t="inlineStr">
        <is>
          <t>Y,N</t>
        </is>
      </c>
      <c r="W61" s="6" t="inlineStr">
        <is>
          <t>Rural area flag.</t>
        </is>
      </c>
    </row>
    <row r="62">
      <c r="R62" s="6" t="inlineStr">
        <is>
          <t>urban_area_flag</t>
        </is>
      </c>
      <c r="S62" s="6" t="inlineStr">
        <is>
          <t>Site / Deconcentration</t>
        </is>
      </c>
      <c r="T62" s="6" t="inlineStr">
        <is>
          <t>Y/N</t>
        </is>
      </c>
      <c r="U62" s="6" t="inlineStr">
        <is>
          <t>Opt</t>
        </is>
      </c>
      <c r="V62" s="24" t="inlineStr">
        <is>
          <t>Y,N</t>
        </is>
      </c>
      <c r="W62" s="6" t="inlineStr">
        <is>
          <t>Urban area flag.</t>
        </is>
      </c>
    </row>
    <row r="63">
      <c r="R63" s="6" t="inlineStr">
        <is>
          <t>qct_flag</t>
        </is>
      </c>
      <c r="S63" s="6" t="inlineStr">
        <is>
          <t>Site / Deconcentration</t>
        </is>
      </c>
      <c r="T63" s="6" t="inlineStr">
        <is>
          <t>Y/N</t>
        </is>
      </c>
      <c r="U63" s="6" t="inlineStr">
        <is>
          <t>Opt</t>
        </is>
      </c>
      <c r="V63" s="24" t="inlineStr">
        <is>
          <t>Y,N</t>
        </is>
      </c>
      <c r="W63" s="6" t="inlineStr">
        <is>
          <t>Qualified Census Tract flag.</t>
        </is>
      </c>
    </row>
    <row r="64">
      <c r="R64" s="6" t="inlineStr">
        <is>
          <t>high_opportunity_override_flag</t>
        </is>
      </c>
      <c r="S64" s="6" t="inlineStr">
        <is>
          <t>Site / Deconcentration</t>
        </is>
      </c>
      <c r="T64" s="6" t="inlineStr">
        <is>
          <t>Y/N</t>
        </is>
      </c>
      <c r="U64" s="6" t="inlineStr">
        <is>
          <t>Opt</t>
        </is>
      </c>
      <c r="V64" s="24" t="inlineStr">
        <is>
          <t>Y,N</t>
        </is>
      </c>
      <c r="W64" s="6" t="inlineStr">
        <is>
          <t>Override / exception flag for opportunity logic.</t>
        </is>
      </c>
    </row>
    <row r="65">
      <c r="R65" s="6" t="inlineStr">
        <is>
          <t>streamlined_eligible_flag</t>
        </is>
      </c>
      <c r="S65" s="6" t="inlineStr">
        <is>
          <t>Path Selection</t>
        </is>
      </c>
      <c r="T65" s="6" t="inlineStr">
        <is>
          <t>Y/N</t>
        </is>
      </c>
      <c r="U65" s="6" t="inlineStr">
        <is>
          <t>Req</t>
        </is>
      </c>
      <c r="V65" s="24" t="inlineStr">
        <is>
          <t>Y,N</t>
        </is>
      </c>
      <c r="W65" s="6" t="inlineStr">
        <is>
          <t>Eligible for streamlined determination notice path?</t>
        </is>
      </c>
    </row>
    <row r="66">
      <c r="R66" s="6" t="inlineStr">
        <is>
          <t>board_review_required_flag</t>
        </is>
      </c>
      <c r="S66" s="6" t="inlineStr">
        <is>
          <t>Path Selection</t>
        </is>
      </c>
      <c r="T66" s="6" t="inlineStr">
        <is>
          <t>Y/N</t>
        </is>
      </c>
      <c r="U66" s="6" t="inlineStr">
        <is>
          <t>Req</t>
        </is>
      </c>
      <c r="V66" s="24" t="inlineStr">
        <is>
          <t>Y,N</t>
        </is>
      </c>
      <c r="W66" s="6" t="inlineStr">
        <is>
          <t>Requires board review/action?</t>
        </is>
      </c>
    </row>
    <row r="67">
      <c r="R67" s="6" t="inlineStr">
        <is>
          <t>chapter12_issue_flag</t>
        </is>
      </c>
      <c r="S67" s="6" t="inlineStr">
        <is>
          <t>Path Selection</t>
        </is>
      </c>
      <c r="T67" s="6" t="inlineStr">
        <is>
          <t>Y/N</t>
        </is>
      </c>
      <c r="U67" s="6" t="inlineStr">
        <is>
          <t>Opt</t>
        </is>
      </c>
      <c r="V67" s="24" t="inlineStr">
        <is>
          <t>Y,N</t>
        </is>
      </c>
      <c r="W67" s="6" t="inlineStr">
        <is>
          <t>Open Chapter 12 issue that may block advancement?</t>
        </is>
      </c>
    </row>
    <row r="68">
      <c r="R68" s="6" t="inlineStr">
        <is>
          <t>ready_for_determination_notice_flag</t>
        </is>
      </c>
      <c r="S68" s="6" t="inlineStr">
        <is>
          <t>Path Selection</t>
        </is>
      </c>
      <c r="T68" s="6" t="inlineStr">
        <is>
          <t>Y/N</t>
        </is>
      </c>
      <c r="U68" s="6" t="inlineStr">
        <is>
          <t>Opt</t>
        </is>
      </c>
      <c r="V68" s="24" t="inlineStr">
        <is>
          <t>Y,N</t>
        </is>
      </c>
      <c r="W68" s="6" t="inlineStr">
        <is>
          <t>All items complete for DN issuance?</t>
        </is>
      </c>
    </row>
    <row r="69">
      <c r="R69" s="6" t="inlineStr">
        <is>
          <t>ready_for_board_flag</t>
        </is>
      </c>
      <c r="S69" s="6" t="inlineStr">
        <is>
          <t>Path Selection</t>
        </is>
      </c>
      <c r="T69" s="6" t="inlineStr">
        <is>
          <t>Y/N</t>
        </is>
      </c>
      <c r="U69" s="6" t="inlineStr">
        <is>
          <t>Opt</t>
        </is>
      </c>
      <c r="V69" s="24" t="inlineStr">
        <is>
          <t>Y,N</t>
        </is>
      </c>
      <c r="W69" s="6" t="inlineStr">
        <is>
          <t>All items complete for board action?</t>
        </is>
      </c>
    </row>
    <row r="70">
      <c r="R70" s="6" t="inlineStr">
        <is>
          <t>pipeline_entry_date</t>
        </is>
      </c>
      <c r="S70" s="6" t="inlineStr">
        <is>
          <t>Queue / Priority</t>
        </is>
      </c>
      <c r="T70" s="6" t="inlineStr">
        <is>
          <t>date</t>
        </is>
      </c>
      <c r="U70" s="6" t="inlineStr">
        <is>
          <t>Req</t>
        </is>
      </c>
      <c r="V70" s="6" t="n"/>
      <c r="W70" s="6" t="inlineStr">
        <is>
          <t>Date project effectively entered the active pipeline.</t>
        </is>
      </c>
    </row>
    <row r="71">
      <c r="R71" s="6" t="inlineStr">
        <is>
          <t>carryforward_from_prior_log_flag</t>
        </is>
      </c>
      <c r="S71" s="6" t="inlineStr">
        <is>
          <t>Queue / Priority</t>
        </is>
      </c>
      <c r="T71" s="6" t="inlineStr">
        <is>
          <t>Y/N</t>
        </is>
      </c>
      <c r="U71" s="6" t="inlineStr">
        <is>
          <t>Req</t>
        </is>
      </c>
      <c r="V71" s="24" t="inlineStr">
        <is>
          <t>Y,N</t>
        </is>
      </c>
      <c r="W71" s="6" t="inlineStr">
        <is>
          <t>Was this already present in the prior snapshot?</t>
        </is>
      </c>
    </row>
    <row r="72">
      <c r="R72" s="6" t="inlineStr">
        <is>
          <t>new_project_this_snapshot_flag</t>
        </is>
      </c>
      <c r="S72" s="6" t="inlineStr">
        <is>
          <t>Queue / Priority</t>
        </is>
      </c>
      <c r="T72" s="6" t="inlineStr">
        <is>
          <t>Y/N</t>
        </is>
      </c>
      <c r="U72" s="6" t="inlineStr">
        <is>
          <t>Req</t>
        </is>
      </c>
      <c r="V72" s="24" t="inlineStr">
        <is>
          <t>Y,N</t>
        </is>
      </c>
      <c r="W72" s="6" t="inlineStr">
        <is>
          <t>Was this newly added in the current snapshot?</t>
        </is>
      </c>
    </row>
    <row r="73">
      <c r="R73" s="6" t="inlineStr">
        <is>
          <t>all_manual_boxes_checked_flag</t>
        </is>
      </c>
      <c r="S73" s="6" t="inlineStr">
        <is>
          <t>Queue / Priority</t>
        </is>
      </c>
      <c r="T73" s="6" t="inlineStr">
        <is>
          <t>formula</t>
        </is>
      </c>
      <c r="U73" s="6" t="inlineStr">
        <is>
          <t>Der</t>
        </is>
      </c>
      <c r="V73" s="24" t="inlineStr">
        <is>
          <t>Y,N</t>
        </is>
      </c>
      <c r="W73" s="6" t="inlineStr">
        <is>
          <t>Derived flag: required manual boxes and blockers are clear.</t>
        </is>
      </c>
    </row>
    <row r="74">
      <c r="R74" s="6" t="inlineStr">
        <is>
          <t>project_ready_now_flag</t>
        </is>
      </c>
      <c r="S74" s="6" t="inlineStr">
        <is>
          <t>Queue / Priority</t>
        </is>
      </c>
      <c r="T74" s="6" t="inlineStr">
        <is>
          <t>formula</t>
        </is>
      </c>
      <c r="U74" s="6" t="inlineStr">
        <is>
          <t>Der</t>
        </is>
      </c>
      <c r="V74" s="24" t="inlineStr">
        <is>
          <t>Y,N</t>
        </is>
      </c>
      <c r="W74" s="6" t="inlineStr">
        <is>
          <t>Derived flag: project appears ready to advance now.</t>
        </is>
      </c>
    </row>
    <row r="75">
      <c r="R75" s="6" t="inlineStr">
        <is>
          <t>pipeline_seniority_rank_manual</t>
        </is>
      </c>
      <c r="S75" s="6" t="inlineStr">
        <is>
          <t>Queue / Priority</t>
        </is>
      </c>
      <c r="T75" s="6" t="inlineStr">
        <is>
          <t>number</t>
        </is>
      </c>
      <c r="U75" s="6" t="inlineStr">
        <is>
          <t>Opt</t>
        </is>
      </c>
      <c r="V75" s="6" t="n"/>
      <c r="W75" s="6" t="inlineStr">
        <is>
          <t>Optional manual override for queue seniority.</t>
        </is>
      </c>
    </row>
    <row r="76" ht="87" customHeight="1" s="23">
      <c r="R76" s="6" t="inlineStr">
        <is>
          <t>predicted_next_status</t>
        </is>
      </c>
      <c r="S76" s="6" t="inlineStr">
        <is>
          <t>Engine Outputs</t>
        </is>
      </c>
      <c r="T76" s="6" t="inlineStr">
        <is>
          <t>dropdown</t>
        </is>
      </c>
      <c r="U76" s="6" t="inlineStr">
        <is>
          <t>Engine</t>
        </is>
      </c>
      <c r="V76" s="24" t="inlineStr">
        <is>
          <t>Submitted,Under Review,Board,Determination Notice Issued,Closed,Withdrawn,Terminated,No Advancement</t>
        </is>
      </c>
      <c r="W76" s="6" t="inlineStr">
        <is>
          <t>Engine output / next predicted status.</t>
        </is>
      </c>
    </row>
    <row r="77" ht="101.5" customHeight="1" s="23">
      <c r="R77" s="6" t="inlineStr">
        <is>
          <t>predicted_next_path</t>
        </is>
      </c>
      <c r="S77" s="6" t="inlineStr">
        <is>
          <t>Engine Outputs</t>
        </is>
      </c>
      <c r="T77" s="6" t="inlineStr">
        <is>
          <t>dropdown</t>
        </is>
      </c>
      <c r="U77" s="6" t="inlineStr">
        <is>
          <t>Engine</t>
        </is>
      </c>
      <c r="V77" s="24" t="inlineStr">
        <is>
          <t>Remain Submitted,Under Review,Board,Determination Notice,Closed,No Advancement,Terminated</t>
        </is>
      </c>
      <c r="W77" s="6" t="inlineStr">
        <is>
          <t>Engine output / next path.</t>
        </is>
      </c>
    </row>
    <row r="78">
      <c r="R78" s="6" t="inlineStr">
        <is>
          <t>predicted_blocker_code</t>
        </is>
      </c>
      <c r="S78" s="6" t="inlineStr">
        <is>
          <t>Engine Outputs</t>
        </is>
      </c>
      <c r="T78" s="6" t="inlineStr">
        <is>
          <t>text</t>
        </is>
      </c>
      <c r="U78" s="6" t="inlineStr">
        <is>
          <t>Engine</t>
        </is>
      </c>
      <c r="V78" s="6" t="n"/>
      <c r="W78" s="6" t="inlineStr">
        <is>
          <t>Primary blocker code.</t>
        </is>
      </c>
    </row>
    <row r="79">
      <c r="R79" s="6" t="inlineStr">
        <is>
          <t>predicted_reason_1</t>
        </is>
      </c>
      <c r="S79" s="6" t="inlineStr">
        <is>
          <t>Engine Outputs</t>
        </is>
      </c>
      <c r="T79" s="6" t="inlineStr">
        <is>
          <t>text</t>
        </is>
      </c>
      <c r="U79" s="6" t="inlineStr">
        <is>
          <t>Engine</t>
        </is>
      </c>
      <c r="V79" s="6" t="n"/>
      <c r="W79" s="6" t="inlineStr">
        <is>
          <t>Reason code / explanation 1.</t>
        </is>
      </c>
    </row>
    <row r="80">
      <c r="R80" s="6" t="inlineStr">
        <is>
          <t>predicted_reason_2</t>
        </is>
      </c>
      <c r="S80" s="6" t="inlineStr">
        <is>
          <t>Engine Outputs</t>
        </is>
      </c>
      <c r="T80" s="6" t="inlineStr">
        <is>
          <t>text</t>
        </is>
      </c>
      <c r="U80" s="6" t="inlineStr">
        <is>
          <t>Engine</t>
        </is>
      </c>
      <c r="V80" s="6" t="n"/>
      <c r="W80" s="6" t="inlineStr">
        <is>
          <t>Reason code / explanation 2.</t>
        </is>
      </c>
    </row>
    <row r="81">
      <c r="R81" s="6" t="inlineStr">
        <is>
          <t>predicted_reason_3</t>
        </is>
      </c>
      <c r="S81" s="6" t="inlineStr">
        <is>
          <t>Engine Outputs</t>
        </is>
      </c>
      <c r="T81" s="6" t="inlineStr">
        <is>
          <t>text</t>
        </is>
      </c>
      <c r="U81" s="6" t="inlineStr">
        <is>
          <t>Engine</t>
        </is>
      </c>
      <c r="V81" s="6" t="n"/>
      <c r="W81" s="6" t="inlineStr">
        <is>
          <t>Reason code / explanation 3.</t>
        </is>
      </c>
    </row>
    <row r="82">
      <c r="R82" s="6" t="inlineStr">
        <is>
          <t>predicted_relative_rank</t>
        </is>
      </c>
      <c r="S82" s="6" t="inlineStr">
        <is>
          <t>Engine Outputs</t>
        </is>
      </c>
      <c r="T82" s="6" t="inlineStr">
        <is>
          <t>number</t>
        </is>
      </c>
      <c r="U82" s="6" t="inlineStr">
        <is>
          <t>Engine</t>
        </is>
      </c>
      <c r="V82" s="6" t="n"/>
      <c r="W82" s="6" t="inlineStr">
        <is>
          <t>Relative standing / rank if modeled.</t>
        </is>
      </c>
    </row>
    <row r="83">
      <c r="R83" s="6" t="inlineStr">
        <is>
          <t>predicted_advance_flag</t>
        </is>
      </c>
      <c r="S83" s="6" t="inlineStr">
        <is>
          <t>Engine Outputs</t>
        </is>
      </c>
      <c r="T83" s="6" t="inlineStr">
        <is>
          <t>dropdown</t>
        </is>
      </c>
      <c r="U83" s="6" t="inlineStr">
        <is>
          <t>Engine</t>
        </is>
      </c>
      <c r="V83" s="24" t="inlineStr">
        <is>
          <t>Y,N,Conditional</t>
        </is>
      </c>
      <c r="W83" s="6" t="inlineStr">
        <is>
          <t>Whether the project advances by the next update.</t>
        </is>
      </c>
    </row>
    <row r="84">
      <c r="R84" s="6" t="inlineStr">
        <is>
          <t>notes</t>
        </is>
      </c>
      <c r="S84" s="6" t="inlineStr">
        <is>
          <t>Notes &amp; Contacts</t>
        </is>
      </c>
      <c r="T84" s="6" t="inlineStr">
        <is>
          <t>text</t>
        </is>
      </c>
      <c r="U84" s="6" t="inlineStr">
        <is>
          <t>Opt</t>
        </is>
      </c>
      <c r="V84" s="6" t="n"/>
      <c r="W84" s="6" t="inlineStr">
        <is>
          <t>Freeform notes / assumption log.</t>
        </is>
      </c>
    </row>
    <row r="85">
      <c r="R85" s="6" t="inlineStr">
        <is>
          <t>applicant_contact</t>
        </is>
      </c>
      <c r="S85" s="6" t="inlineStr">
        <is>
          <t>Notes &amp; Contacts</t>
        </is>
      </c>
      <c r="T85" s="6" t="inlineStr">
        <is>
          <t>text</t>
        </is>
      </c>
      <c r="U85" s="6" t="inlineStr">
        <is>
          <t>Opt</t>
        </is>
      </c>
      <c r="V85" s="6" t="n"/>
      <c r="W85" s="6" t="inlineStr">
        <is>
          <t>Applicant contact.</t>
        </is>
      </c>
    </row>
    <row r="86">
      <c r="R86" s="6" t="inlineStr">
        <is>
          <t>applicant_phone</t>
        </is>
      </c>
      <c r="S86" s="6" t="inlineStr">
        <is>
          <t>Notes &amp; Contacts</t>
        </is>
      </c>
      <c r="T86" s="6" t="inlineStr">
        <is>
          <t>text</t>
        </is>
      </c>
      <c r="U86" s="6" t="inlineStr">
        <is>
          <t>Opt</t>
        </is>
      </c>
      <c r="V86" s="6" t="n"/>
      <c r="W86" s="6" t="inlineStr">
        <is>
          <t>Applicant phone.</t>
        </is>
      </c>
    </row>
    <row r="87">
      <c r="R87" s="6" t="inlineStr">
        <is>
          <t>applicant_email</t>
        </is>
      </c>
      <c r="S87" s="6" t="inlineStr">
        <is>
          <t>Notes &amp; Contacts</t>
        </is>
      </c>
      <c r="T87" s="6" t="inlineStr">
        <is>
          <t>text</t>
        </is>
      </c>
      <c r="U87" s="6" t="inlineStr">
        <is>
          <t>Opt</t>
        </is>
      </c>
      <c r="V87" s="6" t="n"/>
      <c r="W87" s="6" t="inlineStr">
        <is>
          <t>Applicant email.</t>
        </is>
      </c>
    </row>
    <row r="88">
      <c r="R88" s="6" t="inlineStr">
        <is>
          <t>bond_issuer_contact</t>
        </is>
      </c>
      <c r="S88" s="6" t="inlineStr">
        <is>
          <t>Notes &amp; Contacts</t>
        </is>
      </c>
      <c r="T88" s="6" t="inlineStr">
        <is>
          <t>text</t>
        </is>
      </c>
      <c r="U88" s="6" t="inlineStr">
        <is>
          <t>Opt</t>
        </is>
      </c>
      <c r="V88" s="6" t="n"/>
      <c r="W88" s="6" t="inlineStr">
        <is>
          <t>Bond issuer contact.</t>
        </is>
      </c>
    </row>
    <row r="89">
      <c r="R89" s="6" t="inlineStr">
        <is>
          <t>bond_issuer_phone</t>
        </is>
      </c>
      <c r="S89" s="6" t="inlineStr">
        <is>
          <t>Notes &amp; Contacts</t>
        </is>
      </c>
      <c r="T89" s="6" t="inlineStr">
        <is>
          <t>text</t>
        </is>
      </c>
      <c r="U89" s="6" t="inlineStr">
        <is>
          <t>Opt</t>
        </is>
      </c>
      <c r="V89" s="6" t="n"/>
      <c r="W89" s="6" t="inlineStr">
        <is>
          <t>Bond issuer phone.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2" topLeftCell="A3" activePane="bottomLeft" state="frozen"/>
      <selection pane="bottomLeft" activeCell="A1" sqref="A1:H1"/>
    </sheetView>
  </sheetViews>
  <sheetFormatPr baseColWidth="8" defaultRowHeight="14.5"/>
  <cols>
    <col width="12" customWidth="1" style="23" min="1" max="1"/>
    <col width="18" customWidth="1" style="23" min="2" max="2"/>
    <col width="40" customWidth="1" style="23" min="3" max="3"/>
    <col width="34" customWidth="1" style="23" min="4" max="4"/>
    <col width="26" customWidth="1" style="23" min="5" max="5"/>
    <col width="24" customWidth="1" style="23" min="6" max="6"/>
    <col width="18" customWidth="1" style="23" min="7" max="7"/>
    <col width="56" customWidth="1" style="23" min="8" max="8"/>
  </cols>
  <sheetData>
    <row r="1">
      <c r="A1" s="22" t="inlineStr">
        <is>
          <t>Texas 2025 4% Bond Rules Logic Map</t>
        </is>
      </c>
    </row>
    <row r="2" ht="29" customHeight="1" s="23">
      <c r="A2" s="7" t="inlineStr">
        <is>
          <t>Rule ID</t>
        </is>
      </c>
      <c r="B2" s="7" t="inlineStr">
        <is>
          <t>Stage</t>
        </is>
      </c>
      <c r="C2" s="7" t="inlineStr">
        <is>
          <t>Rule / Test</t>
        </is>
      </c>
      <c r="D2" s="7" t="inlineStr">
        <is>
          <t>Primary fields</t>
        </is>
      </c>
      <c r="E2" s="7" t="inlineStr">
        <is>
          <t>Outcome if failed</t>
        </is>
      </c>
      <c r="F2" s="7" t="inlineStr">
        <is>
          <t>Outcome if passed</t>
        </is>
      </c>
      <c r="G2" s="7" t="inlineStr">
        <is>
          <t>Implemented in workbook</t>
        </is>
      </c>
      <c r="H2" s="7" t="inlineStr">
        <is>
          <t>Notes</t>
        </is>
      </c>
    </row>
    <row r="3">
      <c r="A3" s="18" t="inlineStr">
        <is>
          <t>R1</t>
        </is>
      </c>
      <c r="B3" s="18" t="inlineStr">
        <is>
          <t>Terminal status</t>
        </is>
      </c>
      <c r="C3" s="18" t="inlineStr">
        <is>
          <t>Closed persists</t>
        </is>
      </c>
      <c r="D3" s="18" t="inlineStr">
        <is>
          <t>application_status_current</t>
        </is>
      </c>
      <c r="E3" s="18" t="inlineStr">
        <is>
          <t>Remain Closed</t>
        </is>
      </c>
      <c r="F3" s="18" t="inlineStr">
        <is>
          <t>Closed</t>
        </is>
      </c>
      <c r="G3" s="18" t="inlineStr">
        <is>
          <t>Y</t>
        </is>
      </c>
      <c r="H3" s="18" t="inlineStr">
        <is>
          <t>Conservative persistence rule.</t>
        </is>
      </c>
    </row>
    <row r="4">
      <c r="A4" s="18" t="inlineStr">
        <is>
          <t>R2</t>
        </is>
      </c>
      <c r="B4" s="18" t="inlineStr">
        <is>
          <t>Terminal status</t>
        </is>
      </c>
      <c r="C4" s="18" t="inlineStr">
        <is>
          <t>Withdrawn / Terminated persist</t>
        </is>
      </c>
      <c r="D4" s="18" t="inlineStr">
        <is>
          <t>application_status_current</t>
        </is>
      </c>
      <c r="E4" s="18" t="inlineStr">
        <is>
          <t>Remain terminal</t>
        </is>
      </c>
      <c r="F4" s="18" t="inlineStr">
        <is>
          <t>Withdrawn / Terminated</t>
        </is>
      </c>
      <c r="G4" s="18" t="inlineStr">
        <is>
          <t>Y</t>
        </is>
      </c>
      <c r="H4" s="18" t="inlineStr">
        <is>
          <t>Conservative persistence rule.</t>
        </is>
      </c>
    </row>
    <row r="5">
      <c r="A5" s="18" t="inlineStr">
        <is>
          <t>R3</t>
        </is>
      </c>
      <c r="B5" s="18" t="inlineStr">
        <is>
          <t>Threshold</t>
        </is>
      </c>
      <c r="C5" s="18" t="inlineStr">
        <is>
          <t>Site control valid</t>
        </is>
      </c>
      <c r="D5" s="18" t="inlineStr">
        <is>
          <t>site_control_valid_flag</t>
        </is>
      </c>
      <c r="E5" s="18" t="inlineStr">
        <is>
          <t>No Advancement</t>
        </is>
      </c>
      <c r="F5" s="18" t="inlineStr">
        <is>
          <t>Continue</t>
        </is>
      </c>
      <c r="G5" s="18" t="inlineStr">
        <is>
          <t>Y</t>
        </is>
      </c>
      <c r="H5" s="18" t="inlineStr">
        <is>
          <t>Manual QAP field.</t>
        </is>
      </c>
    </row>
    <row r="6" ht="29" customHeight="1" s="23">
      <c r="A6" s="18" t="inlineStr">
        <is>
          <t>R4</t>
        </is>
      </c>
      <c r="B6" s="18" t="inlineStr">
        <is>
          <t>Threshold</t>
        </is>
      </c>
      <c r="C6" s="18" t="inlineStr">
        <is>
          <t>Required resolutions complete</t>
        </is>
      </c>
      <c r="D6" s="18" t="inlineStr">
        <is>
          <t>resolutions_complete_flag, local_approval_complete_flag</t>
        </is>
      </c>
      <c r="E6" s="18" t="inlineStr">
        <is>
          <t>No Advancement</t>
        </is>
      </c>
      <c r="F6" s="18" t="inlineStr">
        <is>
          <t>Continue</t>
        </is>
      </c>
      <c r="G6" s="18" t="inlineStr">
        <is>
          <t>Y</t>
        </is>
      </c>
      <c r="H6" s="18" t="inlineStr">
        <is>
          <t>Manual QAP field.</t>
        </is>
      </c>
    </row>
    <row r="7" ht="29" customHeight="1" s="23">
      <c r="A7" s="18" t="inlineStr">
        <is>
          <t>R5</t>
        </is>
      </c>
      <c r="B7" s="18" t="inlineStr">
        <is>
          <t>Threshold</t>
        </is>
      </c>
      <c r="C7" s="18" t="inlineStr">
        <is>
          <t>Third-party reports complete</t>
        </is>
      </c>
      <c r="D7" s="18" t="inlineStr">
        <is>
          <t>third_party_reports_complete_flag</t>
        </is>
      </c>
      <c r="E7" s="18" t="inlineStr">
        <is>
          <t>Under Review / No Advancement</t>
        </is>
      </c>
      <c r="F7" s="18" t="inlineStr">
        <is>
          <t>Continue</t>
        </is>
      </c>
      <c r="G7" s="18" t="inlineStr">
        <is>
          <t>Y</t>
        </is>
      </c>
      <c r="H7" s="18" t="inlineStr">
        <is>
          <t>Manual QAP field.</t>
        </is>
      </c>
    </row>
    <row r="8" ht="29" customHeight="1" s="23">
      <c r="A8" s="18" t="inlineStr">
        <is>
          <t>R6</t>
        </is>
      </c>
      <c r="B8" s="18" t="inlineStr">
        <is>
          <t>Threshold</t>
        </is>
      </c>
      <c r="C8" s="18" t="inlineStr">
        <is>
          <t>No unresolved material deficiency</t>
        </is>
      </c>
      <c r="D8" s="18" t="inlineStr">
        <is>
          <t>material_deficiency_flag, deficiency_cleared_flag</t>
        </is>
      </c>
      <c r="E8" s="18" t="inlineStr">
        <is>
          <t>No Advancement</t>
        </is>
      </c>
      <c r="F8" s="18" t="inlineStr">
        <is>
          <t>Continue</t>
        </is>
      </c>
      <c r="G8" s="18" t="inlineStr">
        <is>
          <t>Y</t>
        </is>
      </c>
      <c r="H8" s="18" t="inlineStr">
        <is>
          <t>If material deficiency unresolved, project stalls.</t>
        </is>
      </c>
    </row>
    <row r="9" ht="29" customHeight="1" s="23">
      <c r="A9" s="18" t="inlineStr">
        <is>
          <t>R7</t>
        </is>
      </c>
      <c r="B9" s="18" t="inlineStr">
        <is>
          <t>Threshold</t>
        </is>
      </c>
      <c r="C9" s="18" t="inlineStr">
        <is>
          <t>Underwriting / feasibility pass</t>
        </is>
      </c>
      <c r="D9" s="18" t="inlineStr">
        <is>
          <t>underwriting_pass_flag, financial_feasible_flag</t>
        </is>
      </c>
      <c r="E9" s="18" t="inlineStr">
        <is>
          <t>No Advancement</t>
        </is>
      </c>
      <c r="F9" s="18" t="inlineStr">
        <is>
          <t>Continue</t>
        </is>
      </c>
      <c r="G9" s="18" t="inlineStr">
        <is>
          <t>Y</t>
        </is>
      </c>
      <c r="H9" s="18" t="inlineStr">
        <is>
          <t>Manual underwriting fields.</t>
        </is>
      </c>
    </row>
    <row r="10" ht="58" customHeight="1" s="23">
      <c r="A10" s="18" t="inlineStr">
        <is>
          <t>R8</t>
        </is>
      </c>
      <c r="B10" s="18" t="inlineStr">
        <is>
          <t>Threshold</t>
        </is>
      </c>
      <c r="C10" s="18" t="inlineStr">
        <is>
          <t>No site restriction blocker</t>
        </is>
      </c>
      <c r="D10" s="18" t="inlineStr">
        <is>
          <t>deconcentration_compliant_flag, one_mile_rule_compliant_flag, existing_lura_conflict_flag, chapter12_issue_flag</t>
        </is>
      </c>
      <c r="E10" s="18" t="inlineStr">
        <is>
          <t>No Advancement</t>
        </is>
      </c>
      <c r="F10" s="18" t="inlineStr">
        <is>
          <t>Continue</t>
        </is>
      </c>
      <c r="G10" s="18" t="inlineStr">
        <is>
          <t>Y</t>
        </is>
      </c>
      <c r="H10" s="18" t="inlineStr">
        <is>
          <t>High-level compliance gates.</t>
        </is>
      </c>
    </row>
    <row r="11" ht="43.5" customHeight="1" s="23">
      <c r="A11" s="18" t="inlineStr">
        <is>
          <t>R9</t>
        </is>
      </c>
      <c r="B11" s="18" t="inlineStr">
        <is>
          <t>Routing</t>
        </is>
      </c>
      <c r="C11" s="18" t="inlineStr">
        <is>
          <t>Ready for DN</t>
        </is>
      </c>
      <c r="D11" s="18" t="inlineStr">
        <is>
          <t>streamlined_eligible_flag, ready_for_determination_notice_flag, board_review_required_flag</t>
        </is>
      </c>
      <c r="E11" s="18" t="inlineStr">
        <is>
          <t>Route elsewhere</t>
        </is>
      </c>
      <c r="F11" s="18" t="inlineStr">
        <is>
          <t>Determination Notice</t>
        </is>
      </c>
      <c r="G11" s="18" t="inlineStr">
        <is>
          <t>Y</t>
        </is>
      </c>
      <c r="H11" s="18" t="inlineStr">
        <is>
          <t>Admin route only if board review not required.</t>
        </is>
      </c>
    </row>
    <row r="12" ht="29" customHeight="1" s="23">
      <c r="A12" s="18" t="inlineStr">
        <is>
          <t>R10</t>
        </is>
      </c>
      <c r="B12" s="18" t="inlineStr">
        <is>
          <t>Routing</t>
        </is>
      </c>
      <c r="C12" s="18" t="inlineStr">
        <is>
          <t>Ready for Board</t>
        </is>
      </c>
      <c r="D12" s="18" t="inlineStr">
        <is>
          <t>ready_for_board_flag, board_review_required_flag</t>
        </is>
      </c>
      <c r="E12" s="18" t="inlineStr">
        <is>
          <t>Remain Under Review</t>
        </is>
      </c>
      <c r="F12" s="18" t="inlineStr">
        <is>
          <t>Board</t>
        </is>
      </c>
      <c r="G12" s="18" t="inlineStr">
        <is>
          <t>Y</t>
        </is>
      </c>
      <c r="H12" s="18" t="inlineStr">
        <is>
          <t>Board path if ready or explicitly required.</t>
        </is>
      </c>
    </row>
    <row r="13" ht="29" customHeight="1" s="23">
      <c r="A13" s="18" t="inlineStr">
        <is>
          <t>R11</t>
        </is>
      </c>
      <c r="B13" s="18" t="inlineStr">
        <is>
          <t>Queue</t>
        </is>
      </c>
      <c r="C13" s="18" t="inlineStr">
        <is>
          <t>Carryforward priority</t>
        </is>
      </c>
      <c r="D13" s="18" t="inlineStr">
        <is>
          <t>carryforward_from_prior_log_flag, pipeline_entry_date</t>
        </is>
      </c>
      <c r="E13" s="18" t="inlineStr">
        <is>
          <t>Lower queue priority</t>
        </is>
      </c>
      <c r="F13" s="18" t="inlineStr">
        <is>
          <t>Higher queue priority</t>
        </is>
      </c>
      <c r="G13" s="18" t="inlineStr">
        <is>
          <t>Y</t>
        </is>
      </c>
      <c r="H13" s="18" t="inlineStr">
        <is>
          <t>Planning assumption, not a formal QAP rank.</t>
        </is>
      </c>
    </row>
    <row r="14">
      <c r="A14" s="18" t="inlineStr">
        <is>
          <t>R12</t>
        </is>
      </c>
      <c r="B14" s="18" t="inlineStr">
        <is>
          <t>Queue</t>
        </is>
      </c>
      <c r="C14" s="18" t="inlineStr">
        <is>
          <t>Earlier pipeline entry first</t>
        </is>
      </c>
      <c r="D14" s="18" t="inlineStr">
        <is>
          <t>pipeline_entry_date</t>
        </is>
      </c>
      <c r="E14" s="18" t="inlineStr">
        <is>
          <t>Lower queue priority</t>
        </is>
      </c>
      <c r="F14" s="18" t="inlineStr">
        <is>
          <t>Higher queue priority</t>
        </is>
      </c>
      <c r="G14" s="18" t="inlineStr">
        <is>
          <t>Y</t>
        </is>
      </c>
      <c r="H14" s="18" t="inlineStr">
        <is>
          <t>Planning assumption using submission date / pipeline entry.</t>
        </is>
      </c>
    </row>
    <row r="15">
      <c r="A15" s="18" t="inlineStr">
        <is>
          <t>R13</t>
        </is>
      </c>
      <c r="B15" s="18" t="inlineStr">
        <is>
          <t>Output</t>
        </is>
      </c>
      <c r="C15" s="18" t="inlineStr">
        <is>
          <t>Manual boxes complete helper</t>
        </is>
      </c>
      <c r="D15" s="18" t="inlineStr">
        <is>
          <t>manual fields AI:BM</t>
        </is>
      </c>
      <c r="E15" s="18" t="inlineStr">
        <is>
          <t>Conditional / missing items</t>
        </is>
      </c>
      <c r="F15" s="18" t="inlineStr">
        <is>
          <t>Ready now helper</t>
        </is>
      </c>
      <c r="G15" s="18" t="inlineStr">
        <is>
          <t>Y</t>
        </is>
      </c>
      <c r="H15" s="18" t="inlineStr">
        <is>
          <t>Workbook formula counts missing flags.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2" topLeftCell="A3" activePane="bottomLeft" state="frozen"/>
      <selection pane="bottomLeft" activeCell="A1" sqref="A1:D1"/>
    </sheetView>
  </sheetViews>
  <sheetFormatPr baseColWidth="8" defaultRowHeight="14.5"/>
  <cols>
    <col width="32" customWidth="1" style="23" min="1" max="1"/>
    <col width="16" customWidth="1" style="23" min="2" max="2"/>
    <col width="14" customWidth="1" style="23" min="3" max="3"/>
    <col width="70" customWidth="1" style="23" min="4" max="4"/>
  </cols>
  <sheetData>
    <row r="1">
      <c r="A1" s="22" t="inlineStr">
        <is>
          <t>Texas 2025 4% Bond Rules Engine Parameters</t>
        </is>
      </c>
    </row>
    <row r="2">
      <c r="A2" s="7" t="inlineStr">
        <is>
          <t>Parameter</t>
        </is>
      </c>
      <c r="B2" s="7" t="inlineStr">
        <is>
          <t>Value</t>
        </is>
      </c>
      <c r="C2" s="7" t="inlineStr">
        <is>
          <t>Use in engine</t>
        </is>
      </c>
      <c r="D2" s="7" t="inlineStr">
        <is>
          <t>Notes</t>
        </is>
      </c>
    </row>
    <row r="3">
      <c r="A3" s="8" t="inlineStr">
        <is>
          <t>days_to_board_if_ready</t>
        </is>
      </c>
      <c r="B3" s="8" t="n">
        <v>45</v>
      </c>
      <c r="C3" s="8" t="inlineStr">
        <is>
          <t>Y</t>
        </is>
      </c>
      <c r="D3" s="8" t="inlineStr">
        <is>
          <t>Planning assumption for queue ordering; not sourced from QAP.</t>
        </is>
      </c>
    </row>
    <row r="4">
      <c r="A4" s="8" t="inlineStr">
        <is>
          <t>days_to_dn_if_ready</t>
        </is>
      </c>
      <c r="B4" s="8" t="n">
        <v>30</v>
      </c>
      <c r="C4" s="8" t="inlineStr">
        <is>
          <t>Y</t>
        </is>
      </c>
      <c r="D4" s="8" t="inlineStr">
        <is>
          <t>Planning assumption for streamlined/admin path timing; not sourced from QAP.</t>
        </is>
      </c>
    </row>
    <row r="5">
      <c r="A5" s="8" t="inlineStr">
        <is>
          <t>stale_days_under_review</t>
        </is>
      </c>
      <c r="B5" s="8" t="n">
        <v>90</v>
      </c>
      <c r="C5" s="8" t="inlineStr">
        <is>
          <t>Y</t>
        </is>
      </c>
      <c r="D5" s="8" t="inlineStr">
        <is>
          <t>If not ready and aged beyond this, predicted status may remain Under Review with blocker.</t>
        </is>
      </c>
    </row>
    <row r="6">
      <c r="A6" s="8" t="inlineStr">
        <is>
          <t>prioritize_carryforward_projects</t>
        </is>
      </c>
      <c r="B6" s="8" t="inlineStr">
        <is>
          <t>Y</t>
        </is>
      </c>
      <c r="C6" s="8" t="inlineStr">
        <is>
          <t>Y</t>
        </is>
      </c>
      <c r="D6" s="8" t="inlineStr">
        <is>
          <t>Carryforward projects sort ahead of new projects when all else is equal.</t>
        </is>
      </c>
    </row>
    <row r="7">
      <c r="A7" s="8" t="inlineStr">
        <is>
          <t>assume_manual_blanks_are_no</t>
        </is>
      </c>
      <c r="B7" s="8" t="inlineStr">
        <is>
          <t>Y</t>
        </is>
      </c>
      <c r="C7" s="8" t="inlineStr">
        <is>
          <t>Y</t>
        </is>
      </c>
      <c r="D7" s="8" t="inlineStr">
        <is>
          <t>Blank manual flags are treated as missing / not satisfied.</t>
        </is>
      </c>
    </row>
    <row r="8">
      <c r="A8" s="8" t="inlineStr">
        <is>
          <t>allow_closed_to_persist</t>
        </is>
      </c>
      <c r="B8" s="8" t="inlineStr">
        <is>
          <t>Y</t>
        </is>
      </c>
      <c r="C8" s="8" t="inlineStr">
        <is>
          <t>Y</t>
        </is>
      </c>
      <c r="D8" s="8" t="inlineStr">
        <is>
          <t>Closed projects remain Closed.</t>
        </is>
      </c>
    </row>
    <row r="9">
      <c r="A9" s="8" t="inlineStr">
        <is>
          <t>allow_withdrawn_to_persist</t>
        </is>
      </c>
      <c r="B9" s="8" t="inlineStr">
        <is>
          <t>Y</t>
        </is>
      </c>
      <c r="C9" s="8" t="inlineStr">
        <is>
          <t>Y</t>
        </is>
      </c>
      <c r="D9" s="8" t="inlineStr">
        <is>
          <t>Withdrawn/Terminated projects remain terminal.</t>
        </is>
      </c>
    </row>
    <row r="10">
      <c r="A10" s="8" t="inlineStr">
        <is>
          <t>allocation_volume_cap_amount</t>
        </is>
      </c>
      <c r="B10" s="38" t="n">
        <v>300000000</v>
      </c>
      <c r="C10" s="8" t="inlineStr">
        <is>
          <t>Y</t>
        </is>
      </c>
      <c r="D10" s="8" t="inlineStr">
        <is>
          <t>Planning assumption for next funding cycle capacity; adjust manually.</t>
        </is>
      </c>
    </row>
    <row r="11">
      <c r="A11" s="8" t="inlineStr">
        <is>
          <t>allocate_only_dn_or_board_ready_flag</t>
        </is>
      </c>
      <c r="B11" s="8" t="inlineStr">
        <is>
          <t>Y</t>
        </is>
      </c>
      <c r="C11" s="8" t="inlineStr">
        <is>
          <t>Y</t>
        </is>
      </c>
      <c r="D11" s="8" t="inlineStr">
        <is>
          <t>Y = only projects predicted to Board or Determination Notice enter allocation queue.</t>
        </is>
      </c>
    </row>
    <row r="12">
      <c r="A12" s="8" t="inlineStr">
        <is>
          <t>allocation_priority_rule</t>
        </is>
      </c>
      <c r="B12" s="8" t="inlineStr">
        <is>
          <t>bond_reservation_date_then_pipeline_entry_then_manual_rank</t>
        </is>
      </c>
      <c r="C12" s="8" t="inlineStr">
        <is>
          <t>Y</t>
        </is>
      </c>
      <c r="D12" s="8" t="inlineStr">
        <is>
          <t>Based on QAP priority concept; tie-break assumptions are modeler-defined.</t>
        </is>
      </c>
    </row>
    <row r="13">
      <c r="A13" s="8" t="inlineStr">
        <is>
          <t>exclude_terminal_statuses_from_allocation</t>
        </is>
      </c>
      <c r="B13" s="8" t="inlineStr">
        <is>
          <t>Y</t>
        </is>
      </c>
      <c r="C13" s="8" t="inlineStr">
        <is>
          <t>Y</t>
        </is>
      </c>
      <c r="D13" s="8" t="inlineStr">
        <is>
          <t>Closed / Withdrawn / Terminated do not consume new-cycle capacity.</t>
        </is>
      </c>
    </row>
    <row r="14">
      <c r="A14" s="8" t="inlineStr">
        <is>
          <t>carryforward_projects_sort_first</t>
        </is>
      </c>
      <c r="B14" s="8" t="inlineStr">
        <is>
          <t>Y</t>
        </is>
      </c>
      <c r="C14" s="8" t="inlineStr">
        <is>
          <t>Y</t>
        </is>
      </c>
      <c r="D14" s="8" t="inlineStr">
        <is>
          <t>Carryforward projects sort first when all else is equal.</t>
        </is>
      </c>
    </row>
  </sheetData>
  <mergeCells count="1">
    <mergeCell ref="A1:D1"/>
  </mergeCells>
  <dataValidations count="1">
    <dataValidation sqref="B6 B7 B8 B9 C3 C4 C5 C6 C7 C8 C9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402"/>
  <sheetViews>
    <sheetView workbookViewId="0">
      <pane ySplit="2" topLeftCell="A3" activePane="bottomLeft" state="frozen"/>
      <selection pane="bottomLeft" activeCell="A1" sqref="A1:Q1"/>
    </sheetView>
  </sheetViews>
  <sheetFormatPr baseColWidth="8" defaultRowHeight="14.5"/>
  <cols>
    <col width="14" customWidth="1" style="23" min="1" max="1"/>
    <col width="28" customWidth="1" style="23" min="2" max="2"/>
    <col width="16" customWidth="1" style="23" min="3" max="3"/>
    <col width="12" customWidth="1" style="23" min="4" max="10"/>
    <col width="10" customWidth="1" style="23" min="11" max="12"/>
    <col width="18" customWidth="1" style="23" min="13" max="13"/>
    <col width="14" customWidth="1" style="23" min="14" max="14"/>
    <col width="16" customWidth="1" style="23" min="15" max="15"/>
    <col width="18" customWidth="1" style="23" min="16" max="17"/>
  </cols>
  <sheetData>
    <row r="1">
      <c r="A1" s="22" t="inlineStr">
        <is>
          <t>Rule Flags by Project</t>
        </is>
      </c>
    </row>
    <row r="2" ht="29" customHeight="1" s="23">
      <c r="A2" s="7" t="inlineStr">
        <is>
          <t>tdhca_number</t>
        </is>
      </c>
      <c r="B2" s="7" t="inlineStr">
        <is>
          <t>development_name</t>
        </is>
      </c>
      <c r="C2" s="7" t="inlineStr">
        <is>
          <t>status_current</t>
        </is>
      </c>
      <c r="D2" s="7" t="inlineStr">
        <is>
          <t>terminal_flag</t>
        </is>
      </c>
      <c r="E2" s="7" t="inlineStr">
        <is>
          <t>site_control_fail</t>
        </is>
      </c>
      <c r="F2" s="7" t="inlineStr">
        <is>
          <t>approvals_fail</t>
        </is>
      </c>
      <c r="G2" s="7" t="inlineStr">
        <is>
          <t>reports_fail</t>
        </is>
      </c>
      <c r="H2" s="7" t="inlineStr">
        <is>
          <t>deficiency_fail</t>
        </is>
      </c>
      <c r="I2" s="7" t="inlineStr">
        <is>
          <t>underwriting_fail</t>
        </is>
      </c>
      <c r="J2" s="7" t="inlineStr">
        <is>
          <t>compliance_fail</t>
        </is>
      </c>
      <c r="K2" s="7" t="inlineStr">
        <is>
          <t>dn_ready</t>
        </is>
      </c>
      <c r="L2" s="7" t="inlineStr">
        <is>
          <t>board_ready</t>
        </is>
      </c>
      <c r="M2" s="7" t="inlineStr">
        <is>
          <t>manual_missing_count</t>
        </is>
      </c>
      <c r="N2" s="7" t="inlineStr">
        <is>
          <t>hard_blocker_flag</t>
        </is>
      </c>
      <c r="O2" s="7" t="inlineStr">
        <is>
          <t>queue_priority_score</t>
        </is>
      </c>
      <c r="P2" s="7" t="inlineStr">
        <is>
          <t>predicted_path</t>
        </is>
      </c>
      <c r="Q2" s="7" t="inlineStr">
        <is>
          <t>predicted_status</t>
        </is>
      </c>
    </row>
    <row r="3">
      <c r="A3" s="8">
        <f>Applicant_List!C4</f>
        <v/>
      </c>
      <c r="B3" s="8">
        <f>Applicant_List!E4</f>
        <v/>
      </c>
      <c r="C3" s="8">
        <f>Applicant_List!L4</f>
        <v/>
      </c>
      <c r="D3" s="8">
        <f>OR(Applicant_List!L4="Closed",Applicant_List!L4="Withdrawn",Applicant_List!L4="Terminated")</f>
        <v/>
      </c>
      <c r="E3" s="8">
        <f>IF(OR(Applicant_List!AI4="N",Applicant_List!AI4=""),1,0)</f>
        <v/>
      </c>
      <c r="F3" s="8">
        <f>IF(OR(Applicant_List!AK4="N",Applicant_List!AK4="",Applicant_List!AL4="N",Applicant_List!AL4=""),1,0)</f>
        <v/>
      </c>
      <c r="G3" s="8">
        <f>IF(OR(Applicant_List!AM4="N",Applicant_List!AM4=""),1,0)</f>
        <v/>
      </c>
      <c r="H3" s="8">
        <f>IF(OR(Applicant_List!AX4="Y",AND(Applicant_List!AS4="Y",Applicant_List!AV4&lt;&gt;"Y")),1,0)</f>
        <v/>
      </c>
      <c r="I3" s="8">
        <f>IF(OR(Applicant_List!AZ4="N",Applicant_List!AZ4="",Applicant_List!BA4="N",Applicant_List!BA4=""),1,0)</f>
        <v/>
      </c>
      <c r="J3" s="8">
        <f>IF(OR(Applicant_List!BB4="N",Applicant_List!BB4="",Applicant_List!BC4="N",Applicant_List!BE4="Y",Applicant_List!BL4="Y"),1,0)</f>
        <v/>
      </c>
      <c r="K3" s="8">
        <f>IF(AND(Applicant_List!BJ4="Y",Applicant_List!BM4="Y",Applicant_List!BK4&lt;&gt;"Y"),1,0)</f>
        <v/>
      </c>
      <c r="L3" s="8">
        <f>IF(OR(Applicant_List!BN4="Y",Applicant_List!BK4="Y"),1,0)</f>
        <v/>
      </c>
      <c r="M3" s="8">
        <f>COUNTIF(Applicant_List!AI4:BM4,"N")+COUNTBLANK(Applicant_List!AI4:BM4)</f>
        <v/>
      </c>
      <c r="N3" s="8">
        <f>MAX(E3:J3)</f>
        <v/>
      </c>
      <c r="O3" s="8">
        <f>IF(Applicant_List!BP4="Y",100000,0)+IF(ISNUMBER(Applicant_List!BO4),50000-INT(Applicant_List!BO4),0)+IF(LEN(Applicant_List!L4)&gt;0,1000,0)</f>
        <v/>
      </c>
      <c r="P3" s="8">
        <f>IF(D3,"Terminal",IF(N3=1,"Blocked",IF(K3=1,"Determination Notice",IF(L3=1,"Board","Under Review"))))</f>
        <v/>
      </c>
      <c r="Q3" s="8">
        <f>IF(Applicant_List!L4="Closed","Closed",IF(OR(Applicant_List!L4="Withdrawn",Applicant_List!L4="Terminated"),Applicant_List!L4,IF(N3=1,"No Advancement",IF(K3=1,"Determination Notice Issued",IF(L3=1,"Board","Under Review")))))</f>
        <v/>
      </c>
    </row>
    <row r="4">
      <c r="A4" s="8">
        <f>Applicant_List!C5</f>
        <v/>
      </c>
      <c r="B4" s="8">
        <f>Applicant_List!E5</f>
        <v/>
      </c>
      <c r="C4" s="8">
        <f>Applicant_List!L5</f>
        <v/>
      </c>
      <c r="D4" s="8">
        <f>OR(Applicant_List!L5="Closed",Applicant_List!L5="Withdrawn",Applicant_List!L5="Terminated")</f>
        <v/>
      </c>
      <c r="E4" s="8">
        <f>IF(OR(Applicant_List!AI5="N",Applicant_List!AI5=""),1,0)</f>
        <v/>
      </c>
      <c r="F4" s="8">
        <f>IF(OR(Applicant_List!AK5="N",Applicant_List!AK5="",Applicant_List!AL5="N",Applicant_List!AL5=""),1,0)</f>
        <v/>
      </c>
      <c r="G4" s="8">
        <f>IF(OR(Applicant_List!AM5="N",Applicant_List!AM5=""),1,0)</f>
        <v/>
      </c>
      <c r="H4" s="8">
        <f>IF(OR(Applicant_List!AX5="Y",AND(Applicant_List!AS5="Y",Applicant_List!AV5&lt;&gt;"Y")),1,0)</f>
        <v/>
      </c>
      <c r="I4" s="8">
        <f>IF(OR(Applicant_List!AZ5="N",Applicant_List!AZ5="",Applicant_List!BA5="N",Applicant_List!BA5=""),1,0)</f>
        <v/>
      </c>
      <c r="J4" s="8">
        <f>IF(OR(Applicant_List!BB5="N",Applicant_List!BB5="",Applicant_List!BC5="N",Applicant_List!BE5="Y",Applicant_List!BL5="Y"),1,0)</f>
        <v/>
      </c>
      <c r="K4" s="8">
        <f>IF(AND(Applicant_List!BJ5="Y",Applicant_List!BM5="Y",Applicant_List!BK5&lt;&gt;"Y"),1,0)</f>
        <v/>
      </c>
      <c r="L4" s="8">
        <f>IF(OR(Applicant_List!BN5="Y",Applicant_List!BK5="Y"),1,0)</f>
        <v/>
      </c>
      <c r="M4" s="8">
        <f>COUNTIF(Applicant_List!AI5:BM5,"N")+COUNTBLANK(Applicant_List!AI5:BM5)</f>
        <v/>
      </c>
      <c r="N4" s="8">
        <f>MAX(E4:J4)</f>
        <v/>
      </c>
      <c r="O4" s="8">
        <f>IF(Applicant_List!BP5="Y",100000,0)+IF(ISNUMBER(Applicant_List!BO5),50000-INT(Applicant_List!BO5),0)+IF(LEN(Applicant_List!L5)&gt;0,1000,0)</f>
        <v/>
      </c>
      <c r="P4" s="8">
        <f>IF(D4,"Terminal",IF(N4=1,"Blocked",IF(K4=1,"Determination Notice",IF(L4=1,"Board","Under Review"))))</f>
        <v/>
      </c>
      <c r="Q4" s="8">
        <f>IF(Applicant_List!L5="Closed","Closed",IF(OR(Applicant_List!L5="Withdrawn",Applicant_List!L5="Terminated"),Applicant_List!L5,IF(N4=1,"No Advancement",IF(K4=1,"Determination Notice Issued",IF(L4=1,"Board","Under Review")))))</f>
        <v/>
      </c>
    </row>
    <row r="5">
      <c r="A5" s="8">
        <f>Applicant_List!C6</f>
        <v/>
      </c>
      <c r="B5" s="8">
        <f>Applicant_List!E6</f>
        <v/>
      </c>
      <c r="C5" s="8">
        <f>Applicant_List!L6</f>
        <v/>
      </c>
      <c r="D5" s="8">
        <f>OR(Applicant_List!L6="Closed",Applicant_List!L6="Withdrawn",Applicant_List!L6="Terminated")</f>
        <v/>
      </c>
      <c r="E5" s="8">
        <f>IF(OR(Applicant_List!AI6="N",Applicant_List!AI6=""),1,0)</f>
        <v/>
      </c>
      <c r="F5" s="8">
        <f>IF(OR(Applicant_List!AK6="N",Applicant_List!AK6="",Applicant_List!AL6="N",Applicant_List!AL6=""),1,0)</f>
        <v/>
      </c>
      <c r="G5" s="8">
        <f>IF(OR(Applicant_List!AM6="N",Applicant_List!AM6=""),1,0)</f>
        <v/>
      </c>
      <c r="H5" s="8">
        <f>IF(OR(Applicant_List!AX6="Y",AND(Applicant_List!AS6="Y",Applicant_List!AV6&lt;&gt;"Y")),1,0)</f>
        <v/>
      </c>
      <c r="I5" s="8">
        <f>IF(OR(Applicant_List!AZ6="N",Applicant_List!AZ6="",Applicant_List!BA6="N",Applicant_List!BA6=""),1,0)</f>
        <v/>
      </c>
      <c r="J5" s="8">
        <f>IF(OR(Applicant_List!BB6="N",Applicant_List!BB6="",Applicant_List!BC6="N",Applicant_List!BE6="Y",Applicant_List!BL6="Y"),1,0)</f>
        <v/>
      </c>
      <c r="K5" s="8">
        <f>IF(AND(Applicant_List!BJ6="Y",Applicant_List!BM6="Y",Applicant_List!BK6&lt;&gt;"Y"),1,0)</f>
        <v/>
      </c>
      <c r="L5" s="8">
        <f>IF(OR(Applicant_List!BN6="Y",Applicant_List!BK6="Y"),1,0)</f>
        <v/>
      </c>
      <c r="M5" s="8">
        <f>COUNTIF(Applicant_List!AI6:BM6,"N")+COUNTBLANK(Applicant_List!AI6:BM6)</f>
        <v/>
      </c>
      <c r="N5" s="8">
        <f>MAX(E5:J5)</f>
        <v/>
      </c>
      <c r="O5" s="8">
        <f>IF(Applicant_List!BP6="Y",100000,0)+IF(ISNUMBER(Applicant_List!BO6),50000-INT(Applicant_List!BO6),0)+IF(LEN(Applicant_List!L6)&gt;0,1000,0)</f>
        <v/>
      </c>
      <c r="P5" s="8">
        <f>IF(D5,"Terminal",IF(N5=1,"Blocked",IF(K5=1,"Determination Notice",IF(L5=1,"Board","Under Review"))))</f>
        <v/>
      </c>
      <c r="Q5" s="8">
        <f>IF(Applicant_List!L6="Closed","Closed",IF(OR(Applicant_List!L6="Withdrawn",Applicant_List!L6="Terminated"),Applicant_List!L6,IF(N5=1,"No Advancement",IF(K5=1,"Determination Notice Issued",IF(L5=1,"Board","Under Review")))))</f>
        <v/>
      </c>
    </row>
    <row r="6">
      <c r="A6" s="8">
        <f>Applicant_List!C7</f>
        <v/>
      </c>
      <c r="B6" s="8">
        <f>Applicant_List!E7</f>
        <v/>
      </c>
      <c r="C6" s="8">
        <f>Applicant_List!L7</f>
        <v/>
      </c>
      <c r="D6" s="8">
        <f>OR(Applicant_List!L7="Closed",Applicant_List!L7="Withdrawn",Applicant_List!L7="Terminated")</f>
        <v/>
      </c>
      <c r="E6" s="8">
        <f>IF(OR(Applicant_List!AI7="N",Applicant_List!AI7=""),1,0)</f>
        <v/>
      </c>
      <c r="F6" s="8">
        <f>IF(OR(Applicant_List!AK7="N",Applicant_List!AK7="",Applicant_List!AL7="N",Applicant_List!AL7=""),1,0)</f>
        <v/>
      </c>
      <c r="G6" s="8">
        <f>IF(OR(Applicant_List!AM7="N",Applicant_List!AM7=""),1,0)</f>
        <v/>
      </c>
      <c r="H6" s="8">
        <f>IF(OR(Applicant_List!AX7="Y",AND(Applicant_List!AS7="Y",Applicant_List!AV7&lt;&gt;"Y")),1,0)</f>
        <v/>
      </c>
      <c r="I6" s="8">
        <f>IF(OR(Applicant_List!AZ7="N",Applicant_List!AZ7="",Applicant_List!BA7="N",Applicant_List!BA7=""),1,0)</f>
        <v/>
      </c>
      <c r="J6" s="8">
        <f>IF(OR(Applicant_List!BB7="N",Applicant_List!BB7="",Applicant_List!BC7="N",Applicant_List!BE7="Y",Applicant_List!BL7="Y"),1,0)</f>
        <v/>
      </c>
      <c r="K6" s="8">
        <f>IF(AND(Applicant_List!BJ7="Y",Applicant_List!BM7="Y",Applicant_List!BK7&lt;&gt;"Y"),1,0)</f>
        <v/>
      </c>
      <c r="L6" s="8">
        <f>IF(OR(Applicant_List!BN7="Y",Applicant_List!BK7="Y"),1,0)</f>
        <v/>
      </c>
      <c r="M6" s="8">
        <f>COUNTIF(Applicant_List!AI7:BM7,"N")+COUNTBLANK(Applicant_List!AI7:BM7)</f>
        <v/>
      </c>
      <c r="N6" s="8">
        <f>MAX(E6:J6)</f>
        <v/>
      </c>
      <c r="O6" s="8">
        <f>IF(Applicant_List!BP7="Y",100000,0)+IF(ISNUMBER(Applicant_List!BO7),50000-INT(Applicant_List!BO7),0)+IF(LEN(Applicant_List!L7)&gt;0,1000,0)</f>
        <v/>
      </c>
      <c r="P6" s="8">
        <f>IF(D6,"Terminal",IF(N6=1,"Blocked",IF(K6=1,"Determination Notice",IF(L6=1,"Board","Under Review"))))</f>
        <v/>
      </c>
      <c r="Q6" s="8">
        <f>IF(Applicant_List!L7="Closed","Closed",IF(OR(Applicant_List!L7="Withdrawn",Applicant_List!L7="Terminated"),Applicant_List!L7,IF(N6=1,"No Advancement",IF(K6=1,"Determination Notice Issued",IF(L6=1,"Board","Under Review")))))</f>
        <v/>
      </c>
    </row>
    <row r="7">
      <c r="A7" s="8">
        <f>Applicant_List!C8</f>
        <v/>
      </c>
      <c r="B7" s="8">
        <f>Applicant_List!E8</f>
        <v/>
      </c>
      <c r="C7" s="8">
        <f>Applicant_List!L8</f>
        <v/>
      </c>
      <c r="D7" s="8">
        <f>OR(Applicant_List!L8="Closed",Applicant_List!L8="Withdrawn",Applicant_List!L8="Terminated")</f>
        <v/>
      </c>
      <c r="E7" s="8">
        <f>IF(OR(Applicant_List!AI8="N",Applicant_List!AI8=""),1,0)</f>
        <v/>
      </c>
      <c r="F7" s="8">
        <f>IF(OR(Applicant_List!AK8="N",Applicant_List!AK8="",Applicant_List!AL8="N",Applicant_List!AL8=""),1,0)</f>
        <v/>
      </c>
      <c r="G7" s="8">
        <f>IF(OR(Applicant_List!AM8="N",Applicant_List!AM8=""),1,0)</f>
        <v/>
      </c>
      <c r="H7" s="8">
        <f>IF(OR(Applicant_List!AX8="Y",AND(Applicant_List!AS8="Y",Applicant_List!AV8&lt;&gt;"Y")),1,0)</f>
        <v/>
      </c>
      <c r="I7" s="8">
        <f>IF(OR(Applicant_List!AZ8="N",Applicant_List!AZ8="",Applicant_List!BA8="N",Applicant_List!BA8=""),1,0)</f>
        <v/>
      </c>
      <c r="J7" s="8">
        <f>IF(OR(Applicant_List!BB8="N",Applicant_List!BB8="",Applicant_List!BC8="N",Applicant_List!BE8="Y",Applicant_List!BL8="Y"),1,0)</f>
        <v/>
      </c>
      <c r="K7" s="8">
        <f>IF(AND(Applicant_List!BJ8="Y",Applicant_List!BM8="Y",Applicant_List!BK8&lt;&gt;"Y"),1,0)</f>
        <v/>
      </c>
      <c r="L7" s="8">
        <f>IF(OR(Applicant_List!BN8="Y",Applicant_List!BK8="Y"),1,0)</f>
        <v/>
      </c>
      <c r="M7" s="8">
        <f>COUNTIF(Applicant_List!AI8:BM8,"N")+COUNTBLANK(Applicant_List!AI8:BM8)</f>
        <v/>
      </c>
      <c r="N7" s="8">
        <f>MAX(E7:J7)</f>
        <v/>
      </c>
      <c r="O7" s="8">
        <f>IF(Applicant_List!BP8="Y",100000,0)+IF(ISNUMBER(Applicant_List!BO8),50000-INT(Applicant_List!BO8),0)+IF(LEN(Applicant_List!L8)&gt;0,1000,0)</f>
        <v/>
      </c>
      <c r="P7" s="8">
        <f>IF(D7,"Terminal",IF(N7=1,"Blocked",IF(K7=1,"Determination Notice",IF(L7=1,"Board","Under Review"))))</f>
        <v/>
      </c>
      <c r="Q7" s="8">
        <f>IF(Applicant_List!L8="Closed","Closed",IF(OR(Applicant_List!L8="Withdrawn",Applicant_List!L8="Terminated"),Applicant_List!L8,IF(N7=1,"No Advancement",IF(K7=1,"Determination Notice Issued",IF(L7=1,"Board","Under Review")))))</f>
        <v/>
      </c>
    </row>
    <row r="8">
      <c r="A8" s="8">
        <f>Applicant_List!C9</f>
        <v/>
      </c>
      <c r="B8" s="8">
        <f>Applicant_List!E9</f>
        <v/>
      </c>
      <c r="C8" s="8">
        <f>Applicant_List!L9</f>
        <v/>
      </c>
      <c r="D8" s="8">
        <f>OR(Applicant_List!L9="Closed",Applicant_List!L9="Withdrawn",Applicant_List!L9="Terminated")</f>
        <v/>
      </c>
      <c r="E8" s="8">
        <f>IF(OR(Applicant_List!AI9="N",Applicant_List!AI9=""),1,0)</f>
        <v/>
      </c>
      <c r="F8" s="8">
        <f>IF(OR(Applicant_List!AK9="N",Applicant_List!AK9="",Applicant_List!AL9="N",Applicant_List!AL9=""),1,0)</f>
        <v/>
      </c>
      <c r="G8" s="8">
        <f>IF(OR(Applicant_List!AM9="N",Applicant_List!AM9=""),1,0)</f>
        <v/>
      </c>
      <c r="H8" s="8">
        <f>IF(OR(Applicant_List!AX9="Y",AND(Applicant_List!AS9="Y",Applicant_List!AV9&lt;&gt;"Y")),1,0)</f>
        <v/>
      </c>
      <c r="I8" s="8">
        <f>IF(OR(Applicant_List!AZ9="N",Applicant_List!AZ9="",Applicant_List!BA9="N",Applicant_List!BA9=""),1,0)</f>
        <v/>
      </c>
      <c r="J8" s="8">
        <f>IF(OR(Applicant_List!BB9="N",Applicant_List!BB9="",Applicant_List!BC9="N",Applicant_List!BE9="Y",Applicant_List!BL9="Y"),1,0)</f>
        <v/>
      </c>
      <c r="K8" s="8">
        <f>IF(AND(Applicant_List!BJ9="Y",Applicant_List!BM9="Y",Applicant_List!BK9&lt;&gt;"Y"),1,0)</f>
        <v/>
      </c>
      <c r="L8" s="8">
        <f>IF(OR(Applicant_List!BN9="Y",Applicant_List!BK9="Y"),1,0)</f>
        <v/>
      </c>
      <c r="M8" s="8">
        <f>COUNTIF(Applicant_List!AI9:BM9,"N")+COUNTBLANK(Applicant_List!AI9:BM9)</f>
        <v/>
      </c>
      <c r="N8" s="8">
        <f>MAX(E8:J8)</f>
        <v/>
      </c>
      <c r="O8" s="8">
        <f>IF(Applicant_List!BP9="Y",100000,0)+IF(ISNUMBER(Applicant_List!BO9),50000-INT(Applicant_List!BO9),0)+IF(LEN(Applicant_List!L9)&gt;0,1000,0)</f>
        <v/>
      </c>
      <c r="P8" s="8">
        <f>IF(D8,"Terminal",IF(N8=1,"Blocked",IF(K8=1,"Determination Notice",IF(L8=1,"Board","Under Review"))))</f>
        <v/>
      </c>
      <c r="Q8" s="8">
        <f>IF(Applicant_List!L9="Closed","Closed",IF(OR(Applicant_List!L9="Withdrawn",Applicant_List!L9="Terminated"),Applicant_List!L9,IF(N8=1,"No Advancement",IF(K8=1,"Determination Notice Issued",IF(L8=1,"Board","Under Review")))))</f>
        <v/>
      </c>
    </row>
    <row r="9">
      <c r="A9" s="8">
        <f>Applicant_List!C10</f>
        <v/>
      </c>
      <c r="B9" s="8">
        <f>Applicant_List!E10</f>
        <v/>
      </c>
      <c r="C9" s="8">
        <f>Applicant_List!L10</f>
        <v/>
      </c>
      <c r="D9" s="8">
        <f>OR(Applicant_List!L10="Closed",Applicant_List!L10="Withdrawn",Applicant_List!L10="Terminated")</f>
        <v/>
      </c>
      <c r="E9" s="8">
        <f>IF(OR(Applicant_List!AI10="N",Applicant_List!AI10=""),1,0)</f>
        <v/>
      </c>
      <c r="F9" s="8">
        <f>IF(OR(Applicant_List!AK10="N",Applicant_List!AK10="",Applicant_List!AL10="N",Applicant_List!AL10=""),1,0)</f>
        <v/>
      </c>
      <c r="G9" s="8">
        <f>IF(OR(Applicant_List!AM10="N",Applicant_List!AM10=""),1,0)</f>
        <v/>
      </c>
      <c r="H9" s="8">
        <f>IF(OR(Applicant_List!AX10="Y",AND(Applicant_List!AS10="Y",Applicant_List!AV10&lt;&gt;"Y")),1,0)</f>
        <v/>
      </c>
      <c r="I9" s="8">
        <f>IF(OR(Applicant_List!AZ10="N",Applicant_List!AZ10="",Applicant_List!BA10="N",Applicant_List!BA10=""),1,0)</f>
        <v/>
      </c>
      <c r="J9" s="8">
        <f>IF(OR(Applicant_List!BB10="N",Applicant_List!BB10="",Applicant_List!BC10="N",Applicant_List!BE10="Y",Applicant_List!BL10="Y"),1,0)</f>
        <v/>
      </c>
      <c r="K9" s="8">
        <f>IF(AND(Applicant_List!BJ10="Y",Applicant_List!BM10="Y",Applicant_List!BK10&lt;&gt;"Y"),1,0)</f>
        <v/>
      </c>
      <c r="L9" s="8">
        <f>IF(OR(Applicant_List!BN10="Y",Applicant_List!BK10="Y"),1,0)</f>
        <v/>
      </c>
      <c r="M9" s="8">
        <f>COUNTIF(Applicant_List!AI10:BM10,"N")+COUNTBLANK(Applicant_List!AI10:BM10)</f>
        <v/>
      </c>
      <c r="N9" s="8">
        <f>MAX(E9:J9)</f>
        <v/>
      </c>
      <c r="O9" s="8">
        <f>IF(Applicant_List!BP10="Y",100000,0)+IF(ISNUMBER(Applicant_List!BO10),50000-INT(Applicant_List!BO10),0)+IF(LEN(Applicant_List!L10)&gt;0,1000,0)</f>
        <v/>
      </c>
      <c r="P9" s="8">
        <f>IF(D9,"Terminal",IF(N9=1,"Blocked",IF(K9=1,"Determination Notice",IF(L9=1,"Board","Under Review"))))</f>
        <v/>
      </c>
      <c r="Q9" s="8">
        <f>IF(Applicant_List!L10="Closed","Closed",IF(OR(Applicant_List!L10="Withdrawn",Applicant_List!L10="Terminated"),Applicant_List!L10,IF(N9=1,"No Advancement",IF(K9=1,"Determination Notice Issued",IF(L9=1,"Board","Under Review")))))</f>
        <v/>
      </c>
    </row>
    <row r="10">
      <c r="A10" s="8">
        <f>Applicant_List!C11</f>
        <v/>
      </c>
      <c r="B10" s="8">
        <f>Applicant_List!E11</f>
        <v/>
      </c>
      <c r="C10" s="8">
        <f>Applicant_List!L11</f>
        <v/>
      </c>
      <c r="D10" s="8">
        <f>OR(Applicant_List!L11="Closed",Applicant_List!L11="Withdrawn",Applicant_List!L11="Terminated")</f>
        <v/>
      </c>
      <c r="E10" s="8">
        <f>IF(OR(Applicant_List!AI11="N",Applicant_List!AI11=""),1,0)</f>
        <v/>
      </c>
      <c r="F10" s="8">
        <f>IF(OR(Applicant_List!AK11="N",Applicant_List!AK11="",Applicant_List!AL11="N",Applicant_List!AL11=""),1,0)</f>
        <v/>
      </c>
      <c r="G10" s="8">
        <f>IF(OR(Applicant_List!AM11="N",Applicant_List!AM11=""),1,0)</f>
        <v/>
      </c>
      <c r="H10" s="8">
        <f>IF(OR(Applicant_List!AX11="Y",AND(Applicant_List!AS11="Y",Applicant_List!AV11&lt;&gt;"Y")),1,0)</f>
        <v/>
      </c>
      <c r="I10" s="8">
        <f>IF(OR(Applicant_List!AZ11="N",Applicant_List!AZ11="",Applicant_List!BA11="N",Applicant_List!BA11=""),1,0)</f>
        <v/>
      </c>
      <c r="J10" s="8">
        <f>IF(OR(Applicant_List!BB11="N",Applicant_List!BB11="",Applicant_List!BC11="N",Applicant_List!BE11="Y",Applicant_List!BL11="Y"),1,0)</f>
        <v/>
      </c>
      <c r="K10" s="8">
        <f>IF(AND(Applicant_List!BJ11="Y",Applicant_List!BM11="Y",Applicant_List!BK11&lt;&gt;"Y"),1,0)</f>
        <v/>
      </c>
      <c r="L10" s="8">
        <f>IF(OR(Applicant_List!BN11="Y",Applicant_List!BK11="Y"),1,0)</f>
        <v/>
      </c>
      <c r="M10" s="8">
        <f>COUNTIF(Applicant_List!AI11:BM11,"N")+COUNTBLANK(Applicant_List!AI11:BM11)</f>
        <v/>
      </c>
      <c r="N10" s="8">
        <f>MAX(E10:J10)</f>
        <v/>
      </c>
      <c r="O10" s="8">
        <f>IF(Applicant_List!BP11="Y",100000,0)+IF(ISNUMBER(Applicant_List!BO11),50000-INT(Applicant_List!BO11),0)+IF(LEN(Applicant_List!L11)&gt;0,1000,0)</f>
        <v/>
      </c>
      <c r="P10" s="8">
        <f>IF(D10,"Terminal",IF(N10=1,"Blocked",IF(K10=1,"Determination Notice",IF(L10=1,"Board","Under Review"))))</f>
        <v/>
      </c>
      <c r="Q10" s="8">
        <f>IF(Applicant_List!L11="Closed","Closed",IF(OR(Applicant_List!L11="Withdrawn",Applicant_List!L11="Terminated"),Applicant_List!L11,IF(N10=1,"No Advancement",IF(K10=1,"Determination Notice Issued",IF(L10=1,"Board","Under Review")))))</f>
        <v/>
      </c>
    </row>
    <row r="11">
      <c r="A11" s="8">
        <f>Applicant_List!C12</f>
        <v/>
      </c>
      <c r="B11" s="8">
        <f>Applicant_List!E12</f>
        <v/>
      </c>
      <c r="C11" s="8">
        <f>Applicant_List!L12</f>
        <v/>
      </c>
      <c r="D11" s="8">
        <f>OR(Applicant_List!L12="Closed",Applicant_List!L12="Withdrawn",Applicant_List!L12="Terminated")</f>
        <v/>
      </c>
      <c r="E11" s="8">
        <f>IF(OR(Applicant_List!AI12="N",Applicant_List!AI12=""),1,0)</f>
        <v/>
      </c>
      <c r="F11" s="8">
        <f>IF(OR(Applicant_List!AK12="N",Applicant_List!AK12="",Applicant_List!AL12="N",Applicant_List!AL12=""),1,0)</f>
        <v/>
      </c>
      <c r="G11" s="8">
        <f>IF(OR(Applicant_List!AM12="N",Applicant_List!AM12=""),1,0)</f>
        <v/>
      </c>
      <c r="H11" s="8">
        <f>IF(OR(Applicant_List!AX12="Y",AND(Applicant_List!AS12="Y",Applicant_List!AV12&lt;&gt;"Y")),1,0)</f>
        <v/>
      </c>
      <c r="I11" s="8">
        <f>IF(OR(Applicant_List!AZ12="N",Applicant_List!AZ12="",Applicant_List!BA12="N",Applicant_List!BA12=""),1,0)</f>
        <v/>
      </c>
      <c r="J11" s="8">
        <f>IF(OR(Applicant_List!BB12="N",Applicant_List!BB12="",Applicant_List!BC12="N",Applicant_List!BE12="Y",Applicant_List!BL12="Y"),1,0)</f>
        <v/>
      </c>
      <c r="K11" s="8">
        <f>IF(AND(Applicant_List!BJ12="Y",Applicant_List!BM12="Y",Applicant_List!BK12&lt;&gt;"Y"),1,0)</f>
        <v/>
      </c>
      <c r="L11" s="8">
        <f>IF(OR(Applicant_List!BN12="Y",Applicant_List!BK12="Y"),1,0)</f>
        <v/>
      </c>
      <c r="M11" s="8">
        <f>COUNTIF(Applicant_List!AI12:BM12,"N")+COUNTBLANK(Applicant_List!AI12:BM12)</f>
        <v/>
      </c>
      <c r="N11" s="8">
        <f>MAX(E11:J11)</f>
        <v/>
      </c>
      <c r="O11" s="8">
        <f>IF(Applicant_List!BP12="Y",100000,0)+IF(ISNUMBER(Applicant_List!BO12),50000-INT(Applicant_List!BO12),0)+IF(LEN(Applicant_List!L12)&gt;0,1000,0)</f>
        <v/>
      </c>
      <c r="P11" s="8">
        <f>IF(D11,"Terminal",IF(N11=1,"Blocked",IF(K11=1,"Determination Notice",IF(L11=1,"Board","Under Review"))))</f>
        <v/>
      </c>
      <c r="Q11" s="8">
        <f>IF(Applicant_List!L12="Closed","Closed",IF(OR(Applicant_List!L12="Withdrawn",Applicant_List!L12="Terminated"),Applicant_List!L12,IF(N11=1,"No Advancement",IF(K11=1,"Determination Notice Issued",IF(L11=1,"Board","Under Review")))))</f>
        <v/>
      </c>
    </row>
    <row r="12">
      <c r="A12" s="8">
        <f>Applicant_List!C13</f>
        <v/>
      </c>
      <c r="B12" s="8">
        <f>Applicant_List!E13</f>
        <v/>
      </c>
      <c r="C12" s="8">
        <f>Applicant_List!L13</f>
        <v/>
      </c>
      <c r="D12" s="8">
        <f>OR(Applicant_List!L13="Closed",Applicant_List!L13="Withdrawn",Applicant_List!L13="Terminated")</f>
        <v/>
      </c>
      <c r="E12" s="8">
        <f>IF(OR(Applicant_List!AI13="N",Applicant_List!AI13=""),1,0)</f>
        <v/>
      </c>
      <c r="F12" s="8">
        <f>IF(OR(Applicant_List!AK13="N",Applicant_List!AK13="",Applicant_List!AL13="N",Applicant_List!AL13=""),1,0)</f>
        <v/>
      </c>
      <c r="G12" s="8">
        <f>IF(OR(Applicant_List!AM13="N",Applicant_List!AM13=""),1,0)</f>
        <v/>
      </c>
      <c r="H12" s="8">
        <f>IF(OR(Applicant_List!AX13="Y",AND(Applicant_List!AS13="Y",Applicant_List!AV13&lt;&gt;"Y")),1,0)</f>
        <v/>
      </c>
      <c r="I12" s="8">
        <f>IF(OR(Applicant_List!AZ13="N",Applicant_List!AZ13="",Applicant_List!BA13="N",Applicant_List!BA13=""),1,0)</f>
        <v/>
      </c>
      <c r="J12" s="8">
        <f>IF(OR(Applicant_List!BB13="N",Applicant_List!BB13="",Applicant_List!BC13="N",Applicant_List!BE13="Y",Applicant_List!BL13="Y"),1,0)</f>
        <v/>
      </c>
      <c r="K12" s="8">
        <f>IF(AND(Applicant_List!BJ13="Y",Applicant_List!BM13="Y",Applicant_List!BK13&lt;&gt;"Y"),1,0)</f>
        <v/>
      </c>
      <c r="L12" s="8">
        <f>IF(OR(Applicant_List!BN13="Y",Applicant_List!BK13="Y"),1,0)</f>
        <v/>
      </c>
      <c r="M12" s="8">
        <f>COUNTIF(Applicant_List!AI13:BM13,"N")+COUNTBLANK(Applicant_List!AI13:BM13)</f>
        <v/>
      </c>
      <c r="N12" s="8">
        <f>MAX(E12:J12)</f>
        <v/>
      </c>
      <c r="O12" s="8">
        <f>IF(Applicant_List!BP13="Y",100000,0)+IF(ISNUMBER(Applicant_List!BO13),50000-INT(Applicant_List!BO13),0)+IF(LEN(Applicant_List!L13)&gt;0,1000,0)</f>
        <v/>
      </c>
      <c r="P12" s="8">
        <f>IF(D12,"Terminal",IF(N12=1,"Blocked",IF(K12=1,"Determination Notice",IF(L12=1,"Board","Under Review"))))</f>
        <v/>
      </c>
      <c r="Q12" s="8">
        <f>IF(Applicant_List!L13="Closed","Closed",IF(OR(Applicant_List!L13="Withdrawn",Applicant_List!L13="Terminated"),Applicant_List!L13,IF(N12=1,"No Advancement",IF(K12=1,"Determination Notice Issued",IF(L12=1,"Board","Under Review")))))</f>
        <v/>
      </c>
    </row>
    <row r="13">
      <c r="A13" s="8">
        <f>Applicant_List!C14</f>
        <v/>
      </c>
      <c r="B13" s="8">
        <f>Applicant_List!E14</f>
        <v/>
      </c>
      <c r="C13" s="8">
        <f>Applicant_List!L14</f>
        <v/>
      </c>
      <c r="D13" s="8">
        <f>OR(Applicant_List!L14="Closed",Applicant_List!L14="Withdrawn",Applicant_List!L14="Terminated")</f>
        <v/>
      </c>
      <c r="E13" s="8">
        <f>IF(OR(Applicant_List!AI14="N",Applicant_List!AI14=""),1,0)</f>
        <v/>
      </c>
      <c r="F13" s="8">
        <f>IF(OR(Applicant_List!AK14="N",Applicant_List!AK14="",Applicant_List!AL14="N",Applicant_List!AL14=""),1,0)</f>
        <v/>
      </c>
      <c r="G13" s="8">
        <f>IF(OR(Applicant_List!AM14="N",Applicant_List!AM14=""),1,0)</f>
        <v/>
      </c>
      <c r="H13" s="8">
        <f>IF(OR(Applicant_List!AX14="Y",AND(Applicant_List!AS14="Y",Applicant_List!AV14&lt;&gt;"Y")),1,0)</f>
        <v/>
      </c>
      <c r="I13" s="8">
        <f>IF(OR(Applicant_List!AZ14="N",Applicant_List!AZ14="",Applicant_List!BA14="N",Applicant_List!BA14=""),1,0)</f>
        <v/>
      </c>
      <c r="J13" s="8">
        <f>IF(OR(Applicant_List!BB14="N",Applicant_List!BB14="",Applicant_List!BC14="N",Applicant_List!BE14="Y",Applicant_List!BL14="Y"),1,0)</f>
        <v/>
      </c>
      <c r="K13" s="8">
        <f>IF(AND(Applicant_List!BJ14="Y",Applicant_List!BM14="Y",Applicant_List!BK14&lt;&gt;"Y"),1,0)</f>
        <v/>
      </c>
      <c r="L13" s="8">
        <f>IF(OR(Applicant_List!BN14="Y",Applicant_List!BK14="Y"),1,0)</f>
        <v/>
      </c>
      <c r="M13" s="8">
        <f>COUNTIF(Applicant_List!AI14:BM14,"N")+COUNTBLANK(Applicant_List!AI14:BM14)</f>
        <v/>
      </c>
      <c r="N13" s="8">
        <f>MAX(E13:J13)</f>
        <v/>
      </c>
      <c r="O13" s="8">
        <f>IF(Applicant_List!BP14="Y",100000,0)+IF(ISNUMBER(Applicant_List!BO14),50000-INT(Applicant_List!BO14),0)+IF(LEN(Applicant_List!L14)&gt;0,1000,0)</f>
        <v/>
      </c>
      <c r="P13" s="8">
        <f>IF(D13,"Terminal",IF(N13=1,"Blocked",IF(K13=1,"Determination Notice",IF(L13=1,"Board","Under Review"))))</f>
        <v/>
      </c>
      <c r="Q13" s="8">
        <f>IF(Applicant_List!L14="Closed","Closed",IF(OR(Applicant_List!L14="Withdrawn",Applicant_List!L14="Terminated"),Applicant_List!L14,IF(N13=1,"No Advancement",IF(K13=1,"Determination Notice Issued",IF(L13=1,"Board","Under Review")))))</f>
        <v/>
      </c>
    </row>
    <row r="14">
      <c r="A14" s="8">
        <f>Applicant_List!C15</f>
        <v/>
      </c>
      <c r="B14" s="8">
        <f>Applicant_List!E15</f>
        <v/>
      </c>
      <c r="C14" s="8">
        <f>Applicant_List!L15</f>
        <v/>
      </c>
      <c r="D14" s="8">
        <f>OR(Applicant_List!L15="Closed",Applicant_List!L15="Withdrawn",Applicant_List!L15="Terminated")</f>
        <v/>
      </c>
      <c r="E14" s="8">
        <f>IF(OR(Applicant_List!AI15="N",Applicant_List!AI15=""),1,0)</f>
        <v/>
      </c>
      <c r="F14" s="8">
        <f>IF(OR(Applicant_List!AK15="N",Applicant_List!AK15="",Applicant_List!AL15="N",Applicant_List!AL15=""),1,0)</f>
        <v/>
      </c>
      <c r="G14" s="8">
        <f>IF(OR(Applicant_List!AM15="N",Applicant_List!AM15=""),1,0)</f>
        <v/>
      </c>
      <c r="H14" s="8">
        <f>IF(OR(Applicant_List!AX15="Y",AND(Applicant_List!AS15="Y",Applicant_List!AV15&lt;&gt;"Y")),1,0)</f>
        <v/>
      </c>
      <c r="I14" s="8">
        <f>IF(OR(Applicant_List!AZ15="N",Applicant_List!AZ15="",Applicant_List!BA15="N",Applicant_List!BA15=""),1,0)</f>
        <v/>
      </c>
      <c r="J14" s="8">
        <f>IF(OR(Applicant_List!BB15="N",Applicant_List!BB15="",Applicant_List!BC15="N",Applicant_List!BE15="Y",Applicant_List!BL15="Y"),1,0)</f>
        <v/>
      </c>
      <c r="K14" s="8">
        <f>IF(AND(Applicant_List!BJ15="Y",Applicant_List!BM15="Y",Applicant_List!BK15&lt;&gt;"Y"),1,0)</f>
        <v/>
      </c>
      <c r="L14" s="8">
        <f>IF(OR(Applicant_List!BN15="Y",Applicant_List!BK15="Y"),1,0)</f>
        <v/>
      </c>
      <c r="M14" s="8">
        <f>COUNTIF(Applicant_List!AI15:BM15,"N")+COUNTBLANK(Applicant_List!AI15:BM15)</f>
        <v/>
      </c>
      <c r="N14" s="8">
        <f>MAX(E14:J14)</f>
        <v/>
      </c>
      <c r="O14" s="8">
        <f>IF(Applicant_List!BP15="Y",100000,0)+IF(ISNUMBER(Applicant_List!BO15),50000-INT(Applicant_List!BO15),0)+IF(LEN(Applicant_List!L15)&gt;0,1000,0)</f>
        <v/>
      </c>
      <c r="P14" s="8">
        <f>IF(D14,"Terminal",IF(N14=1,"Blocked",IF(K14=1,"Determination Notice",IF(L14=1,"Board","Under Review"))))</f>
        <v/>
      </c>
      <c r="Q14" s="8">
        <f>IF(Applicant_List!L15="Closed","Closed",IF(OR(Applicant_List!L15="Withdrawn",Applicant_List!L15="Terminated"),Applicant_List!L15,IF(N14=1,"No Advancement",IF(K14=1,"Determination Notice Issued",IF(L14=1,"Board","Under Review")))))</f>
        <v/>
      </c>
    </row>
    <row r="15">
      <c r="A15" s="8">
        <f>Applicant_List!C16</f>
        <v/>
      </c>
      <c r="B15" s="8">
        <f>Applicant_List!E16</f>
        <v/>
      </c>
      <c r="C15" s="8">
        <f>Applicant_List!L16</f>
        <v/>
      </c>
      <c r="D15" s="8">
        <f>OR(Applicant_List!L16="Closed",Applicant_List!L16="Withdrawn",Applicant_List!L16="Terminated")</f>
        <v/>
      </c>
      <c r="E15" s="8">
        <f>IF(OR(Applicant_List!AI16="N",Applicant_List!AI16=""),1,0)</f>
        <v/>
      </c>
      <c r="F15" s="8">
        <f>IF(OR(Applicant_List!AK16="N",Applicant_List!AK16="",Applicant_List!AL16="N",Applicant_List!AL16=""),1,0)</f>
        <v/>
      </c>
      <c r="G15" s="8">
        <f>IF(OR(Applicant_List!AM16="N",Applicant_List!AM16=""),1,0)</f>
        <v/>
      </c>
      <c r="H15" s="8">
        <f>IF(OR(Applicant_List!AX16="Y",AND(Applicant_List!AS16="Y",Applicant_List!AV16&lt;&gt;"Y")),1,0)</f>
        <v/>
      </c>
      <c r="I15" s="8">
        <f>IF(OR(Applicant_List!AZ16="N",Applicant_List!AZ16="",Applicant_List!BA16="N",Applicant_List!BA16=""),1,0)</f>
        <v/>
      </c>
      <c r="J15" s="8">
        <f>IF(OR(Applicant_List!BB16="N",Applicant_List!BB16="",Applicant_List!BC16="N",Applicant_List!BE16="Y",Applicant_List!BL16="Y"),1,0)</f>
        <v/>
      </c>
      <c r="K15" s="8">
        <f>IF(AND(Applicant_List!BJ16="Y",Applicant_List!BM16="Y",Applicant_List!BK16&lt;&gt;"Y"),1,0)</f>
        <v/>
      </c>
      <c r="L15" s="8">
        <f>IF(OR(Applicant_List!BN16="Y",Applicant_List!BK16="Y"),1,0)</f>
        <v/>
      </c>
      <c r="M15" s="8">
        <f>COUNTIF(Applicant_List!AI16:BM16,"N")+COUNTBLANK(Applicant_List!AI16:BM16)</f>
        <v/>
      </c>
      <c r="N15" s="8">
        <f>MAX(E15:J15)</f>
        <v/>
      </c>
      <c r="O15" s="8">
        <f>IF(Applicant_List!BP16="Y",100000,0)+IF(ISNUMBER(Applicant_List!BO16),50000-INT(Applicant_List!BO16),0)+IF(LEN(Applicant_List!L16)&gt;0,1000,0)</f>
        <v/>
      </c>
      <c r="P15" s="8">
        <f>IF(D15,"Terminal",IF(N15=1,"Blocked",IF(K15=1,"Determination Notice",IF(L15=1,"Board","Under Review"))))</f>
        <v/>
      </c>
      <c r="Q15" s="8">
        <f>IF(Applicant_List!L16="Closed","Closed",IF(OR(Applicant_List!L16="Withdrawn",Applicant_List!L16="Terminated"),Applicant_List!L16,IF(N15=1,"No Advancement",IF(K15=1,"Determination Notice Issued",IF(L15=1,"Board","Under Review")))))</f>
        <v/>
      </c>
    </row>
    <row r="16">
      <c r="A16" s="8">
        <f>Applicant_List!C17</f>
        <v/>
      </c>
      <c r="B16" s="8">
        <f>Applicant_List!E17</f>
        <v/>
      </c>
      <c r="C16" s="8">
        <f>Applicant_List!L17</f>
        <v/>
      </c>
      <c r="D16" s="8">
        <f>OR(Applicant_List!L17="Closed",Applicant_List!L17="Withdrawn",Applicant_List!L17="Terminated")</f>
        <v/>
      </c>
      <c r="E16" s="8">
        <f>IF(OR(Applicant_List!AI17="N",Applicant_List!AI17=""),1,0)</f>
        <v/>
      </c>
      <c r="F16" s="8">
        <f>IF(OR(Applicant_List!AK17="N",Applicant_List!AK17="",Applicant_List!AL17="N",Applicant_List!AL17=""),1,0)</f>
        <v/>
      </c>
      <c r="G16" s="8">
        <f>IF(OR(Applicant_List!AM17="N",Applicant_List!AM17=""),1,0)</f>
        <v/>
      </c>
      <c r="H16" s="8">
        <f>IF(OR(Applicant_List!AX17="Y",AND(Applicant_List!AS17="Y",Applicant_List!AV17&lt;&gt;"Y")),1,0)</f>
        <v/>
      </c>
      <c r="I16" s="8">
        <f>IF(OR(Applicant_List!AZ17="N",Applicant_List!AZ17="",Applicant_List!BA17="N",Applicant_List!BA17=""),1,0)</f>
        <v/>
      </c>
      <c r="J16" s="8">
        <f>IF(OR(Applicant_List!BB17="N",Applicant_List!BB17="",Applicant_List!BC17="N",Applicant_List!BE17="Y",Applicant_List!BL17="Y"),1,0)</f>
        <v/>
      </c>
      <c r="K16" s="8">
        <f>IF(AND(Applicant_List!BJ17="Y",Applicant_List!BM17="Y",Applicant_List!BK17&lt;&gt;"Y"),1,0)</f>
        <v/>
      </c>
      <c r="L16" s="8">
        <f>IF(OR(Applicant_List!BN17="Y",Applicant_List!BK17="Y"),1,0)</f>
        <v/>
      </c>
      <c r="M16" s="8">
        <f>COUNTIF(Applicant_List!AI17:BM17,"N")+COUNTBLANK(Applicant_List!AI17:BM17)</f>
        <v/>
      </c>
      <c r="N16" s="8">
        <f>MAX(E16:J16)</f>
        <v/>
      </c>
      <c r="O16" s="8">
        <f>IF(Applicant_List!BP17="Y",100000,0)+IF(ISNUMBER(Applicant_List!BO17),50000-INT(Applicant_List!BO17),0)+IF(LEN(Applicant_List!L17)&gt;0,1000,0)</f>
        <v/>
      </c>
      <c r="P16" s="8">
        <f>IF(D16,"Terminal",IF(N16=1,"Blocked",IF(K16=1,"Determination Notice",IF(L16=1,"Board","Under Review"))))</f>
        <v/>
      </c>
      <c r="Q16" s="8">
        <f>IF(Applicant_List!L17="Closed","Closed",IF(OR(Applicant_List!L17="Withdrawn",Applicant_List!L17="Terminated"),Applicant_List!L17,IF(N16=1,"No Advancement",IF(K16=1,"Determination Notice Issued",IF(L16=1,"Board","Under Review")))))</f>
        <v/>
      </c>
    </row>
    <row r="17">
      <c r="A17" s="8">
        <f>Applicant_List!C18</f>
        <v/>
      </c>
      <c r="B17" s="8">
        <f>Applicant_List!E18</f>
        <v/>
      </c>
      <c r="C17" s="8">
        <f>Applicant_List!L18</f>
        <v/>
      </c>
      <c r="D17" s="8">
        <f>OR(Applicant_List!L18="Closed",Applicant_List!L18="Withdrawn",Applicant_List!L18="Terminated")</f>
        <v/>
      </c>
      <c r="E17" s="8">
        <f>IF(OR(Applicant_List!AI18="N",Applicant_List!AI18=""),1,0)</f>
        <v/>
      </c>
      <c r="F17" s="8">
        <f>IF(OR(Applicant_List!AK18="N",Applicant_List!AK18="",Applicant_List!AL18="N",Applicant_List!AL18=""),1,0)</f>
        <v/>
      </c>
      <c r="G17" s="8">
        <f>IF(OR(Applicant_List!AM18="N",Applicant_List!AM18=""),1,0)</f>
        <v/>
      </c>
      <c r="H17" s="8">
        <f>IF(OR(Applicant_List!AX18="Y",AND(Applicant_List!AS18="Y",Applicant_List!AV18&lt;&gt;"Y")),1,0)</f>
        <v/>
      </c>
      <c r="I17" s="8">
        <f>IF(OR(Applicant_List!AZ18="N",Applicant_List!AZ18="",Applicant_List!BA18="N",Applicant_List!BA18=""),1,0)</f>
        <v/>
      </c>
      <c r="J17" s="8">
        <f>IF(OR(Applicant_List!BB18="N",Applicant_List!BB18="",Applicant_List!BC18="N",Applicant_List!BE18="Y",Applicant_List!BL18="Y"),1,0)</f>
        <v/>
      </c>
      <c r="K17" s="8">
        <f>IF(AND(Applicant_List!BJ18="Y",Applicant_List!BM18="Y",Applicant_List!BK18&lt;&gt;"Y"),1,0)</f>
        <v/>
      </c>
      <c r="L17" s="8">
        <f>IF(OR(Applicant_List!BN18="Y",Applicant_List!BK18="Y"),1,0)</f>
        <v/>
      </c>
      <c r="M17" s="8">
        <f>COUNTIF(Applicant_List!AI18:BM18,"N")+COUNTBLANK(Applicant_List!AI18:BM18)</f>
        <v/>
      </c>
      <c r="N17" s="8">
        <f>MAX(E17:J17)</f>
        <v/>
      </c>
      <c r="O17" s="8">
        <f>IF(Applicant_List!BP18="Y",100000,0)+IF(ISNUMBER(Applicant_List!BO18),50000-INT(Applicant_List!BO18),0)+IF(LEN(Applicant_List!L18)&gt;0,1000,0)</f>
        <v/>
      </c>
      <c r="P17" s="8">
        <f>IF(D17,"Terminal",IF(N17=1,"Blocked",IF(K17=1,"Determination Notice",IF(L17=1,"Board","Under Review"))))</f>
        <v/>
      </c>
      <c r="Q17" s="8">
        <f>IF(Applicant_List!L18="Closed","Closed",IF(OR(Applicant_List!L18="Withdrawn",Applicant_List!L18="Terminated"),Applicant_List!L18,IF(N17=1,"No Advancement",IF(K17=1,"Determination Notice Issued",IF(L17=1,"Board","Under Review")))))</f>
        <v/>
      </c>
    </row>
    <row r="18">
      <c r="A18" s="8">
        <f>Applicant_List!C19</f>
        <v/>
      </c>
      <c r="B18" s="8">
        <f>Applicant_List!E19</f>
        <v/>
      </c>
      <c r="C18" s="8">
        <f>Applicant_List!L19</f>
        <v/>
      </c>
      <c r="D18" s="8">
        <f>OR(Applicant_List!L19="Closed",Applicant_List!L19="Withdrawn",Applicant_List!L19="Terminated")</f>
        <v/>
      </c>
      <c r="E18" s="8">
        <f>IF(OR(Applicant_List!AI19="N",Applicant_List!AI19=""),1,0)</f>
        <v/>
      </c>
      <c r="F18" s="8">
        <f>IF(OR(Applicant_List!AK19="N",Applicant_List!AK19="",Applicant_List!AL19="N",Applicant_List!AL19=""),1,0)</f>
        <v/>
      </c>
      <c r="G18" s="8">
        <f>IF(OR(Applicant_List!AM19="N",Applicant_List!AM19=""),1,0)</f>
        <v/>
      </c>
      <c r="H18" s="8">
        <f>IF(OR(Applicant_List!AX19="Y",AND(Applicant_List!AS19="Y",Applicant_List!AV19&lt;&gt;"Y")),1,0)</f>
        <v/>
      </c>
      <c r="I18" s="8">
        <f>IF(OR(Applicant_List!AZ19="N",Applicant_List!AZ19="",Applicant_List!BA19="N",Applicant_List!BA19=""),1,0)</f>
        <v/>
      </c>
      <c r="J18" s="8">
        <f>IF(OR(Applicant_List!BB19="N",Applicant_List!BB19="",Applicant_List!BC19="N",Applicant_List!BE19="Y",Applicant_List!BL19="Y"),1,0)</f>
        <v/>
      </c>
      <c r="K18" s="8">
        <f>IF(AND(Applicant_List!BJ19="Y",Applicant_List!BM19="Y",Applicant_List!BK19&lt;&gt;"Y"),1,0)</f>
        <v/>
      </c>
      <c r="L18" s="8">
        <f>IF(OR(Applicant_List!BN19="Y",Applicant_List!BK19="Y"),1,0)</f>
        <v/>
      </c>
      <c r="M18" s="8">
        <f>COUNTIF(Applicant_List!AI19:BM19,"N")+COUNTBLANK(Applicant_List!AI19:BM19)</f>
        <v/>
      </c>
      <c r="N18" s="8">
        <f>MAX(E18:J18)</f>
        <v/>
      </c>
      <c r="O18" s="8">
        <f>IF(Applicant_List!BP19="Y",100000,0)+IF(ISNUMBER(Applicant_List!BO19),50000-INT(Applicant_List!BO19),0)+IF(LEN(Applicant_List!L19)&gt;0,1000,0)</f>
        <v/>
      </c>
      <c r="P18" s="8">
        <f>IF(D18,"Terminal",IF(N18=1,"Blocked",IF(K18=1,"Determination Notice",IF(L18=1,"Board","Under Review"))))</f>
        <v/>
      </c>
      <c r="Q18" s="8">
        <f>IF(Applicant_List!L19="Closed","Closed",IF(OR(Applicant_List!L19="Withdrawn",Applicant_List!L19="Terminated"),Applicant_List!L19,IF(N18=1,"No Advancement",IF(K18=1,"Determination Notice Issued",IF(L18=1,"Board","Under Review")))))</f>
        <v/>
      </c>
    </row>
    <row r="19">
      <c r="A19" s="8">
        <f>Applicant_List!C20</f>
        <v/>
      </c>
      <c r="B19" s="8">
        <f>Applicant_List!E20</f>
        <v/>
      </c>
      <c r="C19" s="8">
        <f>Applicant_List!L20</f>
        <v/>
      </c>
      <c r="D19" s="8">
        <f>OR(Applicant_List!L20="Closed",Applicant_List!L20="Withdrawn",Applicant_List!L20="Terminated")</f>
        <v/>
      </c>
      <c r="E19" s="8">
        <f>IF(OR(Applicant_List!AI20="N",Applicant_List!AI20=""),1,0)</f>
        <v/>
      </c>
      <c r="F19" s="8">
        <f>IF(OR(Applicant_List!AK20="N",Applicant_List!AK20="",Applicant_List!AL20="N",Applicant_List!AL20=""),1,0)</f>
        <v/>
      </c>
      <c r="G19" s="8">
        <f>IF(OR(Applicant_List!AM20="N",Applicant_List!AM20=""),1,0)</f>
        <v/>
      </c>
      <c r="H19" s="8">
        <f>IF(OR(Applicant_List!AX20="Y",AND(Applicant_List!AS20="Y",Applicant_List!AV20&lt;&gt;"Y")),1,0)</f>
        <v/>
      </c>
      <c r="I19" s="8">
        <f>IF(OR(Applicant_List!AZ20="N",Applicant_List!AZ20="",Applicant_List!BA20="N",Applicant_List!BA20=""),1,0)</f>
        <v/>
      </c>
      <c r="J19" s="8">
        <f>IF(OR(Applicant_List!BB20="N",Applicant_List!BB20="",Applicant_List!BC20="N",Applicant_List!BE20="Y",Applicant_List!BL20="Y"),1,0)</f>
        <v/>
      </c>
      <c r="K19" s="8">
        <f>IF(AND(Applicant_List!BJ20="Y",Applicant_List!BM20="Y",Applicant_List!BK20&lt;&gt;"Y"),1,0)</f>
        <v/>
      </c>
      <c r="L19" s="8">
        <f>IF(OR(Applicant_List!BN20="Y",Applicant_List!BK20="Y"),1,0)</f>
        <v/>
      </c>
      <c r="M19" s="8">
        <f>COUNTIF(Applicant_List!AI20:BM20,"N")+COUNTBLANK(Applicant_List!AI20:BM20)</f>
        <v/>
      </c>
      <c r="N19" s="8">
        <f>MAX(E19:J19)</f>
        <v/>
      </c>
      <c r="O19" s="8">
        <f>IF(Applicant_List!BP20="Y",100000,0)+IF(ISNUMBER(Applicant_List!BO20),50000-INT(Applicant_List!BO20),0)+IF(LEN(Applicant_List!L20)&gt;0,1000,0)</f>
        <v/>
      </c>
      <c r="P19" s="8">
        <f>IF(D19,"Terminal",IF(N19=1,"Blocked",IF(K19=1,"Determination Notice",IF(L19=1,"Board","Under Review"))))</f>
        <v/>
      </c>
      <c r="Q19" s="8">
        <f>IF(Applicant_List!L20="Closed","Closed",IF(OR(Applicant_List!L20="Withdrawn",Applicant_List!L20="Terminated"),Applicant_List!L20,IF(N19=1,"No Advancement",IF(K19=1,"Determination Notice Issued",IF(L19=1,"Board","Under Review")))))</f>
        <v/>
      </c>
    </row>
    <row r="20">
      <c r="A20" s="8">
        <f>Applicant_List!C21</f>
        <v/>
      </c>
      <c r="B20" s="8">
        <f>Applicant_List!E21</f>
        <v/>
      </c>
      <c r="C20" s="8">
        <f>Applicant_List!L21</f>
        <v/>
      </c>
      <c r="D20" s="8">
        <f>OR(Applicant_List!L21="Closed",Applicant_List!L21="Withdrawn",Applicant_List!L21="Terminated")</f>
        <v/>
      </c>
      <c r="E20" s="8">
        <f>IF(OR(Applicant_List!AI21="N",Applicant_List!AI21=""),1,0)</f>
        <v/>
      </c>
      <c r="F20" s="8">
        <f>IF(OR(Applicant_List!AK21="N",Applicant_List!AK21="",Applicant_List!AL21="N",Applicant_List!AL21=""),1,0)</f>
        <v/>
      </c>
      <c r="G20" s="8">
        <f>IF(OR(Applicant_List!AM21="N",Applicant_List!AM21=""),1,0)</f>
        <v/>
      </c>
      <c r="H20" s="8">
        <f>IF(OR(Applicant_List!AX21="Y",AND(Applicant_List!AS21="Y",Applicant_List!AV21&lt;&gt;"Y")),1,0)</f>
        <v/>
      </c>
      <c r="I20" s="8">
        <f>IF(OR(Applicant_List!AZ21="N",Applicant_List!AZ21="",Applicant_List!BA21="N",Applicant_List!BA21=""),1,0)</f>
        <v/>
      </c>
      <c r="J20" s="8">
        <f>IF(OR(Applicant_List!BB21="N",Applicant_List!BB21="",Applicant_List!BC21="N",Applicant_List!BE21="Y",Applicant_List!BL21="Y"),1,0)</f>
        <v/>
      </c>
      <c r="K20" s="8">
        <f>IF(AND(Applicant_List!BJ21="Y",Applicant_List!BM21="Y",Applicant_List!BK21&lt;&gt;"Y"),1,0)</f>
        <v/>
      </c>
      <c r="L20" s="8">
        <f>IF(OR(Applicant_List!BN21="Y",Applicant_List!BK21="Y"),1,0)</f>
        <v/>
      </c>
      <c r="M20" s="8">
        <f>COUNTIF(Applicant_List!AI21:BM21,"N")+COUNTBLANK(Applicant_List!AI21:BM21)</f>
        <v/>
      </c>
      <c r="N20" s="8">
        <f>MAX(E20:J20)</f>
        <v/>
      </c>
      <c r="O20" s="8">
        <f>IF(Applicant_List!BP21="Y",100000,0)+IF(ISNUMBER(Applicant_List!BO21),50000-INT(Applicant_List!BO21),0)+IF(LEN(Applicant_List!L21)&gt;0,1000,0)</f>
        <v/>
      </c>
      <c r="P20" s="8">
        <f>IF(D20,"Terminal",IF(N20=1,"Blocked",IF(K20=1,"Determination Notice",IF(L20=1,"Board","Under Review"))))</f>
        <v/>
      </c>
      <c r="Q20" s="8">
        <f>IF(Applicant_List!L21="Closed","Closed",IF(OR(Applicant_List!L21="Withdrawn",Applicant_List!L21="Terminated"),Applicant_List!L21,IF(N20=1,"No Advancement",IF(K20=1,"Determination Notice Issued",IF(L20=1,"Board","Under Review")))))</f>
        <v/>
      </c>
    </row>
    <row r="21">
      <c r="A21" s="8">
        <f>Applicant_List!C22</f>
        <v/>
      </c>
      <c r="B21" s="8">
        <f>Applicant_List!E22</f>
        <v/>
      </c>
      <c r="C21" s="8">
        <f>Applicant_List!L22</f>
        <v/>
      </c>
      <c r="D21" s="8">
        <f>OR(Applicant_List!L22="Closed",Applicant_List!L22="Withdrawn",Applicant_List!L22="Terminated")</f>
        <v/>
      </c>
      <c r="E21" s="8">
        <f>IF(OR(Applicant_List!AI22="N",Applicant_List!AI22=""),1,0)</f>
        <v/>
      </c>
      <c r="F21" s="8">
        <f>IF(OR(Applicant_List!AK22="N",Applicant_List!AK22="",Applicant_List!AL22="N",Applicant_List!AL22=""),1,0)</f>
        <v/>
      </c>
      <c r="G21" s="8">
        <f>IF(OR(Applicant_List!AM22="N",Applicant_List!AM22=""),1,0)</f>
        <v/>
      </c>
      <c r="H21" s="8">
        <f>IF(OR(Applicant_List!AX22="Y",AND(Applicant_List!AS22="Y",Applicant_List!AV22&lt;&gt;"Y")),1,0)</f>
        <v/>
      </c>
      <c r="I21" s="8">
        <f>IF(OR(Applicant_List!AZ22="N",Applicant_List!AZ22="",Applicant_List!BA22="N",Applicant_List!BA22=""),1,0)</f>
        <v/>
      </c>
      <c r="J21" s="8">
        <f>IF(OR(Applicant_List!BB22="N",Applicant_List!BB22="",Applicant_List!BC22="N",Applicant_List!BE22="Y",Applicant_List!BL22="Y"),1,0)</f>
        <v/>
      </c>
      <c r="K21" s="8">
        <f>IF(AND(Applicant_List!BJ22="Y",Applicant_List!BM22="Y",Applicant_List!BK22&lt;&gt;"Y"),1,0)</f>
        <v/>
      </c>
      <c r="L21" s="8">
        <f>IF(OR(Applicant_List!BN22="Y",Applicant_List!BK22="Y"),1,0)</f>
        <v/>
      </c>
      <c r="M21" s="8">
        <f>COUNTIF(Applicant_List!AI22:BM22,"N")+COUNTBLANK(Applicant_List!AI22:BM22)</f>
        <v/>
      </c>
      <c r="N21" s="8">
        <f>MAX(E21:J21)</f>
        <v/>
      </c>
      <c r="O21" s="8">
        <f>IF(Applicant_List!BP22="Y",100000,0)+IF(ISNUMBER(Applicant_List!BO22),50000-INT(Applicant_List!BO22),0)+IF(LEN(Applicant_List!L22)&gt;0,1000,0)</f>
        <v/>
      </c>
      <c r="P21" s="8">
        <f>IF(D21,"Terminal",IF(N21=1,"Blocked",IF(K21=1,"Determination Notice",IF(L21=1,"Board","Under Review"))))</f>
        <v/>
      </c>
      <c r="Q21" s="8">
        <f>IF(Applicant_List!L22="Closed","Closed",IF(OR(Applicant_List!L22="Withdrawn",Applicant_List!L22="Terminated"),Applicant_List!L22,IF(N21=1,"No Advancement",IF(K21=1,"Determination Notice Issued",IF(L21=1,"Board","Under Review")))))</f>
        <v/>
      </c>
    </row>
    <row r="22">
      <c r="A22" s="8">
        <f>Applicant_List!C23</f>
        <v/>
      </c>
      <c r="B22" s="8">
        <f>Applicant_List!E23</f>
        <v/>
      </c>
      <c r="C22" s="8">
        <f>Applicant_List!L23</f>
        <v/>
      </c>
      <c r="D22" s="8">
        <f>OR(Applicant_List!L23="Closed",Applicant_List!L23="Withdrawn",Applicant_List!L23="Terminated")</f>
        <v/>
      </c>
      <c r="E22" s="8">
        <f>IF(OR(Applicant_List!AI23="N",Applicant_List!AI23=""),1,0)</f>
        <v/>
      </c>
      <c r="F22" s="8">
        <f>IF(OR(Applicant_List!AK23="N",Applicant_List!AK23="",Applicant_List!AL23="N",Applicant_List!AL23=""),1,0)</f>
        <v/>
      </c>
      <c r="G22" s="8">
        <f>IF(OR(Applicant_List!AM23="N",Applicant_List!AM23=""),1,0)</f>
        <v/>
      </c>
      <c r="H22" s="8">
        <f>IF(OR(Applicant_List!AX23="Y",AND(Applicant_List!AS23="Y",Applicant_List!AV23&lt;&gt;"Y")),1,0)</f>
        <v/>
      </c>
      <c r="I22" s="8">
        <f>IF(OR(Applicant_List!AZ23="N",Applicant_List!AZ23="",Applicant_List!BA23="N",Applicant_List!BA23=""),1,0)</f>
        <v/>
      </c>
      <c r="J22" s="8">
        <f>IF(OR(Applicant_List!BB23="N",Applicant_List!BB23="",Applicant_List!BC23="N",Applicant_List!BE23="Y",Applicant_List!BL23="Y"),1,0)</f>
        <v/>
      </c>
      <c r="K22" s="8">
        <f>IF(AND(Applicant_List!BJ23="Y",Applicant_List!BM23="Y",Applicant_List!BK23&lt;&gt;"Y"),1,0)</f>
        <v/>
      </c>
      <c r="L22" s="8">
        <f>IF(OR(Applicant_List!BN23="Y",Applicant_List!BK23="Y"),1,0)</f>
        <v/>
      </c>
      <c r="M22" s="8">
        <f>COUNTIF(Applicant_List!AI23:BM23,"N")+COUNTBLANK(Applicant_List!AI23:BM23)</f>
        <v/>
      </c>
      <c r="N22" s="8">
        <f>MAX(E22:J22)</f>
        <v/>
      </c>
      <c r="O22" s="8">
        <f>IF(Applicant_List!BP23="Y",100000,0)+IF(ISNUMBER(Applicant_List!BO23),50000-INT(Applicant_List!BO23),0)+IF(LEN(Applicant_List!L23)&gt;0,1000,0)</f>
        <v/>
      </c>
      <c r="P22" s="8">
        <f>IF(D22,"Terminal",IF(N22=1,"Blocked",IF(K22=1,"Determination Notice",IF(L22=1,"Board","Under Review"))))</f>
        <v/>
      </c>
      <c r="Q22" s="8">
        <f>IF(Applicant_List!L23="Closed","Closed",IF(OR(Applicant_List!L23="Withdrawn",Applicant_List!L23="Terminated"),Applicant_List!L23,IF(N22=1,"No Advancement",IF(K22=1,"Determination Notice Issued",IF(L22=1,"Board","Under Review")))))</f>
        <v/>
      </c>
    </row>
    <row r="23">
      <c r="A23" s="8">
        <f>Applicant_List!C24</f>
        <v/>
      </c>
      <c r="B23" s="8">
        <f>Applicant_List!E24</f>
        <v/>
      </c>
      <c r="C23" s="8">
        <f>Applicant_List!L24</f>
        <v/>
      </c>
      <c r="D23" s="8">
        <f>OR(Applicant_List!L24="Closed",Applicant_List!L24="Withdrawn",Applicant_List!L24="Terminated")</f>
        <v/>
      </c>
      <c r="E23" s="8">
        <f>IF(OR(Applicant_List!AI24="N",Applicant_List!AI24=""),1,0)</f>
        <v/>
      </c>
      <c r="F23" s="8">
        <f>IF(OR(Applicant_List!AK24="N",Applicant_List!AK24="",Applicant_List!AL24="N",Applicant_List!AL24=""),1,0)</f>
        <v/>
      </c>
      <c r="G23" s="8">
        <f>IF(OR(Applicant_List!AM24="N",Applicant_List!AM24=""),1,0)</f>
        <v/>
      </c>
      <c r="H23" s="8">
        <f>IF(OR(Applicant_List!AX24="Y",AND(Applicant_List!AS24="Y",Applicant_List!AV24&lt;&gt;"Y")),1,0)</f>
        <v/>
      </c>
      <c r="I23" s="8">
        <f>IF(OR(Applicant_List!AZ24="N",Applicant_List!AZ24="",Applicant_List!BA24="N",Applicant_List!BA24=""),1,0)</f>
        <v/>
      </c>
      <c r="J23" s="8">
        <f>IF(OR(Applicant_List!BB24="N",Applicant_List!BB24="",Applicant_List!BC24="N",Applicant_List!BE24="Y",Applicant_List!BL24="Y"),1,0)</f>
        <v/>
      </c>
      <c r="K23" s="8">
        <f>IF(AND(Applicant_List!BJ24="Y",Applicant_List!BM24="Y",Applicant_List!BK24&lt;&gt;"Y"),1,0)</f>
        <v/>
      </c>
      <c r="L23" s="8">
        <f>IF(OR(Applicant_List!BN24="Y",Applicant_List!BK24="Y"),1,0)</f>
        <v/>
      </c>
      <c r="M23" s="8">
        <f>COUNTIF(Applicant_List!AI24:BM24,"N")+COUNTBLANK(Applicant_List!AI24:BM24)</f>
        <v/>
      </c>
      <c r="N23" s="8">
        <f>MAX(E23:J23)</f>
        <v/>
      </c>
      <c r="O23" s="8">
        <f>IF(Applicant_List!BP24="Y",100000,0)+IF(ISNUMBER(Applicant_List!BO24),50000-INT(Applicant_List!BO24),0)+IF(LEN(Applicant_List!L24)&gt;0,1000,0)</f>
        <v/>
      </c>
      <c r="P23" s="8">
        <f>IF(D23,"Terminal",IF(N23=1,"Blocked",IF(K23=1,"Determination Notice",IF(L23=1,"Board","Under Review"))))</f>
        <v/>
      </c>
      <c r="Q23" s="8">
        <f>IF(Applicant_List!L24="Closed","Closed",IF(OR(Applicant_List!L24="Withdrawn",Applicant_List!L24="Terminated"),Applicant_List!L24,IF(N23=1,"No Advancement",IF(K23=1,"Determination Notice Issued",IF(L23=1,"Board","Under Review")))))</f>
        <v/>
      </c>
    </row>
    <row r="24">
      <c r="A24" s="8">
        <f>Applicant_List!C25</f>
        <v/>
      </c>
      <c r="B24" s="8">
        <f>Applicant_List!E25</f>
        <v/>
      </c>
      <c r="C24" s="8">
        <f>Applicant_List!L25</f>
        <v/>
      </c>
      <c r="D24" s="8">
        <f>OR(Applicant_List!L25="Closed",Applicant_List!L25="Withdrawn",Applicant_List!L25="Terminated")</f>
        <v/>
      </c>
      <c r="E24" s="8">
        <f>IF(OR(Applicant_List!AI25="N",Applicant_List!AI25=""),1,0)</f>
        <v/>
      </c>
      <c r="F24" s="8">
        <f>IF(OR(Applicant_List!AK25="N",Applicant_List!AK25="",Applicant_List!AL25="N",Applicant_List!AL25=""),1,0)</f>
        <v/>
      </c>
      <c r="G24" s="8">
        <f>IF(OR(Applicant_List!AM25="N",Applicant_List!AM25=""),1,0)</f>
        <v/>
      </c>
      <c r="H24" s="8">
        <f>IF(OR(Applicant_List!AX25="Y",AND(Applicant_List!AS25="Y",Applicant_List!AV25&lt;&gt;"Y")),1,0)</f>
        <v/>
      </c>
      <c r="I24" s="8">
        <f>IF(OR(Applicant_List!AZ25="N",Applicant_List!AZ25="",Applicant_List!BA25="N",Applicant_List!BA25=""),1,0)</f>
        <v/>
      </c>
      <c r="J24" s="8">
        <f>IF(OR(Applicant_List!BB25="N",Applicant_List!BB25="",Applicant_List!BC25="N",Applicant_List!BE25="Y",Applicant_List!BL25="Y"),1,0)</f>
        <v/>
      </c>
      <c r="K24" s="8">
        <f>IF(AND(Applicant_List!BJ25="Y",Applicant_List!BM25="Y",Applicant_List!BK25&lt;&gt;"Y"),1,0)</f>
        <v/>
      </c>
      <c r="L24" s="8">
        <f>IF(OR(Applicant_List!BN25="Y",Applicant_List!BK25="Y"),1,0)</f>
        <v/>
      </c>
      <c r="M24" s="8">
        <f>COUNTIF(Applicant_List!AI25:BM25,"N")+COUNTBLANK(Applicant_List!AI25:BM25)</f>
        <v/>
      </c>
      <c r="N24" s="8">
        <f>MAX(E24:J24)</f>
        <v/>
      </c>
      <c r="O24" s="8">
        <f>IF(Applicant_List!BP25="Y",100000,0)+IF(ISNUMBER(Applicant_List!BO25),50000-INT(Applicant_List!BO25),0)+IF(LEN(Applicant_List!L25)&gt;0,1000,0)</f>
        <v/>
      </c>
      <c r="P24" s="8">
        <f>IF(D24,"Terminal",IF(N24=1,"Blocked",IF(K24=1,"Determination Notice",IF(L24=1,"Board","Under Review"))))</f>
        <v/>
      </c>
      <c r="Q24" s="8">
        <f>IF(Applicant_List!L25="Closed","Closed",IF(OR(Applicant_List!L25="Withdrawn",Applicant_List!L25="Terminated"),Applicant_List!L25,IF(N24=1,"No Advancement",IF(K24=1,"Determination Notice Issued",IF(L24=1,"Board","Under Review")))))</f>
        <v/>
      </c>
    </row>
    <row r="25">
      <c r="A25" s="8">
        <f>Applicant_List!C26</f>
        <v/>
      </c>
      <c r="B25" s="8">
        <f>Applicant_List!E26</f>
        <v/>
      </c>
      <c r="C25" s="8">
        <f>Applicant_List!L26</f>
        <v/>
      </c>
      <c r="D25" s="8">
        <f>OR(Applicant_List!L26="Closed",Applicant_List!L26="Withdrawn",Applicant_List!L26="Terminated")</f>
        <v/>
      </c>
      <c r="E25" s="8">
        <f>IF(OR(Applicant_List!AI26="N",Applicant_List!AI26=""),1,0)</f>
        <v/>
      </c>
      <c r="F25" s="8">
        <f>IF(OR(Applicant_List!AK26="N",Applicant_List!AK26="",Applicant_List!AL26="N",Applicant_List!AL26=""),1,0)</f>
        <v/>
      </c>
      <c r="G25" s="8">
        <f>IF(OR(Applicant_List!AM26="N",Applicant_List!AM26=""),1,0)</f>
        <v/>
      </c>
      <c r="H25" s="8">
        <f>IF(OR(Applicant_List!AX26="Y",AND(Applicant_List!AS26="Y",Applicant_List!AV26&lt;&gt;"Y")),1,0)</f>
        <v/>
      </c>
      <c r="I25" s="8">
        <f>IF(OR(Applicant_List!AZ26="N",Applicant_List!AZ26="",Applicant_List!BA26="N",Applicant_List!BA26=""),1,0)</f>
        <v/>
      </c>
      <c r="J25" s="8">
        <f>IF(OR(Applicant_List!BB26="N",Applicant_List!BB26="",Applicant_List!BC26="N",Applicant_List!BE26="Y",Applicant_List!BL26="Y"),1,0)</f>
        <v/>
      </c>
      <c r="K25" s="8">
        <f>IF(AND(Applicant_List!BJ26="Y",Applicant_List!BM26="Y",Applicant_List!BK26&lt;&gt;"Y"),1,0)</f>
        <v/>
      </c>
      <c r="L25" s="8">
        <f>IF(OR(Applicant_List!BN26="Y",Applicant_List!BK26="Y"),1,0)</f>
        <v/>
      </c>
      <c r="M25" s="8">
        <f>COUNTIF(Applicant_List!AI26:BM26,"N")+COUNTBLANK(Applicant_List!AI26:BM26)</f>
        <v/>
      </c>
      <c r="N25" s="8">
        <f>MAX(E25:J25)</f>
        <v/>
      </c>
      <c r="O25" s="8">
        <f>IF(Applicant_List!BP26="Y",100000,0)+IF(ISNUMBER(Applicant_List!BO26),50000-INT(Applicant_List!BO26),0)+IF(LEN(Applicant_List!L26)&gt;0,1000,0)</f>
        <v/>
      </c>
      <c r="P25" s="8">
        <f>IF(D25,"Terminal",IF(N25=1,"Blocked",IF(K25=1,"Determination Notice",IF(L25=1,"Board","Under Review"))))</f>
        <v/>
      </c>
      <c r="Q25" s="8">
        <f>IF(Applicant_List!L26="Closed","Closed",IF(OR(Applicant_List!L26="Withdrawn",Applicant_List!L26="Terminated"),Applicant_List!L26,IF(N25=1,"No Advancement",IF(K25=1,"Determination Notice Issued",IF(L25=1,"Board","Under Review")))))</f>
        <v/>
      </c>
    </row>
    <row r="26">
      <c r="A26" s="8">
        <f>Applicant_List!C27</f>
        <v/>
      </c>
      <c r="B26" s="8">
        <f>Applicant_List!E27</f>
        <v/>
      </c>
      <c r="C26" s="8">
        <f>Applicant_List!L27</f>
        <v/>
      </c>
      <c r="D26" s="8">
        <f>OR(Applicant_List!L27="Closed",Applicant_List!L27="Withdrawn",Applicant_List!L27="Terminated")</f>
        <v/>
      </c>
      <c r="E26" s="8">
        <f>IF(OR(Applicant_List!AI27="N",Applicant_List!AI27=""),1,0)</f>
        <v/>
      </c>
      <c r="F26" s="8">
        <f>IF(OR(Applicant_List!AK27="N",Applicant_List!AK27="",Applicant_List!AL27="N",Applicant_List!AL27=""),1,0)</f>
        <v/>
      </c>
      <c r="G26" s="8">
        <f>IF(OR(Applicant_List!AM27="N",Applicant_List!AM27=""),1,0)</f>
        <v/>
      </c>
      <c r="H26" s="8">
        <f>IF(OR(Applicant_List!AX27="Y",AND(Applicant_List!AS27="Y",Applicant_List!AV27&lt;&gt;"Y")),1,0)</f>
        <v/>
      </c>
      <c r="I26" s="8">
        <f>IF(OR(Applicant_List!AZ27="N",Applicant_List!AZ27="",Applicant_List!BA27="N",Applicant_List!BA27=""),1,0)</f>
        <v/>
      </c>
      <c r="J26" s="8">
        <f>IF(OR(Applicant_List!BB27="N",Applicant_List!BB27="",Applicant_List!BC27="N",Applicant_List!BE27="Y",Applicant_List!BL27="Y"),1,0)</f>
        <v/>
      </c>
      <c r="K26" s="8">
        <f>IF(AND(Applicant_List!BJ27="Y",Applicant_List!BM27="Y",Applicant_List!BK27&lt;&gt;"Y"),1,0)</f>
        <v/>
      </c>
      <c r="L26" s="8">
        <f>IF(OR(Applicant_List!BN27="Y",Applicant_List!BK27="Y"),1,0)</f>
        <v/>
      </c>
      <c r="M26" s="8">
        <f>COUNTIF(Applicant_List!AI27:BM27,"N")+COUNTBLANK(Applicant_List!AI27:BM27)</f>
        <v/>
      </c>
      <c r="N26" s="8">
        <f>MAX(E26:J26)</f>
        <v/>
      </c>
      <c r="O26" s="8">
        <f>IF(Applicant_List!BP27="Y",100000,0)+IF(ISNUMBER(Applicant_List!BO27),50000-INT(Applicant_List!BO27),0)+IF(LEN(Applicant_List!L27)&gt;0,1000,0)</f>
        <v/>
      </c>
      <c r="P26" s="8">
        <f>IF(D26,"Terminal",IF(N26=1,"Blocked",IF(K26=1,"Determination Notice",IF(L26=1,"Board","Under Review"))))</f>
        <v/>
      </c>
      <c r="Q26" s="8">
        <f>IF(Applicant_List!L27="Closed","Closed",IF(OR(Applicant_List!L27="Withdrawn",Applicant_List!L27="Terminated"),Applicant_List!L27,IF(N26=1,"No Advancement",IF(K26=1,"Determination Notice Issued",IF(L26=1,"Board","Under Review")))))</f>
        <v/>
      </c>
    </row>
    <row r="27">
      <c r="A27" s="8">
        <f>Applicant_List!C28</f>
        <v/>
      </c>
      <c r="B27" s="8">
        <f>Applicant_List!E28</f>
        <v/>
      </c>
      <c r="C27" s="8">
        <f>Applicant_List!L28</f>
        <v/>
      </c>
      <c r="D27" s="8">
        <f>OR(Applicant_List!L28="Closed",Applicant_List!L28="Withdrawn",Applicant_List!L28="Terminated")</f>
        <v/>
      </c>
      <c r="E27" s="8">
        <f>IF(OR(Applicant_List!AI28="N",Applicant_List!AI28=""),1,0)</f>
        <v/>
      </c>
      <c r="F27" s="8">
        <f>IF(OR(Applicant_List!AK28="N",Applicant_List!AK28="",Applicant_List!AL28="N",Applicant_List!AL28=""),1,0)</f>
        <v/>
      </c>
      <c r="G27" s="8">
        <f>IF(OR(Applicant_List!AM28="N",Applicant_List!AM28=""),1,0)</f>
        <v/>
      </c>
      <c r="H27" s="8">
        <f>IF(OR(Applicant_List!AX28="Y",AND(Applicant_List!AS28="Y",Applicant_List!AV28&lt;&gt;"Y")),1,0)</f>
        <v/>
      </c>
      <c r="I27" s="8">
        <f>IF(OR(Applicant_List!AZ28="N",Applicant_List!AZ28="",Applicant_List!BA28="N",Applicant_List!BA28=""),1,0)</f>
        <v/>
      </c>
      <c r="J27" s="8">
        <f>IF(OR(Applicant_List!BB28="N",Applicant_List!BB28="",Applicant_List!BC28="N",Applicant_List!BE28="Y",Applicant_List!BL28="Y"),1,0)</f>
        <v/>
      </c>
      <c r="K27" s="8">
        <f>IF(AND(Applicant_List!BJ28="Y",Applicant_List!BM28="Y",Applicant_List!BK28&lt;&gt;"Y"),1,0)</f>
        <v/>
      </c>
      <c r="L27" s="8">
        <f>IF(OR(Applicant_List!BN28="Y",Applicant_List!BK28="Y"),1,0)</f>
        <v/>
      </c>
      <c r="M27" s="8">
        <f>COUNTIF(Applicant_List!AI28:BM28,"N")+COUNTBLANK(Applicant_List!AI28:BM28)</f>
        <v/>
      </c>
      <c r="N27" s="8">
        <f>MAX(E27:J27)</f>
        <v/>
      </c>
      <c r="O27" s="8">
        <f>IF(Applicant_List!BP28="Y",100000,0)+IF(ISNUMBER(Applicant_List!BO28),50000-INT(Applicant_List!BO28),0)+IF(LEN(Applicant_List!L28)&gt;0,1000,0)</f>
        <v/>
      </c>
      <c r="P27" s="8">
        <f>IF(D27,"Terminal",IF(N27=1,"Blocked",IF(K27=1,"Determination Notice",IF(L27=1,"Board","Under Review"))))</f>
        <v/>
      </c>
      <c r="Q27" s="8">
        <f>IF(Applicant_List!L28="Closed","Closed",IF(OR(Applicant_List!L28="Withdrawn",Applicant_List!L28="Terminated"),Applicant_List!L28,IF(N27=1,"No Advancement",IF(K27=1,"Determination Notice Issued",IF(L27=1,"Board","Under Review")))))</f>
        <v/>
      </c>
    </row>
    <row r="28">
      <c r="A28" s="8">
        <f>Applicant_List!C29</f>
        <v/>
      </c>
      <c r="B28" s="8">
        <f>Applicant_List!E29</f>
        <v/>
      </c>
      <c r="C28" s="8">
        <f>Applicant_List!L29</f>
        <v/>
      </c>
      <c r="D28" s="8">
        <f>OR(Applicant_List!L29="Closed",Applicant_List!L29="Withdrawn",Applicant_List!L29="Terminated")</f>
        <v/>
      </c>
      <c r="E28" s="8">
        <f>IF(OR(Applicant_List!AI29="N",Applicant_List!AI29=""),1,0)</f>
        <v/>
      </c>
      <c r="F28" s="8">
        <f>IF(OR(Applicant_List!AK29="N",Applicant_List!AK29="",Applicant_List!AL29="N",Applicant_List!AL29=""),1,0)</f>
        <v/>
      </c>
      <c r="G28" s="8">
        <f>IF(OR(Applicant_List!AM29="N",Applicant_List!AM29=""),1,0)</f>
        <v/>
      </c>
      <c r="H28" s="8">
        <f>IF(OR(Applicant_List!AX29="Y",AND(Applicant_List!AS29="Y",Applicant_List!AV29&lt;&gt;"Y")),1,0)</f>
        <v/>
      </c>
      <c r="I28" s="8">
        <f>IF(OR(Applicant_List!AZ29="N",Applicant_List!AZ29="",Applicant_List!BA29="N",Applicant_List!BA29=""),1,0)</f>
        <v/>
      </c>
      <c r="J28" s="8">
        <f>IF(OR(Applicant_List!BB29="N",Applicant_List!BB29="",Applicant_List!BC29="N",Applicant_List!BE29="Y",Applicant_List!BL29="Y"),1,0)</f>
        <v/>
      </c>
      <c r="K28" s="8">
        <f>IF(AND(Applicant_List!BJ29="Y",Applicant_List!BM29="Y",Applicant_List!BK29&lt;&gt;"Y"),1,0)</f>
        <v/>
      </c>
      <c r="L28" s="8">
        <f>IF(OR(Applicant_List!BN29="Y",Applicant_List!BK29="Y"),1,0)</f>
        <v/>
      </c>
      <c r="M28" s="8">
        <f>COUNTIF(Applicant_List!AI29:BM29,"N")+COUNTBLANK(Applicant_List!AI29:BM29)</f>
        <v/>
      </c>
      <c r="N28" s="8">
        <f>MAX(E28:J28)</f>
        <v/>
      </c>
      <c r="O28" s="8">
        <f>IF(Applicant_List!BP29="Y",100000,0)+IF(ISNUMBER(Applicant_List!BO29),50000-INT(Applicant_List!BO29),0)+IF(LEN(Applicant_List!L29)&gt;0,1000,0)</f>
        <v/>
      </c>
      <c r="P28" s="8">
        <f>IF(D28,"Terminal",IF(N28=1,"Blocked",IF(K28=1,"Determination Notice",IF(L28=1,"Board","Under Review"))))</f>
        <v/>
      </c>
      <c r="Q28" s="8">
        <f>IF(Applicant_List!L29="Closed","Closed",IF(OR(Applicant_List!L29="Withdrawn",Applicant_List!L29="Terminated"),Applicant_List!L29,IF(N28=1,"No Advancement",IF(K28=1,"Determination Notice Issued",IF(L28=1,"Board","Under Review")))))</f>
        <v/>
      </c>
    </row>
    <row r="29">
      <c r="A29" s="8">
        <f>Applicant_List!C30</f>
        <v/>
      </c>
      <c r="B29" s="8">
        <f>Applicant_List!E30</f>
        <v/>
      </c>
      <c r="C29" s="8">
        <f>Applicant_List!L30</f>
        <v/>
      </c>
      <c r="D29" s="8">
        <f>OR(Applicant_List!L30="Closed",Applicant_List!L30="Withdrawn",Applicant_List!L30="Terminated")</f>
        <v/>
      </c>
      <c r="E29" s="8">
        <f>IF(OR(Applicant_List!AI30="N",Applicant_List!AI30=""),1,0)</f>
        <v/>
      </c>
      <c r="F29" s="8">
        <f>IF(OR(Applicant_List!AK30="N",Applicant_List!AK30="",Applicant_List!AL30="N",Applicant_List!AL30=""),1,0)</f>
        <v/>
      </c>
      <c r="G29" s="8">
        <f>IF(OR(Applicant_List!AM30="N",Applicant_List!AM30=""),1,0)</f>
        <v/>
      </c>
      <c r="H29" s="8">
        <f>IF(OR(Applicant_List!AX30="Y",AND(Applicant_List!AS30="Y",Applicant_List!AV30&lt;&gt;"Y")),1,0)</f>
        <v/>
      </c>
      <c r="I29" s="8">
        <f>IF(OR(Applicant_List!AZ30="N",Applicant_List!AZ30="",Applicant_List!BA30="N",Applicant_List!BA30=""),1,0)</f>
        <v/>
      </c>
      <c r="J29" s="8">
        <f>IF(OR(Applicant_List!BB30="N",Applicant_List!BB30="",Applicant_List!BC30="N",Applicant_List!BE30="Y",Applicant_List!BL30="Y"),1,0)</f>
        <v/>
      </c>
      <c r="K29" s="8">
        <f>IF(AND(Applicant_List!BJ30="Y",Applicant_List!BM30="Y",Applicant_List!BK30&lt;&gt;"Y"),1,0)</f>
        <v/>
      </c>
      <c r="L29" s="8">
        <f>IF(OR(Applicant_List!BN30="Y",Applicant_List!BK30="Y"),1,0)</f>
        <v/>
      </c>
      <c r="M29" s="8">
        <f>COUNTIF(Applicant_List!AI30:BM30,"N")+COUNTBLANK(Applicant_List!AI30:BM30)</f>
        <v/>
      </c>
      <c r="N29" s="8">
        <f>MAX(E29:J29)</f>
        <v/>
      </c>
      <c r="O29" s="8">
        <f>IF(Applicant_List!BP30="Y",100000,0)+IF(ISNUMBER(Applicant_List!BO30),50000-INT(Applicant_List!BO30),0)+IF(LEN(Applicant_List!L30)&gt;0,1000,0)</f>
        <v/>
      </c>
      <c r="P29" s="8">
        <f>IF(D29,"Terminal",IF(N29=1,"Blocked",IF(K29=1,"Determination Notice",IF(L29=1,"Board","Under Review"))))</f>
        <v/>
      </c>
      <c r="Q29" s="8">
        <f>IF(Applicant_List!L30="Closed","Closed",IF(OR(Applicant_List!L30="Withdrawn",Applicant_List!L30="Terminated"),Applicant_List!L30,IF(N29=1,"No Advancement",IF(K29=1,"Determination Notice Issued",IF(L29=1,"Board","Under Review")))))</f>
        <v/>
      </c>
    </row>
    <row r="30">
      <c r="A30" s="8">
        <f>Applicant_List!C31</f>
        <v/>
      </c>
      <c r="B30" s="8">
        <f>Applicant_List!E31</f>
        <v/>
      </c>
      <c r="C30" s="8">
        <f>Applicant_List!L31</f>
        <v/>
      </c>
      <c r="D30" s="8">
        <f>OR(Applicant_List!L31="Closed",Applicant_List!L31="Withdrawn",Applicant_List!L31="Terminated")</f>
        <v/>
      </c>
      <c r="E30" s="8">
        <f>IF(OR(Applicant_List!AI31="N",Applicant_List!AI31=""),1,0)</f>
        <v/>
      </c>
      <c r="F30" s="8">
        <f>IF(OR(Applicant_List!AK31="N",Applicant_List!AK31="",Applicant_List!AL31="N",Applicant_List!AL31=""),1,0)</f>
        <v/>
      </c>
      <c r="G30" s="8">
        <f>IF(OR(Applicant_List!AM31="N",Applicant_List!AM31=""),1,0)</f>
        <v/>
      </c>
      <c r="H30" s="8">
        <f>IF(OR(Applicant_List!AX31="Y",AND(Applicant_List!AS31="Y",Applicant_List!AV31&lt;&gt;"Y")),1,0)</f>
        <v/>
      </c>
      <c r="I30" s="8">
        <f>IF(OR(Applicant_List!AZ31="N",Applicant_List!AZ31="",Applicant_List!BA31="N",Applicant_List!BA31=""),1,0)</f>
        <v/>
      </c>
      <c r="J30" s="8">
        <f>IF(OR(Applicant_List!BB31="N",Applicant_List!BB31="",Applicant_List!BC31="N",Applicant_List!BE31="Y",Applicant_List!BL31="Y"),1,0)</f>
        <v/>
      </c>
      <c r="K30" s="8">
        <f>IF(AND(Applicant_List!BJ31="Y",Applicant_List!BM31="Y",Applicant_List!BK31&lt;&gt;"Y"),1,0)</f>
        <v/>
      </c>
      <c r="L30" s="8">
        <f>IF(OR(Applicant_List!BN31="Y",Applicant_List!BK31="Y"),1,0)</f>
        <v/>
      </c>
      <c r="M30" s="8">
        <f>COUNTIF(Applicant_List!AI31:BM31,"N")+COUNTBLANK(Applicant_List!AI31:BM31)</f>
        <v/>
      </c>
      <c r="N30" s="8">
        <f>MAX(E30:J30)</f>
        <v/>
      </c>
      <c r="O30" s="8">
        <f>IF(Applicant_List!BP31="Y",100000,0)+IF(ISNUMBER(Applicant_List!BO31),50000-INT(Applicant_List!BO31),0)+IF(LEN(Applicant_List!L31)&gt;0,1000,0)</f>
        <v/>
      </c>
      <c r="P30" s="8">
        <f>IF(D30,"Terminal",IF(N30=1,"Blocked",IF(K30=1,"Determination Notice",IF(L30=1,"Board","Under Review"))))</f>
        <v/>
      </c>
      <c r="Q30" s="8">
        <f>IF(Applicant_List!L31="Closed","Closed",IF(OR(Applicant_List!L31="Withdrawn",Applicant_List!L31="Terminated"),Applicant_List!L31,IF(N30=1,"No Advancement",IF(K30=1,"Determination Notice Issued",IF(L30=1,"Board","Under Review")))))</f>
        <v/>
      </c>
    </row>
    <row r="31">
      <c r="A31" s="8">
        <f>Applicant_List!C32</f>
        <v/>
      </c>
      <c r="B31" s="8">
        <f>Applicant_List!E32</f>
        <v/>
      </c>
      <c r="C31" s="8">
        <f>Applicant_List!L32</f>
        <v/>
      </c>
      <c r="D31" s="8">
        <f>OR(Applicant_List!L32="Closed",Applicant_List!L32="Withdrawn",Applicant_List!L32="Terminated")</f>
        <v/>
      </c>
      <c r="E31" s="8">
        <f>IF(OR(Applicant_List!AI32="N",Applicant_List!AI32=""),1,0)</f>
        <v/>
      </c>
      <c r="F31" s="8">
        <f>IF(OR(Applicant_List!AK32="N",Applicant_List!AK32="",Applicant_List!AL32="N",Applicant_List!AL32=""),1,0)</f>
        <v/>
      </c>
      <c r="G31" s="8">
        <f>IF(OR(Applicant_List!AM32="N",Applicant_List!AM32=""),1,0)</f>
        <v/>
      </c>
      <c r="H31" s="8">
        <f>IF(OR(Applicant_List!AX32="Y",AND(Applicant_List!AS32="Y",Applicant_List!AV32&lt;&gt;"Y")),1,0)</f>
        <v/>
      </c>
      <c r="I31" s="8">
        <f>IF(OR(Applicant_List!AZ32="N",Applicant_List!AZ32="",Applicant_List!BA32="N",Applicant_List!BA32=""),1,0)</f>
        <v/>
      </c>
      <c r="J31" s="8">
        <f>IF(OR(Applicant_List!BB32="N",Applicant_List!BB32="",Applicant_List!BC32="N",Applicant_List!BE32="Y",Applicant_List!BL32="Y"),1,0)</f>
        <v/>
      </c>
      <c r="K31" s="8">
        <f>IF(AND(Applicant_List!BJ32="Y",Applicant_List!BM32="Y",Applicant_List!BK32&lt;&gt;"Y"),1,0)</f>
        <v/>
      </c>
      <c r="L31" s="8">
        <f>IF(OR(Applicant_List!BN32="Y",Applicant_List!BK32="Y"),1,0)</f>
        <v/>
      </c>
      <c r="M31" s="8">
        <f>COUNTIF(Applicant_List!AI32:BM32,"N")+COUNTBLANK(Applicant_List!AI32:BM32)</f>
        <v/>
      </c>
      <c r="N31" s="8">
        <f>MAX(E31:J31)</f>
        <v/>
      </c>
      <c r="O31" s="8">
        <f>IF(Applicant_List!BP32="Y",100000,0)+IF(ISNUMBER(Applicant_List!BO32),50000-INT(Applicant_List!BO32),0)+IF(LEN(Applicant_List!L32)&gt;0,1000,0)</f>
        <v/>
      </c>
      <c r="P31" s="8">
        <f>IF(D31,"Terminal",IF(N31=1,"Blocked",IF(K31=1,"Determination Notice",IF(L31=1,"Board","Under Review"))))</f>
        <v/>
      </c>
      <c r="Q31" s="8">
        <f>IF(Applicant_List!L32="Closed","Closed",IF(OR(Applicant_List!L32="Withdrawn",Applicant_List!L32="Terminated"),Applicant_List!L32,IF(N31=1,"No Advancement",IF(K31=1,"Determination Notice Issued",IF(L31=1,"Board","Under Review")))))</f>
        <v/>
      </c>
    </row>
    <row r="32">
      <c r="A32" s="8">
        <f>Applicant_List!C33</f>
        <v/>
      </c>
      <c r="B32" s="8">
        <f>Applicant_List!E33</f>
        <v/>
      </c>
      <c r="C32" s="8">
        <f>Applicant_List!L33</f>
        <v/>
      </c>
      <c r="D32" s="8">
        <f>OR(Applicant_List!L33="Closed",Applicant_List!L33="Withdrawn",Applicant_List!L33="Terminated")</f>
        <v/>
      </c>
      <c r="E32" s="8">
        <f>IF(OR(Applicant_List!AI33="N",Applicant_List!AI33=""),1,0)</f>
        <v/>
      </c>
      <c r="F32" s="8">
        <f>IF(OR(Applicant_List!AK33="N",Applicant_List!AK33="",Applicant_List!AL33="N",Applicant_List!AL33=""),1,0)</f>
        <v/>
      </c>
      <c r="G32" s="8">
        <f>IF(OR(Applicant_List!AM33="N",Applicant_List!AM33=""),1,0)</f>
        <v/>
      </c>
      <c r="H32" s="8">
        <f>IF(OR(Applicant_List!AX33="Y",AND(Applicant_List!AS33="Y",Applicant_List!AV33&lt;&gt;"Y")),1,0)</f>
        <v/>
      </c>
      <c r="I32" s="8">
        <f>IF(OR(Applicant_List!AZ33="N",Applicant_List!AZ33="",Applicant_List!BA33="N",Applicant_List!BA33=""),1,0)</f>
        <v/>
      </c>
      <c r="J32" s="8">
        <f>IF(OR(Applicant_List!BB33="N",Applicant_List!BB33="",Applicant_List!BC33="N",Applicant_List!BE33="Y",Applicant_List!BL33="Y"),1,0)</f>
        <v/>
      </c>
      <c r="K32" s="8">
        <f>IF(AND(Applicant_List!BJ33="Y",Applicant_List!BM33="Y",Applicant_List!BK33&lt;&gt;"Y"),1,0)</f>
        <v/>
      </c>
      <c r="L32" s="8">
        <f>IF(OR(Applicant_List!BN33="Y",Applicant_List!BK33="Y"),1,0)</f>
        <v/>
      </c>
      <c r="M32" s="8">
        <f>COUNTIF(Applicant_List!AI33:BM33,"N")+COUNTBLANK(Applicant_List!AI33:BM33)</f>
        <v/>
      </c>
      <c r="N32" s="8">
        <f>MAX(E32:J32)</f>
        <v/>
      </c>
      <c r="O32" s="8">
        <f>IF(Applicant_List!BP33="Y",100000,0)+IF(ISNUMBER(Applicant_List!BO33),50000-INT(Applicant_List!BO33),0)+IF(LEN(Applicant_List!L33)&gt;0,1000,0)</f>
        <v/>
      </c>
      <c r="P32" s="8">
        <f>IF(D32,"Terminal",IF(N32=1,"Blocked",IF(K32=1,"Determination Notice",IF(L32=1,"Board","Under Review"))))</f>
        <v/>
      </c>
      <c r="Q32" s="8">
        <f>IF(Applicant_List!L33="Closed","Closed",IF(OR(Applicant_List!L33="Withdrawn",Applicant_List!L33="Terminated"),Applicant_List!L33,IF(N32=1,"No Advancement",IF(K32=1,"Determination Notice Issued",IF(L32=1,"Board","Under Review")))))</f>
        <v/>
      </c>
    </row>
    <row r="33">
      <c r="A33" s="8">
        <f>Applicant_List!C34</f>
        <v/>
      </c>
      <c r="B33" s="8">
        <f>Applicant_List!E34</f>
        <v/>
      </c>
      <c r="C33" s="8">
        <f>Applicant_List!L34</f>
        <v/>
      </c>
      <c r="D33" s="8">
        <f>OR(Applicant_List!L34="Closed",Applicant_List!L34="Withdrawn",Applicant_List!L34="Terminated")</f>
        <v/>
      </c>
      <c r="E33" s="8">
        <f>IF(OR(Applicant_List!AI34="N",Applicant_List!AI34=""),1,0)</f>
        <v/>
      </c>
      <c r="F33" s="8">
        <f>IF(OR(Applicant_List!AK34="N",Applicant_List!AK34="",Applicant_List!AL34="N",Applicant_List!AL34=""),1,0)</f>
        <v/>
      </c>
      <c r="G33" s="8">
        <f>IF(OR(Applicant_List!AM34="N",Applicant_List!AM34=""),1,0)</f>
        <v/>
      </c>
      <c r="H33" s="8">
        <f>IF(OR(Applicant_List!AX34="Y",AND(Applicant_List!AS34="Y",Applicant_List!AV34&lt;&gt;"Y")),1,0)</f>
        <v/>
      </c>
      <c r="I33" s="8">
        <f>IF(OR(Applicant_List!AZ34="N",Applicant_List!AZ34="",Applicant_List!BA34="N",Applicant_List!BA34=""),1,0)</f>
        <v/>
      </c>
      <c r="J33" s="8">
        <f>IF(OR(Applicant_List!BB34="N",Applicant_List!BB34="",Applicant_List!BC34="N",Applicant_List!BE34="Y",Applicant_List!BL34="Y"),1,0)</f>
        <v/>
      </c>
      <c r="K33" s="8">
        <f>IF(AND(Applicant_List!BJ34="Y",Applicant_List!BM34="Y",Applicant_List!BK34&lt;&gt;"Y"),1,0)</f>
        <v/>
      </c>
      <c r="L33" s="8">
        <f>IF(OR(Applicant_List!BN34="Y",Applicant_List!BK34="Y"),1,0)</f>
        <v/>
      </c>
      <c r="M33" s="8">
        <f>COUNTIF(Applicant_List!AI34:BM34,"N")+COUNTBLANK(Applicant_List!AI34:BM34)</f>
        <v/>
      </c>
      <c r="N33" s="8">
        <f>MAX(E33:J33)</f>
        <v/>
      </c>
      <c r="O33" s="8">
        <f>IF(Applicant_List!BP34="Y",100000,0)+IF(ISNUMBER(Applicant_List!BO34),50000-INT(Applicant_List!BO34),0)+IF(LEN(Applicant_List!L34)&gt;0,1000,0)</f>
        <v/>
      </c>
      <c r="P33" s="8">
        <f>IF(D33,"Terminal",IF(N33=1,"Blocked",IF(K33=1,"Determination Notice",IF(L33=1,"Board","Under Review"))))</f>
        <v/>
      </c>
      <c r="Q33" s="8">
        <f>IF(Applicant_List!L34="Closed","Closed",IF(OR(Applicant_List!L34="Withdrawn",Applicant_List!L34="Terminated"),Applicant_List!L34,IF(N33=1,"No Advancement",IF(K33=1,"Determination Notice Issued",IF(L33=1,"Board","Under Review")))))</f>
        <v/>
      </c>
    </row>
    <row r="34">
      <c r="A34" s="8">
        <f>Applicant_List!C35</f>
        <v/>
      </c>
      <c r="B34" s="8">
        <f>Applicant_List!E35</f>
        <v/>
      </c>
      <c r="C34" s="8">
        <f>Applicant_List!L35</f>
        <v/>
      </c>
      <c r="D34" s="8">
        <f>OR(Applicant_List!L35="Closed",Applicant_List!L35="Withdrawn",Applicant_List!L35="Terminated")</f>
        <v/>
      </c>
      <c r="E34" s="8">
        <f>IF(OR(Applicant_List!AI35="N",Applicant_List!AI35=""),1,0)</f>
        <v/>
      </c>
      <c r="F34" s="8">
        <f>IF(OR(Applicant_List!AK35="N",Applicant_List!AK35="",Applicant_List!AL35="N",Applicant_List!AL35=""),1,0)</f>
        <v/>
      </c>
      <c r="G34" s="8">
        <f>IF(OR(Applicant_List!AM35="N",Applicant_List!AM35=""),1,0)</f>
        <v/>
      </c>
      <c r="H34" s="8">
        <f>IF(OR(Applicant_List!AX35="Y",AND(Applicant_List!AS35="Y",Applicant_List!AV35&lt;&gt;"Y")),1,0)</f>
        <v/>
      </c>
      <c r="I34" s="8">
        <f>IF(OR(Applicant_List!AZ35="N",Applicant_List!AZ35="",Applicant_List!BA35="N",Applicant_List!BA35=""),1,0)</f>
        <v/>
      </c>
      <c r="J34" s="8">
        <f>IF(OR(Applicant_List!BB35="N",Applicant_List!BB35="",Applicant_List!BC35="N",Applicant_List!BE35="Y",Applicant_List!BL35="Y"),1,0)</f>
        <v/>
      </c>
      <c r="K34" s="8">
        <f>IF(AND(Applicant_List!BJ35="Y",Applicant_List!BM35="Y",Applicant_List!BK35&lt;&gt;"Y"),1,0)</f>
        <v/>
      </c>
      <c r="L34" s="8">
        <f>IF(OR(Applicant_List!BN35="Y",Applicant_List!BK35="Y"),1,0)</f>
        <v/>
      </c>
      <c r="M34" s="8">
        <f>COUNTIF(Applicant_List!AI35:BM35,"N")+COUNTBLANK(Applicant_List!AI35:BM35)</f>
        <v/>
      </c>
      <c r="N34" s="8">
        <f>MAX(E34:J34)</f>
        <v/>
      </c>
      <c r="O34" s="8">
        <f>IF(Applicant_List!BP35="Y",100000,0)+IF(ISNUMBER(Applicant_List!BO35),50000-INT(Applicant_List!BO35),0)+IF(LEN(Applicant_List!L35)&gt;0,1000,0)</f>
        <v/>
      </c>
      <c r="P34" s="8">
        <f>IF(D34,"Terminal",IF(N34=1,"Blocked",IF(K34=1,"Determination Notice",IF(L34=1,"Board","Under Review"))))</f>
        <v/>
      </c>
      <c r="Q34" s="8">
        <f>IF(Applicant_List!L35="Closed","Closed",IF(OR(Applicant_List!L35="Withdrawn",Applicant_List!L35="Terminated"),Applicant_List!L35,IF(N34=1,"No Advancement",IF(K34=1,"Determination Notice Issued",IF(L34=1,"Board","Under Review")))))</f>
        <v/>
      </c>
    </row>
    <row r="35">
      <c r="A35" s="8">
        <f>Applicant_List!C36</f>
        <v/>
      </c>
      <c r="B35" s="8">
        <f>Applicant_List!E36</f>
        <v/>
      </c>
      <c r="C35" s="8">
        <f>Applicant_List!L36</f>
        <v/>
      </c>
      <c r="D35" s="8">
        <f>OR(Applicant_List!L36="Closed",Applicant_List!L36="Withdrawn",Applicant_List!L36="Terminated")</f>
        <v/>
      </c>
      <c r="E35" s="8">
        <f>IF(OR(Applicant_List!AI36="N",Applicant_List!AI36=""),1,0)</f>
        <v/>
      </c>
      <c r="F35" s="8">
        <f>IF(OR(Applicant_List!AK36="N",Applicant_List!AK36="",Applicant_List!AL36="N",Applicant_List!AL36=""),1,0)</f>
        <v/>
      </c>
      <c r="G35" s="8">
        <f>IF(OR(Applicant_List!AM36="N",Applicant_List!AM36=""),1,0)</f>
        <v/>
      </c>
      <c r="H35" s="8">
        <f>IF(OR(Applicant_List!AX36="Y",AND(Applicant_List!AS36="Y",Applicant_List!AV36&lt;&gt;"Y")),1,0)</f>
        <v/>
      </c>
      <c r="I35" s="8">
        <f>IF(OR(Applicant_List!AZ36="N",Applicant_List!AZ36="",Applicant_List!BA36="N",Applicant_List!BA36=""),1,0)</f>
        <v/>
      </c>
      <c r="J35" s="8">
        <f>IF(OR(Applicant_List!BB36="N",Applicant_List!BB36="",Applicant_List!BC36="N",Applicant_List!BE36="Y",Applicant_List!BL36="Y"),1,0)</f>
        <v/>
      </c>
      <c r="K35" s="8">
        <f>IF(AND(Applicant_List!BJ36="Y",Applicant_List!BM36="Y",Applicant_List!BK36&lt;&gt;"Y"),1,0)</f>
        <v/>
      </c>
      <c r="L35" s="8">
        <f>IF(OR(Applicant_List!BN36="Y",Applicant_List!BK36="Y"),1,0)</f>
        <v/>
      </c>
      <c r="M35" s="8">
        <f>COUNTIF(Applicant_List!AI36:BM36,"N")+COUNTBLANK(Applicant_List!AI36:BM36)</f>
        <v/>
      </c>
      <c r="N35" s="8">
        <f>MAX(E35:J35)</f>
        <v/>
      </c>
      <c r="O35" s="8">
        <f>IF(Applicant_List!BP36="Y",100000,0)+IF(ISNUMBER(Applicant_List!BO36),50000-INT(Applicant_List!BO36),0)+IF(LEN(Applicant_List!L36)&gt;0,1000,0)</f>
        <v/>
      </c>
      <c r="P35" s="8">
        <f>IF(D35,"Terminal",IF(N35=1,"Blocked",IF(K35=1,"Determination Notice",IF(L35=1,"Board","Under Review"))))</f>
        <v/>
      </c>
      <c r="Q35" s="8">
        <f>IF(Applicant_List!L36="Closed","Closed",IF(OR(Applicant_List!L36="Withdrawn",Applicant_List!L36="Terminated"),Applicant_List!L36,IF(N35=1,"No Advancement",IF(K35=1,"Determination Notice Issued",IF(L35=1,"Board","Under Review")))))</f>
        <v/>
      </c>
    </row>
    <row r="36">
      <c r="A36" s="8">
        <f>Applicant_List!C37</f>
        <v/>
      </c>
      <c r="B36" s="8">
        <f>Applicant_List!E37</f>
        <v/>
      </c>
      <c r="C36" s="8">
        <f>Applicant_List!L37</f>
        <v/>
      </c>
      <c r="D36" s="8">
        <f>OR(Applicant_List!L37="Closed",Applicant_List!L37="Withdrawn",Applicant_List!L37="Terminated")</f>
        <v/>
      </c>
      <c r="E36" s="8">
        <f>IF(OR(Applicant_List!AI37="N",Applicant_List!AI37=""),1,0)</f>
        <v/>
      </c>
      <c r="F36" s="8">
        <f>IF(OR(Applicant_List!AK37="N",Applicant_List!AK37="",Applicant_List!AL37="N",Applicant_List!AL37=""),1,0)</f>
        <v/>
      </c>
      <c r="G36" s="8">
        <f>IF(OR(Applicant_List!AM37="N",Applicant_List!AM37=""),1,0)</f>
        <v/>
      </c>
      <c r="H36" s="8">
        <f>IF(OR(Applicant_List!AX37="Y",AND(Applicant_List!AS37="Y",Applicant_List!AV37&lt;&gt;"Y")),1,0)</f>
        <v/>
      </c>
      <c r="I36" s="8">
        <f>IF(OR(Applicant_List!AZ37="N",Applicant_List!AZ37="",Applicant_List!BA37="N",Applicant_List!BA37=""),1,0)</f>
        <v/>
      </c>
      <c r="J36" s="8">
        <f>IF(OR(Applicant_List!BB37="N",Applicant_List!BB37="",Applicant_List!BC37="N",Applicant_List!BE37="Y",Applicant_List!BL37="Y"),1,0)</f>
        <v/>
      </c>
      <c r="K36" s="8">
        <f>IF(AND(Applicant_List!BJ37="Y",Applicant_List!BM37="Y",Applicant_List!BK37&lt;&gt;"Y"),1,0)</f>
        <v/>
      </c>
      <c r="L36" s="8">
        <f>IF(OR(Applicant_List!BN37="Y",Applicant_List!BK37="Y"),1,0)</f>
        <v/>
      </c>
      <c r="M36" s="8">
        <f>COUNTIF(Applicant_List!AI37:BM37,"N")+COUNTBLANK(Applicant_List!AI37:BM37)</f>
        <v/>
      </c>
      <c r="N36" s="8">
        <f>MAX(E36:J36)</f>
        <v/>
      </c>
      <c r="O36" s="8">
        <f>IF(Applicant_List!BP37="Y",100000,0)+IF(ISNUMBER(Applicant_List!BO37),50000-INT(Applicant_List!BO37),0)+IF(LEN(Applicant_List!L37)&gt;0,1000,0)</f>
        <v/>
      </c>
      <c r="P36" s="8">
        <f>IF(D36,"Terminal",IF(N36=1,"Blocked",IF(K36=1,"Determination Notice",IF(L36=1,"Board","Under Review"))))</f>
        <v/>
      </c>
      <c r="Q36" s="8">
        <f>IF(Applicant_List!L37="Closed","Closed",IF(OR(Applicant_List!L37="Withdrawn",Applicant_List!L37="Terminated"),Applicant_List!L37,IF(N36=1,"No Advancement",IF(K36=1,"Determination Notice Issued",IF(L36=1,"Board","Under Review")))))</f>
        <v/>
      </c>
    </row>
    <row r="37">
      <c r="A37" s="8">
        <f>Applicant_List!C38</f>
        <v/>
      </c>
      <c r="B37" s="8">
        <f>Applicant_List!E38</f>
        <v/>
      </c>
      <c r="C37" s="8">
        <f>Applicant_List!L38</f>
        <v/>
      </c>
      <c r="D37" s="8">
        <f>OR(Applicant_List!L38="Closed",Applicant_List!L38="Withdrawn",Applicant_List!L38="Terminated")</f>
        <v/>
      </c>
      <c r="E37" s="8">
        <f>IF(OR(Applicant_List!AI38="N",Applicant_List!AI38=""),1,0)</f>
        <v/>
      </c>
      <c r="F37" s="8">
        <f>IF(OR(Applicant_List!AK38="N",Applicant_List!AK38="",Applicant_List!AL38="N",Applicant_List!AL38=""),1,0)</f>
        <v/>
      </c>
      <c r="G37" s="8">
        <f>IF(OR(Applicant_List!AM38="N",Applicant_List!AM38=""),1,0)</f>
        <v/>
      </c>
      <c r="H37" s="8">
        <f>IF(OR(Applicant_List!AX38="Y",AND(Applicant_List!AS38="Y",Applicant_List!AV38&lt;&gt;"Y")),1,0)</f>
        <v/>
      </c>
      <c r="I37" s="8">
        <f>IF(OR(Applicant_List!AZ38="N",Applicant_List!AZ38="",Applicant_List!BA38="N",Applicant_List!BA38=""),1,0)</f>
        <v/>
      </c>
      <c r="J37" s="8">
        <f>IF(OR(Applicant_List!BB38="N",Applicant_List!BB38="",Applicant_List!BC38="N",Applicant_List!BE38="Y",Applicant_List!BL38="Y"),1,0)</f>
        <v/>
      </c>
      <c r="K37" s="8">
        <f>IF(AND(Applicant_List!BJ38="Y",Applicant_List!BM38="Y",Applicant_List!BK38&lt;&gt;"Y"),1,0)</f>
        <v/>
      </c>
      <c r="L37" s="8">
        <f>IF(OR(Applicant_List!BN38="Y",Applicant_List!BK38="Y"),1,0)</f>
        <v/>
      </c>
      <c r="M37" s="8">
        <f>COUNTIF(Applicant_List!AI38:BM38,"N")+COUNTBLANK(Applicant_List!AI38:BM38)</f>
        <v/>
      </c>
      <c r="N37" s="8">
        <f>MAX(E37:J37)</f>
        <v/>
      </c>
      <c r="O37" s="8">
        <f>IF(Applicant_List!BP38="Y",100000,0)+IF(ISNUMBER(Applicant_List!BO38),50000-INT(Applicant_List!BO38),0)+IF(LEN(Applicant_List!L38)&gt;0,1000,0)</f>
        <v/>
      </c>
      <c r="P37" s="8">
        <f>IF(D37,"Terminal",IF(N37=1,"Blocked",IF(K37=1,"Determination Notice",IF(L37=1,"Board","Under Review"))))</f>
        <v/>
      </c>
      <c r="Q37" s="8">
        <f>IF(Applicant_List!L38="Closed","Closed",IF(OR(Applicant_List!L38="Withdrawn",Applicant_List!L38="Terminated"),Applicant_List!L38,IF(N37=1,"No Advancement",IF(K37=1,"Determination Notice Issued",IF(L37=1,"Board","Under Review")))))</f>
        <v/>
      </c>
    </row>
    <row r="38">
      <c r="A38" s="8">
        <f>Applicant_List!C39</f>
        <v/>
      </c>
      <c r="B38" s="8">
        <f>Applicant_List!E39</f>
        <v/>
      </c>
      <c r="C38" s="8">
        <f>Applicant_List!L39</f>
        <v/>
      </c>
      <c r="D38" s="8">
        <f>OR(Applicant_List!L39="Closed",Applicant_List!L39="Withdrawn",Applicant_List!L39="Terminated")</f>
        <v/>
      </c>
      <c r="E38" s="8">
        <f>IF(OR(Applicant_List!AI39="N",Applicant_List!AI39=""),1,0)</f>
        <v/>
      </c>
      <c r="F38" s="8">
        <f>IF(OR(Applicant_List!AK39="N",Applicant_List!AK39="",Applicant_List!AL39="N",Applicant_List!AL39=""),1,0)</f>
        <v/>
      </c>
      <c r="G38" s="8">
        <f>IF(OR(Applicant_List!AM39="N",Applicant_List!AM39=""),1,0)</f>
        <v/>
      </c>
      <c r="H38" s="8">
        <f>IF(OR(Applicant_List!AX39="Y",AND(Applicant_List!AS39="Y",Applicant_List!AV39&lt;&gt;"Y")),1,0)</f>
        <v/>
      </c>
      <c r="I38" s="8">
        <f>IF(OR(Applicant_List!AZ39="N",Applicant_List!AZ39="",Applicant_List!BA39="N",Applicant_List!BA39=""),1,0)</f>
        <v/>
      </c>
      <c r="J38" s="8">
        <f>IF(OR(Applicant_List!BB39="N",Applicant_List!BB39="",Applicant_List!BC39="N",Applicant_List!BE39="Y",Applicant_List!BL39="Y"),1,0)</f>
        <v/>
      </c>
      <c r="K38" s="8">
        <f>IF(AND(Applicant_List!BJ39="Y",Applicant_List!BM39="Y",Applicant_List!BK39&lt;&gt;"Y"),1,0)</f>
        <v/>
      </c>
      <c r="L38" s="8">
        <f>IF(OR(Applicant_List!BN39="Y",Applicant_List!BK39="Y"),1,0)</f>
        <v/>
      </c>
      <c r="M38" s="8">
        <f>COUNTIF(Applicant_List!AI39:BM39,"N")+COUNTBLANK(Applicant_List!AI39:BM39)</f>
        <v/>
      </c>
      <c r="N38" s="8">
        <f>MAX(E38:J38)</f>
        <v/>
      </c>
      <c r="O38" s="8">
        <f>IF(Applicant_List!BP39="Y",100000,0)+IF(ISNUMBER(Applicant_List!BO39),50000-INT(Applicant_List!BO39),0)+IF(LEN(Applicant_List!L39)&gt;0,1000,0)</f>
        <v/>
      </c>
      <c r="P38" s="8">
        <f>IF(D38,"Terminal",IF(N38=1,"Blocked",IF(K38=1,"Determination Notice",IF(L38=1,"Board","Under Review"))))</f>
        <v/>
      </c>
      <c r="Q38" s="8">
        <f>IF(Applicant_List!L39="Closed","Closed",IF(OR(Applicant_List!L39="Withdrawn",Applicant_List!L39="Terminated"),Applicant_List!L39,IF(N38=1,"No Advancement",IF(K38=1,"Determination Notice Issued",IF(L38=1,"Board","Under Review")))))</f>
        <v/>
      </c>
    </row>
    <row r="39">
      <c r="A39" s="8">
        <f>Applicant_List!C40</f>
        <v/>
      </c>
      <c r="B39" s="8">
        <f>Applicant_List!E40</f>
        <v/>
      </c>
      <c r="C39" s="8">
        <f>Applicant_List!L40</f>
        <v/>
      </c>
      <c r="D39" s="8">
        <f>OR(Applicant_List!L40="Closed",Applicant_List!L40="Withdrawn",Applicant_List!L40="Terminated")</f>
        <v/>
      </c>
      <c r="E39" s="8">
        <f>IF(OR(Applicant_List!AI40="N",Applicant_List!AI40=""),1,0)</f>
        <v/>
      </c>
      <c r="F39" s="8">
        <f>IF(OR(Applicant_List!AK40="N",Applicant_List!AK40="",Applicant_List!AL40="N",Applicant_List!AL40=""),1,0)</f>
        <v/>
      </c>
      <c r="G39" s="8">
        <f>IF(OR(Applicant_List!AM40="N",Applicant_List!AM40=""),1,0)</f>
        <v/>
      </c>
      <c r="H39" s="8">
        <f>IF(OR(Applicant_List!AX40="Y",AND(Applicant_List!AS40="Y",Applicant_List!AV40&lt;&gt;"Y")),1,0)</f>
        <v/>
      </c>
      <c r="I39" s="8">
        <f>IF(OR(Applicant_List!AZ40="N",Applicant_List!AZ40="",Applicant_List!BA40="N",Applicant_List!BA40=""),1,0)</f>
        <v/>
      </c>
      <c r="J39" s="8">
        <f>IF(OR(Applicant_List!BB40="N",Applicant_List!BB40="",Applicant_List!BC40="N",Applicant_List!BE40="Y",Applicant_List!BL40="Y"),1,0)</f>
        <v/>
      </c>
      <c r="K39" s="8">
        <f>IF(AND(Applicant_List!BJ40="Y",Applicant_List!BM40="Y",Applicant_List!BK40&lt;&gt;"Y"),1,0)</f>
        <v/>
      </c>
      <c r="L39" s="8">
        <f>IF(OR(Applicant_List!BN40="Y",Applicant_List!BK40="Y"),1,0)</f>
        <v/>
      </c>
      <c r="M39" s="8">
        <f>COUNTIF(Applicant_List!AI40:BM40,"N")+COUNTBLANK(Applicant_List!AI40:BM40)</f>
        <v/>
      </c>
      <c r="N39" s="8">
        <f>MAX(E39:J39)</f>
        <v/>
      </c>
      <c r="O39" s="8">
        <f>IF(Applicant_List!BP40="Y",100000,0)+IF(ISNUMBER(Applicant_List!BO40),50000-INT(Applicant_List!BO40),0)+IF(LEN(Applicant_List!L40)&gt;0,1000,0)</f>
        <v/>
      </c>
      <c r="P39" s="8">
        <f>IF(D39,"Terminal",IF(N39=1,"Blocked",IF(K39=1,"Determination Notice",IF(L39=1,"Board","Under Review"))))</f>
        <v/>
      </c>
      <c r="Q39" s="8">
        <f>IF(Applicant_List!L40="Closed","Closed",IF(OR(Applicant_List!L40="Withdrawn",Applicant_List!L40="Terminated"),Applicant_List!L40,IF(N39=1,"No Advancement",IF(K39=1,"Determination Notice Issued",IF(L39=1,"Board","Under Review")))))</f>
        <v/>
      </c>
    </row>
    <row r="40">
      <c r="A40" s="8">
        <f>Applicant_List!C41</f>
        <v/>
      </c>
      <c r="B40" s="8">
        <f>Applicant_List!E41</f>
        <v/>
      </c>
      <c r="C40" s="8">
        <f>Applicant_List!L41</f>
        <v/>
      </c>
      <c r="D40" s="8">
        <f>OR(Applicant_List!L41="Closed",Applicant_List!L41="Withdrawn",Applicant_List!L41="Terminated")</f>
        <v/>
      </c>
      <c r="E40" s="8">
        <f>IF(OR(Applicant_List!AI41="N",Applicant_List!AI41=""),1,0)</f>
        <v/>
      </c>
      <c r="F40" s="8">
        <f>IF(OR(Applicant_List!AK41="N",Applicant_List!AK41="",Applicant_List!AL41="N",Applicant_List!AL41=""),1,0)</f>
        <v/>
      </c>
      <c r="G40" s="8">
        <f>IF(OR(Applicant_List!AM41="N",Applicant_List!AM41=""),1,0)</f>
        <v/>
      </c>
      <c r="H40" s="8">
        <f>IF(OR(Applicant_List!AX41="Y",AND(Applicant_List!AS41="Y",Applicant_List!AV41&lt;&gt;"Y")),1,0)</f>
        <v/>
      </c>
      <c r="I40" s="8">
        <f>IF(OR(Applicant_List!AZ41="N",Applicant_List!AZ41="",Applicant_List!BA41="N",Applicant_List!BA41=""),1,0)</f>
        <v/>
      </c>
      <c r="J40" s="8">
        <f>IF(OR(Applicant_List!BB41="N",Applicant_List!BB41="",Applicant_List!BC41="N",Applicant_List!BE41="Y",Applicant_List!BL41="Y"),1,0)</f>
        <v/>
      </c>
      <c r="K40" s="8">
        <f>IF(AND(Applicant_List!BJ41="Y",Applicant_List!BM41="Y",Applicant_List!BK41&lt;&gt;"Y"),1,0)</f>
        <v/>
      </c>
      <c r="L40" s="8">
        <f>IF(OR(Applicant_List!BN41="Y",Applicant_List!BK41="Y"),1,0)</f>
        <v/>
      </c>
      <c r="M40" s="8">
        <f>COUNTIF(Applicant_List!AI41:BM41,"N")+COUNTBLANK(Applicant_List!AI41:BM41)</f>
        <v/>
      </c>
      <c r="N40" s="8">
        <f>MAX(E40:J40)</f>
        <v/>
      </c>
      <c r="O40" s="8">
        <f>IF(Applicant_List!BP41="Y",100000,0)+IF(ISNUMBER(Applicant_List!BO41),50000-INT(Applicant_List!BO41),0)+IF(LEN(Applicant_List!L41)&gt;0,1000,0)</f>
        <v/>
      </c>
      <c r="P40" s="8">
        <f>IF(D40,"Terminal",IF(N40=1,"Blocked",IF(K40=1,"Determination Notice",IF(L40=1,"Board","Under Review"))))</f>
        <v/>
      </c>
      <c r="Q40" s="8">
        <f>IF(Applicant_List!L41="Closed","Closed",IF(OR(Applicant_List!L41="Withdrawn",Applicant_List!L41="Terminated"),Applicant_List!L41,IF(N40=1,"No Advancement",IF(K40=1,"Determination Notice Issued",IF(L40=1,"Board","Under Review")))))</f>
        <v/>
      </c>
    </row>
    <row r="41">
      <c r="A41" s="8">
        <f>Applicant_List!C42</f>
        <v/>
      </c>
      <c r="B41" s="8">
        <f>Applicant_List!E42</f>
        <v/>
      </c>
      <c r="C41" s="8">
        <f>Applicant_List!L42</f>
        <v/>
      </c>
      <c r="D41" s="8">
        <f>OR(Applicant_List!L42="Closed",Applicant_List!L42="Withdrawn",Applicant_List!L42="Terminated")</f>
        <v/>
      </c>
      <c r="E41" s="8">
        <f>IF(OR(Applicant_List!AI42="N",Applicant_List!AI42=""),1,0)</f>
        <v/>
      </c>
      <c r="F41" s="8">
        <f>IF(OR(Applicant_List!AK42="N",Applicant_List!AK42="",Applicant_List!AL42="N",Applicant_List!AL42=""),1,0)</f>
        <v/>
      </c>
      <c r="G41" s="8">
        <f>IF(OR(Applicant_List!AM42="N",Applicant_List!AM42=""),1,0)</f>
        <v/>
      </c>
      <c r="H41" s="8">
        <f>IF(OR(Applicant_List!AX42="Y",AND(Applicant_List!AS42="Y",Applicant_List!AV42&lt;&gt;"Y")),1,0)</f>
        <v/>
      </c>
      <c r="I41" s="8">
        <f>IF(OR(Applicant_List!AZ42="N",Applicant_List!AZ42="",Applicant_List!BA42="N",Applicant_List!BA42=""),1,0)</f>
        <v/>
      </c>
      <c r="J41" s="8">
        <f>IF(OR(Applicant_List!BB42="N",Applicant_List!BB42="",Applicant_List!BC42="N",Applicant_List!BE42="Y",Applicant_List!BL42="Y"),1,0)</f>
        <v/>
      </c>
      <c r="K41" s="8">
        <f>IF(AND(Applicant_List!BJ42="Y",Applicant_List!BM42="Y",Applicant_List!BK42&lt;&gt;"Y"),1,0)</f>
        <v/>
      </c>
      <c r="L41" s="8">
        <f>IF(OR(Applicant_List!BN42="Y",Applicant_List!BK42="Y"),1,0)</f>
        <v/>
      </c>
      <c r="M41" s="8">
        <f>COUNTIF(Applicant_List!AI42:BM42,"N")+COUNTBLANK(Applicant_List!AI42:BM42)</f>
        <v/>
      </c>
      <c r="N41" s="8">
        <f>MAX(E41:J41)</f>
        <v/>
      </c>
      <c r="O41" s="8">
        <f>IF(Applicant_List!BP42="Y",100000,0)+IF(ISNUMBER(Applicant_List!BO42),50000-INT(Applicant_List!BO42),0)+IF(LEN(Applicant_List!L42)&gt;0,1000,0)</f>
        <v/>
      </c>
      <c r="P41" s="8">
        <f>IF(D41,"Terminal",IF(N41=1,"Blocked",IF(K41=1,"Determination Notice",IF(L41=1,"Board","Under Review"))))</f>
        <v/>
      </c>
      <c r="Q41" s="8">
        <f>IF(Applicant_List!L42="Closed","Closed",IF(OR(Applicant_List!L42="Withdrawn",Applicant_List!L42="Terminated"),Applicant_List!L42,IF(N41=1,"No Advancement",IF(K41=1,"Determination Notice Issued",IF(L41=1,"Board","Under Review")))))</f>
        <v/>
      </c>
    </row>
    <row r="42">
      <c r="A42" s="8">
        <f>Applicant_List!C43</f>
        <v/>
      </c>
      <c r="B42" s="8">
        <f>Applicant_List!E43</f>
        <v/>
      </c>
      <c r="C42" s="8">
        <f>Applicant_List!L43</f>
        <v/>
      </c>
      <c r="D42" s="8">
        <f>OR(Applicant_List!L43="Closed",Applicant_List!L43="Withdrawn",Applicant_List!L43="Terminated")</f>
        <v/>
      </c>
      <c r="E42" s="8">
        <f>IF(OR(Applicant_List!AI43="N",Applicant_List!AI43=""),1,0)</f>
        <v/>
      </c>
      <c r="F42" s="8">
        <f>IF(OR(Applicant_List!AK43="N",Applicant_List!AK43="",Applicant_List!AL43="N",Applicant_List!AL43=""),1,0)</f>
        <v/>
      </c>
      <c r="G42" s="8">
        <f>IF(OR(Applicant_List!AM43="N",Applicant_List!AM43=""),1,0)</f>
        <v/>
      </c>
      <c r="H42" s="8">
        <f>IF(OR(Applicant_List!AX43="Y",AND(Applicant_List!AS43="Y",Applicant_List!AV43&lt;&gt;"Y")),1,0)</f>
        <v/>
      </c>
      <c r="I42" s="8">
        <f>IF(OR(Applicant_List!AZ43="N",Applicant_List!AZ43="",Applicant_List!BA43="N",Applicant_List!BA43=""),1,0)</f>
        <v/>
      </c>
      <c r="J42" s="8">
        <f>IF(OR(Applicant_List!BB43="N",Applicant_List!BB43="",Applicant_List!BC43="N",Applicant_List!BE43="Y",Applicant_List!BL43="Y"),1,0)</f>
        <v/>
      </c>
      <c r="K42" s="8">
        <f>IF(AND(Applicant_List!BJ43="Y",Applicant_List!BM43="Y",Applicant_List!BK43&lt;&gt;"Y"),1,0)</f>
        <v/>
      </c>
      <c r="L42" s="8">
        <f>IF(OR(Applicant_List!BN43="Y",Applicant_List!BK43="Y"),1,0)</f>
        <v/>
      </c>
      <c r="M42" s="8">
        <f>COUNTIF(Applicant_List!AI43:BM43,"N")+COUNTBLANK(Applicant_List!AI43:BM43)</f>
        <v/>
      </c>
      <c r="N42" s="8">
        <f>MAX(E42:J42)</f>
        <v/>
      </c>
      <c r="O42" s="8">
        <f>IF(Applicant_List!BP43="Y",100000,0)+IF(ISNUMBER(Applicant_List!BO43),50000-INT(Applicant_List!BO43),0)+IF(LEN(Applicant_List!L43)&gt;0,1000,0)</f>
        <v/>
      </c>
      <c r="P42" s="8">
        <f>IF(D42,"Terminal",IF(N42=1,"Blocked",IF(K42=1,"Determination Notice",IF(L42=1,"Board","Under Review"))))</f>
        <v/>
      </c>
      <c r="Q42" s="8">
        <f>IF(Applicant_List!L43="Closed","Closed",IF(OR(Applicant_List!L43="Withdrawn",Applicant_List!L43="Terminated"),Applicant_List!L43,IF(N42=1,"No Advancement",IF(K42=1,"Determination Notice Issued",IF(L42=1,"Board","Under Review")))))</f>
        <v/>
      </c>
    </row>
    <row r="43">
      <c r="A43" s="8">
        <f>Applicant_List!C44</f>
        <v/>
      </c>
      <c r="B43" s="8">
        <f>Applicant_List!E44</f>
        <v/>
      </c>
      <c r="C43" s="8">
        <f>Applicant_List!L44</f>
        <v/>
      </c>
      <c r="D43" s="8">
        <f>OR(Applicant_List!L44="Closed",Applicant_List!L44="Withdrawn",Applicant_List!L44="Terminated")</f>
        <v/>
      </c>
      <c r="E43" s="8">
        <f>IF(OR(Applicant_List!AI44="N",Applicant_List!AI44=""),1,0)</f>
        <v/>
      </c>
      <c r="F43" s="8">
        <f>IF(OR(Applicant_List!AK44="N",Applicant_List!AK44="",Applicant_List!AL44="N",Applicant_List!AL44=""),1,0)</f>
        <v/>
      </c>
      <c r="G43" s="8">
        <f>IF(OR(Applicant_List!AM44="N",Applicant_List!AM44=""),1,0)</f>
        <v/>
      </c>
      <c r="H43" s="8">
        <f>IF(OR(Applicant_List!AX44="Y",AND(Applicant_List!AS44="Y",Applicant_List!AV44&lt;&gt;"Y")),1,0)</f>
        <v/>
      </c>
      <c r="I43" s="8">
        <f>IF(OR(Applicant_List!AZ44="N",Applicant_List!AZ44="",Applicant_List!BA44="N",Applicant_List!BA44=""),1,0)</f>
        <v/>
      </c>
      <c r="J43" s="8">
        <f>IF(OR(Applicant_List!BB44="N",Applicant_List!BB44="",Applicant_List!BC44="N",Applicant_List!BE44="Y",Applicant_List!BL44="Y"),1,0)</f>
        <v/>
      </c>
      <c r="K43" s="8">
        <f>IF(AND(Applicant_List!BJ44="Y",Applicant_List!BM44="Y",Applicant_List!BK44&lt;&gt;"Y"),1,0)</f>
        <v/>
      </c>
      <c r="L43" s="8">
        <f>IF(OR(Applicant_List!BN44="Y",Applicant_List!BK44="Y"),1,0)</f>
        <v/>
      </c>
      <c r="M43" s="8">
        <f>COUNTIF(Applicant_List!AI44:BM44,"N")+COUNTBLANK(Applicant_List!AI44:BM44)</f>
        <v/>
      </c>
      <c r="N43" s="8">
        <f>MAX(E43:J43)</f>
        <v/>
      </c>
      <c r="O43" s="8">
        <f>IF(Applicant_List!BP44="Y",100000,0)+IF(ISNUMBER(Applicant_List!BO44),50000-INT(Applicant_List!BO44),0)+IF(LEN(Applicant_List!L44)&gt;0,1000,0)</f>
        <v/>
      </c>
      <c r="P43" s="8">
        <f>IF(D43,"Terminal",IF(N43=1,"Blocked",IF(K43=1,"Determination Notice",IF(L43=1,"Board","Under Review"))))</f>
        <v/>
      </c>
      <c r="Q43" s="8">
        <f>IF(Applicant_List!L44="Closed","Closed",IF(OR(Applicant_List!L44="Withdrawn",Applicant_List!L44="Terminated"),Applicant_List!L44,IF(N43=1,"No Advancement",IF(K43=1,"Determination Notice Issued",IF(L43=1,"Board","Under Review")))))</f>
        <v/>
      </c>
    </row>
    <row r="44">
      <c r="A44" s="8">
        <f>Applicant_List!C45</f>
        <v/>
      </c>
      <c r="B44" s="8">
        <f>Applicant_List!E45</f>
        <v/>
      </c>
      <c r="C44" s="8">
        <f>Applicant_List!L45</f>
        <v/>
      </c>
      <c r="D44" s="8">
        <f>OR(Applicant_List!L45="Closed",Applicant_List!L45="Withdrawn",Applicant_List!L45="Terminated")</f>
        <v/>
      </c>
      <c r="E44" s="8">
        <f>IF(OR(Applicant_List!AI45="N",Applicant_List!AI45=""),1,0)</f>
        <v/>
      </c>
      <c r="F44" s="8">
        <f>IF(OR(Applicant_List!AK45="N",Applicant_List!AK45="",Applicant_List!AL45="N",Applicant_List!AL45=""),1,0)</f>
        <v/>
      </c>
      <c r="G44" s="8">
        <f>IF(OR(Applicant_List!AM45="N",Applicant_List!AM45=""),1,0)</f>
        <v/>
      </c>
      <c r="H44" s="8">
        <f>IF(OR(Applicant_List!AX45="Y",AND(Applicant_List!AS45="Y",Applicant_List!AV45&lt;&gt;"Y")),1,0)</f>
        <v/>
      </c>
      <c r="I44" s="8">
        <f>IF(OR(Applicant_List!AZ45="N",Applicant_List!AZ45="",Applicant_List!BA45="N",Applicant_List!BA45=""),1,0)</f>
        <v/>
      </c>
      <c r="J44" s="8">
        <f>IF(OR(Applicant_List!BB45="N",Applicant_List!BB45="",Applicant_List!BC45="N",Applicant_List!BE45="Y",Applicant_List!BL45="Y"),1,0)</f>
        <v/>
      </c>
      <c r="K44" s="8">
        <f>IF(AND(Applicant_List!BJ45="Y",Applicant_List!BM45="Y",Applicant_List!BK45&lt;&gt;"Y"),1,0)</f>
        <v/>
      </c>
      <c r="L44" s="8">
        <f>IF(OR(Applicant_List!BN45="Y",Applicant_List!BK45="Y"),1,0)</f>
        <v/>
      </c>
      <c r="M44" s="8">
        <f>COUNTIF(Applicant_List!AI45:BM45,"N")+COUNTBLANK(Applicant_List!AI45:BM45)</f>
        <v/>
      </c>
      <c r="N44" s="8">
        <f>MAX(E44:J44)</f>
        <v/>
      </c>
      <c r="O44" s="8">
        <f>IF(Applicant_List!BP45="Y",100000,0)+IF(ISNUMBER(Applicant_List!BO45),50000-INT(Applicant_List!BO45),0)+IF(LEN(Applicant_List!L45)&gt;0,1000,0)</f>
        <v/>
      </c>
      <c r="P44" s="8">
        <f>IF(D44,"Terminal",IF(N44=1,"Blocked",IF(K44=1,"Determination Notice",IF(L44=1,"Board","Under Review"))))</f>
        <v/>
      </c>
      <c r="Q44" s="8">
        <f>IF(Applicant_List!L45="Closed","Closed",IF(OR(Applicant_List!L45="Withdrawn",Applicant_List!L45="Terminated"),Applicant_List!L45,IF(N44=1,"No Advancement",IF(K44=1,"Determination Notice Issued",IF(L44=1,"Board","Under Review")))))</f>
        <v/>
      </c>
    </row>
    <row r="45">
      <c r="A45" s="8">
        <f>Applicant_List!C46</f>
        <v/>
      </c>
      <c r="B45" s="8">
        <f>Applicant_List!E46</f>
        <v/>
      </c>
      <c r="C45" s="8">
        <f>Applicant_List!L46</f>
        <v/>
      </c>
      <c r="D45" s="8">
        <f>OR(Applicant_List!L46="Closed",Applicant_List!L46="Withdrawn",Applicant_List!L46="Terminated")</f>
        <v/>
      </c>
      <c r="E45" s="8">
        <f>IF(OR(Applicant_List!AI46="N",Applicant_List!AI46=""),1,0)</f>
        <v/>
      </c>
      <c r="F45" s="8">
        <f>IF(OR(Applicant_List!AK46="N",Applicant_List!AK46="",Applicant_List!AL46="N",Applicant_List!AL46=""),1,0)</f>
        <v/>
      </c>
      <c r="G45" s="8">
        <f>IF(OR(Applicant_List!AM46="N",Applicant_List!AM46=""),1,0)</f>
        <v/>
      </c>
      <c r="H45" s="8">
        <f>IF(OR(Applicant_List!AX46="Y",AND(Applicant_List!AS46="Y",Applicant_List!AV46&lt;&gt;"Y")),1,0)</f>
        <v/>
      </c>
      <c r="I45" s="8">
        <f>IF(OR(Applicant_List!AZ46="N",Applicant_List!AZ46="",Applicant_List!BA46="N",Applicant_List!BA46=""),1,0)</f>
        <v/>
      </c>
      <c r="J45" s="8">
        <f>IF(OR(Applicant_List!BB46="N",Applicant_List!BB46="",Applicant_List!BC46="N",Applicant_List!BE46="Y",Applicant_List!BL46="Y"),1,0)</f>
        <v/>
      </c>
      <c r="K45" s="8">
        <f>IF(AND(Applicant_List!BJ46="Y",Applicant_List!BM46="Y",Applicant_List!BK46&lt;&gt;"Y"),1,0)</f>
        <v/>
      </c>
      <c r="L45" s="8">
        <f>IF(OR(Applicant_List!BN46="Y",Applicant_List!BK46="Y"),1,0)</f>
        <v/>
      </c>
      <c r="M45" s="8">
        <f>COUNTIF(Applicant_List!AI46:BM46,"N")+COUNTBLANK(Applicant_List!AI46:BM46)</f>
        <v/>
      </c>
      <c r="N45" s="8">
        <f>MAX(E45:J45)</f>
        <v/>
      </c>
      <c r="O45" s="8">
        <f>IF(Applicant_List!BP46="Y",100000,0)+IF(ISNUMBER(Applicant_List!BO46),50000-INT(Applicant_List!BO46),0)+IF(LEN(Applicant_List!L46)&gt;0,1000,0)</f>
        <v/>
      </c>
      <c r="P45" s="8">
        <f>IF(D45,"Terminal",IF(N45=1,"Blocked",IF(K45=1,"Determination Notice",IF(L45=1,"Board","Under Review"))))</f>
        <v/>
      </c>
      <c r="Q45" s="8">
        <f>IF(Applicant_List!L46="Closed","Closed",IF(OR(Applicant_List!L46="Withdrawn",Applicant_List!L46="Terminated"),Applicant_List!L46,IF(N45=1,"No Advancement",IF(K45=1,"Determination Notice Issued",IF(L45=1,"Board","Under Review")))))</f>
        <v/>
      </c>
    </row>
    <row r="46">
      <c r="A46" s="8">
        <f>Applicant_List!C47</f>
        <v/>
      </c>
      <c r="B46" s="8">
        <f>Applicant_List!E47</f>
        <v/>
      </c>
      <c r="C46" s="8">
        <f>Applicant_List!L47</f>
        <v/>
      </c>
      <c r="D46" s="8">
        <f>OR(Applicant_List!L47="Closed",Applicant_List!L47="Withdrawn",Applicant_List!L47="Terminated")</f>
        <v/>
      </c>
      <c r="E46" s="8">
        <f>IF(OR(Applicant_List!AI47="N",Applicant_List!AI47=""),1,0)</f>
        <v/>
      </c>
      <c r="F46" s="8">
        <f>IF(OR(Applicant_List!AK47="N",Applicant_List!AK47="",Applicant_List!AL47="N",Applicant_List!AL47=""),1,0)</f>
        <v/>
      </c>
      <c r="G46" s="8">
        <f>IF(OR(Applicant_List!AM47="N",Applicant_List!AM47=""),1,0)</f>
        <v/>
      </c>
      <c r="H46" s="8">
        <f>IF(OR(Applicant_List!AX47="Y",AND(Applicant_List!AS47="Y",Applicant_List!AV47&lt;&gt;"Y")),1,0)</f>
        <v/>
      </c>
      <c r="I46" s="8">
        <f>IF(OR(Applicant_List!AZ47="N",Applicant_List!AZ47="",Applicant_List!BA47="N",Applicant_List!BA47=""),1,0)</f>
        <v/>
      </c>
      <c r="J46" s="8">
        <f>IF(OR(Applicant_List!BB47="N",Applicant_List!BB47="",Applicant_List!BC47="N",Applicant_List!BE47="Y",Applicant_List!BL47="Y"),1,0)</f>
        <v/>
      </c>
      <c r="K46" s="8">
        <f>IF(AND(Applicant_List!BJ47="Y",Applicant_List!BM47="Y",Applicant_List!BK47&lt;&gt;"Y"),1,0)</f>
        <v/>
      </c>
      <c r="L46" s="8">
        <f>IF(OR(Applicant_List!BN47="Y",Applicant_List!BK47="Y"),1,0)</f>
        <v/>
      </c>
      <c r="M46" s="8">
        <f>COUNTIF(Applicant_List!AI47:BM47,"N")+COUNTBLANK(Applicant_List!AI47:BM47)</f>
        <v/>
      </c>
      <c r="N46" s="8">
        <f>MAX(E46:J46)</f>
        <v/>
      </c>
      <c r="O46" s="8">
        <f>IF(Applicant_List!BP47="Y",100000,0)+IF(ISNUMBER(Applicant_List!BO47),50000-INT(Applicant_List!BO47),0)+IF(LEN(Applicant_List!L47)&gt;0,1000,0)</f>
        <v/>
      </c>
      <c r="P46" s="8">
        <f>IF(D46,"Terminal",IF(N46=1,"Blocked",IF(K46=1,"Determination Notice",IF(L46=1,"Board","Under Review"))))</f>
        <v/>
      </c>
      <c r="Q46" s="8">
        <f>IF(Applicant_List!L47="Closed","Closed",IF(OR(Applicant_List!L47="Withdrawn",Applicant_List!L47="Terminated"),Applicant_List!L47,IF(N46=1,"No Advancement",IF(K46=1,"Determination Notice Issued",IF(L46=1,"Board","Under Review")))))</f>
        <v/>
      </c>
    </row>
    <row r="47">
      <c r="A47" s="8">
        <f>Applicant_List!C48</f>
        <v/>
      </c>
      <c r="B47" s="8">
        <f>Applicant_List!E48</f>
        <v/>
      </c>
      <c r="C47" s="8">
        <f>Applicant_List!L48</f>
        <v/>
      </c>
      <c r="D47" s="8">
        <f>OR(Applicant_List!L48="Closed",Applicant_List!L48="Withdrawn",Applicant_List!L48="Terminated")</f>
        <v/>
      </c>
      <c r="E47" s="8">
        <f>IF(OR(Applicant_List!AI48="N",Applicant_List!AI48=""),1,0)</f>
        <v/>
      </c>
      <c r="F47" s="8">
        <f>IF(OR(Applicant_List!AK48="N",Applicant_List!AK48="",Applicant_List!AL48="N",Applicant_List!AL48=""),1,0)</f>
        <v/>
      </c>
      <c r="G47" s="8">
        <f>IF(OR(Applicant_List!AM48="N",Applicant_List!AM48=""),1,0)</f>
        <v/>
      </c>
      <c r="H47" s="8">
        <f>IF(OR(Applicant_List!AX48="Y",AND(Applicant_List!AS48="Y",Applicant_List!AV48&lt;&gt;"Y")),1,0)</f>
        <v/>
      </c>
      <c r="I47" s="8">
        <f>IF(OR(Applicant_List!AZ48="N",Applicant_List!AZ48="",Applicant_List!BA48="N",Applicant_List!BA48=""),1,0)</f>
        <v/>
      </c>
      <c r="J47" s="8">
        <f>IF(OR(Applicant_List!BB48="N",Applicant_List!BB48="",Applicant_List!BC48="N",Applicant_List!BE48="Y",Applicant_List!BL48="Y"),1,0)</f>
        <v/>
      </c>
      <c r="K47" s="8">
        <f>IF(AND(Applicant_List!BJ48="Y",Applicant_List!BM48="Y",Applicant_List!BK48&lt;&gt;"Y"),1,0)</f>
        <v/>
      </c>
      <c r="L47" s="8">
        <f>IF(OR(Applicant_List!BN48="Y",Applicant_List!BK48="Y"),1,0)</f>
        <v/>
      </c>
      <c r="M47" s="8">
        <f>COUNTIF(Applicant_List!AI48:BM48,"N")+COUNTBLANK(Applicant_List!AI48:BM48)</f>
        <v/>
      </c>
      <c r="N47" s="8">
        <f>MAX(E47:J47)</f>
        <v/>
      </c>
      <c r="O47" s="8">
        <f>IF(Applicant_List!BP48="Y",100000,0)+IF(ISNUMBER(Applicant_List!BO48),50000-INT(Applicant_List!BO48),0)+IF(LEN(Applicant_List!L48)&gt;0,1000,0)</f>
        <v/>
      </c>
      <c r="P47" s="8">
        <f>IF(D47,"Terminal",IF(N47=1,"Blocked",IF(K47=1,"Determination Notice",IF(L47=1,"Board","Under Review"))))</f>
        <v/>
      </c>
      <c r="Q47" s="8">
        <f>IF(Applicant_List!L48="Closed","Closed",IF(OR(Applicant_List!L48="Withdrawn",Applicant_List!L48="Terminated"),Applicant_List!L48,IF(N47=1,"No Advancement",IF(K47=1,"Determination Notice Issued",IF(L47=1,"Board","Under Review")))))</f>
        <v/>
      </c>
    </row>
    <row r="48">
      <c r="A48" s="8">
        <f>Applicant_List!C49</f>
        <v/>
      </c>
      <c r="B48" s="8">
        <f>Applicant_List!E49</f>
        <v/>
      </c>
      <c r="C48" s="8">
        <f>Applicant_List!L49</f>
        <v/>
      </c>
      <c r="D48" s="8">
        <f>OR(Applicant_List!L49="Closed",Applicant_List!L49="Withdrawn",Applicant_List!L49="Terminated")</f>
        <v/>
      </c>
      <c r="E48" s="8">
        <f>IF(OR(Applicant_List!AI49="N",Applicant_List!AI49=""),1,0)</f>
        <v/>
      </c>
      <c r="F48" s="8">
        <f>IF(OR(Applicant_List!AK49="N",Applicant_List!AK49="",Applicant_List!AL49="N",Applicant_List!AL49=""),1,0)</f>
        <v/>
      </c>
      <c r="G48" s="8">
        <f>IF(OR(Applicant_List!AM49="N",Applicant_List!AM49=""),1,0)</f>
        <v/>
      </c>
      <c r="H48" s="8">
        <f>IF(OR(Applicant_List!AX49="Y",AND(Applicant_List!AS49="Y",Applicant_List!AV49&lt;&gt;"Y")),1,0)</f>
        <v/>
      </c>
      <c r="I48" s="8">
        <f>IF(OR(Applicant_List!AZ49="N",Applicant_List!AZ49="",Applicant_List!BA49="N",Applicant_List!BA49=""),1,0)</f>
        <v/>
      </c>
      <c r="J48" s="8">
        <f>IF(OR(Applicant_List!BB49="N",Applicant_List!BB49="",Applicant_List!BC49="N",Applicant_List!BE49="Y",Applicant_List!BL49="Y"),1,0)</f>
        <v/>
      </c>
      <c r="K48" s="8">
        <f>IF(AND(Applicant_List!BJ49="Y",Applicant_List!BM49="Y",Applicant_List!BK49&lt;&gt;"Y"),1,0)</f>
        <v/>
      </c>
      <c r="L48" s="8">
        <f>IF(OR(Applicant_List!BN49="Y",Applicant_List!BK49="Y"),1,0)</f>
        <v/>
      </c>
      <c r="M48" s="8">
        <f>COUNTIF(Applicant_List!AI49:BM49,"N")+COUNTBLANK(Applicant_List!AI49:BM49)</f>
        <v/>
      </c>
      <c r="N48" s="8">
        <f>MAX(E48:J48)</f>
        <v/>
      </c>
      <c r="O48" s="8">
        <f>IF(Applicant_List!BP49="Y",100000,0)+IF(ISNUMBER(Applicant_List!BO49),50000-INT(Applicant_List!BO49),0)+IF(LEN(Applicant_List!L49)&gt;0,1000,0)</f>
        <v/>
      </c>
      <c r="P48" s="8">
        <f>IF(D48,"Terminal",IF(N48=1,"Blocked",IF(K48=1,"Determination Notice",IF(L48=1,"Board","Under Review"))))</f>
        <v/>
      </c>
      <c r="Q48" s="8">
        <f>IF(Applicant_List!L49="Closed","Closed",IF(OR(Applicant_List!L49="Withdrawn",Applicant_List!L49="Terminated"),Applicant_List!L49,IF(N48=1,"No Advancement",IF(K48=1,"Determination Notice Issued",IF(L48=1,"Board","Under Review")))))</f>
        <v/>
      </c>
    </row>
    <row r="49">
      <c r="A49" s="8">
        <f>Applicant_List!C50</f>
        <v/>
      </c>
      <c r="B49" s="8">
        <f>Applicant_List!E50</f>
        <v/>
      </c>
      <c r="C49" s="8">
        <f>Applicant_List!L50</f>
        <v/>
      </c>
      <c r="D49" s="8">
        <f>OR(Applicant_List!L50="Closed",Applicant_List!L50="Withdrawn",Applicant_List!L50="Terminated")</f>
        <v/>
      </c>
      <c r="E49" s="8">
        <f>IF(OR(Applicant_List!AI50="N",Applicant_List!AI50=""),1,0)</f>
        <v/>
      </c>
      <c r="F49" s="8">
        <f>IF(OR(Applicant_List!AK50="N",Applicant_List!AK50="",Applicant_List!AL50="N",Applicant_List!AL50=""),1,0)</f>
        <v/>
      </c>
      <c r="G49" s="8">
        <f>IF(OR(Applicant_List!AM50="N",Applicant_List!AM50=""),1,0)</f>
        <v/>
      </c>
      <c r="H49" s="8">
        <f>IF(OR(Applicant_List!AX50="Y",AND(Applicant_List!AS50="Y",Applicant_List!AV50&lt;&gt;"Y")),1,0)</f>
        <v/>
      </c>
      <c r="I49" s="8">
        <f>IF(OR(Applicant_List!AZ50="N",Applicant_List!AZ50="",Applicant_List!BA50="N",Applicant_List!BA50=""),1,0)</f>
        <v/>
      </c>
      <c r="J49" s="8">
        <f>IF(OR(Applicant_List!BB50="N",Applicant_List!BB50="",Applicant_List!BC50="N",Applicant_List!BE50="Y",Applicant_List!BL50="Y"),1,0)</f>
        <v/>
      </c>
      <c r="K49" s="8">
        <f>IF(AND(Applicant_List!BJ50="Y",Applicant_List!BM50="Y",Applicant_List!BK50&lt;&gt;"Y"),1,0)</f>
        <v/>
      </c>
      <c r="L49" s="8">
        <f>IF(OR(Applicant_List!BN50="Y",Applicant_List!BK50="Y"),1,0)</f>
        <v/>
      </c>
      <c r="M49" s="8">
        <f>COUNTIF(Applicant_List!AI50:BM50,"N")+COUNTBLANK(Applicant_List!AI50:BM50)</f>
        <v/>
      </c>
      <c r="N49" s="8">
        <f>MAX(E49:J49)</f>
        <v/>
      </c>
      <c r="O49" s="8">
        <f>IF(Applicant_List!BP50="Y",100000,0)+IF(ISNUMBER(Applicant_List!BO50),50000-INT(Applicant_List!BO50),0)+IF(LEN(Applicant_List!L50)&gt;0,1000,0)</f>
        <v/>
      </c>
      <c r="P49" s="8">
        <f>IF(D49,"Terminal",IF(N49=1,"Blocked",IF(K49=1,"Determination Notice",IF(L49=1,"Board","Under Review"))))</f>
        <v/>
      </c>
      <c r="Q49" s="8">
        <f>IF(Applicant_List!L50="Closed","Closed",IF(OR(Applicant_List!L50="Withdrawn",Applicant_List!L50="Terminated"),Applicant_List!L50,IF(N49=1,"No Advancement",IF(K49=1,"Determination Notice Issued",IF(L49=1,"Board","Under Review")))))</f>
        <v/>
      </c>
    </row>
    <row r="50">
      <c r="A50" s="8">
        <f>Applicant_List!C51</f>
        <v/>
      </c>
      <c r="B50" s="8">
        <f>Applicant_List!E51</f>
        <v/>
      </c>
      <c r="C50" s="8">
        <f>Applicant_List!L51</f>
        <v/>
      </c>
      <c r="D50" s="8">
        <f>OR(Applicant_List!L51="Closed",Applicant_List!L51="Withdrawn",Applicant_List!L51="Terminated")</f>
        <v/>
      </c>
      <c r="E50" s="8">
        <f>IF(OR(Applicant_List!AI51="N",Applicant_List!AI51=""),1,0)</f>
        <v/>
      </c>
      <c r="F50" s="8">
        <f>IF(OR(Applicant_List!AK51="N",Applicant_List!AK51="",Applicant_List!AL51="N",Applicant_List!AL51=""),1,0)</f>
        <v/>
      </c>
      <c r="G50" s="8">
        <f>IF(OR(Applicant_List!AM51="N",Applicant_List!AM51=""),1,0)</f>
        <v/>
      </c>
      <c r="H50" s="8">
        <f>IF(OR(Applicant_List!AX51="Y",AND(Applicant_List!AS51="Y",Applicant_List!AV51&lt;&gt;"Y")),1,0)</f>
        <v/>
      </c>
      <c r="I50" s="8">
        <f>IF(OR(Applicant_List!AZ51="N",Applicant_List!AZ51="",Applicant_List!BA51="N",Applicant_List!BA51=""),1,0)</f>
        <v/>
      </c>
      <c r="J50" s="8">
        <f>IF(OR(Applicant_List!BB51="N",Applicant_List!BB51="",Applicant_List!BC51="N",Applicant_List!BE51="Y",Applicant_List!BL51="Y"),1,0)</f>
        <v/>
      </c>
      <c r="K50" s="8">
        <f>IF(AND(Applicant_List!BJ51="Y",Applicant_List!BM51="Y",Applicant_List!BK51&lt;&gt;"Y"),1,0)</f>
        <v/>
      </c>
      <c r="L50" s="8">
        <f>IF(OR(Applicant_List!BN51="Y",Applicant_List!BK51="Y"),1,0)</f>
        <v/>
      </c>
      <c r="M50" s="8">
        <f>COUNTIF(Applicant_List!AI51:BM51,"N")+COUNTBLANK(Applicant_List!AI51:BM51)</f>
        <v/>
      </c>
      <c r="N50" s="8">
        <f>MAX(E50:J50)</f>
        <v/>
      </c>
      <c r="O50" s="8">
        <f>IF(Applicant_List!BP51="Y",100000,0)+IF(ISNUMBER(Applicant_List!BO51),50000-INT(Applicant_List!BO51),0)+IF(LEN(Applicant_List!L51)&gt;0,1000,0)</f>
        <v/>
      </c>
      <c r="P50" s="8">
        <f>IF(D50,"Terminal",IF(N50=1,"Blocked",IF(K50=1,"Determination Notice",IF(L50=1,"Board","Under Review"))))</f>
        <v/>
      </c>
      <c r="Q50" s="8">
        <f>IF(Applicant_List!L51="Closed","Closed",IF(OR(Applicant_List!L51="Withdrawn",Applicant_List!L51="Terminated"),Applicant_List!L51,IF(N50=1,"No Advancement",IF(K50=1,"Determination Notice Issued",IF(L50=1,"Board","Under Review")))))</f>
        <v/>
      </c>
    </row>
    <row r="51">
      <c r="A51" s="8">
        <f>Applicant_List!C52</f>
        <v/>
      </c>
      <c r="B51" s="8">
        <f>Applicant_List!E52</f>
        <v/>
      </c>
      <c r="C51" s="8">
        <f>Applicant_List!L52</f>
        <v/>
      </c>
      <c r="D51" s="8">
        <f>OR(Applicant_List!L52="Closed",Applicant_List!L52="Withdrawn",Applicant_List!L52="Terminated")</f>
        <v/>
      </c>
      <c r="E51" s="8">
        <f>IF(OR(Applicant_List!AI52="N",Applicant_List!AI52=""),1,0)</f>
        <v/>
      </c>
      <c r="F51" s="8">
        <f>IF(OR(Applicant_List!AK52="N",Applicant_List!AK52="",Applicant_List!AL52="N",Applicant_List!AL52=""),1,0)</f>
        <v/>
      </c>
      <c r="G51" s="8">
        <f>IF(OR(Applicant_List!AM52="N",Applicant_List!AM52=""),1,0)</f>
        <v/>
      </c>
      <c r="H51" s="8">
        <f>IF(OR(Applicant_List!AX52="Y",AND(Applicant_List!AS52="Y",Applicant_List!AV52&lt;&gt;"Y")),1,0)</f>
        <v/>
      </c>
      <c r="I51" s="8">
        <f>IF(OR(Applicant_List!AZ52="N",Applicant_List!AZ52="",Applicant_List!BA52="N",Applicant_List!BA52=""),1,0)</f>
        <v/>
      </c>
      <c r="J51" s="8">
        <f>IF(OR(Applicant_List!BB52="N",Applicant_List!BB52="",Applicant_List!BC52="N",Applicant_List!BE52="Y",Applicant_List!BL52="Y"),1,0)</f>
        <v/>
      </c>
      <c r="K51" s="8">
        <f>IF(AND(Applicant_List!BJ52="Y",Applicant_List!BM52="Y",Applicant_List!BK52&lt;&gt;"Y"),1,0)</f>
        <v/>
      </c>
      <c r="L51" s="8">
        <f>IF(OR(Applicant_List!BN52="Y",Applicant_List!BK52="Y"),1,0)</f>
        <v/>
      </c>
      <c r="M51" s="8">
        <f>COUNTIF(Applicant_List!AI52:BM52,"N")+COUNTBLANK(Applicant_List!AI52:BM52)</f>
        <v/>
      </c>
      <c r="N51" s="8">
        <f>MAX(E51:J51)</f>
        <v/>
      </c>
      <c r="O51" s="8">
        <f>IF(Applicant_List!BP52="Y",100000,0)+IF(ISNUMBER(Applicant_List!BO52),50000-INT(Applicant_List!BO52),0)+IF(LEN(Applicant_List!L52)&gt;0,1000,0)</f>
        <v/>
      </c>
      <c r="P51" s="8">
        <f>IF(D51,"Terminal",IF(N51=1,"Blocked",IF(K51=1,"Determination Notice",IF(L51=1,"Board","Under Review"))))</f>
        <v/>
      </c>
      <c r="Q51" s="8">
        <f>IF(Applicant_List!L52="Closed","Closed",IF(OR(Applicant_List!L52="Withdrawn",Applicant_List!L52="Terminated"),Applicant_List!L52,IF(N51=1,"No Advancement",IF(K51=1,"Determination Notice Issued",IF(L51=1,"Board","Under Review")))))</f>
        <v/>
      </c>
    </row>
    <row r="52">
      <c r="A52" s="8">
        <f>Applicant_List!C53</f>
        <v/>
      </c>
      <c r="B52" s="8">
        <f>Applicant_List!E53</f>
        <v/>
      </c>
      <c r="C52" s="8">
        <f>Applicant_List!L53</f>
        <v/>
      </c>
      <c r="D52" s="8">
        <f>OR(Applicant_List!L53="Closed",Applicant_List!L53="Withdrawn",Applicant_List!L53="Terminated")</f>
        <v/>
      </c>
      <c r="E52" s="8">
        <f>IF(OR(Applicant_List!AI53="N",Applicant_List!AI53=""),1,0)</f>
        <v/>
      </c>
      <c r="F52" s="8">
        <f>IF(OR(Applicant_List!AK53="N",Applicant_List!AK53="",Applicant_List!AL53="N",Applicant_List!AL53=""),1,0)</f>
        <v/>
      </c>
      <c r="G52" s="8">
        <f>IF(OR(Applicant_List!AM53="N",Applicant_List!AM53=""),1,0)</f>
        <v/>
      </c>
      <c r="H52" s="8">
        <f>IF(OR(Applicant_List!AX53="Y",AND(Applicant_List!AS53="Y",Applicant_List!AV53&lt;&gt;"Y")),1,0)</f>
        <v/>
      </c>
      <c r="I52" s="8">
        <f>IF(OR(Applicant_List!AZ53="N",Applicant_List!AZ53="",Applicant_List!BA53="N",Applicant_List!BA53=""),1,0)</f>
        <v/>
      </c>
      <c r="J52" s="8">
        <f>IF(OR(Applicant_List!BB53="N",Applicant_List!BB53="",Applicant_List!BC53="N",Applicant_List!BE53="Y",Applicant_List!BL53="Y"),1,0)</f>
        <v/>
      </c>
      <c r="K52" s="8">
        <f>IF(AND(Applicant_List!BJ53="Y",Applicant_List!BM53="Y",Applicant_List!BK53&lt;&gt;"Y"),1,0)</f>
        <v/>
      </c>
      <c r="L52" s="8">
        <f>IF(OR(Applicant_List!BN53="Y",Applicant_List!BK53="Y"),1,0)</f>
        <v/>
      </c>
      <c r="M52" s="8">
        <f>COUNTIF(Applicant_List!AI53:BM53,"N")+COUNTBLANK(Applicant_List!AI53:BM53)</f>
        <v/>
      </c>
      <c r="N52" s="8">
        <f>MAX(E52:J52)</f>
        <v/>
      </c>
      <c r="O52" s="8">
        <f>IF(Applicant_List!BP53="Y",100000,0)+IF(ISNUMBER(Applicant_List!BO53),50000-INT(Applicant_List!BO53),0)+IF(LEN(Applicant_List!L53)&gt;0,1000,0)</f>
        <v/>
      </c>
      <c r="P52" s="8">
        <f>IF(D52,"Terminal",IF(N52=1,"Blocked",IF(K52=1,"Determination Notice",IF(L52=1,"Board","Under Review"))))</f>
        <v/>
      </c>
      <c r="Q52" s="8">
        <f>IF(Applicant_List!L53="Closed","Closed",IF(OR(Applicant_List!L53="Withdrawn",Applicant_List!L53="Terminated"),Applicant_List!L53,IF(N52=1,"No Advancement",IF(K52=1,"Determination Notice Issued",IF(L52=1,"Board","Under Review")))))</f>
        <v/>
      </c>
    </row>
    <row r="53">
      <c r="A53" s="8">
        <f>Applicant_List!C54</f>
        <v/>
      </c>
      <c r="B53" s="8">
        <f>Applicant_List!E54</f>
        <v/>
      </c>
      <c r="C53" s="8">
        <f>Applicant_List!L54</f>
        <v/>
      </c>
      <c r="D53" s="8">
        <f>OR(Applicant_List!L54="Closed",Applicant_List!L54="Withdrawn",Applicant_List!L54="Terminated")</f>
        <v/>
      </c>
      <c r="E53" s="8">
        <f>IF(OR(Applicant_List!AI54="N",Applicant_List!AI54=""),1,0)</f>
        <v/>
      </c>
      <c r="F53" s="8">
        <f>IF(OR(Applicant_List!AK54="N",Applicant_List!AK54="",Applicant_List!AL54="N",Applicant_List!AL54=""),1,0)</f>
        <v/>
      </c>
      <c r="G53" s="8">
        <f>IF(OR(Applicant_List!AM54="N",Applicant_List!AM54=""),1,0)</f>
        <v/>
      </c>
      <c r="H53" s="8">
        <f>IF(OR(Applicant_List!AX54="Y",AND(Applicant_List!AS54="Y",Applicant_List!AV54&lt;&gt;"Y")),1,0)</f>
        <v/>
      </c>
      <c r="I53" s="8">
        <f>IF(OR(Applicant_List!AZ54="N",Applicant_List!AZ54="",Applicant_List!BA54="N",Applicant_List!BA54=""),1,0)</f>
        <v/>
      </c>
      <c r="J53" s="8">
        <f>IF(OR(Applicant_List!BB54="N",Applicant_List!BB54="",Applicant_List!BC54="N",Applicant_List!BE54="Y",Applicant_List!BL54="Y"),1,0)</f>
        <v/>
      </c>
      <c r="K53" s="8">
        <f>IF(AND(Applicant_List!BJ54="Y",Applicant_List!BM54="Y",Applicant_List!BK54&lt;&gt;"Y"),1,0)</f>
        <v/>
      </c>
      <c r="L53" s="8">
        <f>IF(OR(Applicant_List!BN54="Y",Applicant_List!BK54="Y"),1,0)</f>
        <v/>
      </c>
      <c r="M53" s="8">
        <f>COUNTIF(Applicant_List!AI54:BM54,"N")+COUNTBLANK(Applicant_List!AI54:BM54)</f>
        <v/>
      </c>
      <c r="N53" s="8">
        <f>MAX(E53:J53)</f>
        <v/>
      </c>
      <c r="O53" s="8">
        <f>IF(Applicant_List!BP54="Y",100000,0)+IF(ISNUMBER(Applicant_List!BO54),50000-INT(Applicant_List!BO54),0)+IF(LEN(Applicant_List!L54)&gt;0,1000,0)</f>
        <v/>
      </c>
      <c r="P53" s="8">
        <f>IF(D53,"Terminal",IF(N53=1,"Blocked",IF(K53=1,"Determination Notice",IF(L53=1,"Board","Under Review"))))</f>
        <v/>
      </c>
      <c r="Q53" s="8">
        <f>IF(Applicant_List!L54="Closed","Closed",IF(OR(Applicant_List!L54="Withdrawn",Applicant_List!L54="Terminated"),Applicant_List!L54,IF(N53=1,"No Advancement",IF(K53=1,"Determination Notice Issued",IF(L53=1,"Board","Under Review")))))</f>
        <v/>
      </c>
    </row>
    <row r="54">
      <c r="A54" s="8">
        <f>Applicant_List!C55</f>
        <v/>
      </c>
      <c r="B54" s="8">
        <f>Applicant_List!E55</f>
        <v/>
      </c>
      <c r="C54" s="8">
        <f>Applicant_List!L55</f>
        <v/>
      </c>
      <c r="D54" s="8">
        <f>OR(Applicant_List!L55="Closed",Applicant_List!L55="Withdrawn",Applicant_List!L55="Terminated")</f>
        <v/>
      </c>
      <c r="E54" s="8">
        <f>IF(OR(Applicant_List!AI55="N",Applicant_List!AI55=""),1,0)</f>
        <v/>
      </c>
      <c r="F54" s="8">
        <f>IF(OR(Applicant_List!AK55="N",Applicant_List!AK55="",Applicant_List!AL55="N",Applicant_List!AL55=""),1,0)</f>
        <v/>
      </c>
      <c r="G54" s="8">
        <f>IF(OR(Applicant_List!AM55="N",Applicant_List!AM55=""),1,0)</f>
        <v/>
      </c>
      <c r="H54" s="8">
        <f>IF(OR(Applicant_List!AX55="Y",AND(Applicant_List!AS55="Y",Applicant_List!AV55&lt;&gt;"Y")),1,0)</f>
        <v/>
      </c>
      <c r="I54" s="8">
        <f>IF(OR(Applicant_List!AZ55="N",Applicant_List!AZ55="",Applicant_List!BA55="N",Applicant_List!BA55=""),1,0)</f>
        <v/>
      </c>
      <c r="J54" s="8">
        <f>IF(OR(Applicant_List!BB55="N",Applicant_List!BB55="",Applicant_List!BC55="N",Applicant_List!BE55="Y",Applicant_List!BL55="Y"),1,0)</f>
        <v/>
      </c>
      <c r="K54" s="8">
        <f>IF(AND(Applicant_List!BJ55="Y",Applicant_List!BM55="Y",Applicant_List!BK55&lt;&gt;"Y"),1,0)</f>
        <v/>
      </c>
      <c r="L54" s="8">
        <f>IF(OR(Applicant_List!BN55="Y",Applicant_List!BK55="Y"),1,0)</f>
        <v/>
      </c>
      <c r="M54" s="8">
        <f>COUNTIF(Applicant_List!AI55:BM55,"N")+COUNTBLANK(Applicant_List!AI55:BM55)</f>
        <v/>
      </c>
      <c r="N54" s="8">
        <f>MAX(E54:J54)</f>
        <v/>
      </c>
      <c r="O54" s="8">
        <f>IF(Applicant_List!BP55="Y",100000,0)+IF(ISNUMBER(Applicant_List!BO55),50000-INT(Applicant_List!BO55),0)+IF(LEN(Applicant_List!L55)&gt;0,1000,0)</f>
        <v/>
      </c>
      <c r="P54" s="8">
        <f>IF(D54,"Terminal",IF(N54=1,"Blocked",IF(K54=1,"Determination Notice",IF(L54=1,"Board","Under Review"))))</f>
        <v/>
      </c>
      <c r="Q54" s="8">
        <f>IF(Applicant_List!L55="Closed","Closed",IF(OR(Applicant_List!L55="Withdrawn",Applicant_List!L55="Terminated"),Applicant_List!L55,IF(N54=1,"No Advancement",IF(K54=1,"Determination Notice Issued",IF(L54=1,"Board","Under Review")))))</f>
        <v/>
      </c>
    </row>
    <row r="55">
      <c r="A55" s="8">
        <f>Applicant_List!C56</f>
        <v/>
      </c>
      <c r="B55" s="8">
        <f>Applicant_List!E56</f>
        <v/>
      </c>
      <c r="C55" s="8">
        <f>Applicant_List!L56</f>
        <v/>
      </c>
      <c r="D55" s="8">
        <f>OR(Applicant_List!L56="Closed",Applicant_List!L56="Withdrawn",Applicant_List!L56="Terminated")</f>
        <v/>
      </c>
      <c r="E55" s="8">
        <f>IF(OR(Applicant_List!AI56="N",Applicant_List!AI56=""),1,0)</f>
        <v/>
      </c>
      <c r="F55" s="8">
        <f>IF(OR(Applicant_List!AK56="N",Applicant_List!AK56="",Applicant_List!AL56="N",Applicant_List!AL56=""),1,0)</f>
        <v/>
      </c>
      <c r="G55" s="8">
        <f>IF(OR(Applicant_List!AM56="N",Applicant_List!AM56=""),1,0)</f>
        <v/>
      </c>
      <c r="H55" s="8">
        <f>IF(OR(Applicant_List!AX56="Y",AND(Applicant_List!AS56="Y",Applicant_List!AV56&lt;&gt;"Y")),1,0)</f>
        <v/>
      </c>
      <c r="I55" s="8">
        <f>IF(OR(Applicant_List!AZ56="N",Applicant_List!AZ56="",Applicant_List!BA56="N",Applicant_List!BA56=""),1,0)</f>
        <v/>
      </c>
      <c r="J55" s="8">
        <f>IF(OR(Applicant_List!BB56="N",Applicant_List!BB56="",Applicant_List!BC56="N",Applicant_List!BE56="Y",Applicant_List!BL56="Y"),1,0)</f>
        <v/>
      </c>
      <c r="K55" s="8">
        <f>IF(AND(Applicant_List!BJ56="Y",Applicant_List!BM56="Y",Applicant_List!BK56&lt;&gt;"Y"),1,0)</f>
        <v/>
      </c>
      <c r="L55" s="8">
        <f>IF(OR(Applicant_List!BN56="Y",Applicant_List!BK56="Y"),1,0)</f>
        <v/>
      </c>
      <c r="M55" s="8">
        <f>COUNTIF(Applicant_List!AI56:BM56,"N")+COUNTBLANK(Applicant_List!AI56:BM56)</f>
        <v/>
      </c>
      <c r="N55" s="8">
        <f>MAX(E55:J55)</f>
        <v/>
      </c>
      <c r="O55" s="8">
        <f>IF(Applicant_List!BP56="Y",100000,0)+IF(ISNUMBER(Applicant_List!BO56),50000-INT(Applicant_List!BO56),0)+IF(LEN(Applicant_List!L56)&gt;0,1000,0)</f>
        <v/>
      </c>
      <c r="P55" s="8">
        <f>IF(D55,"Terminal",IF(N55=1,"Blocked",IF(K55=1,"Determination Notice",IF(L55=1,"Board","Under Review"))))</f>
        <v/>
      </c>
      <c r="Q55" s="8">
        <f>IF(Applicant_List!L56="Closed","Closed",IF(OR(Applicant_List!L56="Withdrawn",Applicant_List!L56="Terminated"),Applicant_List!L56,IF(N55=1,"No Advancement",IF(K55=1,"Determination Notice Issued",IF(L55=1,"Board","Under Review")))))</f>
        <v/>
      </c>
    </row>
    <row r="56">
      <c r="A56" s="8">
        <f>Applicant_List!C57</f>
        <v/>
      </c>
      <c r="B56" s="8">
        <f>Applicant_List!E57</f>
        <v/>
      </c>
      <c r="C56" s="8">
        <f>Applicant_List!L57</f>
        <v/>
      </c>
      <c r="D56" s="8">
        <f>OR(Applicant_List!L57="Closed",Applicant_List!L57="Withdrawn",Applicant_List!L57="Terminated")</f>
        <v/>
      </c>
      <c r="E56" s="8">
        <f>IF(OR(Applicant_List!AI57="N",Applicant_List!AI57=""),1,0)</f>
        <v/>
      </c>
      <c r="F56" s="8">
        <f>IF(OR(Applicant_List!AK57="N",Applicant_List!AK57="",Applicant_List!AL57="N",Applicant_List!AL57=""),1,0)</f>
        <v/>
      </c>
      <c r="G56" s="8">
        <f>IF(OR(Applicant_List!AM57="N",Applicant_List!AM57=""),1,0)</f>
        <v/>
      </c>
      <c r="H56" s="8">
        <f>IF(OR(Applicant_List!AX57="Y",AND(Applicant_List!AS57="Y",Applicant_List!AV57&lt;&gt;"Y")),1,0)</f>
        <v/>
      </c>
      <c r="I56" s="8">
        <f>IF(OR(Applicant_List!AZ57="N",Applicant_List!AZ57="",Applicant_List!BA57="N",Applicant_List!BA57=""),1,0)</f>
        <v/>
      </c>
      <c r="J56" s="8">
        <f>IF(OR(Applicant_List!BB57="N",Applicant_List!BB57="",Applicant_List!BC57="N",Applicant_List!BE57="Y",Applicant_List!BL57="Y"),1,0)</f>
        <v/>
      </c>
      <c r="K56" s="8">
        <f>IF(AND(Applicant_List!BJ57="Y",Applicant_List!BM57="Y",Applicant_List!BK57&lt;&gt;"Y"),1,0)</f>
        <v/>
      </c>
      <c r="L56" s="8">
        <f>IF(OR(Applicant_List!BN57="Y",Applicant_List!BK57="Y"),1,0)</f>
        <v/>
      </c>
      <c r="M56" s="8">
        <f>COUNTIF(Applicant_List!AI57:BM57,"N")+COUNTBLANK(Applicant_List!AI57:BM57)</f>
        <v/>
      </c>
      <c r="N56" s="8">
        <f>MAX(E56:J56)</f>
        <v/>
      </c>
      <c r="O56" s="8">
        <f>IF(Applicant_List!BP57="Y",100000,0)+IF(ISNUMBER(Applicant_List!BO57),50000-INT(Applicant_List!BO57),0)+IF(LEN(Applicant_List!L57)&gt;0,1000,0)</f>
        <v/>
      </c>
      <c r="P56" s="8">
        <f>IF(D56,"Terminal",IF(N56=1,"Blocked",IF(K56=1,"Determination Notice",IF(L56=1,"Board","Under Review"))))</f>
        <v/>
      </c>
      <c r="Q56" s="8">
        <f>IF(Applicant_List!L57="Closed","Closed",IF(OR(Applicant_List!L57="Withdrawn",Applicant_List!L57="Terminated"),Applicant_List!L57,IF(N56=1,"No Advancement",IF(K56=1,"Determination Notice Issued",IF(L56=1,"Board","Under Review")))))</f>
        <v/>
      </c>
    </row>
    <row r="57">
      <c r="A57" s="8">
        <f>Applicant_List!C58</f>
        <v/>
      </c>
      <c r="B57" s="8">
        <f>Applicant_List!E58</f>
        <v/>
      </c>
      <c r="C57" s="8">
        <f>Applicant_List!L58</f>
        <v/>
      </c>
      <c r="D57" s="8">
        <f>OR(Applicant_List!L58="Closed",Applicant_List!L58="Withdrawn",Applicant_List!L58="Terminated")</f>
        <v/>
      </c>
      <c r="E57" s="8">
        <f>IF(OR(Applicant_List!AI58="N",Applicant_List!AI58=""),1,0)</f>
        <v/>
      </c>
      <c r="F57" s="8">
        <f>IF(OR(Applicant_List!AK58="N",Applicant_List!AK58="",Applicant_List!AL58="N",Applicant_List!AL58=""),1,0)</f>
        <v/>
      </c>
      <c r="G57" s="8">
        <f>IF(OR(Applicant_List!AM58="N",Applicant_List!AM58=""),1,0)</f>
        <v/>
      </c>
      <c r="H57" s="8">
        <f>IF(OR(Applicant_List!AX58="Y",AND(Applicant_List!AS58="Y",Applicant_List!AV58&lt;&gt;"Y")),1,0)</f>
        <v/>
      </c>
      <c r="I57" s="8">
        <f>IF(OR(Applicant_List!AZ58="N",Applicant_List!AZ58="",Applicant_List!BA58="N",Applicant_List!BA58=""),1,0)</f>
        <v/>
      </c>
      <c r="J57" s="8">
        <f>IF(OR(Applicant_List!BB58="N",Applicant_List!BB58="",Applicant_List!BC58="N",Applicant_List!BE58="Y",Applicant_List!BL58="Y"),1,0)</f>
        <v/>
      </c>
      <c r="K57" s="8">
        <f>IF(AND(Applicant_List!BJ58="Y",Applicant_List!BM58="Y",Applicant_List!BK58&lt;&gt;"Y"),1,0)</f>
        <v/>
      </c>
      <c r="L57" s="8">
        <f>IF(OR(Applicant_List!BN58="Y",Applicant_List!BK58="Y"),1,0)</f>
        <v/>
      </c>
      <c r="M57" s="8">
        <f>COUNTIF(Applicant_List!AI58:BM58,"N")+COUNTBLANK(Applicant_List!AI58:BM58)</f>
        <v/>
      </c>
      <c r="N57" s="8">
        <f>MAX(E57:J57)</f>
        <v/>
      </c>
      <c r="O57" s="8">
        <f>IF(Applicant_List!BP58="Y",100000,0)+IF(ISNUMBER(Applicant_List!BO58),50000-INT(Applicant_List!BO58),0)+IF(LEN(Applicant_List!L58)&gt;0,1000,0)</f>
        <v/>
      </c>
      <c r="P57" s="8">
        <f>IF(D57,"Terminal",IF(N57=1,"Blocked",IF(K57=1,"Determination Notice",IF(L57=1,"Board","Under Review"))))</f>
        <v/>
      </c>
      <c r="Q57" s="8">
        <f>IF(Applicant_List!L58="Closed","Closed",IF(OR(Applicant_List!L58="Withdrawn",Applicant_List!L58="Terminated"),Applicant_List!L58,IF(N57=1,"No Advancement",IF(K57=1,"Determination Notice Issued",IF(L57=1,"Board","Under Review")))))</f>
        <v/>
      </c>
    </row>
    <row r="58">
      <c r="A58" s="8">
        <f>Applicant_List!C59</f>
        <v/>
      </c>
      <c r="B58" s="8">
        <f>Applicant_List!E59</f>
        <v/>
      </c>
      <c r="C58" s="8">
        <f>Applicant_List!L59</f>
        <v/>
      </c>
      <c r="D58" s="8">
        <f>OR(Applicant_List!L59="Closed",Applicant_List!L59="Withdrawn",Applicant_List!L59="Terminated")</f>
        <v/>
      </c>
      <c r="E58" s="8">
        <f>IF(OR(Applicant_List!AI59="N",Applicant_List!AI59=""),1,0)</f>
        <v/>
      </c>
      <c r="F58" s="8">
        <f>IF(OR(Applicant_List!AK59="N",Applicant_List!AK59="",Applicant_List!AL59="N",Applicant_List!AL59=""),1,0)</f>
        <v/>
      </c>
      <c r="G58" s="8">
        <f>IF(OR(Applicant_List!AM59="N",Applicant_List!AM59=""),1,0)</f>
        <v/>
      </c>
      <c r="H58" s="8">
        <f>IF(OR(Applicant_List!AX59="Y",AND(Applicant_List!AS59="Y",Applicant_List!AV59&lt;&gt;"Y")),1,0)</f>
        <v/>
      </c>
      <c r="I58" s="8">
        <f>IF(OR(Applicant_List!AZ59="N",Applicant_List!AZ59="",Applicant_List!BA59="N",Applicant_List!BA59=""),1,0)</f>
        <v/>
      </c>
      <c r="J58" s="8">
        <f>IF(OR(Applicant_List!BB59="N",Applicant_List!BB59="",Applicant_List!BC59="N",Applicant_List!BE59="Y",Applicant_List!BL59="Y"),1,0)</f>
        <v/>
      </c>
      <c r="K58" s="8">
        <f>IF(AND(Applicant_List!BJ59="Y",Applicant_List!BM59="Y",Applicant_List!BK59&lt;&gt;"Y"),1,0)</f>
        <v/>
      </c>
      <c r="L58" s="8">
        <f>IF(OR(Applicant_List!BN59="Y",Applicant_List!BK59="Y"),1,0)</f>
        <v/>
      </c>
      <c r="M58" s="8">
        <f>COUNTIF(Applicant_List!AI59:BM59,"N")+COUNTBLANK(Applicant_List!AI59:BM59)</f>
        <v/>
      </c>
      <c r="N58" s="8">
        <f>MAX(E58:J58)</f>
        <v/>
      </c>
      <c r="O58" s="8">
        <f>IF(Applicant_List!BP59="Y",100000,0)+IF(ISNUMBER(Applicant_List!BO59),50000-INT(Applicant_List!BO59),0)+IF(LEN(Applicant_List!L59)&gt;0,1000,0)</f>
        <v/>
      </c>
      <c r="P58" s="8">
        <f>IF(D58,"Terminal",IF(N58=1,"Blocked",IF(K58=1,"Determination Notice",IF(L58=1,"Board","Under Review"))))</f>
        <v/>
      </c>
      <c r="Q58" s="8">
        <f>IF(Applicant_List!L59="Closed","Closed",IF(OR(Applicant_List!L59="Withdrawn",Applicant_List!L59="Terminated"),Applicant_List!L59,IF(N58=1,"No Advancement",IF(K58=1,"Determination Notice Issued",IF(L58=1,"Board","Under Review")))))</f>
        <v/>
      </c>
    </row>
    <row r="59">
      <c r="A59" s="8">
        <f>Applicant_List!C60</f>
        <v/>
      </c>
      <c r="B59" s="8">
        <f>Applicant_List!E60</f>
        <v/>
      </c>
      <c r="C59" s="8">
        <f>Applicant_List!L60</f>
        <v/>
      </c>
      <c r="D59" s="8">
        <f>OR(Applicant_List!L60="Closed",Applicant_List!L60="Withdrawn",Applicant_List!L60="Terminated")</f>
        <v/>
      </c>
      <c r="E59" s="8">
        <f>IF(OR(Applicant_List!AI60="N",Applicant_List!AI60=""),1,0)</f>
        <v/>
      </c>
      <c r="F59" s="8">
        <f>IF(OR(Applicant_List!AK60="N",Applicant_List!AK60="",Applicant_List!AL60="N",Applicant_List!AL60=""),1,0)</f>
        <v/>
      </c>
      <c r="G59" s="8">
        <f>IF(OR(Applicant_List!AM60="N",Applicant_List!AM60=""),1,0)</f>
        <v/>
      </c>
      <c r="H59" s="8">
        <f>IF(OR(Applicant_List!AX60="Y",AND(Applicant_List!AS60="Y",Applicant_List!AV60&lt;&gt;"Y")),1,0)</f>
        <v/>
      </c>
      <c r="I59" s="8">
        <f>IF(OR(Applicant_List!AZ60="N",Applicant_List!AZ60="",Applicant_List!BA60="N",Applicant_List!BA60=""),1,0)</f>
        <v/>
      </c>
      <c r="J59" s="8">
        <f>IF(OR(Applicant_List!BB60="N",Applicant_List!BB60="",Applicant_List!BC60="N",Applicant_List!BE60="Y",Applicant_List!BL60="Y"),1,0)</f>
        <v/>
      </c>
      <c r="K59" s="8">
        <f>IF(AND(Applicant_List!BJ60="Y",Applicant_List!BM60="Y",Applicant_List!BK60&lt;&gt;"Y"),1,0)</f>
        <v/>
      </c>
      <c r="L59" s="8">
        <f>IF(OR(Applicant_List!BN60="Y",Applicant_List!BK60="Y"),1,0)</f>
        <v/>
      </c>
      <c r="M59" s="8">
        <f>COUNTIF(Applicant_List!AI60:BM60,"N")+COUNTBLANK(Applicant_List!AI60:BM60)</f>
        <v/>
      </c>
      <c r="N59" s="8">
        <f>MAX(E59:J59)</f>
        <v/>
      </c>
      <c r="O59" s="8">
        <f>IF(Applicant_List!BP60="Y",100000,0)+IF(ISNUMBER(Applicant_List!BO60),50000-INT(Applicant_List!BO60),0)+IF(LEN(Applicant_List!L60)&gt;0,1000,0)</f>
        <v/>
      </c>
      <c r="P59" s="8">
        <f>IF(D59,"Terminal",IF(N59=1,"Blocked",IF(K59=1,"Determination Notice",IF(L59=1,"Board","Under Review"))))</f>
        <v/>
      </c>
      <c r="Q59" s="8">
        <f>IF(Applicant_List!L60="Closed","Closed",IF(OR(Applicant_List!L60="Withdrawn",Applicant_List!L60="Terminated"),Applicant_List!L60,IF(N59=1,"No Advancement",IF(K59=1,"Determination Notice Issued",IF(L59=1,"Board","Under Review")))))</f>
        <v/>
      </c>
    </row>
    <row r="60">
      <c r="A60" s="8">
        <f>Applicant_List!C61</f>
        <v/>
      </c>
      <c r="B60" s="8">
        <f>Applicant_List!E61</f>
        <v/>
      </c>
      <c r="C60" s="8">
        <f>Applicant_List!L61</f>
        <v/>
      </c>
      <c r="D60" s="8">
        <f>OR(Applicant_List!L61="Closed",Applicant_List!L61="Withdrawn",Applicant_List!L61="Terminated")</f>
        <v/>
      </c>
      <c r="E60" s="8">
        <f>IF(OR(Applicant_List!AI61="N",Applicant_List!AI61=""),1,0)</f>
        <v/>
      </c>
      <c r="F60" s="8">
        <f>IF(OR(Applicant_List!AK61="N",Applicant_List!AK61="",Applicant_List!AL61="N",Applicant_List!AL61=""),1,0)</f>
        <v/>
      </c>
      <c r="G60" s="8">
        <f>IF(OR(Applicant_List!AM61="N",Applicant_List!AM61=""),1,0)</f>
        <v/>
      </c>
      <c r="H60" s="8">
        <f>IF(OR(Applicant_List!AX61="Y",AND(Applicant_List!AS61="Y",Applicant_List!AV61&lt;&gt;"Y")),1,0)</f>
        <v/>
      </c>
      <c r="I60" s="8">
        <f>IF(OR(Applicant_List!AZ61="N",Applicant_List!AZ61="",Applicant_List!BA61="N",Applicant_List!BA61=""),1,0)</f>
        <v/>
      </c>
      <c r="J60" s="8">
        <f>IF(OR(Applicant_List!BB61="N",Applicant_List!BB61="",Applicant_List!BC61="N",Applicant_List!BE61="Y",Applicant_List!BL61="Y"),1,0)</f>
        <v/>
      </c>
      <c r="K60" s="8">
        <f>IF(AND(Applicant_List!BJ61="Y",Applicant_List!BM61="Y",Applicant_List!BK61&lt;&gt;"Y"),1,0)</f>
        <v/>
      </c>
      <c r="L60" s="8">
        <f>IF(OR(Applicant_List!BN61="Y",Applicant_List!BK61="Y"),1,0)</f>
        <v/>
      </c>
      <c r="M60" s="8">
        <f>COUNTIF(Applicant_List!AI61:BM61,"N")+COUNTBLANK(Applicant_List!AI61:BM61)</f>
        <v/>
      </c>
      <c r="N60" s="8">
        <f>MAX(E60:J60)</f>
        <v/>
      </c>
      <c r="O60" s="8">
        <f>IF(Applicant_List!BP61="Y",100000,0)+IF(ISNUMBER(Applicant_List!BO61),50000-INT(Applicant_List!BO61),0)+IF(LEN(Applicant_List!L61)&gt;0,1000,0)</f>
        <v/>
      </c>
      <c r="P60" s="8">
        <f>IF(D60,"Terminal",IF(N60=1,"Blocked",IF(K60=1,"Determination Notice",IF(L60=1,"Board","Under Review"))))</f>
        <v/>
      </c>
      <c r="Q60" s="8">
        <f>IF(Applicant_List!L61="Closed","Closed",IF(OR(Applicant_List!L61="Withdrawn",Applicant_List!L61="Terminated"),Applicant_List!L61,IF(N60=1,"No Advancement",IF(K60=1,"Determination Notice Issued",IF(L60=1,"Board","Under Review")))))</f>
        <v/>
      </c>
    </row>
    <row r="61">
      <c r="A61" s="8">
        <f>Applicant_List!C62</f>
        <v/>
      </c>
      <c r="B61" s="8">
        <f>Applicant_List!E62</f>
        <v/>
      </c>
      <c r="C61" s="8">
        <f>Applicant_List!L62</f>
        <v/>
      </c>
      <c r="D61" s="8">
        <f>OR(Applicant_List!L62="Closed",Applicant_List!L62="Withdrawn",Applicant_List!L62="Terminated")</f>
        <v/>
      </c>
      <c r="E61" s="8">
        <f>IF(OR(Applicant_List!AI62="N",Applicant_List!AI62=""),1,0)</f>
        <v/>
      </c>
      <c r="F61" s="8">
        <f>IF(OR(Applicant_List!AK62="N",Applicant_List!AK62="",Applicant_List!AL62="N",Applicant_List!AL62=""),1,0)</f>
        <v/>
      </c>
      <c r="G61" s="8">
        <f>IF(OR(Applicant_List!AM62="N",Applicant_List!AM62=""),1,0)</f>
        <v/>
      </c>
      <c r="H61" s="8">
        <f>IF(OR(Applicant_List!AX62="Y",AND(Applicant_List!AS62="Y",Applicant_List!AV62&lt;&gt;"Y")),1,0)</f>
        <v/>
      </c>
      <c r="I61" s="8">
        <f>IF(OR(Applicant_List!AZ62="N",Applicant_List!AZ62="",Applicant_List!BA62="N",Applicant_List!BA62=""),1,0)</f>
        <v/>
      </c>
      <c r="J61" s="8">
        <f>IF(OR(Applicant_List!BB62="N",Applicant_List!BB62="",Applicant_List!BC62="N",Applicant_List!BE62="Y",Applicant_List!BL62="Y"),1,0)</f>
        <v/>
      </c>
      <c r="K61" s="8">
        <f>IF(AND(Applicant_List!BJ62="Y",Applicant_List!BM62="Y",Applicant_List!BK62&lt;&gt;"Y"),1,0)</f>
        <v/>
      </c>
      <c r="L61" s="8">
        <f>IF(OR(Applicant_List!BN62="Y",Applicant_List!BK62="Y"),1,0)</f>
        <v/>
      </c>
      <c r="M61" s="8">
        <f>COUNTIF(Applicant_List!AI62:BM62,"N")+COUNTBLANK(Applicant_List!AI62:BM62)</f>
        <v/>
      </c>
      <c r="N61" s="8">
        <f>MAX(E61:J61)</f>
        <v/>
      </c>
      <c r="O61" s="8">
        <f>IF(Applicant_List!BP62="Y",100000,0)+IF(ISNUMBER(Applicant_List!BO62),50000-INT(Applicant_List!BO62),0)+IF(LEN(Applicant_List!L62)&gt;0,1000,0)</f>
        <v/>
      </c>
      <c r="P61" s="8">
        <f>IF(D61,"Terminal",IF(N61=1,"Blocked",IF(K61=1,"Determination Notice",IF(L61=1,"Board","Under Review"))))</f>
        <v/>
      </c>
      <c r="Q61" s="8">
        <f>IF(Applicant_List!L62="Closed","Closed",IF(OR(Applicant_List!L62="Withdrawn",Applicant_List!L62="Terminated"),Applicant_List!L62,IF(N61=1,"No Advancement",IF(K61=1,"Determination Notice Issued",IF(L61=1,"Board","Under Review")))))</f>
        <v/>
      </c>
    </row>
    <row r="62">
      <c r="A62" s="8">
        <f>Applicant_List!C63</f>
        <v/>
      </c>
      <c r="B62" s="8">
        <f>Applicant_List!E63</f>
        <v/>
      </c>
      <c r="C62" s="8">
        <f>Applicant_List!L63</f>
        <v/>
      </c>
      <c r="D62" s="8">
        <f>OR(Applicant_List!L63="Closed",Applicant_List!L63="Withdrawn",Applicant_List!L63="Terminated")</f>
        <v/>
      </c>
      <c r="E62" s="8">
        <f>IF(OR(Applicant_List!AI63="N",Applicant_List!AI63=""),1,0)</f>
        <v/>
      </c>
      <c r="F62" s="8">
        <f>IF(OR(Applicant_List!AK63="N",Applicant_List!AK63="",Applicant_List!AL63="N",Applicant_List!AL63=""),1,0)</f>
        <v/>
      </c>
      <c r="G62" s="8">
        <f>IF(OR(Applicant_List!AM63="N",Applicant_List!AM63=""),1,0)</f>
        <v/>
      </c>
      <c r="H62" s="8">
        <f>IF(OR(Applicant_List!AX63="Y",AND(Applicant_List!AS63="Y",Applicant_List!AV63&lt;&gt;"Y")),1,0)</f>
        <v/>
      </c>
      <c r="I62" s="8">
        <f>IF(OR(Applicant_List!AZ63="N",Applicant_List!AZ63="",Applicant_List!BA63="N",Applicant_List!BA63=""),1,0)</f>
        <v/>
      </c>
      <c r="J62" s="8">
        <f>IF(OR(Applicant_List!BB63="N",Applicant_List!BB63="",Applicant_List!BC63="N",Applicant_List!BE63="Y",Applicant_List!BL63="Y"),1,0)</f>
        <v/>
      </c>
      <c r="K62" s="8">
        <f>IF(AND(Applicant_List!BJ63="Y",Applicant_List!BM63="Y",Applicant_List!BK63&lt;&gt;"Y"),1,0)</f>
        <v/>
      </c>
      <c r="L62" s="8">
        <f>IF(OR(Applicant_List!BN63="Y",Applicant_List!BK63="Y"),1,0)</f>
        <v/>
      </c>
      <c r="M62" s="8">
        <f>COUNTIF(Applicant_List!AI63:BM63,"N")+COUNTBLANK(Applicant_List!AI63:BM63)</f>
        <v/>
      </c>
      <c r="N62" s="8">
        <f>MAX(E62:J62)</f>
        <v/>
      </c>
      <c r="O62" s="8">
        <f>IF(Applicant_List!BP63="Y",100000,0)+IF(ISNUMBER(Applicant_List!BO63),50000-INT(Applicant_List!BO63),0)+IF(LEN(Applicant_List!L63)&gt;0,1000,0)</f>
        <v/>
      </c>
      <c r="P62" s="8">
        <f>IF(D62,"Terminal",IF(N62=1,"Blocked",IF(K62=1,"Determination Notice",IF(L62=1,"Board","Under Review"))))</f>
        <v/>
      </c>
      <c r="Q62" s="8">
        <f>IF(Applicant_List!L63="Closed","Closed",IF(OR(Applicant_List!L63="Withdrawn",Applicant_List!L63="Terminated"),Applicant_List!L63,IF(N62=1,"No Advancement",IF(K62=1,"Determination Notice Issued",IF(L62=1,"Board","Under Review")))))</f>
        <v/>
      </c>
    </row>
    <row r="63">
      <c r="A63" s="8">
        <f>Applicant_List!C64</f>
        <v/>
      </c>
      <c r="B63" s="8">
        <f>Applicant_List!E64</f>
        <v/>
      </c>
      <c r="C63" s="8">
        <f>Applicant_List!L64</f>
        <v/>
      </c>
      <c r="D63" s="8">
        <f>OR(Applicant_List!L64="Closed",Applicant_List!L64="Withdrawn",Applicant_List!L64="Terminated")</f>
        <v/>
      </c>
      <c r="E63" s="8">
        <f>IF(OR(Applicant_List!AI64="N",Applicant_List!AI64=""),1,0)</f>
        <v/>
      </c>
      <c r="F63" s="8">
        <f>IF(OR(Applicant_List!AK64="N",Applicant_List!AK64="",Applicant_List!AL64="N",Applicant_List!AL64=""),1,0)</f>
        <v/>
      </c>
      <c r="G63" s="8">
        <f>IF(OR(Applicant_List!AM64="N",Applicant_List!AM64=""),1,0)</f>
        <v/>
      </c>
      <c r="H63" s="8">
        <f>IF(OR(Applicant_List!AX64="Y",AND(Applicant_List!AS64="Y",Applicant_List!AV64&lt;&gt;"Y")),1,0)</f>
        <v/>
      </c>
      <c r="I63" s="8">
        <f>IF(OR(Applicant_List!AZ64="N",Applicant_List!AZ64="",Applicant_List!BA64="N",Applicant_List!BA64=""),1,0)</f>
        <v/>
      </c>
      <c r="J63" s="8">
        <f>IF(OR(Applicant_List!BB64="N",Applicant_List!BB64="",Applicant_List!BC64="N",Applicant_List!BE64="Y",Applicant_List!BL64="Y"),1,0)</f>
        <v/>
      </c>
      <c r="K63" s="8">
        <f>IF(AND(Applicant_List!BJ64="Y",Applicant_List!BM64="Y",Applicant_List!BK64&lt;&gt;"Y"),1,0)</f>
        <v/>
      </c>
      <c r="L63" s="8">
        <f>IF(OR(Applicant_List!BN64="Y",Applicant_List!BK64="Y"),1,0)</f>
        <v/>
      </c>
      <c r="M63" s="8">
        <f>COUNTIF(Applicant_List!AI64:BM64,"N")+COUNTBLANK(Applicant_List!AI64:BM64)</f>
        <v/>
      </c>
      <c r="N63" s="8">
        <f>MAX(E63:J63)</f>
        <v/>
      </c>
      <c r="O63" s="8">
        <f>IF(Applicant_List!BP64="Y",100000,0)+IF(ISNUMBER(Applicant_List!BO64),50000-INT(Applicant_List!BO64),0)+IF(LEN(Applicant_List!L64)&gt;0,1000,0)</f>
        <v/>
      </c>
      <c r="P63" s="8">
        <f>IF(D63,"Terminal",IF(N63=1,"Blocked",IF(K63=1,"Determination Notice",IF(L63=1,"Board","Under Review"))))</f>
        <v/>
      </c>
      <c r="Q63" s="8">
        <f>IF(Applicant_List!L64="Closed","Closed",IF(OR(Applicant_List!L64="Withdrawn",Applicant_List!L64="Terminated"),Applicant_List!L64,IF(N63=1,"No Advancement",IF(K63=1,"Determination Notice Issued",IF(L63=1,"Board","Under Review")))))</f>
        <v/>
      </c>
    </row>
    <row r="64">
      <c r="A64" s="8">
        <f>Applicant_List!C65</f>
        <v/>
      </c>
      <c r="B64" s="8">
        <f>Applicant_List!E65</f>
        <v/>
      </c>
      <c r="C64" s="8">
        <f>Applicant_List!L65</f>
        <v/>
      </c>
      <c r="D64" s="8">
        <f>OR(Applicant_List!L65="Closed",Applicant_List!L65="Withdrawn",Applicant_List!L65="Terminated")</f>
        <v/>
      </c>
      <c r="E64" s="8">
        <f>IF(OR(Applicant_List!AI65="N",Applicant_List!AI65=""),1,0)</f>
        <v/>
      </c>
      <c r="F64" s="8">
        <f>IF(OR(Applicant_List!AK65="N",Applicant_List!AK65="",Applicant_List!AL65="N",Applicant_List!AL65=""),1,0)</f>
        <v/>
      </c>
      <c r="G64" s="8">
        <f>IF(OR(Applicant_List!AM65="N",Applicant_List!AM65=""),1,0)</f>
        <v/>
      </c>
      <c r="H64" s="8">
        <f>IF(OR(Applicant_List!AX65="Y",AND(Applicant_List!AS65="Y",Applicant_List!AV65&lt;&gt;"Y")),1,0)</f>
        <v/>
      </c>
      <c r="I64" s="8">
        <f>IF(OR(Applicant_List!AZ65="N",Applicant_List!AZ65="",Applicant_List!BA65="N",Applicant_List!BA65=""),1,0)</f>
        <v/>
      </c>
      <c r="J64" s="8">
        <f>IF(OR(Applicant_List!BB65="N",Applicant_List!BB65="",Applicant_List!BC65="N",Applicant_List!BE65="Y",Applicant_List!BL65="Y"),1,0)</f>
        <v/>
      </c>
      <c r="K64" s="8">
        <f>IF(AND(Applicant_List!BJ65="Y",Applicant_List!BM65="Y",Applicant_List!BK65&lt;&gt;"Y"),1,0)</f>
        <v/>
      </c>
      <c r="L64" s="8">
        <f>IF(OR(Applicant_List!BN65="Y",Applicant_List!BK65="Y"),1,0)</f>
        <v/>
      </c>
      <c r="M64" s="8">
        <f>COUNTIF(Applicant_List!AI65:BM65,"N")+COUNTBLANK(Applicant_List!AI65:BM65)</f>
        <v/>
      </c>
      <c r="N64" s="8">
        <f>MAX(E64:J64)</f>
        <v/>
      </c>
      <c r="O64" s="8">
        <f>IF(Applicant_List!BP65="Y",100000,0)+IF(ISNUMBER(Applicant_List!BO65),50000-INT(Applicant_List!BO65),0)+IF(LEN(Applicant_List!L65)&gt;0,1000,0)</f>
        <v/>
      </c>
      <c r="P64" s="8">
        <f>IF(D64,"Terminal",IF(N64=1,"Blocked",IF(K64=1,"Determination Notice",IF(L64=1,"Board","Under Review"))))</f>
        <v/>
      </c>
      <c r="Q64" s="8">
        <f>IF(Applicant_List!L65="Closed","Closed",IF(OR(Applicant_List!L65="Withdrawn",Applicant_List!L65="Terminated"),Applicant_List!L65,IF(N64=1,"No Advancement",IF(K64=1,"Determination Notice Issued",IF(L64=1,"Board","Under Review")))))</f>
        <v/>
      </c>
    </row>
    <row r="65">
      <c r="A65" s="8">
        <f>Applicant_List!C66</f>
        <v/>
      </c>
      <c r="B65" s="8">
        <f>Applicant_List!E66</f>
        <v/>
      </c>
      <c r="C65" s="8">
        <f>Applicant_List!L66</f>
        <v/>
      </c>
      <c r="D65" s="8">
        <f>OR(Applicant_List!L66="Closed",Applicant_List!L66="Withdrawn",Applicant_List!L66="Terminated")</f>
        <v/>
      </c>
      <c r="E65" s="8">
        <f>IF(OR(Applicant_List!AI66="N",Applicant_List!AI66=""),1,0)</f>
        <v/>
      </c>
      <c r="F65" s="8">
        <f>IF(OR(Applicant_List!AK66="N",Applicant_List!AK66="",Applicant_List!AL66="N",Applicant_List!AL66=""),1,0)</f>
        <v/>
      </c>
      <c r="G65" s="8">
        <f>IF(OR(Applicant_List!AM66="N",Applicant_List!AM66=""),1,0)</f>
        <v/>
      </c>
      <c r="H65" s="8">
        <f>IF(OR(Applicant_List!AX66="Y",AND(Applicant_List!AS66="Y",Applicant_List!AV66&lt;&gt;"Y")),1,0)</f>
        <v/>
      </c>
      <c r="I65" s="8">
        <f>IF(OR(Applicant_List!AZ66="N",Applicant_List!AZ66="",Applicant_List!BA66="N",Applicant_List!BA66=""),1,0)</f>
        <v/>
      </c>
      <c r="J65" s="8">
        <f>IF(OR(Applicant_List!BB66="N",Applicant_List!BB66="",Applicant_List!BC66="N",Applicant_List!BE66="Y",Applicant_List!BL66="Y"),1,0)</f>
        <v/>
      </c>
      <c r="K65" s="8">
        <f>IF(AND(Applicant_List!BJ66="Y",Applicant_List!BM66="Y",Applicant_List!BK66&lt;&gt;"Y"),1,0)</f>
        <v/>
      </c>
      <c r="L65" s="8">
        <f>IF(OR(Applicant_List!BN66="Y",Applicant_List!BK66="Y"),1,0)</f>
        <v/>
      </c>
      <c r="M65" s="8">
        <f>COUNTIF(Applicant_List!AI66:BM66,"N")+COUNTBLANK(Applicant_List!AI66:BM66)</f>
        <v/>
      </c>
      <c r="N65" s="8">
        <f>MAX(E65:J65)</f>
        <v/>
      </c>
      <c r="O65" s="8">
        <f>IF(Applicant_List!BP66="Y",100000,0)+IF(ISNUMBER(Applicant_List!BO66),50000-INT(Applicant_List!BO66),0)+IF(LEN(Applicant_List!L66)&gt;0,1000,0)</f>
        <v/>
      </c>
      <c r="P65" s="8">
        <f>IF(D65,"Terminal",IF(N65=1,"Blocked",IF(K65=1,"Determination Notice",IF(L65=1,"Board","Under Review"))))</f>
        <v/>
      </c>
      <c r="Q65" s="8">
        <f>IF(Applicant_List!L66="Closed","Closed",IF(OR(Applicant_List!L66="Withdrawn",Applicant_List!L66="Terminated"),Applicant_List!L66,IF(N65=1,"No Advancement",IF(K65=1,"Determination Notice Issued",IF(L65=1,"Board","Under Review")))))</f>
        <v/>
      </c>
    </row>
    <row r="66">
      <c r="A66" s="8">
        <f>Applicant_List!C67</f>
        <v/>
      </c>
      <c r="B66" s="8">
        <f>Applicant_List!E67</f>
        <v/>
      </c>
      <c r="C66" s="8">
        <f>Applicant_List!L67</f>
        <v/>
      </c>
      <c r="D66" s="8">
        <f>OR(Applicant_List!L67="Closed",Applicant_List!L67="Withdrawn",Applicant_List!L67="Terminated")</f>
        <v/>
      </c>
      <c r="E66" s="8">
        <f>IF(OR(Applicant_List!AI67="N",Applicant_List!AI67=""),1,0)</f>
        <v/>
      </c>
      <c r="F66" s="8">
        <f>IF(OR(Applicant_List!AK67="N",Applicant_List!AK67="",Applicant_List!AL67="N",Applicant_List!AL67=""),1,0)</f>
        <v/>
      </c>
      <c r="G66" s="8">
        <f>IF(OR(Applicant_List!AM67="N",Applicant_List!AM67=""),1,0)</f>
        <v/>
      </c>
      <c r="H66" s="8">
        <f>IF(OR(Applicant_List!AX67="Y",AND(Applicant_List!AS67="Y",Applicant_List!AV67&lt;&gt;"Y")),1,0)</f>
        <v/>
      </c>
      <c r="I66" s="8">
        <f>IF(OR(Applicant_List!AZ67="N",Applicant_List!AZ67="",Applicant_List!BA67="N",Applicant_List!BA67=""),1,0)</f>
        <v/>
      </c>
      <c r="J66" s="8">
        <f>IF(OR(Applicant_List!BB67="N",Applicant_List!BB67="",Applicant_List!BC67="N",Applicant_List!BE67="Y",Applicant_List!BL67="Y"),1,0)</f>
        <v/>
      </c>
      <c r="K66" s="8">
        <f>IF(AND(Applicant_List!BJ67="Y",Applicant_List!BM67="Y",Applicant_List!BK67&lt;&gt;"Y"),1,0)</f>
        <v/>
      </c>
      <c r="L66" s="8">
        <f>IF(OR(Applicant_List!BN67="Y",Applicant_List!BK67="Y"),1,0)</f>
        <v/>
      </c>
      <c r="M66" s="8">
        <f>COUNTIF(Applicant_List!AI67:BM67,"N")+COUNTBLANK(Applicant_List!AI67:BM67)</f>
        <v/>
      </c>
      <c r="N66" s="8">
        <f>MAX(E66:J66)</f>
        <v/>
      </c>
      <c r="O66" s="8">
        <f>IF(Applicant_List!BP67="Y",100000,0)+IF(ISNUMBER(Applicant_List!BO67),50000-INT(Applicant_List!BO67),0)+IF(LEN(Applicant_List!L67)&gt;0,1000,0)</f>
        <v/>
      </c>
      <c r="P66" s="8">
        <f>IF(D66,"Terminal",IF(N66=1,"Blocked",IF(K66=1,"Determination Notice",IF(L66=1,"Board","Under Review"))))</f>
        <v/>
      </c>
      <c r="Q66" s="8">
        <f>IF(Applicant_List!L67="Closed","Closed",IF(OR(Applicant_List!L67="Withdrawn",Applicant_List!L67="Terminated"),Applicant_List!L67,IF(N66=1,"No Advancement",IF(K66=1,"Determination Notice Issued",IF(L66=1,"Board","Under Review")))))</f>
        <v/>
      </c>
    </row>
    <row r="67">
      <c r="A67" s="8">
        <f>Applicant_List!C68</f>
        <v/>
      </c>
      <c r="B67" s="8">
        <f>Applicant_List!E68</f>
        <v/>
      </c>
      <c r="C67" s="8">
        <f>Applicant_List!L68</f>
        <v/>
      </c>
      <c r="D67" s="8">
        <f>OR(Applicant_List!L68="Closed",Applicant_List!L68="Withdrawn",Applicant_List!L68="Terminated")</f>
        <v/>
      </c>
      <c r="E67" s="8">
        <f>IF(OR(Applicant_List!AI68="N",Applicant_List!AI68=""),1,0)</f>
        <v/>
      </c>
      <c r="F67" s="8">
        <f>IF(OR(Applicant_List!AK68="N",Applicant_List!AK68="",Applicant_List!AL68="N",Applicant_List!AL68=""),1,0)</f>
        <v/>
      </c>
      <c r="G67" s="8">
        <f>IF(OR(Applicant_List!AM68="N",Applicant_List!AM68=""),1,0)</f>
        <v/>
      </c>
      <c r="H67" s="8">
        <f>IF(OR(Applicant_List!AX68="Y",AND(Applicant_List!AS68="Y",Applicant_List!AV68&lt;&gt;"Y")),1,0)</f>
        <v/>
      </c>
      <c r="I67" s="8">
        <f>IF(OR(Applicant_List!AZ68="N",Applicant_List!AZ68="",Applicant_List!BA68="N",Applicant_List!BA68=""),1,0)</f>
        <v/>
      </c>
      <c r="J67" s="8">
        <f>IF(OR(Applicant_List!BB68="N",Applicant_List!BB68="",Applicant_List!BC68="N",Applicant_List!BE68="Y",Applicant_List!BL68="Y"),1,0)</f>
        <v/>
      </c>
      <c r="K67" s="8">
        <f>IF(AND(Applicant_List!BJ68="Y",Applicant_List!BM68="Y",Applicant_List!BK68&lt;&gt;"Y"),1,0)</f>
        <v/>
      </c>
      <c r="L67" s="8">
        <f>IF(OR(Applicant_List!BN68="Y",Applicant_List!BK68="Y"),1,0)</f>
        <v/>
      </c>
      <c r="M67" s="8">
        <f>COUNTIF(Applicant_List!AI68:BM68,"N")+COUNTBLANK(Applicant_List!AI68:BM68)</f>
        <v/>
      </c>
      <c r="N67" s="8">
        <f>MAX(E67:J67)</f>
        <v/>
      </c>
      <c r="O67" s="8">
        <f>IF(Applicant_List!BP68="Y",100000,0)+IF(ISNUMBER(Applicant_List!BO68),50000-INT(Applicant_List!BO68),0)+IF(LEN(Applicant_List!L68)&gt;0,1000,0)</f>
        <v/>
      </c>
      <c r="P67" s="8">
        <f>IF(D67,"Terminal",IF(N67=1,"Blocked",IF(K67=1,"Determination Notice",IF(L67=1,"Board","Under Review"))))</f>
        <v/>
      </c>
      <c r="Q67" s="8">
        <f>IF(Applicant_List!L68="Closed","Closed",IF(OR(Applicant_List!L68="Withdrawn",Applicant_List!L68="Terminated"),Applicant_List!L68,IF(N67=1,"No Advancement",IF(K67=1,"Determination Notice Issued",IF(L67=1,"Board","Under Review")))))</f>
        <v/>
      </c>
    </row>
    <row r="68">
      <c r="A68" s="8">
        <f>Applicant_List!C69</f>
        <v/>
      </c>
      <c r="B68" s="8">
        <f>Applicant_List!E69</f>
        <v/>
      </c>
      <c r="C68" s="8">
        <f>Applicant_List!L69</f>
        <v/>
      </c>
      <c r="D68" s="8">
        <f>OR(Applicant_List!L69="Closed",Applicant_List!L69="Withdrawn",Applicant_List!L69="Terminated")</f>
        <v/>
      </c>
      <c r="E68" s="8">
        <f>IF(OR(Applicant_List!AI69="N",Applicant_List!AI69=""),1,0)</f>
        <v/>
      </c>
      <c r="F68" s="8">
        <f>IF(OR(Applicant_List!AK69="N",Applicant_List!AK69="",Applicant_List!AL69="N",Applicant_List!AL69=""),1,0)</f>
        <v/>
      </c>
      <c r="G68" s="8">
        <f>IF(OR(Applicant_List!AM69="N",Applicant_List!AM69=""),1,0)</f>
        <v/>
      </c>
      <c r="H68" s="8">
        <f>IF(OR(Applicant_List!AX69="Y",AND(Applicant_List!AS69="Y",Applicant_List!AV69&lt;&gt;"Y")),1,0)</f>
        <v/>
      </c>
      <c r="I68" s="8">
        <f>IF(OR(Applicant_List!AZ69="N",Applicant_List!AZ69="",Applicant_List!BA69="N",Applicant_List!BA69=""),1,0)</f>
        <v/>
      </c>
      <c r="J68" s="8">
        <f>IF(OR(Applicant_List!BB69="N",Applicant_List!BB69="",Applicant_List!BC69="N",Applicant_List!BE69="Y",Applicant_List!BL69="Y"),1,0)</f>
        <v/>
      </c>
      <c r="K68" s="8">
        <f>IF(AND(Applicant_List!BJ69="Y",Applicant_List!BM69="Y",Applicant_List!BK69&lt;&gt;"Y"),1,0)</f>
        <v/>
      </c>
      <c r="L68" s="8">
        <f>IF(OR(Applicant_List!BN69="Y",Applicant_List!BK69="Y"),1,0)</f>
        <v/>
      </c>
      <c r="M68" s="8">
        <f>COUNTIF(Applicant_List!AI69:BM69,"N")+COUNTBLANK(Applicant_List!AI69:BM69)</f>
        <v/>
      </c>
      <c r="N68" s="8">
        <f>MAX(E68:J68)</f>
        <v/>
      </c>
      <c r="O68" s="8">
        <f>IF(Applicant_List!BP69="Y",100000,0)+IF(ISNUMBER(Applicant_List!BO69),50000-INT(Applicant_List!BO69),0)+IF(LEN(Applicant_List!L69)&gt;0,1000,0)</f>
        <v/>
      </c>
      <c r="P68" s="8">
        <f>IF(D68,"Terminal",IF(N68=1,"Blocked",IF(K68=1,"Determination Notice",IF(L68=1,"Board","Under Review"))))</f>
        <v/>
      </c>
      <c r="Q68" s="8">
        <f>IF(Applicant_List!L69="Closed","Closed",IF(OR(Applicant_List!L69="Withdrawn",Applicant_List!L69="Terminated"),Applicant_List!L69,IF(N68=1,"No Advancement",IF(K68=1,"Determination Notice Issued",IF(L68=1,"Board","Under Review")))))</f>
        <v/>
      </c>
    </row>
    <row r="69">
      <c r="A69" s="8">
        <f>Applicant_List!C70</f>
        <v/>
      </c>
      <c r="B69" s="8">
        <f>Applicant_List!E70</f>
        <v/>
      </c>
      <c r="C69" s="8">
        <f>Applicant_List!L70</f>
        <v/>
      </c>
      <c r="D69" s="8">
        <f>OR(Applicant_List!L70="Closed",Applicant_List!L70="Withdrawn",Applicant_List!L70="Terminated")</f>
        <v/>
      </c>
      <c r="E69" s="8">
        <f>IF(OR(Applicant_List!AI70="N",Applicant_List!AI70=""),1,0)</f>
        <v/>
      </c>
      <c r="F69" s="8">
        <f>IF(OR(Applicant_List!AK70="N",Applicant_List!AK70="",Applicant_List!AL70="N",Applicant_List!AL70=""),1,0)</f>
        <v/>
      </c>
      <c r="G69" s="8">
        <f>IF(OR(Applicant_List!AM70="N",Applicant_List!AM70=""),1,0)</f>
        <v/>
      </c>
      <c r="H69" s="8">
        <f>IF(OR(Applicant_List!AX70="Y",AND(Applicant_List!AS70="Y",Applicant_List!AV70&lt;&gt;"Y")),1,0)</f>
        <v/>
      </c>
      <c r="I69" s="8">
        <f>IF(OR(Applicant_List!AZ70="N",Applicant_List!AZ70="",Applicant_List!BA70="N",Applicant_List!BA70=""),1,0)</f>
        <v/>
      </c>
      <c r="J69" s="8">
        <f>IF(OR(Applicant_List!BB70="N",Applicant_List!BB70="",Applicant_List!BC70="N",Applicant_List!BE70="Y",Applicant_List!BL70="Y"),1,0)</f>
        <v/>
      </c>
      <c r="K69" s="8">
        <f>IF(AND(Applicant_List!BJ70="Y",Applicant_List!BM70="Y",Applicant_List!BK70&lt;&gt;"Y"),1,0)</f>
        <v/>
      </c>
      <c r="L69" s="8">
        <f>IF(OR(Applicant_List!BN70="Y",Applicant_List!BK70="Y"),1,0)</f>
        <v/>
      </c>
      <c r="M69" s="8">
        <f>COUNTIF(Applicant_List!AI70:BM70,"N")+COUNTBLANK(Applicant_List!AI70:BM70)</f>
        <v/>
      </c>
      <c r="N69" s="8">
        <f>MAX(E69:J69)</f>
        <v/>
      </c>
      <c r="O69" s="8">
        <f>IF(Applicant_List!BP70="Y",100000,0)+IF(ISNUMBER(Applicant_List!BO70),50000-INT(Applicant_List!BO70),0)+IF(LEN(Applicant_List!L70)&gt;0,1000,0)</f>
        <v/>
      </c>
      <c r="P69" s="8">
        <f>IF(D69,"Terminal",IF(N69=1,"Blocked",IF(K69=1,"Determination Notice",IF(L69=1,"Board","Under Review"))))</f>
        <v/>
      </c>
      <c r="Q69" s="8">
        <f>IF(Applicant_List!L70="Closed","Closed",IF(OR(Applicant_List!L70="Withdrawn",Applicant_List!L70="Terminated"),Applicant_List!L70,IF(N69=1,"No Advancement",IF(K69=1,"Determination Notice Issued",IF(L69=1,"Board","Under Review")))))</f>
        <v/>
      </c>
    </row>
    <row r="70">
      <c r="A70" s="8">
        <f>Applicant_List!C71</f>
        <v/>
      </c>
      <c r="B70" s="8">
        <f>Applicant_List!E71</f>
        <v/>
      </c>
      <c r="C70" s="8">
        <f>Applicant_List!L71</f>
        <v/>
      </c>
      <c r="D70" s="8">
        <f>OR(Applicant_List!L71="Closed",Applicant_List!L71="Withdrawn",Applicant_List!L71="Terminated")</f>
        <v/>
      </c>
      <c r="E70" s="8">
        <f>IF(OR(Applicant_List!AI71="N",Applicant_List!AI71=""),1,0)</f>
        <v/>
      </c>
      <c r="F70" s="8">
        <f>IF(OR(Applicant_List!AK71="N",Applicant_List!AK71="",Applicant_List!AL71="N",Applicant_List!AL71=""),1,0)</f>
        <v/>
      </c>
      <c r="G70" s="8">
        <f>IF(OR(Applicant_List!AM71="N",Applicant_List!AM71=""),1,0)</f>
        <v/>
      </c>
      <c r="H70" s="8">
        <f>IF(OR(Applicant_List!AX71="Y",AND(Applicant_List!AS71="Y",Applicant_List!AV71&lt;&gt;"Y")),1,0)</f>
        <v/>
      </c>
      <c r="I70" s="8">
        <f>IF(OR(Applicant_List!AZ71="N",Applicant_List!AZ71="",Applicant_List!BA71="N",Applicant_List!BA71=""),1,0)</f>
        <v/>
      </c>
      <c r="J70" s="8">
        <f>IF(OR(Applicant_List!BB71="N",Applicant_List!BB71="",Applicant_List!BC71="N",Applicant_List!BE71="Y",Applicant_List!BL71="Y"),1,0)</f>
        <v/>
      </c>
      <c r="K70" s="8">
        <f>IF(AND(Applicant_List!BJ71="Y",Applicant_List!BM71="Y",Applicant_List!BK71&lt;&gt;"Y"),1,0)</f>
        <v/>
      </c>
      <c r="L70" s="8">
        <f>IF(OR(Applicant_List!BN71="Y",Applicant_List!BK71="Y"),1,0)</f>
        <v/>
      </c>
      <c r="M70" s="8">
        <f>COUNTIF(Applicant_List!AI71:BM71,"N")+COUNTBLANK(Applicant_List!AI71:BM71)</f>
        <v/>
      </c>
      <c r="N70" s="8">
        <f>MAX(E70:J70)</f>
        <v/>
      </c>
      <c r="O70" s="8">
        <f>IF(Applicant_List!BP71="Y",100000,0)+IF(ISNUMBER(Applicant_List!BO71),50000-INT(Applicant_List!BO71),0)+IF(LEN(Applicant_List!L71)&gt;0,1000,0)</f>
        <v/>
      </c>
      <c r="P70" s="8">
        <f>IF(D70,"Terminal",IF(N70=1,"Blocked",IF(K70=1,"Determination Notice",IF(L70=1,"Board","Under Review"))))</f>
        <v/>
      </c>
      <c r="Q70" s="8">
        <f>IF(Applicant_List!L71="Closed","Closed",IF(OR(Applicant_List!L71="Withdrawn",Applicant_List!L71="Terminated"),Applicant_List!L71,IF(N70=1,"No Advancement",IF(K70=1,"Determination Notice Issued",IF(L70=1,"Board","Under Review")))))</f>
        <v/>
      </c>
    </row>
    <row r="71">
      <c r="A71" s="8">
        <f>Applicant_List!C72</f>
        <v/>
      </c>
      <c r="B71" s="8">
        <f>Applicant_List!E72</f>
        <v/>
      </c>
      <c r="C71" s="8">
        <f>Applicant_List!L72</f>
        <v/>
      </c>
      <c r="D71" s="8">
        <f>OR(Applicant_List!L72="Closed",Applicant_List!L72="Withdrawn",Applicant_List!L72="Terminated")</f>
        <v/>
      </c>
      <c r="E71" s="8">
        <f>IF(OR(Applicant_List!AI72="N",Applicant_List!AI72=""),1,0)</f>
        <v/>
      </c>
      <c r="F71" s="8">
        <f>IF(OR(Applicant_List!AK72="N",Applicant_List!AK72="",Applicant_List!AL72="N",Applicant_List!AL72=""),1,0)</f>
        <v/>
      </c>
      <c r="G71" s="8">
        <f>IF(OR(Applicant_List!AM72="N",Applicant_List!AM72=""),1,0)</f>
        <v/>
      </c>
      <c r="H71" s="8">
        <f>IF(OR(Applicant_List!AX72="Y",AND(Applicant_List!AS72="Y",Applicant_List!AV72&lt;&gt;"Y")),1,0)</f>
        <v/>
      </c>
      <c r="I71" s="8">
        <f>IF(OR(Applicant_List!AZ72="N",Applicant_List!AZ72="",Applicant_List!BA72="N",Applicant_List!BA72=""),1,0)</f>
        <v/>
      </c>
      <c r="J71" s="8">
        <f>IF(OR(Applicant_List!BB72="N",Applicant_List!BB72="",Applicant_List!BC72="N",Applicant_List!BE72="Y",Applicant_List!BL72="Y"),1,0)</f>
        <v/>
      </c>
      <c r="K71" s="8">
        <f>IF(AND(Applicant_List!BJ72="Y",Applicant_List!BM72="Y",Applicant_List!BK72&lt;&gt;"Y"),1,0)</f>
        <v/>
      </c>
      <c r="L71" s="8">
        <f>IF(OR(Applicant_List!BN72="Y",Applicant_List!BK72="Y"),1,0)</f>
        <v/>
      </c>
      <c r="M71" s="8">
        <f>COUNTIF(Applicant_List!AI72:BM72,"N")+COUNTBLANK(Applicant_List!AI72:BM72)</f>
        <v/>
      </c>
      <c r="N71" s="8">
        <f>MAX(E71:J71)</f>
        <v/>
      </c>
      <c r="O71" s="8">
        <f>IF(Applicant_List!BP72="Y",100000,0)+IF(ISNUMBER(Applicant_List!BO72),50000-INT(Applicant_List!BO72),0)+IF(LEN(Applicant_List!L72)&gt;0,1000,0)</f>
        <v/>
      </c>
      <c r="P71" s="8">
        <f>IF(D71,"Terminal",IF(N71=1,"Blocked",IF(K71=1,"Determination Notice",IF(L71=1,"Board","Under Review"))))</f>
        <v/>
      </c>
      <c r="Q71" s="8">
        <f>IF(Applicant_List!L72="Closed","Closed",IF(OR(Applicant_List!L72="Withdrawn",Applicant_List!L72="Terminated"),Applicant_List!L72,IF(N71=1,"No Advancement",IF(K71=1,"Determination Notice Issued",IF(L71=1,"Board","Under Review")))))</f>
        <v/>
      </c>
    </row>
    <row r="72">
      <c r="A72" s="8">
        <f>Applicant_List!C73</f>
        <v/>
      </c>
      <c r="B72" s="8">
        <f>Applicant_List!E73</f>
        <v/>
      </c>
      <c r="C72" s="8">
        <f>Applicant_List!L73</f>
        <v/>
      </c>
      <c r="D72" s="8">
        <f>OR(Applicant_List!L73="Closed",Applicant_List!L73="Withdrawn",Applicant_List!L73="Terminated")</f>
        <v/>
      </c>
      <c r="E72" s="8">
        <f>IF(OR(Applicant_List!AI73="N",Applicant_List!AI73=""),1,0)</f>
        <v/>
      </c>
      <c r="F72" s="8">
        <f>IF(OR(Applicant_List!AK73="N",Applicant_List!AK73="",Applicant_List!AL73="N",Applicant_List!AL73=""),1,0)</f>
        <v/>
      </c>
      <c r="G72" s="8">
        <f>IF(OR(Applicant_List!AM73="N",Applicant_List!AM73=""),1,0)</f>
        <v/>
      </c>
      <c r="H72" s="8">
        <f>IF(OR(Applicant_List!AX73="Y",AND(Applicant_List!AS73="Y",Applicant_List!AV73&lt;&gt;"Y")),1,0)</f>
        <v/>
      </c>
      <c r="I72" s="8">
        <f>IF(OR(Applicant_List!AZ73="N",Applicant_List!AZ73="",Applicant_List!BA73="N",Applicant_List!BA73=""),1,0)</f>
        <v/>
      </c>
      <c r="J72" s="8">
        <f>IF(OR(Applicant_List!BB73="N",Applicant_List!BB73="",Applicant_List!BC73="N",Applicant_List!BE73="Y",Applicant_List!BL73="Y"),1,0)</f>
        <v/>
      </c>
      <c r="K72" s="8">
        <f>IF(AND(Applicant_List!BJ73="Y",Applicant_List!BM73="Y",Applicant_List!BK73&lt;&gt;"Y"),1,0)</f>
        <v/>
      </c>
      <c r="L72" s="8">
        <f>IF(OR(Applicant_List!BN73="Y",Applicant_List!BK73="Y"),1,0)</f>
        <v/>
      </c>
      <c r="M72" s="8">
        <f>COUNTIF(Applicant_List!AI73:BM73,"N")+COUNTBLANK(Applicant_List!AI73:BM73)</f>
        <v/>
      </c>
      <c r="N72" s="8">
        <f>MAX(E72:J72)</f>
        <v/>
      </c>
      <c r="O72" s="8">
        <f>IF(Applicant_List!BP73="Y",100000,0)+IF(ISNUMBER(Applicant_List!BO73),50000-INT(Applicant_List!BO73),0)+IF(LEN(Applicant_List!L73)&gt;0,1000,0)</f>
        <v/>
      </c>
      <c r="P72" s="8">
        <f>IF(D72,"Terminal",IF(N72=1,"Blocked",IF(K72=1,"Determination Notice",IF(L72=1,"Board","Under Review"))))</f>
        <v/>
      </c>
      <c r="Q72" s="8">
        <f>IF(Applicant_List!L73="Closed","Closed",IF(OR(Applicant_List!L73="Withdrawn",Applicant_List!L73="Terminated"),Applicant_List!L73,IF(N72=1,"No Advancement",IF(K72=1,"Determination Notice Issued",IF(L72=1,"Board","Under Review")))))</f>
        <v/>
      </c>
    </row>
    <row r="73">
      <c r="A73" s="8">
        <f>Applicant_List!C74</f>
        <v/>
      </c>
      <c r="B73" s="8">
        <f>Applicant_List!E74</f>
        <v/>
      </c>
      <c r="C73" s="8">
        <f>Applicant_List!L74</f>
        <v/>
      </c>
      <c r="D73" s="8">
        <f>OR(Applicant_List!L74="Closed",Applicant_List!L74="Withdrawn",Applicant_List!L74="Terminated")</f>
        <v/>
      </c>
      <c r="E73" s="8">
        <f>IF(OR(Applicant_List!AI74="N",Applicant_List!AI74=""),1,0)</f>
        <v/>
      </c>
      <c r="F73" s="8">
        <f>IF(OR(Applicant_List!AK74="N",Applicant_List!AK74="",Applicant_List!AL74="N",Applicant_List!AL74=""),1,0)</f>
        <v/>
      </c>
      <c r="G73" s="8">
        <f>IF(OR(Applicant_List!AM74="N",Applicant_List!AM74=""),1,0)</f>
        <v/>
      </c>
      <c r="H73" s="8">
        <f>IF(OR(Applicant_List!AX74="Y",AND(Applicant_List!AS74="Y",Applicant_List!AV74&lt;&gt;"Y")),1,0)</f>
        <v/>
      </c>
      <c r="I73" s="8">
        <f>IF(OR(Applicant_List!AZ74="N",Applicant_List!AZ74="",Applicant_List!BA74="N",Applicant_List!BA74=""),1,0)</f>
        <v/>
      </c>
      <c r="J73" s="8">
        <f>IF(OR(Applicant_List!BB74="N",Applicant_List!BB74="",Applicant_List!BC74="N",Applicant_List!BE74="Y",Applicant_List!BL74="Y"),1,0)</f>
        <v/>
      </c>
      <c r="K73" s="8">
        <f>IF(AND(Applicant_List!BJ74="Y",Applicant_List!BM74="Y",Applicant_List!BK74&lt;&gt;"Y"),1,0)</f>
        <v/>
      </c>
      <c r="L73" s="8">
        <f>IF(OR(Applicant_List!BN74="Y",Applicant_List!BK74="Y"),1,0)</f>
        <v/>
      </c>
      <c r="M73" s="8">
        <f>COUNTIF(Applicant_List!AI74:BM74,"N")+COUNTBLANK(Applicant_List!AI74:BM74)</f>
        <v/>
      </c>
      <c r="N73" s="8">
        <f>MAX(E73:J73)</f>
        <v/>
      </c>
      <c r="O73" s="8">
        <f>IF(Applicant_List!BP74="Y",100000,0)+IF(ISNUMBER(Applicant_List!BO74),50000-INT(Applicant_List!BO74),0)+IF(LEN(Applicant_List!L74)&gt;0,1000,0)</f>
        <v/>
      </c>
      <c r="P73" s="8">
        <f>IF(D73,"Terminal",IF(N73=1,"Blocked",IF(K73=1,"Determination Notice",IF(L73=1,"Board","Under Review"))))</f>
        <v/>
      </c>
      <c r="Q73" s="8">
        <f>IF(Applicant_List!L74="Closed","Closed",IF(OR(Applicant_List!L74="Withdrawn",Applicant_List!L74="Terminated"),Applicant_List!L74,IF(N73=1,"No Advancement",IF(K73=1,"Determination Notice Issued",IF(L73=1,"Board","Under Review")))))</f>
        <v/>
      </c>
    </row>
    <row r="74">
      <c r="A74" s="8">
        <f>Applicant_List!C75</f>
        <v/>
      </c>
      <c r="B74" s="8">
        <f>Applicant_List!E75</f>
        <v/>
      </c>
      <c r="C74" s="8">
        <f>Applicant_List!L75</f>
        <v/>
      </c>
      <c r="D74" s="8">
        <f>OR(Applicant_List!L75="Closed",Applicant_List!L75="Withdrawn",Applicant_List!L75="Terminated")</f>
        <v/>
      </c>
      <c r="E74" s="8">
        <f>IF(OR(Applicant_List!AI75="N",Applicant_List!AI75=""),1,0)</f>
        <v/>
      </c>
      <c r="F74" s="8">
        <f>IF(OR(Applicant_List!AK75="N",Applicant_List!AK75="",Applicant_List!AL75="N",Applicant_List!AL75=""),1,0)</f>
        <v/>
      </c>
      <c r="G74" s="8">
        <f>IF(OR(Applicant_List!AM75="N",Applicant_List!AM75=""),1,0)</f>
        <v/>
      </c>
      <c r="H74" s="8">
        <f>IF(OR(Applicant_List!AX75="Y",AND(Applicant_List!AS75="Y",Applicant_List!AV75&lt;&gt;"Y")),1,0)</f>
        <v/>
      </c>
      <c r="I74" s="8">
        <f>IF(OR(Applicant_List!AZ75="N",Applicant_List!AZ75="",Applicant_List!BA75="N",Applicant_List!BA75=""),1,0)</f>
        <v/>
      </c>
      <c r="J74" s="8">
        <f>IF(OR(Applicant_List!BB75="N",Applicant_List!BB75="",Applicant_List!BC75="N",Applicant_List!BE75="Y",Applicant_List!BL75="Y"),1,0)</f>
        <v/>
      </c>
      <c r="K74" s="8">
        <f>IF(AND(Applicant_List!BJ75="Y",Applicant_List!BM75="Y",Applicant_List!BK75&lt;&gt;"Y"),1,0)</f>
        <v/>
      </c>
      <c r="L74" s="8">
        <f>IF(OR(Applicant_List!BN75="Y",Applicant_List!BK75="Y"),1,0)</f>
        <v/>
      </c>
      <c r="M74" s="8">
        <f>COUNTIF(Applicant_List!AI75:BM75,"N")+COUNTBLANK(Applicant_List!AI75:BM75)</f>
        <v/>
      </c>
      <c r="N74" s="8">
        <f>MAX(E74:J74)</f>
        <v/>
      </c>
      <c r="O74" s="8">
        <f>IF(Applicant_List!BP75="Y",100000,0)+IF(ISNUMBER(Applicant_List!BO75),50000-INT(Applicant_List!BO75),0)+IF(LEN(Applicant_List!L75)&gt;0,1000,0)</f>
        <v/>
      </c>
      <c r="P74" s="8">
        <f>IF(D74,"Terminal",IF(N74=1,"Blocked",IF(K74=1,"Determination Notice",IF(L74=1,"Board","Under Review"))))</f>
        <v/>
      </c>
      <c r="Q74" s="8">
        <f>IF(Applicant_List!L75="Closed","Closed",IF(OR(Applicant_List!L75="Withdrawn",Applicant_List!L75="Terminated"),Applicant_List!L75,IF(N74=1,"No Advancement",IF(K74=1,"Determination Notice Issued",IF(L74=1,"Board","Under Review")))))</f>
        <v/>
      </c>
    </row>
    <row r="75">
      <c r="A75" s="8">
        <f>Applicant_List!C76</f>
        <v/>
      </c>
      <c r="B75" s="8">
        <f>Applicant_List!E76</f>
        <v/>
      </c>
      <c r="C75" s="8">
        <f>Applicant_List!L76</f>
        <v/>
      </c>
      <c r="D75" s="8">
        <f>OR(Applicant_List!L76="Closed",Applicant_List!L76="Withdrawn",Applicant_List!L76="Terminated")</f>
        <v/>
      </c>
      <c r="E75" s="8">
        <f>IF(OR(Applicant_List!AI76="N",Applicant_List!AI76=""),1,0)</f>
        <v/>
      </c>
      <c r="F75" s="8">
        <f>IF(OR(Applicant_List!AK76="N",Applicant_List!AK76="",Applicant_List!AL76="N",Applicant_List!AL76=""),1,0)</f>
        <v/>
      </c>
      <c r="G75" s="8">
        <f>IF(OR(Applicant_List!AM76="N",Applicant_List!AM76=""),1,0)</f>
        <v/>
      </c>
      <c r="H75" s="8">
        <f>IF(OR(Applicant_List!AX76="Y",AND(Applicant_List!AS76="Y",Applicant_List!AV76&lt;&gt;"Y")),1,0)</f>
        <v/>
      </c>
      <c r="I75" s="8">
        <f>IF(OR(Applicant_List!AZ76="N",Applicant_List!AZ76="",Applicant_List!BA76="N",Applicant_List!BA76=""),1,0)</f>
        <v/>
      </c>
      <c r="J75" s="8">
        <f>IF(OR(Applicant_List!BB76="N",Applicant_List!BB76="",Applicant_List!BC76="N",Applicant_List!BE76="Y",Applicant_List!BL76="Y"),1,0)</f>
        <v/>
      </c>
      <c r="K75" s="8">
        <f>IF(AND(Applicant_List!BJ76="Y",Applicant_List!BM76="Y",Applicant_List!BK76&lt;&gt;"Y"),1,0)</f>
        <v/>
      </c>
      <c r="L75" s="8">
        <f>IF(OR(Applicant_List!BN76="Y",Applicant_List!BK76="Y"),1,0)</f>
        <v/>
      </c>
      <c r="M75" s="8">
        <f>COUNTIF(Applicant_List!AI76:BM76,"N")+COUNTBLANK(Applicant_List!AI76:BM76)</f>
        <v/>
      </c>
      <c r="N75" s="8">
        <f>MAX(E75:J75)</f>
        <v/>
      </c>
      <c r="O75" s="8">
        <f>IF(Applicant_List!BP76="Y",100000,0)+IF(ISNUMBER(Applicant_List!BO76),50000-INT(Applicant_List!BO76),0)+IF(LEN(Applicant_List!L76)&gt;0,1000,0)</f>
        <v/>
      </c>
      <c r="P75" s="8">
        <f>IF(D75,"Terminal",IF(N75=1,"Blocked",IF(K75=1,"Determination Notice",IF(L75=1,"Board","Under Review"))))</f>
        <v/>
      </c>
      <c r="Q75" s="8">
        <f>IF(Applicant_List!L76="Closed","Closed",IF(OR(Applicant_List!L76="Withdrawn",Applicant_List!L76="Terminated"),Applicant_List!L76,IF(N75=1,"No Advancement",IF(K75=1,"Determination Notice Issued",IF(L75=1,"Board","Under Review")))))</f>
        <v/>
      </c>
    </row>
    <row r="76">
      <c r="A76" s="8">
        <f>Applicant_List!C77</f>
        <v/>
      </c>
      <c r="B76" s="8">
        <f>Applicant_List!E77</f>
        <v/>
      </c>
      <c r="C76" s="8">
        <f>Applicant_List!L77</f>
        <v/>
      </c>
      <c r="D76" s="8">
        <f>OR(Applicant_List!L77="Closed",Applicant_List!L77="Withdrawn",Applicant_List!L77="Terminated")</f>
        <v/>
      </c>
      <c r="E76" s="8">
        <f>IF(OR(Applicant_List!AI77="N",Applicant_List!AI77=""),1,0)</f>
        <v/>
      </c>
      <c r="F76" s="8">
        <f>IF(OR(Applicant_List!AK77="N",Applicant_List!AK77="",Applicant_List!AL77="N",Applicant_List!AL77=""),1,0)</f>
        <v/>
      </c>
      <c r="G76" s="8">
        <f>IF(OR(Applicant_List!AM77="N",Applicant_List!AM77=""),1,0)</f>
        <v/>
      </c>
      <c r="H76" s="8">
        <f>IF(OR(Applicant_List!AX77="Y",AND(Applicant_List!AS77="Y",Applicant_List!AV77&lt;&gt;"Y")),1,0)</f>
        <v/>
      </c>
      <c r="I76" s="8">
        <f>IF(OR(Applicant_List!AZ77="N",Applicant_List!AZ77="",Applicant_List!BA77="N",Applicant_List!BA77=""),1,0)</f>
        <v/>
      </c>
      <c r="J76" s="8">
        <f>IF(OR(Applicant_List!BB77="N",Applicant_List!BB77="",Applicant_List!BC77="N",Applicant_List!BE77="Y",Applicant_List!BL77="Y"),1,0)</f>
        <v/>
      </c>
      <c r="K76" s="8">
        <f>IF(AND(Applicant_List!BJ77="Y",Applicant_List!BM77="Y",Applicant_List!BK77&lt;&gt;"Y"),1,0)</f>
        <v/>
      </c>
      <c r="L76" s="8">
        <f>IF(OR(Applicant_List!BN77="Y",Applicant_List!BK77="Y"),1,0)</f>
        <v/>
      </c>
      <c r="M76" s="8">
        <f>COUNTIF(Applicant_List!AI77:BM77,"N")+COUNTBLANK(Applicant_List!AI77:BM77)</f>
        <v/>
      </c>
      <c r="N76" s="8">
        <f>MAX(E76:J76)</f>
        <v/>
      </c>
      <c r="O76" s="8">
        <f>IF(Applicant_List!BP77="Y",100000,0)+IF(ISNUMBER(Applicant_List!BO77),50000-INT(Applicant_List!BO77),0)+IF(LEN(Applicant_List!L77)&gt;0,1000,0)</f>
        <v/>
      </c>
      <c r="P76" s="8">
        <f>IF(D76,"Terminal",IF(N76=1,"Blocked",IF(K76=1,"Determination Notice",IF(L76=1,"Board","Under Review"))))</f>
        <v/>
      </c>
      <c r="Q76" s="8">
        <f>IF(Applicant_List!L77="Closed","Closed",IF(OR(Applicant_List!L77="Withdrawn",Applicant_List!L77="Terminated"),Applicant_List!L77,IF(N76=1,"No Advancement",IF(K76=1,"Determination Notice Issued",IF(L76=1,"Board","Under Review")))))</f>
        <v/>
      </c>
    </row>
    <row r="77">
      <c r="A77" s="8">
        <f>Applicant_List!C78</f>
        <v/>
      </c>
      <c r="B77" s="8">
        <f>Applicant_List!E78</f>
        <v/>
      </c>
      <c r="C77" s="8">
        <f>Applicant_List!L78</f>
        <v/>
      </c>
      <c r="D77" s="8">
        <f>OR(Applicant_List!L78="Closed",Applicant_List!L78="Withdrawn",Applicant_List!L78="Terminated")</f>
        <v/>
      </c>
      <c r="E77" s="8">
        <f>IF(OR(Applicant_List!AI78="N",Applicant_List!AI78=""),1,0)</f>
        <v/>
      </c>
      <c r="F77" s="8">
        <f>IF(OR(Applicant_List!AK78="N",Applicant_List!AK78="",Applicant_List!AL78="N",Applicant_List!AL78=""),1,0)</f>
        <v/>
      </c>
      <c r="G77" s="8">
        <f>IF(OR(Applicant_List!AM78="N",Applicant_List!AM78=""),1,0)</f>
        <v/>
      </c>
      <c r="H77" s="8">
        <f>IF(OR(Applicant_List!AX78="Y",AND(Applicant_List!AS78="Y",Applicant_List!AV78&lt;&gt;"Y")),1,0)</f>
        <v/>
      </c>
      <c r="I77" s="8">
        <f>IF(OR(Applicant_List!AZ78="N",Applicant_List!AZ78="",Applicant_List!BA78="N",Applicant_List!BA78=""),1,0)</f>
        <v/>
      </c>
      <c r="J77" s="8">
        <f>IF(OR(Applicant_List!BB78="N",Applicant_List!BB78="",Applicant_List!BC78="N",Applicant_List!BE78="Y",Applicant_List!BL78="Y"),1,0)</f>
        <v/>
      </c>
      <c r="K77" s="8">
        <f>IF(AND(Applicant_List!BJ78="Y",Applicant_List!BM78="Y",Applicant_List!BK78&lt;&gt;"Y"),1,0)</f>
        <v/>
      </c>
      <c r="L77" s="8">
        <f>IF(OR(Applicant_List!BN78="Y",Applicant_List!BK78="Y"),1,0)</f>
        <v/>
      </c>
      <c r="M77" s="8">
        <f>COUNTIF(Applicant_List!AI78:BM78,"N")+COUNTBLANK(Applicant_List!AI78:BM78)</f>
        <v/>
      </c>
      <c r="N77" s="8">
        <f>MAX(E77:J77)</f>
        <v/>
      </c>
      <c r="O77" s="8">
        <f>IF(Applicant_List!BP78="Y",100000,0)+IF(ISNUMBER(Applicant_List!BO78),50000-INT(Applicant_List!BO78),0)+IF(LEN(Applicant_List!L78)&gt;0,1000,0)</f>
        <v/>
      </c>
      <c r="P77" s="8">
        <f>IF(D77,"Terminal",IF(N77=1,"Blocked",IF(K77=1,"Determination Notice",IF(L77=1,"Board","Under Review"))))</f>
        <v/>
      </c>
      <c r="Q77" s="8">
        <f>IF(Applicant_List!L78="Closed","Closed",IF(OR(Applicant_List!L78="Withdrawn",Applicant_List!L78="Terminated"),Applicant_List!L78,IF(N77=1,"No Advancement",IF(K77=1,"Determination Notice Issued",IF(L77=1,"Board","Under Review")))))</f>
        <v/>
      </c>
    </row>
    <row r="78">
      <c r="A78" s="8">
        <f>Applicant_List!C79</f>
        <v/>
      </c>
      <c r="B78" s="8">
        <f>Applicant_List!E79</f>
        <v/>
      </c>
      <c r="C78" s="8">
        <f>Applicant_List!L79</f>
        <v/>
      </c>
      <c r="D78" s="8">
        <f>OR(Applicant_List!L79="Closed",Applicant_List!L79="Withdrawn",Applicant_List!L79="Terminated")</f>
        <v/>
      </c>
      <c r="E78" s="8">
        <f>IF(OR(Applicant_List!AI79="N",Applicant_List!AI79=""),1,0)</f>
        <v/>
      </c>
      <c r="F78" s="8">
        <f>IF(OR(Applicant_List!AK79="N",Applicant_List!AK79="",Applicant_List!AL79="N",Applicant_List!AL79=""),1,0)</f>
        <v/>
      </c>
      <c r="G78" s="8">
        <f>IF(OR(Applicant_List!AM79="N",Applicant_List!AM79=""),1,0)</f>
        <v/>
      </c>
      <c r="H78" s="8">
        <f>IF(OR(Applicant_List!AX79="Y",AND(Applicant_List!AS79="Y",Applicant_List!AV79&lt;&gt;"Y")),1,0)</f>
        <v/>
      </c>
      <c r="I78" s="8">
        <f>IF(OR(Applicant_List!AZ79="N",Applicant_List!AZ79="",Applicant_List!BA79="N",Applicant_List!BA79=""),1,0)</f>
        <v/>
      </c>
      <c r="J78" s="8">
        <f>IF(OR(Applicant_List!BB79="N",Applicant_List!BB79="",Applicant_List!BC79="N",Applicant_List!BE79="Y",Applicant_List!BL79="Y"),1,0)</f>
        <v/>
      </c>
      <c r="K78" s="8">
        <f>IF(AND(Applicant_List!BJ79="Y",Applicant_List!BM79="Y",Applicant_List!BK79&lt;&gt;"Y"),1,0)</f>
        <v/>
      </c>
      <c r="L78" s="8">
        <f>IF(OR(Applicant_List!BN79="Y",Applicant_List!BK79="Y"),1,0)</f>
        <v/>
      </c>
      <c r="M78" s="8">
        <f>COUNTIF(Applicant_List!AI79:BM79,"N")+COUNTBLANK(Applicant_List!AI79:BM79)</f>
        <v/>
      </c>
      <c r="N78" s="8">
        <f>MAX(E78:J78)</f>
        <v/>
      </c>
      <c r="O78" s="8">
        <f>IF(Applicant_List!BP79="Y",100000,0)+IF(ISNUMBER(Applicant_List!BO79),50000-INT(Applicant_List!BO79),0)+IF(LEN(Applicant_List!L79)&gt;0,1000,0)</f>
        <v/>
      </c>
      <c r="P78" s="8">
        <f>IF(D78,"Terminal",IF(N78=1,"Blocked",IF(K78=1,"Determination Notice",IF(L78=1,"Board","Under Review"))))</f>
        <v/>
      </c>
      <c r="Q78" s="8">
        <f>IF(Applicant_List!L79="Closed","Closed",IF(OR(Applicant_List!L79="Withdrawn",Applicant_List!L79="Terminated"),Applicant_List!L79,IF(N78=1,"No Advancement",IF(K78=1,"Determination Notice Issued",IF(L78=1,"Board","Under Review")))))</f>
        <v/>
      </c>
    </row>
    <row r="79">
      <c r="A79" s="8">
        <f>Applicant_List!C80</f>
        <v/>
      </c>
      <c r="B79" s="8">
        <f>Applicant_List!E80</f>
        <v/>
      </c>
      <c r="C79" s="8">
        <f>Applicant_List!L80</f>
        <v/>
      </c>
      <c r="D79" s="8">
        <f>OR(Applicant_List!L80="Closed",Applicant_List!L80="Withdrawn",Applicant_List!L80="Terminated")</f>
        <v/>
      </c>
      <c r="E79" s="8">
        <f>IF(OR(Applicant_List!AI80="N",Applicant_List!AI80=""),1,0)</f>
        <v/>
      </c>
      <c r="F79" s="8">
        <f>IF(OR(Applicant_List!AK80="N",Applicant_List!AK80="",Applicant_List!AL80="N",Applicant_List!AL80=""),1,0)</f>
        <v/>
      </c>
      <c r="G79" s="8">
        <f>IF(OR(Applicant_List!AM80="N",Applicant_List!AM80=""),1,0)</f>
        <v/>
      </c>
      <c r="H79" s="8">
        <f>IF(OR(Applicant_List!AX80="Y",AND(Applicant_List!AS80="Y",Applicant_List!AV80&lt;&gt;"Y")),1,0)</f>
        <v/>
      </c>
      <c r="I79" s="8">
        <f>IF(OR(Applicant_List!AZ80="N",Applicant_List!AZ80="",Applicant_List!BA80="N",Applicant_List!BA80=""),1,0)</f>
        <v/>
      </c>
      <c r="J79" s="8">
        <f>IF(OR(Applicant_List!BB80="N",Applicant_List!BB80="",Applicant_List!BC80="N",Applicant_List!BE80="Y",Applicant_List!BL80="Y"),1,0)</f>
        <v/>
      </c>
      <c r="K79" s="8">
        <f>IF(AND(Applicant_List!BJ80="Y",Applicant_List!BM80="Y",Applicant_List!BK80&lt;&gt;"Y"),1,0)</f>
        <v/>
      </c>
      <c r="L79" s="8">
        <f>IF(OR(Applicant_List!BN80="Y",Applicant_List!BK80="Y"),1,0)</f>
        <v/>
      </c>
      <c r="M79" s="8">
        <f>COUNTIF(Applicant_List!AI80:BM80,"N")+COUNTBLANK(Applicant_List!AI80:BM80)</f>
        <v/>
      </c>
      <c r="N79" s="8">
        <f>MAX(E79:J79)</f>
        <v/>
      </c>
      <c r="O79" s="8">
        <f>IF(Applicant_List!BP80="Y",100000,0)+IF(ISNUMBER(Applicant_List!BO80),50000-INT(Applicant_List!BO80),0)+IF(LEN(Applicant_List!L80)&gt;0,1000,0)</f>
        <v/>
      </c>
      <c r="P79" s="8">
        <f>IF(D79,"Terminal",IF(N79=1,"Blocked",IF(K79=1,"Determination Notice",IF(L79=1,"Board","Under Review"))))</f>
        <v/>
      </c>
      <c r="Q79" s="8">
        <f>IF(Applicant_List!L80="Closed","Closed",IF(OR(Applicant_List!L80="Withdrawn",Applicant_List!L80="Terminated"),Applicant_List!L80,IF(N79=1,"No Advancement",IF(K79=1,"Determination Notice Issued",IF(L79=1,"Board","Under Review")))))</f>
        <v/>
      </c>
    </row>
    <row r="80">
      <c r="A80" s="8">
        <f>Applicant_List!C81</f>
        <v/>
      </c>
      <c r="B80" s="8">
        <f>Applicant_List!E81</f>
        <v/>
      </c>
      <c r="C80" s="8">
        <f>Applicant_List!L81</f>
        <v/>
      </c>
      <c r="D80" s="8">
        <f>OR(Applicant_List!L81="Closed",Applicant_List!L81="Withdrawn",Applicant_List!L81="Terminated")</f>
        <v/>
      </c>
      <c r="E80" s="8">
        <f>IF(OR(Applicant_List!AI81="N",Applicant_List!AI81=""),1,0)</f>
        <v/>
      </c>
      <c r="F80" s="8">
        <f>IF(OR(Applicant_List!AK81="N",Applicant_List!AK81="",Applicant_List!AL81="N",Applicant_List!AL81=""),1,0)</f>
        <v/>
      </c>
      <c r="G80" s="8">
        <f>IF(OR(Applicant_List!AM81="N",Applicant_List!AM81=""),1,0)</f>
        <v/>
      </c>
      <c r="H80" s="8">
        <f>IF(OR(Applicant_List!AX81="Y",AND(Applicant_List!AS81="Y",Applicant_List!AV81&lt;&gt;"Y")),1,0)</f>
        <v/>
      </c>
      <c r="I80" s="8">
        <f>IF(OR(Applicant_List!AZ81="N",Applicant_List!AZ81="",Applicant_List!BA81="N",Applicant_List!BA81=""),1,0)</f>
        <v/>
      </c>
      <c r="J80" s="8">
        <f>IF(OR(Applicant_List!BB81="N",Applicant_List!BB81="",Applicant_List!BC81="N",Applicant_List!BE81="Y",Applicant_List!BL81="Y"),1,0)</f>
        <v/>
      </c>
      <c r="K80" s="8">
        <f>IF(AND(Applicant_List!BJ81="Y",Applicant_List!BM81="Y",Applicant_List!BK81&lt;&gt;"Y"),1,0)</f>
        <v/>
      </c>
      <c r="L80" s="8">
        <f>IF(OR(Applicant_List!BN81="Y",Applicant_List!BK81="Y"),1,0)</f>
        <v/>
      </c>
      <c r="M80" s="8">
        <f>COUNTIF(Applicant_List!AI81:BM81,"N")+COUNTBLANK(Applicant_List!AI81:BM81)</f>
        <v/>
      </c>
      <c r="N80" s="8">
        <f>MAX(E80:J80)</f>
        <v/>
      </c>
      <c r="O80" s="8">
        <f>IF(Applicant_List!BP81="Y",100000,0)+IF(ISNUMBER(Applicant_List!BO81),50000-INT(Applicant_List!BO81),0)+IF(LEN(Applicant_List!L81)&gt;0,1000,0)</f>
        <v/>
      </c>
      <c r="P80" s="8">
        <f>IF(D80,"Terminal",IF(N80=1,"Blocked",IF(K80=1,"Determination Notice",IF(L80=1,"Board","Under Review"))))</f>
        <v/>
      </c>
      <c r="Q80" s="8">
        <f>IF(Applicant_List!L81="Closed","Closed",IF(OR(Applicant_List!L81="Withdrawn",Applicant_List!L81="Terminated"),Applicant_List!L81,IF(N80=1,"No Advancement",IF(K80=1,"Determination Notice Issued",IF(L80=1,"Board","Under Review")))))</f>
        <v/>
      </c>
    </row>
    <row r="81">
      <c r="A81" s="8">
        <f>Applicant_List!C82</f>
        <v/>
      </c>
      <c r="B81" s="8">
        <f>Applicant_List!E82</f>
        <v/>
      </c>
      <c r="C81" s="8">
        <f>Applicant_List!L82</f>
        <v/>
      </c>
      <c r="D81" s="8">
        <f>OR(Applicant_List!L82="Closed",Applicant_List!L82="Withdrawn",Applicant_List!L82="Terminated")</f>
        <v/>
      </c>
      <c r="E81" s="8">
        <f>IF(OR(Applicant_List!AI82="N",Applicant_List!AI82=""),1,0)</f>
        <v/>
      </c>
      <c r="F81" s="8">
        <f>IF(OR(Applicant_List!AK82="N",Applicant_List!AK82="",Applicant_List!AL82="N",Applicant_List!AL82=""),1,0)</f>
        <v/>
      </c>
      <c r="G81" s="8">
        <f>IF(OR(Applicant_List!AM82="N",Applicant_List!AM82=""),1,0)</f>
        <v/>
      </c>
      <c r="H81" s="8">
        <f>IF(OR(Applicant_List!AX82="Y",AND(Applicant_List!AS82="Y",Applicant_List!AV82&lt;&gt;"Y")),1,0)</f>
        <v/>
      </c>
      <c r="I81" s="8">
        <f>IF(OR(Applicant_List!AZ82="N",Applicant_List!AZ82="",Applicant_List!BA82="N",Applicant_List!BA82=""),1,0)</f>
        <v/>
      </c>
      <c r="J81" s="8">
        <f>IF(OR(Applicant_List!BB82="N",Applicant_List!BB82="",Applicant_List!BC82="N",Applicant_List!BE82="Y",Applicant_List!BL82="Y"),1,0)</f>
        <v/>
      </c>
      <c r="K81" s="8">
        <f>IF(AND(Applicant_List!BJ82="Y",Applicant_List!BM82="Y",Applicant_List!BK82&lt;&gt;"Y"),1,0)</f>
        <v/>
      </c>
      <c r="L81" s="8">
        <f>IF(OR(Applicant_List!BN82="Y",Applicant_List!BK82="Y"),1,0)</f>
        <v/>
      </c>
      <c r="M81" s="8">
        <f>COUNTIF(Applicant_List!AI82:BM82,"N")+COUNTBLANK(Applicant_List!AI82:BM82)</f>
        <v/>
      </c>
      <c r="N81" s="8">
        <f>MAX(E81:J81)</f>
        <v/>
      </c>
      <c r="O81" s="8">
        <f>IF(Applicant_List!BP82="Y",100000,0)+IF(ISNUMBER(Applicant_List!BO82),50000-INT(Applicant_List!BO82),0)+IF(LEN(Applicant_List!L82)&gt;0,1000,0)</f>
        <v/>
      </c>
      <c r="P81" s="8">
        <f>IF(D81,"Terminal",IF(N81=1,"Blocked",IF(K81=1,"Determination Notice",IF(L81=1,"Board","Under Review"))))</f>
        <v/>
      </c>
      <c r="Q81" s="8">
        <f>IF(Applicant_List!L82="Closed","Closed",IF(OR(Applicant_List!L82="Withdrawn",Applicant_List!L82="Terminated"),Applicant_List!L82,IF(N81=1,"No Advancement",IF(K81=1,"Determination Notice Issued",IF(L81=1,"Board","Under Review")))))</f>
        <v/>
      </c>
    </row>
    <row r="82">
      <c r="A82" s="8">
        <f>Applicant_List!C83</f>
        <v/>
      </c>
      <c r="B82" s="8">
        <f>Applicant_List!E83</f>
        <v/>
      </c>
      <c r="C82" s="8">
        <f>Applicant_List!L83</f>
        <v/>
      </c>
      <c r="D82" s="8">
        <f>OR(Applicant_List!L83="Closed",Applicant_List!L83="Withdrawn",Applicant_List!L83="Terminated")</f>
        <v/>
      </c>
      <c r="E82" s="8">
        <f>IF(OR(Applicant_List!AI83="N",Applicant_List!AI83=""),1,0)</f>
        <v/>
      </c>
      <c r="F82" s="8">
        <f>IF(OR(Applicant_List!AK83="N",Applicant_List!AK83="",Applicant_List!AL83="N",Applicant_List!AL83=""),1,0)</f>
        <v/>
      </c>
      <c r="G82" s="8">
        <f>IF(OR(Applicant_List!AM83="N",Applicant_List!AM83=""),1,0)</f>
        <v/>
      </c>
      <c r="H82" s="8">
        <f>IF(OR(Applicant_List!AX83="Y",AND(Applicant_List!AS83="Y",Applicant_List!AV83&lt;&gt;"Y")),1,0)</f>
        <v/>
      </c>
      <c r="I82" s="8">
        <f>IF(OR(Applicant_List!AZ83="N",Applicant_List!AZ83="",Applicant_List!BA83="N",Applicant_List!BA83=""),1,0)</f>
        <v/>
      </c>
      <c r="J82" s="8">
        <f>IF(OR(Applicant_List!BB83="N",Applicant_List!BB83="",Applicant_List!BC83="N",Applicant_List!BE83="Y",Applicant_List!BL83="Y"),1,0)</f>
        <v/>
      </c>
      <c r="K82" s="8">
        <f>IF(AND(Applicant_List!BJ83="Y",Applicant_List!BM83="Y",Applicant_List!BK83&lt;&gt;"Y"),1,0)</f>
        <v/>
      </c>
      <c r="L82" s="8">
        <f>IF(OR(Applicant_List!BN83="Y",Applicant_List!BK83="Y"),1,0)</f>
        <v/>
      </c>
      <c r="M82" s="8">
        <f>COUNTIF(Applicant_List!AI83:BM83,"N")+COUNTBLANK(Applicant_List!AI83:BM83)</f>
        <v/>
      </c>
      <c r="N82" s="8">
        <f>MAX(E82:J82)</f>
        <v/>
      </c>
      <c r="O82" s="8">
        <f>IF(Applicant_List!BP83="Y",100000,0)+IF(ISNUMBER(Applicant_List!BO83),50000-INT(Applicant_List!BO83),0)+IF(LEN(Applicant_List!L83)&gt;0,1000,0)</f>
        <v/>
      </c>
      <c r="P82" s="8">
        <f>IF(D82,"Terminal",IF(N82=1,"Blocked",IF(K82=1,"Determination Notice",IF(L82=1,"Board","Under Review"))))</f>
        <v/>
      </c>
      <c r="Q82" s="8">
        <f>IF(Applicant_List!L83="Closed","Closed",IF(OR(Applicant_List!L83="Withdrawn",Applicant_List!L83="Terminated"),Applicant_List!L83,IF(N82=1,"No Advancement",IF(K82=1,"Determination Notice Issued",IF(L82=1,"Board","Under Review")))))</f>
        <v/>
      </c>
    </row>
    <row r="83">
      <c r="A83" s="8">
        <f>Applicant_List!C84</f>
        <v/>
      </c>
      <c r="B83" s="8">
        <f>Applicant_List!E84</f>
        <v/>
      </c>
      <c r="C83" s="8">
        <f>Applicant_List!L84</f>
        <v/>
      </c>
      <c r="D83" s="8">
        <f>OR(Applicant_List!L84="Closed",Applicant_List!L84="Withdrawn",Applicant_List!L84="Terminated")</f>
        <v/>
      </c>
      <c r="E83" s="8">
        <f>IF(OR(Applicant_List!AI84="N",Applicant_List!AI84=""),1,0)</f>
        <v/>
      </c>
      <c r="F83" s="8">
        <f>IF(OR(Applicant_List!AK84="N",Applicant_List!AK84="",Applicant_List!AL84="N",Applicant_List!AL84=""),1,0)</f>
        <v/>
      </c>
      <c r="G83" s="8">
        <f>IF(OR(Applicant_List!AM84="N",Applicant_List!AM84=""),1,0)</f>
        <v/>
      </c>
      <c r="H83" s="8">
        <f>IF(OR(Applicant_List!AX84="Y",AND(Applicant_List!AS84="Y",Applicant_List!AV84&lt;&gt;"Y")),1,0)</f>
        <v/>
      </c>
      <c r="I83" s="8">
        <f>IF(OR(Applicant_List!AZ84="N",Applicant_List!AZ84="",Applicant_List!BA84="N",Applicant_List!BA84=""),1,0)</f>
        <v/>
      </c>
      <c r="J83" s="8">
        <f>IF(OR(Applicant_List!BB84="N",Applicant_List!BB84="",Applicant_List!BC84="N",Applicant_List!BE84="Y",Applicant_List!BL84="Y"),1,0)</f>
        <v/>
      </c>
      <c r="K83" s="8">
        <f>IF(AND(Applicant_List!BJ84="Y",Applicant_List!BM84="Y",Applicant_List!BK84&lt;&gt;"Y"),1,0)</f>
        <v/>
      </c>
      <c r="L83" s="8">
        <f>IF(OR(Applicant_List!BN84="Y",Applicant_List!BK84="Y"),1,0)</f>
        <v/>
      </c>
      <c r="M83" s="8">
        <f>COUNTIF(Applicant_List!AI84:BM84,"N")+COUNTBLANK(Applicant_List!AI84:BM84)</f>
        <v/>
      </c>
      <c r="N83" s="8">
        <f>MAX(E83:J83)</f>
        <v/>
      </c>
      <c r="O83" s="8">
        <f>IF(Applicant_List!BP84="Y",100000,0)+IF(ISNUMBER(Applicant_List!BO84),50000-INT(Applicant_List!BO84),0)+IF(LEN(Applicant_List!L84)&gt;0,1000,0)</f>
        <v/>
      </c>
      <c r="P83" s="8">
        <f>IF(D83,"Terminal",IF(N83=1,"Blocked",IF(K83=1,"Determination Notice",IF(L83=1,"Board","Under Review"))))</f>
        <v/>
      </c>
      <c r="Q83" s="8">
        <f>IF(Applicant_List!L84="Closed","Closed",IF(OR(Applicant_List!L84="Withdrawn",Applicant_List!L84="Terminated"),Applicant_List!L84,IF(N83=1,"No Advancement",IF(K83=1,"Determination Notice Issued",IF(L83=1,"Board","Under Review")))))</f>
        <v/>
      </c>
    </row>
    <row r="84">
      <c r="A84" s="8">
        <f>Applicant_List!C85</f>
        <v/>
      </c>
      <c r="B84" s="8">
        <f>Applicant_List!E85</f>
        <v/>
      </c>
      <c r="C84" s="8">
        <f>Applicant_List!L85</f>
        <v/>
      </c>
      <c r="D84" s="8">
        <f>OR(Applicant_List!L85="Closed",Applicant_List!L85="Withdrawn",Applicant_List!L85="Terminated")</f>
        <v/>
      </c>
      <c r="E84" s="8">
        <f>IF(OR(Applicant_List!AI85="N",Applicant_List!AI85=""),1,0)</f>
        <v/>
      </c>
      <c r="F84" s="8">
        <f>IF(OR(Applicant_List!AK85="N",Applicant_List!AK85="",Applicant_List!AL85="N",Applicant_List!AL85=""),1,0)</f>
        <v/>
      </c>
      <c r="G84" s="8">
        <f>IF(OR(Applicant_List!AM85="N",Applicant_List!AM85=""),1,0)</f>
        <v/>
      </c>
      <c r="H84" s="8">
        <f>IF(OR(Applicant_List!AX85="Y",AND(Applicant_List!AS85="Y",Applicant_List!AV85&lt;&gt;"Y")),1,0)</f>
        <v/>
      </c>
      <c r="I84" s="8">
        <f>IF(OR(Applicant_List!AZ85="N",Applicant_List!AZ85="",Applicant_List!BA85="N",Applicant_List!BA85=""),1,0)</f>
        <v/>
      </c>
      <c r="J84" s="8">
        <f>IF(OR(Applicant_List!BB85="N",Applicant_List!BB85="",Applicant_List!BC85="N",Applicant_List!BE85="Y",Applicant_List!BL85="Y"),1,0)</f>
        <v/>
      </c>
      <c r="K84" s="8">
        <f>IF(AND(Applicant_List!BJ85="Y",Applicant_List!BM85="Y",Applicant_List!BK85&lt;&gt;"Y"),1,0)</f>
        <v/>
      </c>
      <c r="L84" s="8">
        <f>IF(OR(Applicant_List!BN85="Y",Applicant_List!BK85="Y"),1,0)</f>
        <v/>
      </c>
      <c r="M84" s="8">
        <f>COUNTIF(Applicant_List!AI85:BM85,"N")+COUNTBLANK(Applicant_List!AI85:BM85)</f>
        <v/>
      </c>
      <c r="N84" s="8">
        <f>MAX(E84:J84)</f>
        <v/>
      </c>
      <c r="O84" s="8">
        <f>IF(Applicant_List!BP85="Y",100000,0)+IF(ISNUMBER(Applicant_List!BO85),50000-INT(Applicant_List!BO85),0)+IF(LEN(Applicant_List!L85)&gt;0,1000,0)</f>
        <v/>
      </c>
      <c r="P84" s="8">
        <f>IF(D84,"Terminal",IF(N84=1,"Blocked",IF(K84=1,"Determination Notice",IF(L84=1,"Board","Under Review"))))</f>
        <v/>
      </c>
      <c r="Q84" s="8">
        <f>IF(Applicant_List!L85="Closed","Closed",IF(OR(Applicant_List!L85="Withdrawn",Applicant_List!L85="Terminated"),Applicant_List!L85,IF(N84=1,"No Advancement",IF(K84=1,"Determination Notice Issued",IF(L84=1,"Board","Under Review")))))</f>
        <v/>
      </c>
    </row>
    <row r="85">
      <c r="A85" s="8">
        <f>Applicant_List!C86</f>
        <v/>
      </c>
      <c r="B85" s="8">
        <f>Applicant_List!E86</f>
        <v/>
      </c>
      <c r="C85" s="8">
        <f>Applicant_List!L86</f>
        <v/>
      </c>
      <c r="D85" s="8">
        <f>OR(Applicant_List!L86="Closed",Applicant_List!L86="Withdrawn",Applicant_List!L86="Terminated")</f>
        <v/>
      </c>
      <c r="E85" s="8">
        <f>IF(OR(Applicant_List!AI86="N",Applicant_List!AI86=""),1,0)</f>
        <v/>
      </c>
      <c r="F85" s="8">
        <f>IF(OR(Applicant_List!AK86="N",Applicant_List!AK86="",Applicant_List!AL86="N",Applicant_List!AL86=""),1,0)</f>
        <v/>
      </c>
      <c r="G85" s="8">
        <f>IF(OR(Applicant_List!AM86="N",Applicant_List!AM86=""),1,0)</f>
        <v/>
      </c>
      <c r="H85" s="8">
        <f>IF(OR(Applicant_List!AX86="Y",AND(Applicant_List!AS86="Y",Applicant_List!AV86&lt;&gt;"Y")),1,0)</f>
        <v/>
      </c>
      <c r="I85" s="8">
        <f>IF(OR(Applicant_List!AZ86="N",Applicant_List!AZ86="",Applicant_List!BA86="N",Applicant_List!BA86=""),1,0)</f>
        <v/>
      </c>
      <c r="J85" s="8">
        <f>IF(OR(Applicant_List!BB86="N",Applicant_List!BB86="",Applicant_List!BC86="N",Applicant_List!BE86="Y",Applicant_List!BL86="Y"),1,0)</f>
        <v/>
      </c>
      <c r="K85" s="8">
        <f>IF(AND(Applicant_List!BJ86="Y",Applicant_List!BM86="Y",Applicant_List!BK86&lt;&gt;"Y"),1,0)</f>
        <v/>
      </c>
      <c r="L85" s="8">
        <f>IF(OR(Applicant_List!BN86="Y",Applicant_List!BK86="Y"),1,0)</f>
        <v/>
      </c>
      <c r="M85" s="8">
        <f>COUNTIF(Applicant_List!AI86:BM86,"N")+COUNTBLANK(Applicant_List!AI86:BM86)</f>
        <v/>
      </c>
      <c r="N85" s="8">
        <f>MAX(E85:J85)</f>
        <v/>
      </c>
      <c r="O85" s="8">
        <f>IF(Applicant_List!BP86="Y",100000,0)+IF(ISNUMBER(Applicant_List!BO86),50000-INT(Applicant_List!BO86),0)+IF(LEN(Applicant_List!L86)&gt;0,1000,0)</f>
        <v/>
      </c>
      <c r="P85" s="8">
        <f>IF(D85,"Terminal",IF(N85=1,"Blocked",IF(K85=1,"Determination Notice",IF(L85=1,"Board","Under Review"))))</f>
        <v/>
      </c>
      <c r="Q85" s="8">
        <f>IF(Applicant_List!L86="Closed","Closed",IF(OR(Applicant_List!L86="Withdrawn",Applicant_List!L86="Terminated"),Applicant_List!L86,IF(N85=1,"No Advancement",IF(K85=1,"Determination Notice Issued",IF(L85=1,"Board","Under Review")))))</f>
        <v/>
      </c>
    </row>
    <row r="86">
      <c r="A86" s="8">
        <f>Applicant_List!C87</f>
        <v/>
      </c>
      <c r="B86" s="8">
        <f>Applicant_List!E87</f>
        <v/>
      </c>
      <c r="C86" s="8">
        <f>Applicant_List!L87</f>
        <v/>
      </c>
      <c r="D86" s="8">
        <f>OR(Applicant_List!L87="Closed",Applicant_List!L87="Withdrawn",Applicant_List!L87="Terminated")</f>
        <v/>
      </c>
      <c r="E86" s="8">
        <f>IF(OR(Applicant_List!AI87="N",Applicant_List!AI87=""),1,0)</f>
        <v/>
      </c>
      <c r="F86" s="8">
        <f>IF(OR(Applicant_List!AK87="N",Applicant_List!AK87="",Applicant_List!AL87="N",Applicant_List!AL87=""),1,0)</f>
        <v/>
      </c>
      <c r="G86" s="8">
        <f>IF(OR(Applicant_List!AM87="N",Applicant_List!AM87=""),1,0)</f>
        <v/>
      </c>
      <c r="H86" s="8">
        <f>IF(OR(Applicant_List!AX87="Y",AND(Applicant_List!AS87="Y",Applicant_List!AV87&lt;&gt;"Y")),1,0)</f>
        <v/>
      </c>
      <c r="I86" s="8">
        <f>IF(OR(Applicant_List!AZ87="N",Applicant_List!AZ87="",Applicant_List!BA87="N",Applicant_List!BA87=""),1,0)</f>
        <v/>
      </c>
      <c r="J86" s="8">
        <f>IF(OR(Applicant_List!BB87="N",Applicant_List!BB87="",Applicant_List!BC87="N",Applicant_List!BE87="Y",Applicant_List!BL87="Y"),1,0)</f>
        <v/>
      </c>
      <c r="K86" s="8">
        <f>IF(AND(Applicant_List!BJ87="Y",Applicant_List!BM87="Y",Applicant_List!BK87&lt;&gt;"Y"),1,0)</f>
        <v/>
      </c>
      <c r="L86" s="8">
        <f>IF(OR(Applicant_List!BN87="Y",Applicant_List!BK87="Y"),1,0)</f>
        <v/>
      </c>
      <c r="M86" s="8">
        <f>COUNTIF(Applicant_List!AI87:BM87,"N")+COUNTBLANK(Applicant_List!AI87:BM87)</f>
        <v/>
      </c>
      <c r="N86" s="8">
        <f>MAX(E86:J86)</f>
        <v/>
      </c>
      <c r="O86" s="8">
        <f>IF(Applicant_List!BP87="Y",100000,0)+IF(ISNUMBER(Applicant_List!BO87),50000-INT(Applicant_List!BO87),0)+IF(LEN(Applicant_List!L87)&gt;0,1000,0)</f>
        <v/>
      </c>
      <c r="P86" s="8">
        <f>IF(D86,"Terminal",IF(N86=1,"Blocked",IF(K86=1,"Determination Notice",IF(L86=1,"Board","Under Review"))))</f>
        <v/>
      </c>
      <c r="Q86" s="8">
        <f>IF(Applicant_List!L87="Closed","Closed",IF(OR(Applicant_List!L87="Withdrawn",Applicant_List!L87="Terminated"),Applicant_List!L87,IF(N86=1,"No Advancement",IF(K86=1,"Determination Notice Issued",IF(L86=1,"Board","Under Review")))))</f>
        <v/>
      </c>
    </row>
    <row r="87">
      <c r="A87" s="8">
        <f>Applicant_List!C88</f>
        <v/>
      </c>
      <c r="B87" s="8">
        <f>Applicant_List!E88</f>
        <v/>
      </c>
      <c r="C87" s="8">
        <f>Applicant_List!L88</f>
        <v/>
      </c>
      <c r="D87" s="8">
        <f>OR(Applicant_List!L88="Closed",Applicant_List!L88="Withdrawn",Applicant_List!L88="Terminated")</f>
        <v/>
      </c>
      <c r="E87" s="8">
        <f>IF(OR(Applicant_List!AI88="N",Applicant_List!AI88=""),1,0)</f>
        <v/>
      </c>
      <c r="F87" s="8">
        <f>IF(OR(Applicant_List!AK88="N",Applicant_List!AK88="",Applicant_List!AL88="N",Applicant_List!AL88=""),1,0)</f>
        <v/>
      </c>
      <c r="G87" s="8">
        <f>IF(OR(Applicant_List!AM88="N",Applicant_List!AM88=""),1,0)</f>
        <v/>
      </c>
      <c r="H87" s="8">
        <f>IF(OR(Applicant_List!AX88="Y",AND(Applicant_List!AS88="Y",Applicant_List!AV88&lt;&gt;"Y")),1,0)</f>
        <v/>
      </c>
      <c r="I87" s="8">
        <f>IF(OR(Applicant_List!AZ88="N",Applicant_List!AZ88="",Applicant_List!BA88="N",Applicant_List!BA88=""),1,0)</f>
        <v/>
      </c>
      <c r="J87" s="8">
        <f>IF(OR(Applicant_List!BB88="N",Applicant_List!BB88="",Applicant_List!BC88="N",Applicant_List!BE88="Y",Applicant_List!BL88="Y"),1,0)</f>
        <v/>
      </c>
      <c r="K87" s="8">
        <f>IF(AND(Applicant_List!BJ88="Y",Applicant_List!BM88="Y",Applicant_List!BK88&lt;&gt;"Y"),1,0)</f>
        <v/>
      </c>
      <c r="L87" s="8">
        <f>IF(OR(Applicant_List!BN88="Y",Applicant_List!BK88="Y"),1,0)</f>
        <v/>
      </c>
      <c r="M87" s="8">
        <f>COUNTIF(Applicant_List!AI88:BM88,"N")+COUNTBLANK(Applicant_List!AI88:BM88)</f>
        <v/>
      </c>
      <c r="N87" s="8">
        <f>MAX(E87:J87)</f>
        <v/>
      </c>
      <c r="O87" s="8">
        <f>IF(Applicant_List!BP88="Y",100000,0)+IF(ISNUMBER(Applicant_List!BO88),50000-INT(Applicant_List!BO88),0)+IF(LEN(Applicant_List!L88)&gt;0,1000,0)</f>
        <v/>
      </c>
      <c r="P87" s="8">
        <f>IF(D87,"Terminal",IF(N87=1,"Blocked",IF(K87=1,"Determination Notice",IF(L87=1,"Board","Under Review"))))</f>
        <v/>
      </c>
      <c r="Q87" s="8">
        <f>IF(Applicant_List!L88="Closed","Closed",IF(OR(Applicant_List!L88="Withdrawn",Applicant_List!L88="Terminated"),Applicant_List!L88,IF(N87=1,"No Advancement",IF(K87=1,"Determination Notice Issued",IF(L87=1,"Board","Under Review")))))</f>
        <v/>
      </c>
    </row>
    <row r="88">
      <c r="A88" s="8">
        <f>Applicant_List!C89</f>
        <v/>
      </c>
      <c r="B88" s="8">
        <f>Applicant_List!E89</f>
        <v/>
      </c>
      <c r="C88" s="8">
        <f>Applicant_List!L89</f>
        <v/>
      </c>
      <c r="D88" s="8">
        <f>OR(Applicant_List!L89="Closed",Applicant_List!L89="Withdrawn",Applicant_List!L89="Terminated")</f>
        <v/>
      </c>
      <c r="E88" s="8">
        <f>IF(OR(Applicant_List!AI89="N",Applicant_List!AI89=""),1,0)</f>
        <v/>
      </c>
      <c r="F88" s="8">
        <f>IF(OR(Applicant_List!AK89="N",Applicant_List!AK89="",Applicant_List!AL89="N",Applicant_List!AL89=""),1,0)</f>
        <v/>
      </c>
      <c r="G88" s="8">
        <f>IF(OR(Applicant_List!AM89="N",Applicant_List!AM89=""),1,0)</f>
        <v/>
      </c>
      <c r="H88" s="8">
        <f>IF(OR(Applicant_List!AX89="Y",AND(Applicant_List!AS89="Y",Applicant_List!AV89&lt;&gt;"Y")),1,0)</f>
        <v/>
      </c>
      <c r="I88" s="8">
        <f>IF(OR(Applicant_List!AZ89="N",Applicant_List!AZ89="",Applicant_List!BA89="N",Applicant_List!BA89=""),1,0)</f>
        <v/>
      </c>
      <c r="J88" s="8">
        <f>IF(OR(Applicant_List!BB89="N",Applicant_List!BB89="",Applicant_List!BC89="N",Applicant_List!BE89="Y",Applicant_List!BL89="Y"),1,0)</f>
        <v/>
      </c>
      <c r="K88" s="8">
        <f>IF(AND(Applicant_List!BJ89="Y",Applicant_List!BM89="Y",Applicant_List!BK89&lt;&gt;"Y"),1,0)</f>
        <v/>
      </c>
      <c r="L88" s="8">
        <f>IF(OR(Applicant_List!BN89="Y",Applicant_List!BK89="Y"),1,0)</f>
        <v/>
      </c>
      <c r="M88" s="8">
        <f>COUNTIF(Applicant_List!AI89:BM89,"N")+COUNTBLANK(Applicant_List!AI89:BM89)</f>
        <v/>
      </c>
      <c r="N88" s="8">
        <f>MAX(E88:J88)</f>
        <v/>
      </c>
      <c r="O88" s="8">
        <f>IF(Applicant_List!BP89="Y",100000,0)+IF(ISNUMBER(Applicant_List!BO89),50000-INT(Applicant_List!BO89),0)+IF(LEN(Applicant_List!L89)&gt;0,1000,0)</f>
        <v/>
      </c>
      <c r="P88" s="8">
        <f>IF(D88,"Terminal",IF(N88=1,"Blocked",IF(K88=1,"Determination Notice",IF(L88=1,"Board","Under Review"))))</f>
        <v/>
      </c>
      <c r="Q88" s="8">
        <f>IF(Applicant_List!L89="Closed","Closed",IF(OR(Applicant_List!L89="Withdrawn",Applicant_List!L89="Terminated"),Applicant_List!L89,IF(N88=1,"No Advancement",IF(K88=1,"Determination Notice Issued",IF(L88=1,"Board","Under Review")))))</f>
        <v/>
      </c>
    </row>
    <row r="89">
      <c r="A89" s="8">
        <f>Applicant_List!C90</f>
        <v/>
      </c>
      <c r="B89" s="8">
        <f>Applicant_List!E90</f>
        <v/>
      </c>
      <c r="C89" s="8">
        <f>Applicant_List!L90</f>
        <v/>
      </c>
      <c r="D89" s="8">
        <f>OR(Applicant_List!L90="Closed",Applicant_List!L90="Withdrawn",Applicant_List!L90="Terminated")</f>
        <v/>
      </c>
      <c r="E89" s="8">
        <f>IF(OR(Applicant_List!AI90="N",Applicant_List!AI90=""),1,0)</f>
        <v/>
      </c>
      <c r="F89" s="8">
        <f>IF(OR(Applicant_List!AK90="N",Applicant_List!AK90="",Applicant_List!AL90="N",Applicant_List!AL90=""),1,0)</f>
        <v/>
      </c>
      <c r="G89" s="8">
        <f>IF(OR(Applicant_List!AM90="N",Applicant_List!AM90=""),1,0)</f>
        <v/>
      </c>
      <c r="H89" s="8">
        <f>IF(OR(Applicant_List!AX90="Y",AND(Applicant_List!AS90="Y",Applicant_List!AV90&lt;&gt;"Y")),1,0)</f>
        <v/>
      </c>
      <c r="I89" s="8">
        <f>IF(OR(Applicant_List!AZ90="N",Applicant_List!AZ90="",Applicant_List!BA90="N",Applicant_List!BA90=""),1,0)</f>
        <v/>
      </c>
      <c r="J89" s="8">
        <f>IF(OR(Applicant_List!BB90="N",Applicant_List!BB90="",Applicant_List!BC90="N",Applicant_List!BE90="Y",Applicant_List!BL90="Y"),1,0)</f>
        <v/>
      </c>
      <c r="K89" s="8">
        <f>IF(AND(Applicant_List!BJ90="Y",Applicant_List!BM90="Y",Applicant_List!BK90&lt;&gt;"Y"),1,0)</f>
        <v/>
      </c>
      <c r="L89" s="8">
        <f>IF(OR(Applicant_List!BN90="Y",Applicant_List!BK90="Y"),1,0)</f>
        <v/>
      </c>
      <c r="M89" s="8">
        <f>COUNTIF(Applicant_List!AI90:BM90,"N")+COUNTBLANK(Applicant_List!AI90:BM90)</f>
        <v/>
      </c>
      <c r="N89" s="8">
        <f>MAX(E89:J89)</f>
        <v/>
      </c>
      <c r="O89" s="8">
        <f>IF(Applicant_List!BP90="Y",100000,0)+IF(ISNUMBER(Applicant_List!BO90),50000-INT(Applicant_List!BO90),0)+IF(LEN(Applicant_List!L90)&gt;0,1000,0)</f>
        <v/>
      </c>
      <c r="P89" s="8">
        <f>IF(D89,"Terminal",IF(N89=1,"Blocked",IF(K89=1,"Determination Notice",IF(L89=1,"Board","Under Review"))))</f>
        <v/>
      </c>
      <c r="Q89" s="8">
        <f>IF(Applicant_List!L90="Closed","Closed",IF(OR(Applicant_List!L90="Withdrawn",Applicant_List!L90="Terminated"),Applicant_List!L90,IF(N89=1,"No Advancement",IF(K89=1,"Determination Notice Issued",IF(L89=1,"Board","Under Review")))))</f>
        <v/>
      </c>
    </row>
    <row r="90">
      <c r="A90" s="8">
        <f>Applicant_List!C91</f>
        <v/>
      </c>
      <c r="B90" s="8">
        <f>Applicant_List!E91</f>
        <v/>
      </c>
      <c r="C90" s="8">
        <f>Applicant_List!L91</f>
        <v/>
      </c>
      <c r="D90" s="8">
        <f>OR(Applicant_List!L91="Closed",Applicant_List!L91="Withdrawn",Applicant_List!L91="Terminated")</f>
        <v/>
      </c>
      <c r="E90" s="8">
        <f>IF(OR(Applicant_List!AI91="N",Applicant_List!AI91=""),1,0)</f>
        <v/>
      </c>
      <c r="F90" s="8">
        <f>IF(OR(Applicant_List!AK91="N",Applicant_List!AK91="",Applicant_List!AL91="N",Applicant_List!AL91=""),1,0)</f>
        <v/>
      </c>
      <c r="G90" s="8">
        <f>IF(OR(Applicant_List!AM91="N",Applicant_List!AM91=""),1,0)</f>
        <v/>
      </c>
      <c r="H90" s="8">
        <f>IF(OR(Applicant_List!AX91="Y",AND(Applicant_List!AS91="Y",Applicant_List!AV91&lt;&gt;"Y")),1,0)</f>
        <v/>
      </c>
      <c r="I90" s="8">
        <f>IF(OR(Applicant_List!AZ91="N",Applicant_List!AZ91="",Applicant_List!BA91="N",Applicant_List!BA91=""),1,0)</f>
        <v/>
      </c>
      <c r="J90" s="8">
        <f>IF(OR(Applicant_List!BB91="N",Applicant_List!BB91="",Applicant_List!BC91="N",Applicant_List!BE91="Y",Applicant_List!BL91="Y"),1,0)</f>
        <v/>
      </c>
      <c r="K90" s="8">
        <f>IF(AND(Applicant_List!BJ91="Y",Applicant_List!BM91="Y",Applicant_List!BK91&lt;&gt;"Y"),1,0)</f>
        <v/>
      </c>
      <c r="L90" s="8">
        <f>IF(OR(Applicant_List!BN91="Y",Applicant_List!BK91="Y"),1,0)</f>
        <v/>
      </c>
      <c r="M90" s="8">
        <f>COUNTIF(Applicant_List!AI91:BM91,"N")+COUNTBLANK(Applicant_List!AI91:BM91)</f>
        <v/>
      </c>
      <c r="N90" s="8">
        <f>MAX(E90:J90)</f>
        <v/>
      </c>
      <c r="O90" s="8">
        <f>IF(Applicant_List!BP91="Y",100000,0)+IF(ISNUMBER(Applicant_List!BO91),50000-INT(Applicant_List!BO91),0)+IF(LEN(Applicant_List!L91)&gt;0,1000,0)</f>
        <v/>
      </c>
      <c r="P90" s="8">
        <f>IF(D90,"Terminal",IF(N90=1,"Blocked",IF(K90=1,"Determination Notice",IF(L90=1,"Board","Under Review"))))</f>
        <v/>
      </c>
      <c r="Q90" s="8">
        <f>IF(Applicant_List!L91="Closed","Closed",IF(OR(Applicant_List!L91="Withdrawn",Applicant_List!L91="Terminated"),Applicant_List!L91,IF(N90=1,"No Advancement",IF(K90=1,"Determination Notice Issued",IF(L90=1,"Board","Under Review")))))</f>
        <v/>
      </c>
    </row>
    <row r="91">
      <c r="A91" s="8">
        <f>Applicant_List!C92</f>
        <v/>
      </c>
      <c r="B91" s="8">
        <f>Applicant_List!E92</f>
        <v/>
      </c>
      <c r="C91" s="8">
        <f>Applicant_List!L92</f>
        <v/>
      </c>
      <c r="D91" s="8">
        <f>OR(Applicant_List!L92="Closed",Applicant_List!L92="Withdrawn",Applicant_List!L92="Terminated")</f>
        <v/>
      </c>
      <c r="E91" s="8">
        <f>IF(OR(Applicant_List!AI92="N",Applicant_List!AI92=""),1,0)</f>
        <v/>
      </c>
      <c r="F91" s="8">
        <f>IF(OR(Applicant_List!AK92="N",Applicant_List!AK92="",Applicant_List!AL92="N",Applicant_List!AL92=""),1,0)</f>
        <v/>
      </c>
      <c r="G91" s="8">
        <f>IF(OR(Applicant_List!AM92="N",Applicant_List!AM92=""),1,0)</f>
        <v/>
      </c>
      <c r="H91" s="8">
        <f>IF(OR(Applicant_List!AX92="Y",AND(Applicant_List!AS92="Y",Applicant_List!AV92&lt;&gt;"Y")),1,0)</f>
        <v/>
      </c>
      <c r="I91" s="8">
        <f>IF(OR(Applicant_List!AZ92="N",Applicant_List!AZ92="",Applicant_List!BA92="N",Applicant_List!BA92=""),1,0)</f>
        <v/>
      </c>
      <c r="J91" s="8">
        <f>IF(OR(Applicant_List!BB92="N",Applicant_List!BB92="",Applicant_List!BC92="N",Applicant_List!BE92="Y",Applicant_List!BL92="Y"),1,0)</f>
        <v/>
      </c>
      <c r="K91" s="8">
        <f>IF(AND(Applicant_List!BJ92="Y",Applicant_List!BM92="Y",Applicant_List!BK92&lt;&gt;"Y"),1,0)</f>
        <v/>
      </c>
      <c r="L91" s="8">
        <f>IF(OR(Applicant_List!BN92="Y",Applicant_List!BK92="Y"),1,0)</f>
        <v/>
      </c>
      <c r="M91" s="8">
        <f>COUNTIF(Applicant_List!AI92:BM92,"N")+COUNTBLANK(Applicant_List!AI92:BM92)</f>
        <v/>
      </c>
      <c r="N91" s="8">
        <f>MAX(E91:J91)</f>
        <v/>
      </c>
      <c r="O91" s="8">
        <f>IF(Applicant_List!BP92="Y",100000,0)+IF(ISNUMBER(Applicant_List!BO92),50000-INT(Applicant_List!BO92),0)+IF(LEN(Applicant_List!L92)&gt;0,1000,0)</f>
        <v/>
      </c>
      <c r="P91" s="8">
        <f>IF(D91,"Terminal",IF(N91=1,"Blocked",IF(K91=1,"Determination Notice",IF(L91=1,"Board","Under Review"))))</f>
        <v/>
      </c>
      <c r="Q91" s="8">
        <f>IF(Applicant_List!L92="Closed","Closed",IF(OR(Applicant_List!L92="Withdrawn",Applicant_List!L92="Terminated"),Applicant_List!L92,IF(N91=1,"No Advancement",IF(K91=1,"Determination Notice Issued",IF(L91=1,"Board","Under Review")))))</f>
        <v/>
      </c>
    </row>
    <row r="92">
      <c r="A92" s="8">
        <f>Applicant_List!C93</f>
        <v/>
      </c>
      <c r="B92" s="8">
        <f>Applicant_List!E93</f>
        <v/>
      </c>
      <c r="C92" s="8">
        <f>Applicant_List!L93</f>
        <v/>
      </c>
      <c r="D92" s="8">
        <f>OR(Applicant_List!L93="Closed",Applicant_List!L93="Withdrawn",Applicant_List!L93="Terminated")</f>
        <v/>
      </c>
      <c r="E92" s="8">
        <f>IF(OR(Applicant_List!AI93="N",Applicant_List!AI93=""),1,0)</f>
        <v/>
      </c>
      <c r="F92" s="8">
        <f>IF(OR(Applicant_List!AK93="N",Applicant_List!AK93="",Applicant_List!AL93="N",Applicant_List!AL93=""),1,0)</f>
        <v/>
      </c>
      <c r="G92" s="8">
        <f>IF(OR(Applicant_List!AM93="N",Applicant_List!AM93=""),1,0)</f>
        <v/>
      </c>
      <c r="H92" s="8">
        <f>IF(OR(Applicant_List!AX93="Y",AND(Applicant_List!AS93="Y",Applicant_List!AV93&lt;&gt;"Y")),1,0)</f>
        <v/>
      </c>
      <c r="I92" s="8">
        <f>IF(OR(Applicant_List!AZ93="N",Applicant_List!AZ93="",Applicant_List!BA93="N",Applicant_List!BA93=""),1,0)</f>
        <v/>
      </c>
      <c r="J92" s="8">
        <f>IF(OR(Applicant_List!BB93="N",Applicant_List!BB93="",Applicant_List!BC93="N",Applicant_List!BE93="Y",Applicant_List!BL93="Y"),1,0)</f>
        <v/>
      </c>
      <c r="K92" s="8">
        <f>IF(AND(Applicant_List!BJ93="Y",Applicant_List!BM93="Y",Applicant_List!BK93&lt;&gt;"Y"),1,0)</f>
        <v/>
      </c>
      <c r="L92" s="8">
        <f>IF(OR(Applicant_List!BN93="Y",Applicant_List!BK93="Y"),1,0)</f>
        <v/>
      </c>
      <c r="M92" s="8">
        <f>COUNTIF(Applicant_List!AI93:BM93,"N")+COUNTBLANK(Applicant_List!AI93:BM93)</f>
        <v/>
      </c>
      <c r="N92" s="8">
        <f>MAX(E92:J92)</f>
        <v/>
      </c>
      <c r="O92" s="8">
        <f>IF(Applicant_List!BP93="Y",100000,0)+IF(ISNUMBER(Applicant_List!BO93),50000-INT(Applicant_List!BO93),0)+IF(LEN(Applicant_List!L93)&gt;0,1000,0)</f>
        <v/>
      </c>
      <c r="P92" s="8">
        <f>IF(D92,"Terminal",IF(N92=1,"Blocked",IF(K92=1,"Determination Notice",IF(L92=1,"Board","Under Review"))))</f>
        <v/>
      </c>
      <c r="Q92" s="8">
        <f>IF(Applicant_List!L93="Closed","Closed",IF(OR(Applicant_List!L93="Withdrawn",Applicant_List!L93="Terminated"),Applicant_List!L93,IF(N92=1,"No Advancement",IF(K92=1,"Determination Notice Issued",IF(L92=1,"Board","Under Review")))))</f>
        <v/>
      </c>
    </row>
    <row r="93">
      <c r="A93" s="8">
        <f>Applicant_List!C94</f>
        <v/>
      </c>
      <c r="B93" s="8">
        <f>Applicant_List!E94</f>
        <v/>
      </c>
      <c r="C93" s="8">
        <f>Applicant_List!L94</f>
        <v/>
      </c>
      <c r="D93" s="8">
        <f>OR(Applicant_List!L94="Closed",Applicant_List!L94="Withdrawn",Applicant_List!L94="Terminated")</f>
        <v/>
      </c>
      <c r="E93" s="8">
        <f>IF(OR(Applicant_List!AI94="N",Applicant_List!AI94=""),1,0)</f>
        <v/>
      </c>
      <c r="F93" s="8">
        <f>IF(OR(Applicant_List!AK94="N",Applicant_List!AK94="",Applicant_List!AL94="N",Applicant_List!AL94=""),1,0)</f>
        <v/>
      </c>
      <c r="G93" s="8">
        <f>IF(OR(Applicant_List!AM94="N",Applicant_List!AM94=""),1,0)</f>
        <v/>
      </c>
      <c r="H93" s="8">
        <f>IF(OR(Applicant_List!AX94="Y",AND(Applicant_List!AS94="Y",Applicant_List!AV94&lt;&gt;"Y")),1,0)</f>
        <v/>
      </c>
      <c r="I93" s="8">
        <f>IF(OR(Applicant_List!AZ94="N",Applicant_List!AZ94="",Applicant_List!BA94="N",Applicant_List!BA94=""),1,0)</f>
        <v/>
      </c>
      <c r="J93" s="8">
        <f>IF(OR(Applicant_List!BB94="N",Applicant_List!BB94="",Applicant_List!BC94="N",Applicant_List!BE94="Y",Applicant_List!BL94="Y"),1,0)</f>
        <v/>
      </c>
      <c r="K93" s="8">
        <f>IF(AND(Applicant_List!BJ94="Y",Applicant_List!BM94="Y",Applicant_List!BK94&lt;&gt;"Y"),1,0)</f>
        <v/>
      </c>
      <c r="L93" s="8">
        <f>IF(OR(Applicant_List!BN94="Y",Applicant_List!BK94="Y"),1,0)</f>
        <v/>
      </c>
      <c r="M93" s="8">
        <f>COUNTIF(Applicant_List!AI94:BM94,"N")+COUNTBLANK(Applicant_List!AI94:BM94)</f>
        <v/>
      </c>
      <c r="N93" s="8">
        <f>MAX(E93:J93)</f>
        <v/>
      </c>
      <c r="O93" s="8">
        <f>IF(Applicant_List!BP94="Y",100000,0)+IF(ISNUMBER(Applicant_List!BO94),50000-INT(Applicant_List!BO94),0)+IF(LEN(Applicant_List!L94)&gt;0,1000,0)</f>
        <v/>
      </c>
      <c r="P93" s="8">
        <f>IF(D93,"Terminal",IF(N93=1,"Blocked",IF(K93=1,"Determination Notice",IF(L93=1,"Board","Under Review"))))</f>
        <v/>
      </c>
      <c r="Q93" s="8">
        <f>IF(Applicant_List!L94="Closed","Closed",IF(OR(Applicant_List!L94="Withdrawn",Applicant_List!L94="Terminated"),Applicant_List!L94,IF(N93=1,"No Advancement",IF(K93=1,"Determination Notice Issued",IF(L93=1,"Board","Under Review")))))</f>
        <v/>
      </c>
    </row>
    <row r="94">
      <c r="A94" s="8">
        <f>Applicant_List!C95</f>
        <v/>
      </c>
      <c r="B94" s="8">
        <f>Applicant_List!E95</f>
        <v/>
      </c>
      <c r="C94" s="8">
        <f>Applicant_List!L95</f>
        <v/>
      </c>
      <c r="D94" s="8">
        <f>OR(Applicant_List!L95="Closed",Applicant_List!L95="Withdrawn",Applicant_List!L95="Terminated")</f>
        <v/>
      </c>
      <c r="E94" s="8">
        <f>IF(OR(Applicant_List!AI95="N",Applicant_List!AI95=""),1,0)</f>
        <v/>
      </c>
      <c r="F94" s="8">
        <f>IF(OR(Applicant_List!AK95="N",Applicant_List!AK95="",Applicant_List!AL95="N",Applicant_List!AL95=""),1,0)</f>
        <v/>
      </c>
      <c r="G94" s="8">
        <f>IF(OR(Applicant_List!AM95="N",Applicant_List!AM95=""),1,0)</f>
        <v/>
      </c>
      <c r="H94" s="8">
        <f>IF(OR(Applicant_List!AX95="Y",AND(Applicant_List!AS95="Y",Applicant_List!AV95&lt;&gt;"Y")),1,0)</f>
        <v/>
      </c>
      <c r="I94" s="8">
        <f>IF(OR(Applicant_List!AZ95="N",Applicant_List!AZ95="",Applicant_List!BA95="N",Applicant_List!BA95=""),1,0)</f>
        <v/>
      </c>
      <c r="J94" s="8">
        <f>IF(OR(Applicant_List!BB95="N",Applicant_List!BB95="",Applicant_List!BC95="N",Applicant_List!BE95="Y",Applicant_List!BL95="Y"),1,0)</f>
        <v/>
      </c>
      <c r="K94" s="8">
        <f>IF(AND(Applicant_List!BJ95="Y",Applicant_List!BM95="Y",Applicant_List!BK95&lt;&gt;"Y"),1,0)</f>
        <v/>
      </c>
      <c r="L94" s="8">
        <f>IF(OR(Applicant_List!BN95="Y",Applicant_List!BK95="Y"),1,0)</f>
        <v/>
      </c>
      <c r="M94" s="8">
        <f>COUNTIF(Applicant_List!AI95:BM95,"N")+COUNTBLANK(Applicant_List!AI95:BM95)</f>
        <v/>
      </c>
      <c r="N94" s="8">
        <f>MAX(E94:J94)</f>
        <v/>
      </c>
      <c r="O94" s="8">
        <f>IF(Applicant_List!BP95="Y",100000,0)+IF(ISNUMBER(Applicant_List!BO95),50000-INT(Applicant_List!BO95),0)+IF(LEN(Applicant_List!L95)&gt;0,1000,0)</f>
        <v/>
      </c>
      <c r="P94" s="8">
        <f>IF(D94,"Terminal",IF(N94=1,"Blocked",IF(K94=1,"Determination Notice",IF(L94=1,"Board","Under Review"))))</f>
        <v/>
      </c>
      <c r="Q94" s="8">
        <f>IF(Applicant_List!L95="Closed","Closed",IF(OR(Applicant_List!L95="Withdrawn",Applicant_List!L95="Terminated"),Applicant_List!L95,IF(N94=1,"No Advancement",IF(K94=1,"Determination Notice Issued",IF(L94=1,"Board","Under Review")))))</f>
        <v/>
      </c>
    </row>
    <row r="95">
      <c r="A95" s="8">
        <f>Applicant_List!C96</f>
        <v/>
      </c>
      <c r="B95" s="8">
        <f>Applicant_List!E96</f>
        <v/>
      </c>
      <c r="C95" s="8">
        <f>Applicant_List!L96</f>
        <v/>
      </c>
      <c r="D95" s="8">
        <f>OR(Applicant_List!L96="Closed",Applicant_List!L96="Withdrawn",Applicant_List!L96="Terminated")</f>
        <v/>
      </c>
      <c r="E95" s="8">
        <f>IF(OR(Applicant_List!AI96="N",Applicant_List!AI96=""),1,0)</f>
        <v/>
      </c>
      <c r="F95" s="8">
        <f>IF(OR(Applicant_List!AK96="N",Applicant_List!AK96="",Applicant_List!AL96="N",Applicant_List!AL96=""),1,0)</f>
        <v/>
      </c>
      <c r="G95" s="8">
        <f>IF(OR(Applicant_List!AM96="N",Applicant_List!AM96=""),1,0)</f>
        <v/>
      </c>
      <c r="H95" s="8">
        <f>IF(OR(Applicant_List!AX96="Y",AND(Applicant_List!AS96="Y",Applicant_List!AV96&lt;&gt;"Y")),1,0)</f>
        <v/>
      </c>
      <c r="I95" s="8">
        <f>IF(OR(Applicant_List!AZ96="N",Applicant_List!AZ96="",Applicant_List!BA96="N",Applicant_List!BA96=""),1,0)</f>
        <v/>
      </c>
      <c r="J95" s="8">
        <f>IF(OR(Applicant_List!BB96="N",Applicant_List!BB96="",Applicant_List!BC96="N",Applicant_List!BE96="Y",Applicant_List!BL96="Y"),1,0)</f>
        <v/>
      </c>
      <c r="K95" s="8">
        <f>IF(AND(Applicant_List!BJ96="Y",Applicant_List!BM96="Y",Applicant_List!BK96&lt;&gt;"Y"),1,0)</f>
        <v/>
      </c>
      <c r="L95" s="8">
        <f>IF(OR(Applicant_List!BN96="Y",Applicant_List!BK96="Y"),1,0)</f>
        <v/>
      </c>
      <c r="M95" s="8">
        <f>COUNTIF(Applicant_List!AI96:BM96,"N")+COUNTBLANK(Applicant_List!AI96:BM96)</f>
        <v/>
      </c>
      <c r="N95" s="8">
        <f>MAX(E95:J95)</f>
        <v/>
      </c>
      <c r="O95" s="8">
        <f>IF(Applicant_List!BP96="Y",100000,0)+IF(ISNUMBER(Applicant_List!BO96),50000-INT(Applicant_List!BO96),0)+IF(LEN(Applicant_List!L96)&gt;0,1000,0)</f>
        <v/>
      </c>
      <c r="P95" s="8">
        <f>IF(D95,"Terminal",IF(N95=1,"Blocked",IF(K95=1,"Determination Notice",IF(L95=1,"Board","Under Review"))))</f>
        <v/>
      </c>
      <c r="Q95" s="8">
        <f>IF(Applicant_List!L96="Closed","Closed",IF(OR(Applicant_List!L96="Withdrawn",Applicant_List!L96="Terminated"),Applicant_List!L96,IF(N95=1,"No Advancement",IF(K95=1,"Determination Notice Issued",IF(L95=1,"Board","Under Review")))))</f>
        <v/>
      </c>
    </row>
    <row r="96">
      <c r="A96" s="8">
        <f>Applicant_List!C97</f>
        <v/>
      </c>
      <c r="B96" s="8">
        <f>Applicant_List!E97</f>
        <v/>
      </c>
      <c r="C96" s="8">
        <f>Applicant_List!L97</f>
        <v/>
      </c>
      <c r="D96" s="8">
        <f>OR(Applicant_List!L97="Closed",Applicant_List!L97="Withdrawn",Applicant_List!L97="Terminated")</f>
        <v/>
      </c>
      <c r="E96" s="8">
        <f>IF(OR(Applicant_List!AI97="N",Applicant_List!AI97=""),1,0)</f>
        <v/>
      </c>
      <c r="F96" s="8">
        <f>IF(OR(Applicant_List!AK97="N",Applicant_List!AK97="",Applicant_List!AL97="N",Applicant_List!AL97=""),1,0)</f>
        <v/>
      </c>
      <c r="G96" s="8">
        <f>IF(OR(Applicant_List!AM97="N",Applicant_List!AM97=""),1,0)</f>
        <v/>
      </c>
      <c r="H96" s="8">
        <f>IF(OR(Applicant_List!AX97="Y",AND(Applicant_List!AS97="Y",Applicant_List!AV97&lt;&gt;"Y")),1,0)</f>
        <v/>
      </c>
      <c r="I96" s="8">
        <f>IF(OR(Applicant_List!AZ97="N",Applicant_List!AZ97="",Applicant_List!BA97="N",Applicant_List!BA97=""),1,0)</f>
        <v/>
      </c>
      <c r="J96" s="8">
        <f>IF(OR(Applicant_List!BB97="N",Applicant_List!BB97="",Applicant_List!BC97="N",Applicant_List!BE97="Y",Applicant_List!BL97="Y"),1,0)</f>
        <v/>
      </c>
      <c r="K96" s="8">
        <f>IF(AND(Applicant_List!BJ97="Y",Applicant_List!BM97="Y",Applicant_List!BK97&lt;&gt;"Y"),1,0)</f>
        <v/>
      </c>
      <c r="L96" s="8">
        <f>IF(OR(Applicant_List!BN97="Y",Applicant_List!BK97="Y"),1,0)</f>
        <v/>
      </c>
      <c r="M96" s="8">
        <f>COUNTIF(Applicant_List!AI97:BM97,"N")+COUNTBLANK(Applicant_List!AI97:BM97)</f>
        <v/>
      </c>
      <c r="N96" s="8">
        <f>MAX(E96:J96)</f>
        <v/>
      </c>
      <c r="O96" s="8">
        <f>IF(Applicant_List!BP97="Y",100000,0)+IF(ISNUMBER(Applicant_List!BO97),50000-INT(Applicant_List!BO97),0)+IF(LEN(Applicant_List!L97)&gt;0,1000,0)</f>
        <v/>
      </c>
      <c r="P96" s="8">
        <f>IF(D96,"Terminal",IF(N96=1,"Blocked",IF(K96=1,"Determination Notice",IF(L96=1,"Board","Under Review"))))</f>
        <v/>
      </c>
      <c r="Q96" s="8">
        <f>IF(Applicant_List!L97="Closed","Closed",IF(OR(Applicant_List!L97="Withdrawn",Applicant_List!L97="Terminated"),Applicant_List!L97,IF(N96=1,"No Advancement",IF(K96=1,"Determination Notice Issued",IF(L96=1,"Board","Under Review")))))</f>
        <v/>
      </c>
    </row>
    <row r="97">
      <c r="A97" s="8">
        <f>Applicant_List!C98</f>
        <v/>
      </c>
      <c r="B97" s="8">
        <f>Applicant_List!E98</f>
        <v/>
      </c>
      <c r="C97" s="8">
        <f>Applicant_List!L98</f>
        <v/>
      </c>
      <c r="D97" s="8">
        <f>OR(Applicant_List!L98="Closed",Applicant_List!L98="Withdrawn",Applicant_List!L98="Terminated")</f>
        <v/>
      </c>
      <c r="E97" s="8">
        <f>IF(OR(Applicant_List!AI98="N",Applicant_List!AI98=""),1,0)</f>
        <v/>
      </c>
      <c r="F97" s="8">
        <f>IF(OR(Applicant_List!AK98="N",Applicant_List!AK98="",Applicant_List!AL98="N",Applicant_List!AL98=""),1,0)</f>
        <v/>
      </c>
      <c r="G97" s="8">
        <f>IF(OR(Applicant_List!AM98="N",Applicant_List!AM98=""),1,0)</f>
        <v/>
      </c>
      <c r="H97" s="8">
        <f>IF(OR(Applicant_List!AX98="Y",AND(Applicant_List!AS98="Y",Applicant_List!AV98&lt;&gt;"Y")),1,0)</f>
        <v/>
      </c>
      <c r="I97" s="8">
        <f>IF(OR(Applicant_List!AZ98="N",Applicant_List!AZ98="",Applicant_List!BA98="N",Applicant_List!BA98=""),1,0)</f>
        <v/>
      </c>
      <c r="J97" s="8">
        <f>IF(OR(Applicant_List!BB98="N",Applicant_List!BB98="",Applicant_List!BC98="N",Applicant_List!BE98="Y",Applicant_List!BL98="Y"),1,0)</f>
        <v/>
      </c>
      <c r="K97" s="8">
        <f>IF(AND(Applicant_List!BJ98="Y",Applicant_List!BM98="Y",Applicant_List!BK98&lt;&gt;"Y"),1,0)</f>
        <v/>
      </c>
      <c r="L97" s="8">
        <f>IF(OR(Applicant_List!BN98="Y",Applicant_List!BK98="Y"),1,0)</f>
        <v/>
      </c>
      <c r="M97" s="8">
        <f>COUNTIF(Applicant_List!AI98:BM98,"N")+COUNTBLANK(Applicant_List!AI98:BM98)</f>
        <v/>
      </c>
      <c r="N97" s="8">
        <f>MAX(E97:J97)</f>
        <v/>
      </c>
      <c r="O97" s="8">
        <f>IF(Applicant_List!BP98="Y",100000,0)+IF(ISNUMBER(Applicant_List!BO98),50000-INT(Applicant_List!BO98),0)+IF(LEN(Applicant_List!L98)&gt;0,1000,0)</f>
        <v/>
      </c>
      <c r="P97" s="8">
        <f>IF(D97,"Terminal",IF(N97=1,"Blocked",IF(K97=1,"Determination Notice",IF(L97=1,"Board","Under Review"))))</f>
        <v/>
      </c>
      <c r="Q97" s="8">
        <f>IF(Applicant_List!L98="Closed","Closed",IF(OR(Applicant_List!L98="Withdrawn",Applicant_List!L98="Terminated"),Applicant_List!L98,IF(N97=1,"No Advancement",IF(K97=1,"Determination Notice Issued",IF(L97=1,"Board","Under Review")))))</f>
        <v/>
      </c>
    </row>
    <row r="98">
      <c r="A98" s="8">
        <f>Applicant_List!C99</f>
        <v/>
      </c>
      <c r="B98" s="8">
        <f>Applicant_List!E99</f>
        <v/>
      </c>
      <c r="C98" s="8">
        <f>Applicant_List!L99</f>
        <v/>
      </c>
      <c r="D98" s="8">
        <f>OR(Applicant_List!L99="Closed",Applicant_List!L99="Withdrawn",Applicant_List!L99="Terminated")</f>
        <v/>
      </c>
      <c r="E98" s="8">
        <f>IF(OR(Applicant_List!AI99="N",Applicant_List!AI99=""),1,0)</f>
        <v/>
      </c>
      <c r="F98" s="8">
        <f>IF(OR(Applicant_List!AK99="N",Applicant_List!AK99="",Applicant_List!AL99="N",Applicant_List!AL99=""),1,0)</f>
        <v/>
      </c>
      <c r="G98" s="8">
        <f>IF(OR(Applicant_List!AM99="N",Applicant_List!AM99=""),1,0)</f>
        <v/>
      </c>
      <c r="H98" s="8">
        <f>IF(OR(Applicant_List!AX99="Y",AND(Applicant_List!AS99="Y",Applicant_List!AV99&lt;&gt;"Y")),1,0)</f>
        <v/>
      </c>
      <c r="I98" s="8">
        <f>IF(OR(Applicant_List!AZ99="N",Applicant_List!AZ99="",Applicant_List!BA99="N",Applicant_List!BA99=""),1,0)</f>
        <v/>
      </c>
      <c r="J98" s="8">
        <f>IF(OR(Applicant_List!BB99="N",Applicant_List!BB99="",Applicant_List!BC99="N",Applicant_List!BE99="Y",Applicant_List!BL99="Y"),1,0)</f>
        <v/>
      </c>
      <c r="K98" s="8">
        <f>IF(AND(Applicant_List!BJ99="Y",Applicant_List!BM99="Y",Applicant_List!BK99&lt;&gt;"Y"),1,0)</f>
        <v/>
      </c>
      <c r="L98" s="8">
        <f>IF(OR(Applicant_List!BN99="Y",Applicant_List!BK99="Y"),1,0)</f>
        <v/>
      </c>
      <c r="M98" s="8">
        <f>COUNTIF(Applicant_List!AI99:BM99,"N")+COUNTBLANK(Applicant_List!AI99:BM99)</f>
        <v/>
      </c>
      <c r="N98" s="8">
        <f>MAX(E98:J98)</f>
        <v/>
      </c>
      <c r="O98" s="8">
        <f>IF(Applicant_List!BP99="Y",100000,0)+IF(ISNUMBER(Applicant_List!BO99),50000-INT(Applicant_List!BO99),0)+IF(LEN(Applicant_List!L99)&gt;0,1000,0)</f>
        <v/>
      </c>
      <c r="P98" s="8">
        <f>IF(D98,"Terminal",IF(N98=1,"Blocked",IF(K98=1,"Determination Notice",IF(L98=1,"Board","Under Review"))))</f>
        <v/>
      </c>
      <c r="Q98" s="8">
        <f>IF(Applicant_List!L99="Closed","Closed",IF(OR(Applicant_List!L99="Withdrawn",Applicant_List!L99="Terminated"),Applicant_List!L99,IF(N98=1,"No Advancement",IF(K98=1,"Determination Notice Issued",IF(L98=1,"Board","Under Review")))))</f>
        <v/>
      </c>
    </row>
    <row r="99">
      <c r="A99" s="8">
        <f>Applicant_List!C100</f>
        <v/>
      </c>
      <c r="B99" s="8">
        <f>Applicant_List!E100</f>
        <v/>
      </c>
      <c r="C99" s="8">
        <f>Applicant_List!L100</f>
        <v/>
      </c>
      <c r="D99" s="8">
        <f>OR(Applicant_List!L100="Closed",Applicant_List!L100="Withdrawn",Applicant_List!L100="Terminated")</f>
        <v/>
      </c>
      <c r="E99" s="8">
        <f>IF(OR(Applicant_List!AI100="N",Applicant_List!AI100=""),1,0)</f>
        <v/>
      </c>
      <c r="F99" s="8">
        <f>IF(OR(Applicant_List!AK100="N",Applicant_List!AK100="",Applicant_List!AL100="N",Applicant_List!AL100=""),1,0)</f>
        <v/>
      </c>
      <c r="G99" s="8">
        <f>IF(OR(Applicant_List!AM100="N",Applicant_List!AM100=""),1,0)</f>
        <v/>
      </c>
      <c r="H99" s="8">
        <f>IF(OR(Applicant_List!AX100="Y",AND(Applicant_List!AS100="Y",Applicant_List!AV100&lt;&gt;"Y")),1,0)</f>
        <v/>
      </c>
      <c r="I99" s="8">
        <f>IF(OR(Applicant_List!AZ100="N",Applicant_List!AZ100="",Applicant_List!BA100="N",Applicant_List!BA100=""),1,0)</f>
        <v/>
      </c>
      <c r="J99" s="8">
        <f>IF(OR(Applicant_List!BB100="N",Applicant_List!BB100="",Applicant_List!BC100="N",Applicant_List!BE100="Y",Applicant_List!BL100="Y"),1,0)</f>
        <v/>
      </c>
      <c r="K99" s="8">
        <f>IF(AND(Applicant_List!BJ100="Y",Applicant_List!BM100="Y",Applicant_List!BK100&lt;&gt;"Y"),1,0)</f>
        <v/>
      </c>
      <c r="L99" s="8">
        <f>IF(OR(Applicant_List!BN100="Y",Applicant_List!BK100="Y"),1,0)</f>
        <v/>
      </c>
      <c r="M99" s="8">
        <f>COUNTIF(Applicant_List!AI100:BM100,"N")+COUNTBLANK(Applicant_List!AI100:BM100)</f>
        <v/>
      </c>
      <c r="N99" s="8">
        <f>MAX(E99:J99)</f>
        <v/>
      </c>
      <c r="O99" s="8">
        <f>IF(Applicant_List!BP100="Y",100000,0)+IF(ISNUMBER(Applicant_List!BO100),50000-INT(Applicant_List!BO100),0)+IF(LEN(Applicant_List!L100)&gt;0,1000,0)</f>
        <v/>
      </c>
      <c r="P99" s="8">
        <f>IF(D99,"Terminal",IF(N99=1,"Blocked",IF(K99=1,"Determination Notice",IF(L99=1,"Board","Under Review"))))</f>
        <v/>
      </c>
      <c r="Q99" s="8">
        <f>IF(Applicant_List!L100="Closed","Closed",IF(OR(Applicant_List!L100="Withdrawn",Applicant_List!L100="Terminated"),Applicant_List!L100,IF(N99=1,"No Advancement",IF(K99=1,"Determination Notice Issued",IF(L99=1,"Board","Under Review")))))</f>
        <v/>
      </c>
    </row>
    <row r="100">
      <c r="A100" s="8">
        <f>Applicant_List!C101</f>
        <v/>
      </c>
      <c r="B100" s="8">
        <f>Applicant_List!E101</f>
        <v/>
      </c>
      <c r="C100" s="8">
        <f>Applicant_List!L101</f>
        <v/>
      </c>
      <c r="D100" s="8">
        <f>OR(Applicant_List!L101="Closed",Applicant_List!L101="Withdrawn",Applicant_List!L101="Terminated")</f>
        <v/>
      </c>
      <c r="E100" s="8">
        <f>IF(OR(Applicant_List!AI101="N",Applicant_List!AI101=""),1,0)</f>
        <v/>
      </c>
      <c r="F100" s="8">
        <f>IF(OR(Applicant_List!AK101="N",Applicant_List!AK101="",Applicant_List!AL101="N",Applicant_List!AL101=""),1,0)</f>
        <v/>
      </c>
      <c r="G100" s="8">
        <f>IF(OR(Applicant_List!AM101="N",Applicant_List!AM101=""),1,0)</f>
        <v/>
      </c>
      <c r="H100" s="8">
        <f>IF(OR(Applicant_List!AX101="Y",AND(Applicant_List!AS101="Y",Applicant_List!AV101&lt;&gt;"Y")),1,0)</f>
        <v/>
      </c>
      <c r="I100" s="8">
        <f>IF(OR(Applicant_List!AZ101="N",Applicant_List!AZ101="",Applicant_List!BA101="N",Applicant_List!BA101=""),1,0)</f>
        <v/>
      </c>
      <c r="J100" s="8">
        <f>IF(OR(Applicant_List!BB101="N",Applicant_List!BB101="",Applicant_List!BC101="N",Applicant_List!BE101="Y",Applicant_List!BL101="Y"),1,0)</f>
        <v/>
      </c>
      <c r="K100" s="8">
        <f>IF(AND(Applicant_List!BJ101="Y",Applicant_List!BM101="Y",Applicant_List!BK101&lt;&gt;"Y"),1,0)</f>
        <v/>
      </c>
      <c r="L100" s="8">
        <f>IF(OR(Applicant_List!BN101="Y",Applicant_List!BK101="Y"),1,0)</f>
        <v/>
      </c>
      <c r="M100" s="8">
        <f>COUNTIF(Applicant_List!AI101:BM101,"N")+COUNTBLANK(Applicant_List!AI101:BM101)</f>
        <v/>
      </c>
      <c r="N100" s="8">
        <f>MAX(E100:J100)</f>
        <v/>
      </c>
      <c r="O100" s="8">
        <f>IF(Applicant_List!BP101="Y",100000,0)+IF(ISNUMBER(Applicant_List!BO101),50000-INT(Applicant_List!BO101),0)+IF(LEN(Applicant_List!L101)&gt;0,1000,0)</f>
        <v/>
      </c>
      <c r="P100" s="8">
        <f>IF(D100,"Terminal",IF(N100=1,"Blocked",IF(K100=1,"Determination Notice",IF(L100=1,"Board","Under Review"))))</f>
        <v/>
      </c>
      <c r="Q100" s="8">
        <f>IF(Applicant_List!L101="Closed","Closed",IF(OR(Applicant_List!L101="Withdrawn",Applicant_List!L101="Terminated"),Applicant_List!L101,IF(N100=1,"No Advancement",IF(K100=1,"Determination Notice Issued",IF(L100=1,"Board","Under Review")))))</f>
        <v/>
      </c>
    </row>
    <row r="101">
      <c r="A101" s="8">
        <f>Applicant_List!C102</f>
        <v/>
      </c>
      <c r="B101" s="8">
        <f>Applicant_List!E102</f>
        <v/>
      </c>
      <c r="C101" s="8">
        <f>Applicant_List!L102</f>
        <v/>
      </c>
      <c r="D101" s="8">
        <f>OR(Applicant_List!L102="Closed",Applicant_List!L102="Withdrawn",Applicant_List!L102="Terminated")</f>
        <v/>
      </c>
      <c r="E101" s="8">
        <f>IF(OR(Applicant_List!AI102="N",Applicant_List!AI102=""),1,0)</f>
        <v/>
      </c>
      <c r="F101" s="8">
        <f>IF(OR(Applicant_List!AK102="N",Applicant_List!AK102="",Applicant_List!AL102="N",Applicant_List!AL102=""),1,0)</f>
        <v/>
      </c>
      <c r="G101" s="8">
        <f>IF(OR(Applicant_List!AM102="N",Applicant_List!AM102=""),1,0)</f>
        <v/>
      </c>
      <c r="H101" s="8">
        <f>IF(OR(Applicant_List!AX102="Y",AND(Applicant_List!AS102="Y",Applicant_List!AV102&lt;&gt;"Y")),1,0)</f>
        <v/>
      </c>
      <c r="I101" s="8">
        <f>IF(OR(Applicant_List!AZ102="N",Applicant_List!AZ102="",Applicant_List!BA102="N",Applicant_List!BA102=""),1,0)</f>
        <v/>
      </c>
      <c r="J101" s="8">
        <f>IF(OR(Applicant_List!BB102="N",Applicant_List!BB102="",Applicant_List!BC102="N",Applicant_List!BE102="Y",Applicant_List!BL102="Y"),1,0)</f>
        <v/>
      </c>
      <c r="K101" s="8">
        <f>IF(AND(Applicant_List!BJ102="Y",Applicant_List!BM102="Y",Applicant_List!BK102&lt;&gt;"Y"),1,0)</f>
        <v/>
      </c>
      <c r="L101" s="8">
        <f>IF(OR(Applicant_List!BN102="Y",Applicant_List!BK102="Y"),1,0)</f>
        <v/>
      </c>
      <c r="M101" s="8">
        <f>COUNTIF(Applicant_List!AI102:BM102,"N")+COUNTBLANK(Applicant_List!AI102:BM102)</f>
        <v/>
      </c>
      <c r="N101" s="8">
        <f>MAX(E101:J101)</f>
        <v/>
      </c>
      <c r="O101" s="8">
        <f>IF(Applicant_List!BP102="Y",100000,0)+IF(ISNUMBER(Applicant_List!BO102),50000-INT(Applicant_List!BO102),0)+IF(LEN(Applicant_List!L102)&gt;0,1000,0)</f>
        <v/>
      </c>
      <c r="P101" s="8">
        <f>IF(D101,"Terminal",IF(N101=1,"Blocked",IF(K101=1,"Determination Notice",IF(L101=1,"Board","Under Review"))))</f>
        <v/>
      </c>
      <c r="Q101" s="8">
        <f>IF(Applicant_List!L102="Closed","Closed",IF(OR(Applicant_List!L102="Withdrawn",Applicant_List!L102="Terminated"),Applicant_List!L102,IF(N101=1,"No Advancement",IF(K101=1,"Determination Notice Issued",IF(L101=1,"Board","Under Review")))))</f>
        <v/>
      </c>
    </row>
    <row r="102">
      <c r="A102" s="8">
        <f>Applicant_List!C103</f>
        <v/>
      </c>
      <c r="B102" s="8">
        <f>Applicant_List!E103</f>
        <v/>
      </c>
      <c r="C102" s="8">
        <f>Applicant_List!L103</f>
        <v/>
      </c>
      <c r="D102" s="8">
        <f>OR(Applicant_List!L103="Closed",Applicant_List!L103="Withdrawn",Applicant_List!L103="Terminated")</f>
        <v/>
      </c>
      <c r="E102" s="8">
        <f>IF(OR(Applicant_List!AI103="N",Applicant_List!AI103=""),1,0)</f>
        <v/>
      </c>
      <c r="F102" s="8">
        <f>IF(OR(Applicant_List!AK103="N",Applicant_List!AK103="",Applicant_List!AL103="N",Applicant_List!AL103=""),1,0)</f>
        <v/>
      </c>
      <c r="G102" s="8">
        <f>IF(OR(Applicant_List!AM103="N",Applicant_List!AM103=""),1,0)</f>
        <v/>
      </c>
      <c r="H102" s="8">
        <f>IF(OR(Applicant_List!AX103="Y",AND(Applicant_List!AS103="Y",Applicant_List!AV103&lt;&gt;"Y")),1,0)</f>
        <v/>
      </c>
      <c r="I102" s="8">
        <f>IF(OR(Applicant_List!AZ103="N",Applicant_List!AZ103="",Applicant_List!BA103="N",Applicant_List!BA103=""),1,0)</f>
        <v/>
      </c>
      <c r="J102" s="8">
        <f>IF(OR(Applicant_List!BB103="N",Applicant_List!BB103="",Applicant_List!BC103="N",Applicant_List!BE103="Y",Applicant_List!BL103="Y"),1,0)</f>
        <v/>
      </c>
      <c r="K102" s="8">
        <f>IF(AND(Applicant_List!BJ103="Y",Applicant_List!BM103="Y",Applicant_List!BK103&lt;&gt;"Y"),1,0)</f>
        <v/>
      </c>
      <c r="L102" s="8">
        <f>IF(OR(Applicant_List!BN103="Y",Applicant_List!BK103="Y"),1,0)</f>
        <v/>
      </c>
      <c r="M102" s="8">
        <f>COUNTIF(Applicant_List!AI103:BM103,"N")+COUNTBLANK(Applicant_List!AI103:BM103)</f>
        <v/>
      </c>
      <c r="N102" s="8">
        <f>MAX(E102:J102)</f>
        <v/>
      </c>
      <c r="O102" s="8">
        <f>IF(Applicant_List!BP103="Y",100000,0)+IF(ISNUMBER(Applicant_List!BO103),50000-INT(Applicant_List!BO103),0)+IF(LEN(Applicant_List!L103)&gt;0,1000,0)</f>
        <v/>
      </c>
      <c r="P102" s="8">
        <f>IF(D102,"Terminal",IF(N102=1,"Blocked",IF(K102=1,"Determination Notice",IF(L102=1,"Board","Under Review"))))</f>
        <v/>
      </c>
      <c r="Q102" s="8">
        <f>IF(Applicant_List!L103="Closed","Closed",IF(OR(Applicant_List!L103="Withdrawn",Applicant_List!L103="Terminated"),Applicant_List!L103,IF(N102=1,"No Advancement",IF(K102=1,"Determination Notice Issued",IF(L102=1,"Board","Under Review")))))</f>
        <v/>
      </c>
    </row>
    <row r="103">
      <c r="A103" s="8">
        <f>Applicant_List!C104</f>
        <v/>
      </c>
      <c r="B103" s="8">
        <f>Applicant_List!E104</f>
        <v/>
      </c>
      <c r="C103" s="8">
        <f>Applicant_List!L104</f>
        <v/>
      </c>
      <c r="D103" s="8">
        <f>OR(Applicant_List!L104="Closed",Applicant_List!L104="Withdrawn",Applicant_List!L104="Terminated")</f>
        <v/>
      </c>
      <c r="E103" s="8">
        <f>IF(OR(Applicant_List!AI104="N",Applicant_List!AI104=""),1,0)</f>
        <v/>
      </c>
      <c r="F103" s="8">
        <f>IF(OR(Applicant_List!AK104="N",Applicant_List!AK104="",Applicant_List!AL104="N",Applicant_List!AL104=""),1,0)</f>
        <v/>
      </c>
      <c r="G103" s="8">
        <f>IF(OR(Applicant_List!AM104="N",Applicant_List!AM104=""),1,0)</f>
        <v/>
      </c>
      <c r="H103" s="8">
        <f>IF(OR(Applicant_List!AX104="Y",AND(Applicant_List!AS104="Y",Applicant_List!AV104&lt;&gt;"Y")),1,0)</f>
        <v/>
      </c>
      <c r="I103" s="8">
        <f>IF(OR(Applicant_List!AZ104="N",Applicant_List!AZ104="",Applicant_List!BA104="N",Applicant_List!BA104=""),1,0)</f>
        <v/>
      </c>
      <c r="J103" s="8">
        <f>IF(OR(Applicant_List!BB104="N",Applicant_List!BB104="",Applicant_List!BC104="N",Applicant_List!BE104="Y",Applicant_List!BL104="Y"),1,0)</f>
        <v/>
      </c>
      <c r="K103" s="8">
        <f>IF(AND(Applicant_List!BJ104="Y",Applicant_List!BM104="Y",Applicant_List!BK104&lt;&gt;"Y"),1,0)</f>
        <v/>
      </c>
      <c r="L103" s="8">
        <f>IF(OR(Applicant_List!BN104="Y",Applicant_List!BK104="Y"),1,0)</f>
        <v/>
      </c>
      <c r="M103" s="8">
        <f>COUNTIF(Applicant_List!AI104:BM104,"N")+COUNTBLANK(Applicant_List!AI104:BM104)</f>
        <v/>
      </c>
      <c r="N103" s="8">
        <f>MAX(E103:J103)</f>
        <v/>
      </c>
      <c r="O103" s="8">
        <f>IF(Applicant_List!BP104="Y",100000,0)+IF(ISNUMBER(Applicant_List!BO104),50000-INT(Applicant_List!BO104),0)+IF(LEN(Applicant_List!L104)&gt;0,1000,0)</f>
        <v/>
      </c>
      <c r="P103" s="8">
        <f>IF(D103,"Terminal",IF(N103=1,"Blocked",IF(K103=1,"Determination Notice",IF(L103=1,"Board","Under Review"))))</f>
        <v/>
      </c>
      <c r="Q103" s="8">
        <f>IF(Applicant_List!L104="Closed","Closed",IF(OR(Applicant_List!L104="Withdrawn",Applicant_List!L104="Terminated"),Applicant_List!L104,IF(N103=1,"No Advancement",IF(K103=1,"Determination Notice Issued",IF(L103=1,"Board","Under Review")))))</f>
        <v/>
      </c>
    </row>
    <row r="104">
      <c r="A104" s="8">
        <f>Applicant_List!C105</f>
        <v/>
      </c>
      <c r="B104" s="8">
        <f>Applicant_List!E105</f>
        <v/>
      </c>
      <c r="C104" s="8">
        <f>Applicant_List!L105</f>
        <v/>
      </c>
      <c r="D104" s="8">
        <f>OR(Applicant_List!L105="Closed",Applicant_List!L105="Withdrawn",Applicant_List!L105="Terminated")</f>
        <v/>
      </c>
      <c r="E104" s="8">
        <f>IF(OR(Applicant_List!AI105="N",Applicant_List!AI105=""),1,0)</f>
        <v/>
      </c>
      <c r="F104" s="8">
        <f>IF(OR(Applicant_List!AK105="N",Applicant_List!AK105="",Applicant_List!AL105="N",Applicant_List!AL105=""),1,0)</f>
        <v/>
      </c>
      <c r="G104" s="8">
        <f>IF(OR(Applicant_List!AM105="N",Applicant_List!AM105=""),1,0)</f>
        <v/>
      </c>
      <c r="H104" s="8">
        <f>IF(OR(Applicant_List!AX105="Y",AND(Applicant_List!AS105="Y",Applicant_List!AV105&lt;&gt;"Y")),1,0)</f>
        <v/>
      </c>
      <c r="I104" s="8">
        <f>IF(OR(Applicant_List!AZ105="N",Applicant_List!AZ105="",Applicant_List!BA105="N",Applicant_List!BA105=""),1,0)</f>
        <v/>
      </c>
      <c r="J104" s="8">
        <f>IF(OR(Applicant_List!BB105="N",Applicant_List!BB105="",Applicant_List!BC105="N",Applicant_List!BE105="Y",Applicant_List!BL105="Y"),1,0)</f>
        <v/>
      </c>
      <c r="K104" s="8">
        <f>IF(AND(Applicant_List!BJ105="Y",Applicant_List!BM105="Y",Applicant_List!BK105&lt;&gt;"Y"),1,0)</f>
        <v/>
      </c>
      <c r="L104" s="8">
        <f>IF(OR(Applicant_List!BN105="Y",Applicant_List!BK105="Y"),1,0)</f>
        <v/>
      </c>
      <c r="M104" s="8">
        <f>COUNTIF(Applicant_List!AI105:BM105,"N")+COUNTBLANK(Applicant_List!AI105:BM105)</f>
        <v/>
      </c>
      <c r="N104" s="8">
        <f>MAX(E104:J104)</f>
        <v/>
      </c>
      <c r="O104" s="8">
        <f>IF(Applicant_List!BP105="Y",100000,0)+IF(ISNUMBER(Applicant_List!BO105),50000-INT(Applicant_List!BO105),0)+IF(LEN(Applicant_List!L105)&gt;0,1000,0)</f>
        <v/>
      </c>
      <c r="P104" s="8">
        <f>IF(D104,"Terminal",IF(N104=1,"Blocked",IF(K104=1,"Determination Notice",IF(L104=1,"Board","Under Review"))))</f>
        <v/>
      </c>
      <c r="Q104" s="8">
        <f>IF(Applicant_List!L105="Closed","Closed",IF(OR(Applicant_List!L105="Withdrawn",Applicant_List!L105="Terminated"),Applicant_List!L105,IF(N104=1,"No Advancement",IF(K104=1,"Determination Notice Issued",IF(L104=1,"Board","Under Review")))))</f>
        <v/>
      </c>
    </row>
    <row r="105">
      <c r="A105" s="8">
        <f>Applicant_List!C106</f>
        <v/>
      </c>
      <c r="B105" s="8">
        <f>Applicant_List!E106</f>
        <v/>
      </c>
      <c r="C105" s="8">
        <f>Applicant_List!L106</f>
        <v/>
      </c>
      <c r="D105" s="8">
        <f>OR(Applicant_List!L106="Closed",Applicant_List!L106="Withdrawn",Applicant_List!L106="Terminated")</f>
        <v/>
      </c>
      <c r="E105" s="8">
        <f>IF(OR(Applicant_List!AI106="N",Applicant_List!AI106=""),1,0)</f>
        <v/>
      </c>
      <c r="F105" s="8">
        <f>IF(OR(Applicant_List!AK106="N",Applicant_List!AK106="",Applicant_List!AL106="N",Applicant_List!AL106=""),1,0)</f>
        <v/>
      </c>
      <c r="G105" s="8">
        <f>IF(OR(Applicant_List!AM106="N",Applicant_List!AM106=""),1,0)</f>
        <v/>
      </c>
      <c r="H105" s="8">
        <f>IF(OR(Applicant_List!AX106="Y",AND(Applicant_List!AS106="Y",Applicant_List!AV106&lt;&gt;"Y")),1,0)</f>
        <v/>
      </c>
      <c r="I105" s="8">
        <f>IF(OR(Applicant_List!AZ106="N",Applicant_List!AZ106="",Applicant_List!BA106="N",Applicant_List!BA106=""),1,0)</f>
        <v/>
      </c>
      <c r="J105" s="8">
        <f>IF(OR(Applicant_List!BB106="N",Applicant_List!BB106="",Applicant_List!BC106="N",Applicant_List!BE106="Y",Applicant_List!BL106="Y"),1,0)</f>
        <v/>
      </c>
      <c r="K105" s="8">
        <f>IF(AND(Applicant_List!BJ106="Y",Applicant_List!BM106="Y",Applicant_List!BK106&lt;&gt;"Y"),1,0)</f>
        <v/>
      </c>
      <c r="L105" s="8">
        <f>IF(OR(Applicant_List!BN106="Y",Applicant_List!BK106="Y"),1,0)</f>
        <v/>
      </c>
      <c r="M105" s="8">
        <f>COUNTIF(Applicant_List!AI106:BM106,"N")+COUNTBLANK(Applicant_List!AI106:BM106)</f>
        <v/>
      </c>
      <c r="N105" s="8">
        <f>MAX(E105:J105)</f>
        <v/>
      </c>
      <c r="O105" s="8">
        <f>IF(Applicant_List!BP106="Y",100000,0)+IF(ISNUMBER(Applicant_List!BO106),50000-INT(Applicant_List!BO106),0)+IF(LEN(Applicant_List!L106)&gt;0,1000,0)</f>
        <v/>
      </c>
      <c r="P105" s="8">
        <f>IF(D105,"Terminal",IF(N105=1,"Blocked",IF(K105=1,"Determination Notice",IF(L105=1,"Board","Under Review"))))</f>
        <v/>
      </c>
      <c r="Q105" s="8">
        <f>IF(Applicant_List!L106="Closed","Closed",IF(OR(Applicant_List!L106="Withdrawn",Applicant_List!L106="Terminated"),Applicant_List!L106,IF(N105=1,"No Advancement",IF(K105=1,"Determination Notice Issued",IF(L105=1,"Board","Under Review")))))</f>
        <v/>
      </c>
    </row>
    <row r="106">
      <c r="A106" s="8">
        <f>Applicant_List!C107</f>
        <v/>
      </c>
      <c r="B106" s="8">
        <f>Applicant_List!E107</f>
        <v/>
      </c>
      <c r="C106" s="8">
        <f>Applicant_List!L107</f>
        <v/>
      </c>
      <c r="D106" s="8">
        <f>OR(Applicant_List!L107="Closed",Applicant_List!L107="Withdrawn",Applicant_List!L107="Terminated")</f>
        <v/>
      </c>
      <c r="E106" s="8">
        <f>IF(OR(Applicant_List!AI107="N",Applicant_List!AI107=""),1,0)</f>
        <v/>
      </c>
      <c r="F106" s="8">
        <f>IF(OR(Applicant_List!AK107="N",Applicant_List!AK107="",Applicant_List!AL107="N",Applicant_List!AL107=""),1,0)</f>
        <v/>
      </c>
      <c r="G106" s="8">
        <f>IF(OR(Applicant_List!AM107="N",Applicant_List!AM107=""),1,0)</f>
        <v/>
      </c>
      <c r="H106" s="8">
        <f>IF(OR(Applicant_List!AX107="Y",AND(Applicant_List!AS107="Y",Applicant_List!AV107&lt;&gt;"Y")),1,0)</f>
        <v/>
      </c>
      <c r="I106" s="8">
        <f>IF(OR(Applicant_List!AZ107="N",Applicant_List!AZ107="",Applicant_List!BA107="N",Applicant_List!BA107=""),1,0)</f>
        <v/>
      </c>
      <c r="J106" s="8">
        <f>IF(OR(Applicant_List!BB107="N",Applicant_List!BB107="",Applicant_List!BC107="N",Applicant_List!BE107="Y",Applicant_List!BL107="Y"),1,0)</f>
        <v/>
      </c>
      <c r="K106" s="8">
        <f>IF(AND(Applicant_List!BJ107="Y",Applicant_List!BM107="Y",Applicant_List!BK107&lt;&gt;"Y"),1,0)</f>
        <v/>
      </c>
      <c r="L106" s="8">
        <f>IF(OR(Applicant_List!BN107="Y",Applicant_List!BK107="Y"),1,0)</f>
        <v/>
      </c>
      <c r="M106" s="8">
        <f>COUNTIF(Applicant_List!AI107:BM107,"N")+COUNTBLANK(Applicant_List!AI107:BM107)</f>
        <v/>
      </c>
      <c r="N106" s="8">
        <f>MAX(E106:J106)</f>
        <v/>
      </c>
      <c r="O106" s="8">
        <f>IF(Applicant_List!BP107="Y",100000,0)+IF(ISNUMBER(Applicant_List!BO107),50000-INT(Applicant_List!BO107),0)+IF(LEN(Applicant_List!L107)&gt;0,1000,0)</f>
        <v/>
      </c>
      <c r="P106" s="8">
        <f>IF(D106,"Terminal",IF(N106=1,"Blocked",IF(K106=1,"Determination Notice",IF(L106=1,"Board","Under Review"))))</f>
        <v/>
      </c>
      <c r="Q106" s="8">
        <f>IF(Applicant_List!L107="Closed","Closed",IF(OR(Applicant_List!L107="Withdrawn",Applicant_List!L107="Terminated"),Applicant_List!L107,IF(N106=1,"No Advancement",IF(K106=1,"Determination Notice Issued",IF(L106=1,"Board","Under Review")))))</f>
        <v/>
      </c>
    </row>
    <row r="107">
      <c r="A107" s="8">
        <f>Applicant_List!C108</f>
        <v/>
      </c>
      <c r="B107" s="8">
        <f>Applicant_List!E108</f>
        <v/>
      </c>
      <c r="C107" s="8">
        <f>Applicant_List!L108</f>
        <v/>
      </c>
      <c r="D107" s="8">
        <f>OR(Applicant_List!L108="Closed",Applicant_List!L108="Withdrawn",Applicant_List!L108="Terminated")</f>
        <v/>
      </c>
      <c r="E107" s="8">
        <f>IF(OR(Applicant_List!AI108="N",Applicant_List!AI108=""),1,0)</f>
        <v/>
      </c>
      <c r="F107" s="8">
        <f>IF(OR(Applicant_List!AK108="N",Applicant_List!AK108="",Applicant_List!AL108="N",Applicant_List!AL108=""),1,0)</f>
        <v/>
      </c>
      <c r="G107" s="8">
        <f>IF(OR(Applicant_List!AM108="N",Applicant_List!AM108=""),1,0)</f>
        <v/>
      </c>
      <c r="H107" s="8">
        <f>IF(OR(Applicant_List!AX108="Y",AND(Applicant_List!AS108="Y",Applicant_List!AV108&lt;&gt;"Y")),1,0)</f>
        <v/>
      </c>
      <c r="I107" s="8">
        <f>IF(OR(Applicant_List!AZ108="N",Applicant_List!AZ108="",Applicant_List!BA108="N",Applicant_List!BA108=""),1,0)</f>
        <v/>
      </c>
      <c r="J107" s="8">
        <f>IF(OR(Applicant_List!BB108="N",Applicant_List!BB108="",Applicant_List!BC108="N",Applicant_List!BE108="Y",Applicant_List!BL108="Y"),1,0)</f>
        <v/>
      </c>
      <c r="K107" s="8">
        <f>IF(AND(Applicant_List!BJ108="Y",Applicant_List!BM108="Y",Applicant_List!BK108&lt;&gt;"Y"),1,0)</f>
        <v/>
      </c>
      <c r="L107" s="8">
        <f>IF(OR(Applicant_List!BN108="Y",Applicant_List!BK108="Y"),1,0)</f>
        <v/>
      </c>
      <c r="M107" s="8">
        <f>COUNTIF(Applicant_List!AI108:BM108,"N")+COUNTBLANK(Applicant_List!AI108:BM108)</f>
        <v/>
      </c>
      <c r="N107" s="8">
        <f>MAX(E107:J107)</f>
        <v/>
      </c>
      <c r="O107" s="8">
        <f>IF(Applicant_List!BP108="Y",100000,0)+IF(ISNUMBER(Applicant_List!BO108),50000-INT(Applicant_List!BO108),0)+IF(LEN(Applicant_List!L108)&gt;0,1000,0)</f>
        <v/>
      </c>
      <c r="P107" s="8">
        <f>IF(D107,"Terminal",IF(N107=1,"Blocked",IF(K107=1,"Determination Notice",IF(L107=1,"Board","Under Review"))))</f>
        <v/>
      </c>
      <c r="Q107" s="8">
        <f>IF(Applicant_List!L108="Closed","Closed",IF(OR(Applicant_List!L108="Withdrawn",Applicant_List!L108="Terminated"),Applicant_List!L108,IF(N107=1,"No Advancement",IF(K107=1,"Determination Notice Issued",IF(L107=1,"Board","Under Review")))))</f>
        <v/>
      </c>
    </row>
    <row r="108">
      <c r="A108" s="8">
        <f>Applicant_List!C109</f>
        <v/>
      </c>
      <c r="B108" s="8">
        <f>Applicant_List!E109</f>
        <v/>
      </c>
      <c r="C108" s="8">
        <f>Applicant_List!L109</f>
        <v/>
      </c>
      <c r="D108" s="8">
        <f>OR(Applicant_List!L109="Closed",Applicant_List!L109="Withdrawn",Applicant_List!L109="Terminated")</f>
        <v/>
      </c>
      <c r="E108" s="8">
        <f>IF(OR(Applicant_List!AI109="N",Applicant_List!AI109=""),1,0)</f>
        <v/>
      </c>
      <c r="F108" s="8">
        <f>IF(OR(Applicant_List!AK109="N",Applicant_List!AK109="",Applicant_List!AL109="N",Applicant_List!AL109=""),1,0)</f>
        <v/>
      </c>
      <c r="G108" s="8">
        <f>IF(OR(Applicant_List!AM109="N",Applicant_List!AM109=""),1,0)</f>
        <v/>
      </c>
      <c r="H108" s="8">
        <f>IF(OR(Applicant_List!AX109="Y",AND(Applicant_List!AS109="Y",Applicant_List!AV109&lt;&gt;"Y")),1,0)</f>
        <v/>
      </c>
      <c r="I108" s="8">
        <f>IF(OR(Applicant_List!AZ109="N",Applicant_List!AZ109="",Applicant_List!BA109="N",Applicant_List!BA109=""),1,0)</f>
        <v/>
      </c>
      <c r="J108" s="8">
        <f>IF(OR(Applicant_List!BB109="N",Applicant_List!BB109="",Applicant_List!BC109="N",Applicant_List!BE109="Y",Applicant_List!BL109="Y"),1,0)</f>
        <v/>
      </c>
      <c r="K108" s="8">
        <f>IF(AND(Applicant_List!BJ109="Y",Applicant_List!BM109="Y",Applicant_List!BK109&lt;&gt;"Y"),1,0)</f>
        <v/>
      </c>
      <c r="L108" s="8">
        <f>IF(OR(Applicant_List!BN109="Y",Applicant_List!BK109="Y"),1,0)</f>
        <v/>
      </c>
      <c r="M108" s="8">
        <f>COUNTIF(Applicant_List!AI109:BM109,"N")+COUNTBLANK(Applicant_List!AI109:BM109)</f>
        <v/>
      </c>
      <c r="N108" s="8">
        <f>MAX(E108:J108)</f>
        <v/>
      </c>
      <c r="O108" s="8">
        <f>IF(Applicant_List!BP109="Y",100000,0)+IF(ISNUMBER(Applicant_List!BO109),50000-INT(Applicant_List!BO109),0)+IF(LEN(Applicant_List!L109)&gt;0,1000,0)</f>
        <v/>
      </c>
      <c r="P108" s="8">
        <f>IF(D108,"Terminal",IF(N108=1,"Blocked",IF(K108=1,"Determination Notice",IF(L108=1,"Board","Under Review"))))</f>
        <v/>
      </c>
      <c r="Q108" s="8">
        <f>IF(Applicant_List!L109="Closed","Closed",IF(OR(Applicant_List!L109="Withdrawn",Applicant_List!L109="Terminated"),Applicant_List!L109,IF(N108=1,"No Advancement",IF(K108=1,"Determination Notice Issued",IF(L108=1,"Board","Under Review")))))</f>
        <v/>
      </c>
    </row>
    <row r="109">
      <c r="A109" s="8">
        <f>Applicant_List!C110</f>
        <v/>
      </c>
      <c r="B109" s="8">
        <f>Applicant_List!E110</f>
        <v/>
      </c>
      <c r="C109" s="8">
        <f>Applicant_List!L110</f>
        <v/>
      </c>
      <c r="D109" s="8">
        <f>OR(Applicant_List!L110="Closed",Applicant_List!L110="Withdrawn",Applicant_List!L110="Terminated")</f>
        <v/>
      </c>
      <c r="E109" s="8">
        <f>IF(OR(Applicant_List!AI110="N",Applicant_List!AI110=""),1,0)</f>
        <v/>
      </c>
      <c r="F109" s="8">
        <f>IF(OR(Applicant_List!AK110="N",Applicant_List!AK110="",Applicant_List!AL110="N",Applicant_List!AL110=""),1,0)</f>
        <v/>
      </c>
      <c r="G109" s="8">
        <f>IF(OR(Applicant_List!AM110="N",Applicant_List!AM110=""),1,0)</f>
        <v/>
      </c>
      <c r="H109" s="8">
        <f>IF(OR(Applicant_List!AX110="Y",AND(Applicant_List!AS110="Y",Applicant_List!AV110&lt;&gt;"Y")),1,0)</f>
        <v/>
      </c>
      <c r="I109" s="8">
        <f>IF(OR(Applicant_List!AZ110="N",Applicant_List!AZ110="",Applicant_List!BA110="N",Applicant_List!BA110=""),1,0)</f>
        <v/>
      </c>
      <c r="J109" s="8">
        <f>IF(OR(Applicant_List!BB110="N",Applicant_List!BB110="",Applicant_List!BC110="N",Applicant_List!BE110="Y",Applicant_List!BL110="Y"),1,0)</f>
        <v/>
      </c>
      <c r="K109" s="8">
        <f>IF(AND(Applicant_List!BJ110="Y",Applicant_List!BM110="Y",Applicant_List!BK110&lt;&gt;"Y"),1,0)</f>
        <v/>
      </c>
      <c r="L109" s="8">
        <f>IF(OR(Applicant_List!BN110="Y",Applicant_List!BK110="Y"),1,0)</f>
        <v/>
      </c>
      <c r="M109" s="8">
        <f>COUNTIF(Applicant_List!AI110:BM110,"N")+COUNTBLANK(Applicant_List!AI110:BM110)</f>
        <v/>
      </c>
      <c r="N109" s="8">
        <f>MAX(E109:J109)</f>
        <v/>
      </c>
      <c r="O109" s="8">
        <f>IF(Applicant_List!BP110="Y",100000,0)+IF(ISNUMBER(Applicant_List!BO110),50000-INT(Applicant_List!BO110),0)+IF(LEN(Applicant_List!L110)&gt;0,1000,0)</f>
        <v/>
      </c>
      <c r="P109" s="8">
        <f>IF(D109,"Terminal",IF(N109=1,"Blocked",IF(K109=1,"Determination Notice",IF(L109=1,"Board","Under Review"))))</f>
        <v/>
      </c>
      <c r="Q109" s="8">
        <f>IF(Applicant_List!L110="Closed","Closed",IF(OR(Applicant_List!L110="Withdrawn",Applicant_List!L110="Terminated"),Applicant_List!L110,IF(N109=1,"No Advancement",IF(K109=1,"Determination Notice Issued",IF(L109=1,"Board","Under Review")))))</f>
        <v/>
      </c>
    </row>
    <row r="110">
      <c r="A110" s="8">
        <f>Applicant_List!C111</f>
        <v/>
      </c>
      <c r="B110" s="8">
        <f>Applicant_List!E111</f>
        <v/>
      </c>
      <c r="C110" s="8">
        <f>Applicant_List!L111</f>
        <v/>
      </c>
      <c r="D110" s="8">
        <f>OR(Applicant_List!L111="Closed",Applicant_List!L111="Withdrawn",Applicant_List!L111="Terminated")</f>
        <v/>
      </c>
      <c r="E110" s="8">
        <f>IF(OR(Applicant_List!AI111="N",Applicant_List!AI111=""),1,0)</f>
        <v/>
      </c>
      <c r="F110" s="8">
        <f>IF(OR(Applicant_List!AK111="N",Applicant_List!AK111="",Applicant_List!AL111="N",Applicant_List!AL111=""),1,0)</f>
        <v/>
      </c>
      <c r="G110" s="8">
        <f>IF(OR(Applicant_List!AM111="N",Applicant_List!AM111=""),1,0)</f>
        <v/>
      </c>
      <c r="H110" s="8">
        <f>IF(OR(Applicant_List!AX111="Y",AND(Applicant_List!AS111="Y",Applicant_List!AV111&lt;&gt;"Y")),1,0)</f>
        <v/>
      </c>
      <c r="I110" s="8">
        <f>IF(OR(Applicant_List!AZ111="N",Applicant_List!AZ111="",Applicant_List!BA111="N",Applicant_List!BA111=""),1,0)</f>
        <v/>
      </c>
      <c r="J110" s="8">
        <f>IF(OR(Applicant_List!BB111="N",Applicant_List!BB111="",Applicant_List!BC111="N",Applicant_List!BE111="Y",Applicant_List!BL111="Y"),1,0)</f>
        <v/>
      </c>
      <c r="K110" s="8">
        <f>IF(AND(Applicant_List!BJ111="Y",Applicant_List!BM111="Y",Applicant_List!BK111&lt;&gt;"Y"),1,0)</f>
        <v/>
      </c>
      <c r="L110" s="8">
        <f>IF(OR(Applicant_List!BN111="Y",Applicant_List!BK111="Y"),1,0)</f>
        <v/>
      </c>
      <c r="M110" s="8">
        <f>COUNTIF(Applicant_List!AI111:BM111,"N")+COUNTBLANK(Applicant_List!AI111:BM111)</f>
        <v/>
      </c>
      <c r="N110" s="8">
        <f>MAX(E110:J110)</f>
        <v/>
      </c>
      <c r="O110" s="8">
        <f>IF(Applicant_List!BP111="Y",100000,0)+IF(ISNUMBER(Applicant_List!BO111),50000-INT(Applicant_List!BO111),0)+IF(LEN(Applicant_List!L111)&gt;0,1000,0)</f>
        <v/>
      </c>
      <c r="P110" s="8">
        <f>IF(D110,"Terminal",IF(N110=1,"Blocked",IF(K110=1,"Determination Notice",IF(L110=1,"Board","Under Review"))))</f>
        <v/>
      </c>
      <c r="Q110" s="8">
        <f>IF(Applicant_List!L111="Closed","Closed",IF(OR(Applicant_List!L111="Withdrawn",Applicant_List!L111="Terminated"),Applicant_List!L111,IF(N110=1,"No Advancement",IF(K110=1,"Determination Notice Issued",IF(L110=1,"Board","Under Review")))))</f>
        <v/>
      </c>
    </row>
    <row r="111">
      <c r="A111" s="8">
        <f>Applicant_List!C112</f>
        <v/>
      </c>
      <c r="B111" s="8">
        <f>Applicant_List!E112</f>
        <v/>
      </c>
      <c r="C111" s="8">
        <f>Applicant_List!L112</f>
        <v/>
      </c>
      <c r="D111" s="8">
        <f>OR(Applicant_List!L112="Closed",Applicant_List!L112="Withdrawn",Applicant_List!L112="Terminated")</f>
        <v/>
      </c>
      <c r="E111" s="8">
        <f>IF(OR(Applicant_List!AI112="N",Applicant_List!AI112=""),1,0)</f>
        <v/>
      </c>
      <c r="F111" s="8">
        <f>IF(OR(Applicant_List!AK112="N",Applicant_List!AK112="",Applicant_List!AL112="N",Applicant_List!AL112=""),1,0)</f>
        <v/>
      </c>
      <c r="G111" s="8">
        <f>IF(OR(Applicant_List!AM112="N",Applicant_List!AM112=""),1,0)</f>
        <v/>
      </c>
      <c r="H111" s="8">
        <f>IF(OR(Applicant_List!AX112="Y",AND(Applicant_List!AS112="Y",Applicant_List!AV112&lt;&gt;"Y")),1,0)</f>
        <v/>
      </c>
      <c r="I111" s="8">
        <f>IF(OR(Applicant_List!AZ112="N",Applicant_List!AZ112="",Applicant_List!BA112="N",Applicant_List!BA112=""),1,0)</f>
        <v/>
      </c>
      <c r="J111" s="8">
        <f>IF(OR(Applicant_List!BB112="N",Applicant_List!BB112="",Applicant_List!BC112="N",Applicant_List!BE112="Y",Applicant_List!BL112="Y"),1,0)</f>
        <v/>
      </c>
      <c r="K111" s="8">
        <f>IF(AND(Applicant_List!BJ112="Y",Applicant_List!BM112="Y",Applicant_List!BK112&lt;&gt;"Y"),1,0)</f>
        <v/>
      </c>
      <c r="L111" s="8">
        <f>IF(OR(Applicant_List!BN112="Y",Applicant_List!BK112="Y"),1,0)</f>
        <v/>
      </c>
      <c r="M111" s="8">
        <f>COUNTIF(Applicant_List!AI112:BM112,"N")+COUNTBLANK(Applicant_List!AI112:BM112)</f>
        <v/>
      </c>
      <c r="N111" s="8">
        <f>MAX(E111:J111)</f>
        <v/>
      </c>
      <c r="O111" s="8">
        <f>IF(Applicant_List!BP112="Y",100000,0)+IF(ISNUMBER(Applicant_List!BO112),50000-INT(Applicant_List!BO112),0)+IF(LEN(Applicant_List!L112)&gt;0,1000,0)</f>
        <v/>
      </c>
      <c r="P111" s="8">
        <f>IF(D111,"Terminal",IF(N111=1,"Blocked",IF(K111=1,"Determination Notice",IF(L111=1,"Board","Under Review"))))</f>
        <v/>
      </c>
      <c r="Q111" s="8">
        <f>IF(Applicant_List!L112="Closed","Closed",IF(OR(Applicant_List!L112="Withdrawn",Applicant_List!L112="Terminated"),Applicant_List!L112,IF(N111=1,"No Advancement",IF(K111=1,"Determination Notice Issued",IF(L111=1,"Board","Under Review")))))</f>
        <v/>
      </c>
    </row>
    <row r="112">
      <c r="A112" s="8">
        <f>Applicant_List!C113</f>
        <v/>
      </c>
      <c r="B112" s="8">
        <f>Applicant_List!E113</f>
        <v/>
      </c>
      <c r="C112" s="8">
        <f>Applicant_List!L113</f>
        <v/>
      </c>
      <c r="D112" s="8">
        <f>OR(Applicant_List!L113="Closed",Applicant_List!L113="Withdrawn",Applicant_List!L113="Terminated")</f>
        <v/>
      </c>
      <c r="E112" s="8">
        <f>IF(OR(Applicant_List!AI113="N",Applicant_List!AI113=""),1,0)</f>
        <v/>
      </c>
      <c r="F112" s="8">
        <f>IF(OR(Applicant_List!AK113="N",Applicant_List!AK113="",Applicant_List!AL113="N",Applicant_List!AL113=""),1,0)</f>
        <v/>
      </c>
      <c r="G112" s="8">
        <f>IF(OR(Applicant_List!AM113="N",Applicant_List!AM113=""),1,0)</f>
        <v/>
      </c>
      <c r="H112" s="8">
        <f>IF(OR(Applicant_List!AX113="Y",AND(Applicant_List!AS113="Y",Applicant_List!AV113&lt;&gt;"Y")),1,0)</f>
        <v/>
      </c>
      <c r="I112" s="8">
        <f>IF(OR(Applicant_List!AZ113="N",Applicant_List!AZ113="",Applicant_List!BA113="N",Applicant_List!BA113=""),1,0)</f>
        <v/>
      </c>
      <c r="J112" s="8">
        <f>IF(OR(Applicant_List!BB113="N",Applicant_List!BB113="",Applicant_List!BC113="N",Applicant_List!BE113="Y",Applicant_List!BL113="Y"),1,0)</f>
        <v/>
      </c>
      <c r="K112" s="8">
        <f>IF(AND(Applicant_List!BJ113="Y",Applicant_List!BM113="Y",Applicant_List!BK113&lt;&gt;"Y"),1,0)</f>
        <v/>
      </c>
      <c r="L112" s="8">
        <f>IF(OR(Applicant_List!BN113="Y",Applicant_List!BK113="Y"),1,0)</f>
        <v/>
      </c>
      <c r="M112" s="8">
        <f>COUNTIF(Applicant_List!AI113:BM113,"N")+COUNTBLANK(Applicant_List!AI113:BM113)</f>
        <v/>
      </c>
      <c r="N112" s="8">
        <f>MAX(E112:J112)</f>
        <v/>
      </c>
      <c r="O112" s="8">
        <f>IF(Applicant_List!BP113="Y",100000,0)+IF(ISNUMBER(Applicant_List!BO113),50000-INT(Applicant_List!BO113),0)+IF(LEN(Applicant_List!L113)&gt;0,1000,0)</f>
        <v/>
      </c>
      <c r="P112" s="8">
        <f>IF(D112,"Terminal",IF(N112=1,"Blocked",IF(K112=1,"Determination Notice",IF(L112=1,"Board","Under Review"))))</f>
        <v/>
      </c>
      <c r="Q112" s="8">
        <f>IF(Applicant_List!L113="Closed","Closed",IF(OR(Applicant_List!L113="Withdrawn",Applicant_List!L113="Terminated"),Applicant_List!L113,IF(N112=1,"No Advancement",IF(K112=1,"Determination Notice Issued",IF(L112=1,"Board","Under Review")))))</f>
        <v/>
      </c>
    </row>
    <row r="113">
      <c r="A113" s="8">
        <f>Applicant_List!C114</f>
        <v/>
      </c>
      <c r="B113" s="8">
        <f>Applicant_List!E114</f>
        <v/>
      </c>
      <c r="C113" s="8">
        <f>Applicant_List!L114</f>
        <v/>
      </c>
      <c r="D113" s="8">
        <f>OR(Applicant_List!L114="Closed",Applicant_List!L114="Withdrawn",Applicant_List!L114="Terminated")</f>
        <v/>
      </c>
      <c r="E113" s="8">
        <f>IF(OR(Applicant_List!AI114="N",Applicant_List!AI114=""),1,0)</f>
        <v/>
      </c>
      <c r="F113" s="8">
        <f>IF(OR(Applicant_List!AK114="N",Applicant_List!AK114="",Applicant_List!AL114="N",Applicant_List!AL114=""),1,0)</f>
        <v/>
      </c>
      <c r="G113" s="8">
        <f>IF(OR(Applicant_List!AM114="N",Applicant_List!AM114=""),1,0)</f>
        <v/>
      </c>
      <c r="H113" s="8">
        <f>IF(OR(Applicant_List!AX114="Y",AND(Applicant_List!AS114="Y",Applicant_List!AV114&lt;&gt;"Y")),1,0)</f>
        <v/>
      </c>
      <c r="I113" s="8">
        <f>IF(OR(Applicant_List!AZ114="N",Applicant_List!AZ114="",Applicant_List!BA114="N",Applicant_List!BA114=""),1,0)</f>
        <v/>
      </c>
      <c r="J113" s="8">
        <f>IF(OR(Applicant_List!BB114="N",Applicant_List!BB114="",Applicant_List!BC114="N",Applicant_List!BE114="Y",Applicant_List!BL114="Y"),1,0)</f>
        <v/>
      </c>
      <c r="K113" s="8">
        <f>IF(AND(Applicant_List!BJ114="Y",Applicant_List!BM114="Y",Applicant_List!BK114&lt;&gt;"Y"),1,0)</f>
        <v/>
      </c>
      <c r="L113" s="8">
        <f>IF(OR(Applicant_List!BN114="Y",Applicant_List!BK114="Y"),1,0)</f>
        <v/>
      </c>
      <c r="M113" s="8">
        <f>COUNTIF(Applicant_List!AI114:BM114,"N")+COUNTBLANK(Applicant_List!AI114:BM114)</f>
        <v/>
      </c>
      <c r="N113" s="8">
        <f>MAX(E113:J113)</f>
        <v/>
      </c>
      <c r="O113" s="8">
        <f>IF(Applicant_List!BP114="Y",100000,0)+IF(ISNUMBER(Applicant_List!BO114),50000-INT(Applicant_List!BO114),0)+IF(LEN(Applicant_List!L114)&gt;0,1000,0)</f>
        <v/>
      </c>
      <c r="P113" s="8">
        <f>IF(D113,"Terminal",IF(N113=1,"Blocked",IF(K113=1,"Determination Notice",IF(L113=1,"Board","Under Review"))))</f>
        <v/>
      </c>
      <c r="Q113" s="8">
        <f>IF(Applicant_List!L114="Closed","Closed",IF(OR(Applicant_List!L114="Withdrawn",Applicant_List!L114="Terminated"),Applicant_List!L114,IF(N113=1,"No Advancement",IF(K113=1,"Determination Notice Issued",IF(L113=1,"Board","Under Review")))))</f>
        <v/>
      </c>
    </row>
    <row r="114">
      <c r="A114" s="8">
        <f>Applicant_List!C115</f>
        <v/>
      </c>
      <c r="B114" s="8">
        <f>Applicant_List!E115</f>
        <v/>
      </c>
      <c r="C114" s="8">
        <f>Applicant_List!L115</f>
        <v/>
      </c>
      <c r="D114" s="8">
        <f>OR(Applicant_List!L115="Closed",Applicant_List!L115="Withdrawn",Applicant_List!L115="Terminated")</f>
        <v/>
      </c>
      <c r="E114" s="8">
        <f>IF(OR(Applicant_List!AI115="N",Applicant_List!AI115=""),1,0)</f>
        <v/>
      </c>
      <c r="F114" s="8">
        <f>IF(OR(Applicant_List!AK115="N",Applicant_List!AK115="",Applicant_List!AL115="N",Applicant_List!AL115=""),1,0)</f>
        <v/>
      </c>
      <c r="G114" s="8">
        <f>IF(OR(Applicant_List!AM115="N",Applicant_List!AM115=""),1,0)</f>
        <v/>
      </c>
      <c r="H114" s="8">
        <f>IF(OR(Applicant_List!AX115="Y",AND(Applicant_List!AS115="Y",Applicant_List!AV115&lt;&gt;"Y")),1,0)</f>
        <v/>
      </c>
      <c r="I114" s="8">
        <f>IF(OR(Applicant_List!AZ115="N",Applicant_List!AZ115="",Applicant_List!BA115="N",Applicant_List!BA115=""),1,0)</f>
        <v/>
      </c>
      <c r="J114" s="8">
        <f>IF(OR(Applicant_List!BB115="N",Applicant_List!BB115="",Applicant_List!BC115="N",Applicant_List!BE115="Y",Applicant_List!BL115="Y"),1,0)</f>
        <v/>
      </c>
      <c r="K114" s="8">
        <f>IF(AND(Applicant_List!BJ115="Y",Applicant_List!BM115="Y",Applicant_List!BK115&lt;&gt;"Y"),1,0)</f>
        <v/>
      </c>
      <c r="L114" s="8">
        <f>IF(OR(Applicant_List!BN115="Y",Applicant_List!BK115="Y"),1,0)</f>
        <v/>
      </c>
      <c r="M114" s="8">
        <f>COUNTIF(Applicant_List!AI115:BM115,"N")+COUNTBLANK(Applicant_List!AI115:BM115)</f>
        <v/>
      </c>
      <c r="N114" s="8">
        <f>MAX(E114:J114)</f>
        <v/>
      </c>
      <c r="O114" s="8">
        <f>IF(Applicant_List!BP115="Y",100000,0)+IF(ISNUMBER(Applicant_List!BO115),50000-INT(Applicant_List!BO115),0)+IF(LEN(Applicant_List!L115)&gt;0,1000,0)</f>
        <v/>
      </c>
      <c r="P114" s="8">
        <f>IF(D114,"Terminal",IF(N114=1,"Blocked",IF(K114=1,"Determination Notice",IF(L114=1,"Board","Under Review"))))</f>
        <v/>
      </c>
      <c r="Q114" s="8">
        <f>IF(Applicant_List!L115="Closed","Closed",IF(OR(Applicant_List!L115="Withdrawn",Applicant_List!L115="Terminated"),Applicant_List!L115,IF(N114=1,"No Advancement",IF(K114=1,"Determination Notice Issued",IF(L114=1,"Board","Under Review")))))</f>
        <v/>
      </c>
    </row>
    <row r="115">
      <c r="A115" s="8">
        <f>Applicant_List!C116</f>
        <v/>
      </c>
      <c r="B115" s="8">
        <f>Applicant_List!E116</f>
        <v/>
      </c>
      <c r="C115" s="8">
        <f>Applicant_List!L116</f>
        <v/>
      </c>
      <c r="D115" s="8">
        <f>OR(Applicant_List!L116="Closed",Applicant_List!L116="Withdrawn",Applicant_List!L116="Terminated")</f>
        <v/>
      </c>
      <c r="E115" s="8">
        <f>IF(OR(Applicant_List!AI116="N",Applicant_List!AI116=""),1,0)</f>
        <v/>
      </c>
      <c r="F115" s="8">
        <f>IF(OR(Applicant_List!AK116="N",Applicant_List!AK116="",Applicant_List!AL116="N",Applicant_List!AL116=""),1,0)</f>
        <v/>
      </c>
      <c r="G115" s="8">
        <f>IF(OR(Applicant_List!AM116="N",Applicant_List!AM116=""),1,0)</f>
        <v/>
      </c>
      <c r="H115" s="8">
        <f>IF(OR(Applicant_List!AX116="Y",AND(Applicant_List!AS116="Y",Applicant_List!AV116&lt;&gt;"Y")),1,0)</f>
        <v/>
      </c>
      <c r="I115" s="8">
        <f>IF(OR(Applicant_List!AZ116="N",Applicant_List!AZ116="",Applicant_List!BA116="N",Applicant_List!BA116=""),1,0)</f>
        <v/>
      </c>
      <c r="J115" s="8">
        <f>IF(OR(Applicant_List!BB116="N",Applicant_List!BB116="",Applicant_List!BC116="N",Applicant_List!BE116="Y",Applicant_List!BL116="Y"),1,0)</f>
        <v/>
      </c>
      <c r="K115" s="8">
        <f>IF(AND(Applicant_List!BJ116="Y",Applicant_List!BM116="Y",Applicant_List!BK116&lt;&gt;"Y"),1,0)</f>
        <v/>
      </c>
      <c r="L115" s="8">
        <f>IF(OR(Applicant_List!BN116="Y",Applicant_List!BK116="Y"),1,0)</f>
        <v/>
      </c>
      <c r="M115" s="8">
        <f>COUNTIF(Applicant_List!AI116:BM116,"N")+COUNTBLANK(Applicant_List!AI116:BM116)</f>
        <v/>
      </c>
      <c r="N115" s="8">
        <f>MAX(E115:J115)</f>
        <v/>
      </c>
      <c r="O115" s="8">
        <f>IF(Applicant_List!BP116="Y",100000,0)+IF(ISNUMBER(Applicant_List!BO116),50000-INT(Applicant_List!BO116),0)+IF(LEN(Applicant_List!L116)&gt;0,1000,0)</f>
        <v/>
      </c>
      <c r="P115" s="8">
        <f>IF(D115,"Terminal",IF(N115=1,"Blocked",IF(K115=1,"Determination Notice",IF(L115=1,"Board","Under Review"))))</f>
        <v/>
      </c>
      <c r="Q115" s="8">
        <f>IF(Applicant_List!L116="Closed","Closed",IF(OR(Applicant_List!L116="Withdrawn",Applicant_List!L116="Terminated"),Applicant_List!L116,IF(N115=1,"No Advancement",IF(K115=1,"Determination Notice Issued",IF(L115=1,"Board","Under Review")))))</f>
        <v/>
      </c>
    </row>
    <row r="116">
      <c r="A116" s="8">
        <f>Applicant_List!C117</f>
        <v/>
      </c>
      <c r="B116" s="8">
        <f>Applicant_List!E117</f>
        <v/>
      </c>
      <c r="C116" s="8">
        <f>Applicant_List!L117</f>
        <v/>
      </c>
      <c r="D116" s="8">
        <f>OR(Applicant_List!L117="Closed",Applicant_List!L117="Withdrawn",Applicant_List!L117="Terminated")</f>
        <v/>
      </c>
      <c r="E116" s="8">
        <f>IF(OR(Applicant_List!AI117="N",Applicant_List!AI117=""),1,0)</f>
        <v/>
      </c>
      <c r="F116" s="8">
        <f>IF(OR(Applicant_List!AK117="N",Applicant_List!AK117="",Applicant_List!AL117="N",Applicant_List!AL117=""),1,0)</f>
        <v/>
      </c>
      <c r="G116" s="8">
        <f>IF(OR(Applicant_List!AM117="N",Applicant_List!AM117=""),1,0)</f>
        <v/>
      </c>
      <c r="H116" s="8">
        <f>IF(OR(Applicant_List!AX117="Y",AND(Applicant_List!AS117="Y",Applicant_List!AV117&lt;&gt;"Y")),1,0)</f>
        <v/>
      </c>
      <c r="I116" s="8">
        <f>IF(OR(Applicant_List!AZ117="N",Applicant_List!AZ117="",Applicant_List!BA117="N",Applicant_List!BA117=""),1,0)</f>
        <v/>
      </c>
      <c r="J116" s="8">
        <f>IF(OR(Applicant_List!BB117="N",Applicant_List!BB117="",Applicant_List!BC117="N",Applicant_List!BE117="Y",Applicant_List!BL117="Y"),1,0)</f>
        <v/>
      </c>
      <c r="K116" s="8">
        <f>IF(AND(Applicant_List!BJ117="Y",Applicant_List!BM117="Y",Applicant_List!BK117&lt;&gt;"Y"),1,0)</f>
        <v/>
      </c>
      <c r="L116" s="8">
        <f>IF(OR(Applicant_List!BN117="Y",Applicant_List!BK117="Y"),1,0)</f>
        <v/>
      </c>
      <c r="M116" s="8">
        <f>COUNTIF(Applicant_List!AI117:BM117,"N")+COUNTBLANK(Applicant_List!AI117:BM117)</f>
        <v/>
      </c>
      <c r="N116" s="8">
        <f>MAX(E116:J116)</f>
        <v/>
      </c>
      <c r="O116" s="8">
        <f>IF(Applicant_List!BP117="Y",100000,0)+IF(ISNUMBER(Applicant_List!BO117),50000-INT(Applicant_List!BO117),0)+IF(LEN(Applicant_List!L117)&gt;0,1000,0)</f>
        <v/>
      </c>
      <c r="P116" s="8">
        <f>IF(D116,"Terminal",IF(N116=1,"Blocked",IF(K116=1,"Determination Notice",IF(L116=1,"Board","Under Review"))))</f>
        <v/>
      </c>
      <c r="Q116" s="8">
        <f>IF(Applicant_List!L117="Closed","Closed",IF(OR(Applicant_List!L117="Withdrawn",Applicant_List!L117="Terminated"),Applicant_List!L117,IF(N116=1,"No Advancement",IF(K116=1,"Determination Notice Issued",IF(L116=1,"Board","Under Review")))))</f>
        <v/>
      </c>
    </row>
    <row r="117">
      <c r="A117" s="8">
        <f>Applicant_List!C118</f>
        <v/>
      </c>
      <c r="B117" s="8">
        <f>Applicant_List!E118</f>
        <v/>
      </c>
      <c r="C117" s="8">
        <f>Applicant_List!L118</f>
        <v/>
      </c>
      <c r="D117" s="8">
        <f>OR(Applicant_List!L118="Closed",Applicant_List!L118="Withdrawn",Applicant_List!L118="Terminated")</f>
        <v/>
      </c>
      <c r="E117" s="8">
        <f>IF(OR(Applicant_List!AI118="N",Applicant_List!AI118=""),1,0)</f>
        <v/>
      </c>
      <c r="F117" s="8">
        <f>IF(OR(Applicant_List!AK118="N",Applicant_List!AK118="",Applicant_List!AL118="N",Applicant_List!AL118=""),1,0)</f>
        <v/>
      </c>
      <c r="G117" s="8">
        <f>IF(OR(Applicant_List!AM118="N",Applicant_List!AM118=""),1,0)</f>
        <v/>
      </c>
      <c r="H117" s="8">
        <f>IF(OR(Applicant_List!AX118="Y",AND(Applicant_List!AS118="Y",Applicant_List!AV118&lt;&gt;"Y")),1,0)</f>
        <v/>
      </c>
      <c r="I117" s="8">
        <f>IF(OR(Applicant_List!AZ118="N",Applicant_List!AZ118="",Applicant_List!BA118="N",Applicant_List!BA118=""),1,0)</f>
        <v/>
      </c>
      <c r="J117" s="8">
        <f>IF(OR(Applicant_List!BB118="N",Applicant_List!BB118="",Applicant_List!BC118="N",Applicant_List!BE118="Y",Applicant_List!BL118="Y"),1,0)</f>
        <v/>
      </c>
      <c r="K117" s="8">
        <f>IF(AND(Applicant_List!BJ118="Y",Applicant_List!BM118="Y",Applicant_List!BK118&lt;&gt;"Y"),1,0)</f>
        <v/>
      </c>
      <c r="L117" s="8">
        <f>IF(OR(Applicant_List!BN118="Y",Applicant_List!BK118="Y"),1,0)</f>
        <v/>
      </c>
      <c r="M117" s="8">
        <f>COUNTIF(Applicant_List!AI118:BM118,"N")+COUNTBLANK(Applicant_List!AI118:BM118)</f>
        <v/>
      </c>
      <c r="N117" s="8">
        <f>MAX(E117:J117)</f>
        <v/>
      </c>
      <c r="O117" s="8">
        <f>IF(Applicant_List!BP118="Y",100000,0)+IF(ISNUMBER(Applicant_List!BO118),50000-INT(Applicant_List!BO118),0)+IF(LEN(Applicant_List!L118)&gt;0,1000,0)</f>
        <v/>
      </c>
      <c r="P117" s="8">
        <f>IF(D117,"Terminal",IF(N117=1,"Blocked",IF(K117=1,"Determination Notice",IF(L117=1,"Board","Under Review"))))</f>
        <v/>
      </c>
      <c r="Q117" s="8">
        <f>IF(Applicant_List!L118="Closed","Closed",IF(OR(Applicant_List!L118="Withdrawn",Applicant_List!L118="Terminated"),Applicant_List!L118,IF(N117=1,"No Advancement",IF(K117=1,"Determination Notice Issued",IF(L117=1,"Board","Under Review")))))</f>
        <v/>
      </c>
    </row>
    <row r="118">
      <c r="A118" s="8">
        <f>Applicant_List!C119</f>
        <v/>
      </c>
      <c r="B118" s="8">
        <f>Applicant_List!E119</f>
        <v/>
      </c>
      <c r="C118" s="8">
        <f>Applicant_List!L119</f>
        <v/>
      </c>
      <c r="D118" s="8">
        <f>OR(Applicant_List!L119="Closed",Applicant_List!L119="Withdrawn",Applicant_List!L119="Terminated")</f>
        <v/>
      </c>
      <c r="E118" s="8">
        <f>IF(OR(Applicant_List!AI119="N",Applicant_List!AI119=""),1,0)</f>
        <v/>
      </c>
      <c r="F118" s="8">
        <f>IF(OR(Applicant_List!AK119="N",Applicant_List!AK119="",Applicant_List!AL119="N",Applicant_List!AL119=""),1,0)</f>
        <v/>
      </c>
      <c r="G118" s="8">
        <f>IF(OR(Applicant_List!AM119="N",Applicant_List!AM119=""),1,0)</f>
        <v/>
      </c>
      <c r="H118" s="8">
        <f>IF(OR(Applicant_List!AX119="Y",AND(Applicant_List!AS119="Y",Applicant_List!AV119&lt;&gt;"Y")),1,0)</f>
        <v/>
      </c>
      <c r="I118" s="8">
        <f>IF(OR(Applicant_List!AZ119="N",Applicant_List!AZ119="",Applicant_List!BA119="N",Applicant_List!BA119=""),1,0)</f>
        <v/>
      </c>
      <c r="J118" s="8">
        <f>IF(OR(Applicant_List!BB119="N",Applicant_List!BB119="",Applicant_List!BC119="N",Applicant_List!BE119="Y",Applicant_List!BL119="Y"),1,0)</f>
        <v/>
      </c>
      <c r="K118" s="8">
        <f>IF(AND(Applicant_List!BJ119="Y",Applicant_List!BM119="Y",Applicant_List!BK119&lt;&gt;"Y"),1,0)</f>
        <v/>
      </c>
      <c r="L118" s="8">
        <f>IF(OR(Applicant_List!BN119="Y",Applicant_List!BK119="Y"),1,0)</f>
        <v/>
      </c>
      <c r="M118" s="8">
        <f>COUNTIF(Applicant_List!AI119:BM119,"N")+COUNTBLANK(Applicant_List!AI119:BM119)</f>
        <v/>
      </c>
      <c r="N118" s="8">
        <f>MAX(E118:J118)</f>
        <v/>
      </c>
      <c r="O118" s="8">
        <f>IF(Applicant_List!BP119="Y",100000,0)+IF(ISNUMBER(Applicant_List!BO119),50000-INT(Applicant_List!BO119),0)+IF(LEN(Applicant_List!L119)&gt;0,1000,0)</f>
        <v/>
      </c>
      <c r="P118" s="8">
        <f>IF(D118,"Terminal",IF(N118=1,"Blocked",IF(K118=1,"Determination Notice",IF(L118=1,"Board","Under Review"))))</f>
        <v/>
      </c>
      <c r="Q118" s="8">
        <f>IF(Applicant_List!L119="Closed","Closed",IF(OR(Applicant_List!L119="Withdrawn",Applicant_List!L119="Terminated"),Applicant_List!L119,IF(N118=1,"No Advancement",IF(K118=1,"Determination Notice Issued",IF(L118=1,"Board","Under Review")))))</f>
        <v/>
      </c>
    </row>
    <row r="119">
      <c r="A119" s="8">
        <f>Applicant_List!C120</f>
        <v/>
      </c>
      <c r="B119" s="8">
        <f>Applicant_List!E120</f>
        <v/>
      </c>
      <c r="C119" s="8">
        <f>Applicant_List!L120</f>
        <v/>
      </c>
      <c r="D119" s="8">
        <f>OR(Applicant_List!L120="Closed",Applicant_List!L120="Withdrawn",Applicant_List!L120="Terminated")</f>
        <v/>
      </c>
      <c r="E119" s="8">
        <f>IF(OR(Applicant_List!AI120="N",Applicant_List!AI120=""),1,0)</f>
        <v/>
      </c>
      <c r="F119" s="8">
        <f>IF(OR(Applicant_List!AK120="N",Applicant_List!AK120="",Applicant_List!AL120="N",Applicant_List!AL120=""),1,0)</f>
        <v/>
      </c>
      <c r="G119" s="8">
        <f>IF(OR(Applicant_List!AM120="N",Applicant_List!AM120=""),1,0)</f>
        <v/>
      </c>
      <c r="H119" s="8">
        <f>IF(OR(Applicant_List!AX120="Y",AND(Applicant_List!AS120="Y",Applicant_List!AV120&lt;&gt;"Y")),1,0)</f>
        <v/>
      </c>
      <c r="I119" s="8">
        <f>IF(OR(Applicant_List!AZ120="N",Applicant_List!AZ120="",Applicant_List!BA120="N",Applicant_List!BA120=""),1,0)</f>
        <v/>
      </c>
      <c r="J119" s="8">
        <f>IF(OR(Applicant_List!BB120="N",Applicant_List!BB120="",Applicant_List!BC120="N",Applicant_List!BE120="Y",Applicant_List!BL120="Y"),1,0)</f>
        <v/>
      </c>
      <c r="K119" s="8">
        <f>IF(AND(Applicant_List!BJ120="Y",Applicant_List!BM120="Y",Applicant_List!BK120&lt;&gt;"Y"),1,0)</f>
        <v/>
      </c>
      <c r="L119" s="8">
        <f>IF(OR(Applicant_List!BN120="Y",Applicant_List!BK120="Y"),1,0)</f>
        <v/>
      </c>
      <c r="M119" s="8">
        <f>COUNTIF(Applicant_List!AI120:BM120,"N")+COUNTBLANK(Applicant_List!AI120:BM120)</f>
        <v/>
      </c>
      <c r="N119" s="8">
        <f>MAX(E119:J119)</f>
        <v/>
      </c>
      <c r="O119" s="8">
        <f>IF(Applicant_List!BP120="Y",100000,0)+IF(ISNUMBER(Applicant_List!BO120),50000-INT(Applicant_List!BO120),0)+IF(LEN(Applicant_List!L120)&gt;0,1000,0)</f>
        <v/>
      </c>
      <c r="P119" s="8">
        <f>IF(D119,"Terminal",IF(N119=1,"Blocked",IF(K119=1,"Determination Notice",IF(L119=1,"Board","Under Review"))))</f>
        <v/>
      </c>
      <c r="Q119" s="8">
        <f>IF(Applicant_List!L120="Closed","Closed",IF(OR(Applicant_List!L120="Withdrawn",Applicant_List!L120="Terminated"),Applicant_List!L120,IF(N119=1,"No Advancement",IF(K119=1,"Determination Notice Issued",IF(L119=1,"Board","Under Review")))))</f>
        <v/>
      </c>
    </row>
    <row r="120">
      <c r="A120" s="8">
        <f>Applicant_List!C121</f>
        <v/>
      </c>
      <c r="B120" s="8">
        <f>Applicant_List!E121</f>
        <v/>
      </c>
      <c r="C120" s="8">
        <f>Applicant_List!L121</f>
        <v/>
      </c>
      <c r="D120" s="8">
        <f>OR(Applicant_List!L121="Closed",Applicant_List!L121="Withdrawn",Applicant_List!L121="Terminated")</f>
        <v/>
      </c>
      <c r="E120" s="8">
        <f>IF(OR(Applicant_List!AI121="N",Applicant_List!AI121=""),1,0)</f>
        <v/>
      </c>
      <c r="F120" s="8">
        <f>IF(OR(Applicant_List!AK121="N",Applicant_List!AK121="",Applicant_List!AL121="N",Applicant_List!AL121=""),1,0)</f>
        <v/>
      </c>
      <c r="G120" s="8">
        <f>IF(OR(Applicant_List!AM121="N",Applicant_List!AM121=""),1,0)</f>
        <v/>
      </c>
      <c r="H120" s="8">
        <f>IF(OR(Applicant_List!AX121="Y",AND(Applicant_List!AS121="Y",Applicant_List!AV121&lt;&gt;"Y")),1,0)</f>
        <v/>
      </c>
      <c r="I120" s="8">
        <f>IF(OR(Applicant_List!AZ121="N",Applicant_List!AZ121="",Applicant_List!BA121="N",Applicant_List!BA121=""),1,0)</f>
        <v/>
      </c>
      <c r="J120" s="8">
        <f>IF(OR(Applicant_List!BB121="N",Applicant_List!BB121="",Applicant_List!BC121="N",Applicant_List!BE121="Y",Applicant_List!BL121="Y"),1,0)</f>
        <v/>
      </c>
      <c r="K120" s="8">
        <f>IF(AND(Applicant_List!BJ121="Y",Applicant_List!BM121="Y",Applicant_List!BK121&lt;&gt;"Y"),1,0)</f>
        <v/>
      </c>
      <c r="L120" s="8">
        <f>IF(OR(Applicant_List!BN121="Y",Applicant_List!BK121="Y"),1,0)</f>
        <v/>
      </c>
      <c r="M120" s="8">
        <f>COUNTIF(Applicant_List!AI121:BM121,"N")+COUNTBLANK(Applicant_List!AI121:BM121)</f>
        <v/>
      </c>
      <c r="N120" s="8">
        <f>MAX(E120:J120)</f>
        <v/>
      </c>
      <c r="O120" s="8">
        <f>IF(Applicant_List!BP121="Y",100000,0)+IF(ISNUMBER(Applicant_List!BO121),50000-INT(Applicant_List!BO121),0)+IF(LEN(Applicant_List!L121)&gt;0,1000,0)</f>
        <v/>
      </c>
      <c r="P120" s="8">
        <f>IF(D120,"Terminal",IF(N120=1,"Blocked",IF(K120=1,"Determination Notice",IF(L120=1,"Board","Under Review"))))</f>
        <v/>
      </c>
      <c r="Q120" s="8">
        <f>IF(Applicant_List!L121="Closed","Closed",IF(OR(Applicant_List!L121="Withdrawn",Applicant_List!L121="Terminated"),Applicant_List!L121,IF(N120=1,"No Advancement",IF(K120=1,"Determination Notice Issued",IF(L120=1,"Board","Under Review")))))</f>
        <v/>
      </c>
    </row>
    <row r="121">
      <c r="A121" s="8">
        <f>Applicant_List!C122</f>
        <v/>
      </c>
      <c r="B121" s="8">
        <f>Applicant_List!E122</f>
        <v/>
      </c>
      <c r="C121" s="8">
        <f>Applicant_List!L122</f>
        <v/>
      </c>
      <c r="D121" s="8">
        <f>OR(Applicant_List!L122="Closed",Applicant_List!L122="Withdrawn",Applicant_List!L122="Terminated")</f>
        <v/>
      </c>
      <c r="E121" s="8">
        <f>IF(OR(Applicant_List!AI122="N",Applicant_List!AI122=""),1,0)</f>
        <v/>
      </c>
      <c r="F121" s="8">
        <f>IF(OR(Applicant_List!AK122="N",Applicant_List!AK122="",Applicant_List!AL122="N",Applicant_List!AL122=""),1,0)</f>
        <v/>
      </c>
      <c r="G121" s="8">
        <f>IF(OR(Applicant_List!AM122="N",Applicant_List!AM122=""),1,0)</f>
        <v/>
      </c>
      <c r="H121" s="8">
        <f>IF(OR(Applicant_List!AX122="Y",AND(Applicant_List!AS122="Y",Applicant_List!AV122&lt;&gt;"Y")),1,0)</f>
        <v/>
      </c>
      <c r="I121" s="8">
        <f>IF(OR(Applicant_List!AZ122="N",Applicant_List!AZ122="",Applicant_List!BA122="N",Applicant_List!BA122=""),1,0)</f>
        <v/>
      </c>
      <c r="J121" s="8">
        <f>IF(OR(Applicant_List!BB122="N",Applicant_List!BB122="",Applicant_List!BC122="N",Applicant_List!BE122="Y",Applicant_List!BL122="Y"),1,0)</f>
        <v/>
      </c>
      <c r="K121" s="8">
        <f>IF(AND(Applicant_List!BJ122="Y",Applicant_List!BM122="Y",Applicant_List!BK122&lt;&gt;"Y"),1,0)</f>
        <v/>
      </c>
      <c r="L121" s="8">
        <f>IF(OR(Applicant_List!BN122="Y",Applicant_List!BK122="Y"),1,0)</f>
        <v/>
      </c>
      <c r="M121" s="8">
        <f>COUNTIF(Applicant_List!AI122:BM122,"N")+COUNTBLANK(Applicant_List!AI122:BM122)</f>
        <v/>
      </c>
      <c r="N121" s="8">
        <f>MAX(E121:J121)</f>
        <v/>
      </c>
      <c r="O121" s="8">
        <f>IF(Applicant_List!BP122="Y",100000,0)+IF(ISNUMBER(Applicant_List!BO122),50000-INT(Applicant_List!BO122),0)+IF(LEN(Applicant_List!L122)&gt;0,1000,0)</f>
        <v/>
      </c>
      <c r="P121" s="8">
        <f>IF(D121,"Terminal",IF(N121=1,"Blocked",IF(K121=1,"Determination Notice",IF(L121=1,"Board","Under Review"))))</f>
        <v/>
      </c>
      <c r="Q121" s="8">
        <f>IF(Applicant_List!L122="Closed","Closed",IF(OR(Applicant_List!L122="Withdrawn",Applicant_List!L122="Terminated"),Applicant_List!L122,IF(N121=1,"No Advancement",IF(K121=1,"Determination Notice Issued",IF(L121=1,"Board","Under Review")))))</f>
        <v/>
      </c>
    </row>
    <row r="122">
      <c r="A122" s="8">
        <f>Applicant_List!C123</f>
        <v/>
      </c>
      <c r="B122" s="8">
        <f>Applicant_List!E123</f>
        <v/>
      </c>
      <c r="C122" s="8">
        <f>Applicant_List!L123</f>
        <v/>
      </c>
      <c r="D122" s="8">
        <f>OR(Applicant_List!L123="Closed",Applicant_List!L123="Withdrawn",Applicant_List!L123="Terminated")</f>
        <v/>
      </c>
      <c r="E122" s="8">
        <f>IF(OR(Applicant_List!AI123="N",Applicant_List!AI123=""),1,0)</f>
        <v/>
      </c>
      <c r="F122" s="8">
        <f>IF(OR(Applicant_List!AK123="N",Applicant_List!AK123="",Applicant_List!AL123="N",Applicant_List!AL123=""),1,0)</f>
        <v/>
      </c>
      <c r="G122" s="8">
        <f>IF(OR(Applicant_List!AM123="N",Applicant_List!AM123=""),1,0)</f>
        <v/>
      </c>
      <c r="H122" s="8">
        <f>IF(OR(Applicant_List!AX123="Y",AND(Applicant_List!AS123="Y",Applicant_List!AV123&lt;&gt;"Y")),1,0)</f>
        <v/>
      </c>
      <c r="I122" s="8">
        <f>IF(OR(Applicant_List!AZ123="N",Applicant_List!AZ123="",Applicant_List!BA123="N",Applicant_List!BA123=""),1,0)</f>
        <v/>
      </c>
      <c r="J122" s="8">
        <f>IF(OR(Applicant_List!BB123="N",Applicant_List!BB123="",Applicant_List!BC123="N",Applicant_List!BE123="Y",Applicant_List!BL123="Y"),1,0)</f>
        <v/>
      </c>
      <c r="K122" s="8">
        <f>IF(AND(Applicant_List!BJ123="Y",Applicant_List!BM123="Y",Applicant_List!BK123&lt;&gt;"Y"),1,0)</f>
        <v/>
      </c>
      <c r="L122" s="8">
        <f>IF(OR(Applicant_List!BN123="Y",Applicant_List!BK123="Y"),1,0)</f>
        <v/>
      </c>
      <c r="M122" s="8">
        <f>COUNTIF(Applicant_List!AI123:BM123,"N")+COUNTBLANK(Applicant_List!AI123:BM123)</f>
        <v/>
      </c>
      <c r="N122" s="8">
        <f>MAX(E122:J122)</f>
        <v/>
      </c>
      <c r="O122" s="8">
        <f>IF(Applicant_List!BP123="Y",100000,0)+IF(ISNUMBER(Applicant_List!BO123),50000-INT(Applicant_List!BO123),0)+IF(LEN(Applicant_List!L123)&gt;0,1000,0)</f>
        <v/>
      </c>
      <c r="P122" s="8">
        <f>IF(D122,"Terminal",IF(N122=1,"Blocked",IF(K122=1,"Determination Notice",IF(L122=1,"Board","Under Review"))))</f>
        <v/>
      </c>
      <c r="Q122" s="8">
        <f>IF(Applicant_List!L123="Closed","Closed",IF(OR(Applicant_List!L123="Withdrawn",Applicant_List!L123="Terminated"),Applicant_List!L123,IF(N122=1,"No Advancement",IF(K122=1,"Determination Notice Issued",IF(L122=1,"Board","Under Review")))))</f>
        <v/>
      </c>
    </row>
    <row r="123">
      <c r="A123" s="8">
        <f>Applicant_List!C124</f>
        <v/>
      </c>
      <c r="B123" s="8">
        <f>Applicant_List!E124</f>
        <v/>
      </c>
      <c r="C123" s="8">
        <f>Applicant_List!L124</f>
        <v/>
      </c>
      <c r="D123" s="8">
        <f>OR(Applicant_List!L124="Closed",Applicant_List!L124="Withdrawn",Applicant_List!L124="Terminated")</f>
        <v/>
      </c>
      <c r="E123" s="8">
        <f>IF(OR(Applicant_List!AI124="N",Applicant_List!AI124=""),1,0)</f>
        <v/>
      </c>
      <c r="F123" s="8">
        <f>IF(OR(Applicant_List!AK124="N",Applicant_List!AK124="",Applicant_List!AL124="N",Applicant_List!AL124=""),1,0)</f>
        <v/>
      </c>
      <c r="G123" s="8">
        <f>IF(OR(Applicant_List!AM124="N",Applicant_List!AM124=""),1,0)</f>
        <v/>
      </c>
      <c r="H123" s="8">
        <f>IF(OR(Applicant_List!AX124="Y",AND(Applicant_List!AS124="Y",Applicant_List!AV124&lt;&gt;"Y")),1,0)</f>
        <v/>
      </c>
      <c r="I123" s="8">
        <f>IF(OR(Applicant_List!AZ124="N",Applicant_List!AZ124="",Applicant_List!BA124="N",Applicant_List!BA124=""),1,0)</f>
        <v/>
      </c>
      <c r="J123" s="8">
        <f>IF(OR(Applicant_List!BB124="N",Applicant_List!BB124="",Applicant_List!BC124="N",Applicant_List!BE124="Y",Applicant_List!BL124="Y"),1,0)</f>
        <v/>
      </c>
      <c r="K123" s="8">
        <f>IF(AND(Applicant_List!BJ124="Y",Applicant_List!BM124="Y",Applicant_List!BK124&lt;&gt;"Y"),1,0)</f>
        <v/>
      </c>
      <c r="L123" s="8">
        <f>IF(OR(Applicant_List!BN124="Y",Applicant_List!BK124="Y"),1,0)</f>
        <v/>
      </c>
      <c r="M123" s="8">
        <f>COUNTIF(Applicant_List!AI124:BM124,"N")+COUNTBLANK(Applicant_List!AI124:BM124)</f>
        <v/>
      </c>
      <c r="N123" s="8">
        <f>MAX(E123:J123)</f>
        <v/>
      </c>
      <c r="O123" s="8">
        <f>IF(Applicant_List!BP124="Y",100000,0)+IF(ISNUMBER(Applicant_List!BO124),50000-INT(Applicant_List!BO124),0)+IF(LEN(Applicant_List!L124)&gt;0,1000,0)</f>
        <v/>
      </c>
      <c r="P123" s="8">
        <f>IF(D123,"Terminal",IF(N123=1,"Blocked",IF(K123=1,"Determination Notice",IF(L123=1,"Board","Under Review"))))</f>
        <v/>
      </c>
      <c r="Q123" s="8">
        <f>IF(Applicant_List!L124="Closed","Closed",IF(OR(Applicant_List!L124="Withdrawn",Applicant_List!L124="Terminated"),Applicant_List!L124,IF(N123=1,"No Advancement",IF(K123=1,"Determination Notice Issued",IF(L123=1,"Board","Under Review")))))</f>
        <v/>
      </c>
    </row>
    <row r="124">
      <c r="A124" s="8">
        <f>Applicant_List!C125</f>
        <v/>
      </c>
      <c r="B124" s="8">
        <f>Applicant_List!E125</f>
        <v/>
      </c>
      <c r="C124" s="8">
        <f>Applicant_List!L125</f>
        <v/>
      </c>
      <c r="D124" s="8">
        <f>OR(Applicant_List!L125="Closed",Applicant_List!L125="Withdrawn",Applicant_List!L125="Terminated")</f>
        <v/>
      </c>
      <c r="E124" s="8">
        <f>IF(OR(Applicant_List!AI125="N",Applicant_List!AI125=""),1,0)</f>
        <v/>
      </c>
      <c r="F124" s="8">
        <f>IF(OR(Applicant_List!AK125="N",Applicant_List!AK125="",Applicant_List!AL125="N",Applicant_List!AL125=""),1,0)</f>
        <v/>
      </c>
      <c r="G124" s="8">
        <f>IF(OR(Applicant_List!AM125="N",Applicant_List!AM125=""),1,0)</f>
        <v/>
      </c>
      <c r="H124" s="8">
        <f>IF(OR(Applicant_List!AX125="Y",AND(Applicant_List!AS125="Y",Applicant_List!AV125&lt;&gt;"Y")),1,0)</f>
        <v/>
      </c>
      <c r="I124" s="8">
        <f>IF(OR(Applicant_List!AZ125="N",Applicant_List!AZ125="",Applicant_List!BA125="N",Applicant_List!BA125=""),1,0)</f>
        <v/>
      </c>
      <c r="J124" s="8">
        <f>IF(OR(Applicant_List!BB125="N",Applicant_List!BB125="",Applicant_List!BC125="N",Applicant_List!BE125="Y",Applicant_List!BL125="Y"),1,0)</f>
        <v/>
      </c>
      <c r="K124" s="8">
        <f>IF(AND(Applicant_List!BJ125="Y",Applicant_List!BM125="Y",Applicant_List!BK125&lt;&gt;"Y"),1,0)</f>
        <v/>
      </c>
      <c r="L124" s="8">
        <f>IF(OR(Applicant_List!BN125="Y",Applicant_List!BK125="Y"),1,0)</f>
        <v/>
      </c>
      <c r="M124" s="8">
        <f>COUNTIF(Applicant_List!AI125:BM125,"N")+COUNTBLANK(Applicant_List!AI125:BM125)</f>
        <v/>
      </c>
      <c r="N124" s="8">
        <f>MAX(E124:J124)</f>
        <v/>
      </c>
      <c r="O124" s="8">
        <f>IF(Applicant_List!BP125="Y",100000,0)+IF(ISNUMBER(Applicant_List!BO125),50000-INT(Applicant_List!BO125),0)+IF(LEN(Applicant_List!L125)&gt;0,1000,0)</f>
        <v/>
      </c>
      <c r="P124" s="8">
        <f>IF(D124,"Terminal",IF(N124=1,"Blocked",IF(K124=1,"Determination Notice",IF(L124=1,"Board","Under Review"))))</f>
        <v/>
      </c>
      <c r="Q124" s="8">
        <f>IF(Applicant_List!L125="Closed","Closed",IF(OR(Applicant_List!L125="Withdrawn",Applicant_List!L125="Terminated"),Applicant_List!L125,IF(N124=1,"No Advancement",IF(K124=1,"Determination Notice Issued",IF(L124=1,"Board","Under Review")))))</f>
        <v/>
      </c>
    </row>
    <row r="125">
      <c r="A125" s="8">
        <f>Applicant_List!C126</f>
        <v/>
      </c>
      <c r="B125" s="8">
        <f>Applicant_List!E126</f>
        <v/>
      </c>
      <c r="C125" s="8">
        <f>Applicant_List!L126</f>
        <v/>
      </c>
      <c r="D125" s="8">
        <f>OR(Applicant_List!L126="Closed",Applicant_List!L126="Withdrawn",Applicant_List!L126="Terminated")</f>
        <v/>
      </c>
      <c r="E125" s="8">
        <f>IF(OR(Applicant_List!AI126="N",Applicant_List!AI126=""),1,0)</f>
        <v/>
      </c>
      <c r="F125" s="8">
        <f>IF(OR(Applicant_List!AK126="N",Applicant_List!AK126="",Applicant_List!AL126="N",Applicant_List!AL126=""),1,0)</f>
        <v/>
      </c>
      <c r="G125" s="8">
        <f>IF(OR(Applicant_List!AM126="N",Applicant_List!AM126=""),1,0)</f>
        <v/>
      </c>
      <c r="H125" s="8">
        <f>IF(OR(Applicant_List!AX126="Y",AND(Applicant_List!AS126="Y",Applicant_List!AV126&lt;&gt;"Y")),1,0)</f>
        <v/>
      </c>
      <c r="I125" s="8">
        <f>IF(OR(Applicant_List!AZ126="N",Applicant_List!AZ126="",Applicant_List!BA126="N",Applicant_List!BA126=""),1,0)</f>
        <v/>
      </c>
      <c r="J125" s="8">
        <f>IF(OR(Applicant_List!BB126="N",Applicant_List!BB126="",Applicant_List!BC126="N",Applicant_List!BE126="Y",Applicant_List!BL126="Y"),1,0)</f>
        <v/>
      </c>
      <c r="K125" s="8">
        <f>IF(AND(Applicant_List!BJ126="Y",Applicant_List!BM126="Y",Applicant_List!BK126&lt;&gt;"Y"),1,0)</f>
        <v/>
      </c>
      <c r="L125" s="8">
        <f>IF(OR(Applicant_List!BN126="Y",Applicant_List!BK126="Y"),1,0)</f>
        <v/>
      </c>
      <c r="M125" s="8">
        <f>COUNTIF(Applicant_List!AI126:BM126,"N")+COUNTBLANK(Applicant_List!AI126:BM126)</f>
        <v/>
      </c>
      <c r="N125" s="8">
        <f>MAX(E125:J125)</f>
        <v/>
      </c>
      <c r="O125" s="8">
        <f>IF(Applicant_List!BP126="Y",100000,0)+IF(ISNUMBER(Applicant_List!BO126),50000-INT(Applicant_List!BO126),0)+IF(LEN(Applicant_List!L126)&gt;0,1000,0)</f>
        <v/>
      </c>
      <c r="P125" s="8">
        <f>IF(D125,"Terminal",IF(N125=1,"Blocked",IF(K125=1,"Determination Notice",IF(L125=1,"Board","Under Review"))))</f>
        <v/>
      </c>
      <c r="Q125" s="8">
        <f>IF(Applicant_List!L126="Closed","Closed",IF(OR(Applicant_List!L126="Withdrawn",Applicant_List!L126="Terminated"),Applicant_List!L126,IF(N125=1,"No Advancement",IF(K125=1,"Determination Notice Issued",IF(L125=1,"Board","Under Review")))))</f>
        <v/>
      </c>
    </row>
    <row r="126">
      <c r="A126" s="8">
        <f>Applicant_List!C127</f>
        <v/>
      </c>
      <c r="B126" s="8">
        <f>Applicant_List!E127</f>
        <v/>
      </c>
      <c r="C126" s="8">
        <f>Applicant_List!L127</f>
        <v/>
      </c>
      <c r="D126" s="8">
        <f>OR(Applicant_List!L127="Closed",Applicant_List!L127="Withdrawn",Applicant_List!L127="Terminated")</f>
        <v/>
      </c>
      <c r="E126" s="8">
        <f>IF(OR(Applicant_List!AI127="N",Applicant_List!AI127=""),1,0)</f>
        <v/>
      </c>
      <c r="F126" s="8">
        <f>IF(OR(Applicant_List!AK127="N",Applicant_List!AK127="",Applicant_List!AL127="N",Applicant_List!AL127=""),1,0)</f>
        <v/>
      </c>
      <c r="G126" s="8">
        <f>IF(OR(Applicant_List!AM127="N",Applicant_List!AM127=""),1,0)</f>
        <v/>
      </c>
      <c r="H126" s="8">
        <f>IF(OR(Applicant_List!AX127="Y",AND(Applicant_List!AS127="Y",Applicant_List!AV127&lt;&gt;"Y")),1,0)</f>
        <v/>
      </c>
      <c r="I126" s="8">
        <f>IF(OR(Applicant_List!AZ127="N",Applicant_List!AZ127="",Applicant_List!BA127="N",Applicant_List!BA127=""),1,0)</f>
        <v/>
      </c>
      <c r="J126" s="8">
        <f>IF(OR(Applicant_List!BB127="N",Applicant_List!BB127="",Applicant_List!BC127="N",Applicant_List!BE127="Y",Applicant_List!BL127="Y"),1,0)</f>
        <v/>
      </c>
      <c r="K126" s="8">
        <f>IF(AND(Applicant_List!BJ127="Y",Applicant_List!BM127="Y",Applicant_List!BK127&lt;&gt;"Y"),1,0)</f>
        <v/>
      </c>
      <c r="L126" s="8">
        <f>IF(OR(Applicant_List!BN127="Y",Applicant_List!BK127="Y"),1,0)</f>
        <v/>
      </c>
      <c r="M126" s="8">
        <f>COUNTIF(Applicant_List!AI127:BM127,"N")+COUNTBLANK(Applicant_List!AI127:BM127)</f>
        <v/>
      </c>
      <c r="N126" s="8">
        <f>MAX(E126:J126)</f>
        <v/>
      </c>
      <c r="O126" s="8">
        <f>IF(Applicant_List!BP127="Y",100000,0)+IF(ISNUMBER(Applicant_List!BO127),50000-INT(Applicant_List!BO127),0)+IF(LEN(Applicant_List!L127)&gt;0,1000,0)</f>
        <v/>
      </c>
      <c r="P126" s="8">
        <f>IF(D126,"Terminal",IF(N126=1,"Blocked",IF(K126=1,"Determination Notice",IF(L126=1,"Board","Under Review"))))</f>
        <v/>
      </c>
      <c r="Q126" s="8">
        <f>IF(Applicant_List!L127="Closed","Closed",IF(OR(Applicant_List!L127="Withdrawn",Applicant_List!L127="Terminated"),Applicant_List!L127,IF(N126=1,"No Advancement",IF(K126=1,"Determination Notice Issued",IF(L126=1,"Board","Under Review")))))</f>
        <v/>
      </c>
    </row>
    <row r="127">
      <c r="A127" s="8">
        <f>Applicant_List!C128</f>
        <v/>
      </c>
      <c r="B127" s="8">
        <f>Applicant_List!E128</f>
        <v/>
      </c>
      <c r="C127" s="8">
        <f>Applicant_List!L128</f>
        <v/>
      </c>
      <c r="D127" s="8">
        <f>OR(Applicant_List!L128="Closed",Applicant_List!L128="Withdrawn",Applicant_List!L128="Terminated")</f>
        <v/>
      </c>
      <c r="E127" s="8">
        <f>IF(OR(Applicant_List!AI128="N",Applicant_List!AI128=""),1,0)</f>
        <v/>
      </c>
      <c r="F127" s="8">
        <f>IF(OR(Applicant_List!AK128="N",Applicant_List!AK128="",Applicant_List!AL128="N",Applicant_List!AL128=""),1,0)</f>
        <v/>
      </c>
      <c r="G127" s="8">
        <f>IF(OR(Applicant_List!AM128="N",Applicant_List!AM128=""),1,0)</f>
        <v/>
      </c>
      <c r="H127" s="8">
        <f>IF(OR(Applicant_List!AX128="Y",AND(Applicant_List!AS128="Y",Applicant_List!AV128&lt;&gt;"Y")),1,0)</f>
        <v/>
      </c>
      <c r="I127" s="8">
        <f>IF(OR(Applicant_List!AZ128="N",Applicant_List!AZ128="",Applicant_List!BA128="N",Applicant_List!BA128=""),1,0)</f>
        <v/>
      </c>
      <c r="J127" s="8">
        <f>IF(OR(Applicant_List!BB128="N",Applicant_List!BB128="",Applicant_List!BC128="N",Applicant_List!BE128="Y",Applicant_List!BL128="Y"),1,0)</f>
        <v/>
      </c>
      <c r="K127" s="8">
        <f>IF(AND(Applicant_List!BJ128="Y",Applicant_List!BM128="Y",Applicant_List!BK128&lt;&gt;"Y"),1,0)</f>
        <v/>
      </c>
      <c r="L127" s="8">
        <f>IF(OR(Applicant_List!BN128="Y",Applicant_List!BK128="Y"),1,0)</f>
        <v/>
      </c>
      <c r="M127" s="8">
        <f>COUNTIF(Applicant_List!AI128:BM128,"N")+COUNTBLANK(Applicant_List!AI128:BM128)</f>
        <v/>
      </c>
      <c r="N127" s="8">
        <f>MAX(E127:J127)</f>
        <v/>
      </c>
      <c r="O127" s="8">
        <f>IF(Applicant_List!BP128="Y",100000,0)+IF(ISNUMBER(Applicant_List!BO128),50000-INT(Applicant_List!BO128),0)+IF(LEN(Applicant_List!L128)&gt;0,1000,0)</f>
        <v/>
      </c>
      <c r="P127" s="8">
        <f>IF(D127,"Terminal",IF(N127=1,"Blocked",IF(K127=1,"Determination Notice",IF(L127=1,"Board","Under Review"))))</f>
        <v/>
      </c>
      <c r="Q127" s="8">
        <f>IF(Applicant_List!L128="Closed","Closed",IF(OR(Applicant_List!L128="Withdrawn",Applicant_List!L128="Terminated"),Applicant_List!L128,IF(N127=1,"No Advancement",IF(K127=1,"Determination Notice Issued",IF(L127=1,"Board","Under Review")))))</f>
        <v/>
      </c>
    </row>
    <row r="128">
      <c r="A128" s="8">
        <f>Applicant_List!C129</f>
        <v/>
      </c>
      <c r="B128" s="8">
        <f>Applicant_List!E129</f>
        <v/>
      </c>
      <c r="C128" s="8">
        <f>Applicant_List!L129</f>
        <v/>
      </c>
      <c r="D128" s="8">
        <f>OR(Applicant_List!L129="Closed",Applicant_List!L129="Withdrawn",Applicant_List!L129="Terminated")</f>
        <v/>
      </c>
      <c r="E128" s="8">
        <f>IF(OR(Applicant_List!AI129="N",Applicant_List!AI129=""),1,0)</f>
        <v/>
      </c>
      <c r="F128" s="8">
        <f>IF(OR(Applicant_List!AK129="N",Applicant_List!AK129="",Applicant_List!AL129="N",Applicant_List!AL129=""),1,0)</f>
        <v/>
      </c>
      <c r="G128" s="8">
        <f>IF(OR(Applicant_List!AM129="N",Applicant_List!AM129=""),1,0)</f>
        <v/>
      </c>
      <c r="H128" s="8">
        <f>IF(OR(Applicant_List!AX129="Y",AND(Applicant_List!AS129="Y",Applicant_List!AV129&lt;&gt;"Y")),1,0)</f>
        <v/>
      </c>
      <c r="I128" s="8">
        <f>IF(OR(Applicant_List!AZ129="N",Applicant_List!AZ129="",Applicant_List!BA129="N",Applicant_List!BA129=""),1,0)</f>
        <v/>
      </c>
      <c r="J128" s="8">
        <f>IF(OR(Applicant_List!BB129="N",Applicant_List!BB129="",Applicant_List!BC129="N",Applicant_List!BE129="Y",Applicant_List!BL129="Y"),1,0)</f>
        <v/>
      </c>
      <c r="K128" s="8">
        <f>IF(AND(Applicant_List!BJ129="Y",Applicant_List!BM129="Y",Applicant_List!BK129&lt;&gt;"Y"),1,0)</f>
        <v/>
      </c>
      <c r="L128" s="8">
        <f>IF(OR(Applicant_List!BN129="Y",Applicant_List!BK129="Y"),1,0)</f>
        <v/>
      </c>
      <c r="M128" s="8">
        <f>COUNTIF(Applicant_List!AI129:BM129,"N")+COUNTBLANK(Applicant_List!AI129:BM129)</f>
        <v/>
      </c>
      <c r="N128" s="8">
        <f>MAX(E128:J128)</f>
        <v/>
      </c>
      <c r="O128" s="8">
        <f>IF(Applicant_List!BP129="Y",100000,0)+IF(ISNUMBER(Applicant_List!BO129),50000-INT(Applicant_List!BO129),0)+IF(LEN(Applicant_List!L129)&gt;0,1000,0)</f>
        <v/>
      </c>
      <c r="P128" s="8">
        <f>IF(D128,"Terminal",IF(N128=1,"Blocked",IF(K128=1,"Determination Notice",IF(L128=1,"Board","Under Review"))))</f>
        <v/>
      </c>
      <c r="Q128" s="8">
        <f>IF(Applicant_List!L129="Closed","Closed",IF(OR(Applicant_List!L129="Withdrawn",Applicant_List!L129="Terminated"),Applicant_List!L129,IF(N128=1,"No Advancement",IF(K128=1,"Determination Notice Issued",IF(L128=1,"Board","Under Review")))))</f>
        <v/>
      </c>
    </row>
    <row r="129">
      <c r="A129" s="8">
        <f>Applicant_List!C130</f>
        <v/>
      </c>
      <c r="B129" s="8">
        <f>Applicant_List!E130</f>
        <v/>
      </c>
      <c r="C129" s="8">
        <f>Applicant_List!L130</f>
        <v/>
      </c>
      <c r="D129" s="8">
        <f>OR(Applicant_List!L130="Closed",Applicant_List!L130="Withdrawn",Applicant_List!L130="Terminated")</f>
        <v/>
      </c>
      <c r="E129" s="8">
        <f>IF(OR(Applicant_List!AI130="N",Applicant_List!AI130=""),1,0)</f>
        <v/>
      </c>
      <c r="F129" s="8">
        <f>IF(OR(Applicant_List!AK130="N",Applicant_List!AK130="",Applicant_List!AL130="N",Applicant_List!AL130=""),1,0)</f>
        <v/>
      </c>
      <c r="G129" s="8">
        <f>IF(OR(Applicant_List!AM130="N",Applicant_List!AM130=""),1,0)</f>
        <v/>
      </c>
      <c r="H129" s="8">
        <f>IF(OR(Applicant_List!AX130="Y",AND(Applicant_List!AS130="Y",Applicant_List!AV130&lt;&gt;"Y")),1,0)</f>
        <v/>
      </c>
      <c r="I129" s="8">
        <f>IF(OR(Applicant_List!AZ130="N",Applicant_List!AZ130="",Applicant_List!BA130="N",Applicant_List!BA130=""),1,0)</f>
        <v/>
      </c>
      <c r="J129" s="8">
        <f>IF(OR(Applicant_List!BB130="N",Applicant_List!BB130="",Applicant_List!BC130="N",Applicant_List!BE130="Y",Applicant_List!BL130="Y"),1,0)</f>
        <v/>
      </c>
      <c r="K129" s="8">
        <f>IF(AND(Applicant_List!BJ130="Y",Applicant_List!BM130="Y",Applicant_List!BK130&lt;&gt;"Y"),1,0)</f>
        <v/>
      </c>
      <c r="L129" s="8">
        <f>IF(OR(Applicant_List!BN130="Y",Applicant_List!BK130="Y"),1,0)</f>
        <v/>
      </c>
      <c r="M129" s="8">
        <f>COUNTIF(Applicant_List!AI130:BM130,"N")+COUNTBLANK(Applicant_List!AI130:BM130)</f>
        <v/>
      </c>
      <c r="N129" s="8">
        <f>MAX(E129:J129)</f>
        <v/>
      </c>
      <c r="O129" s="8">
        <f>IF(Applicant_List!BP130="Y",100000,0)+IF(ISNUMBER(Applicant_List!BO130),50000-INT(Applicant_List!BO130),0)+IF(LEN(Applicant_List!L130)&gt;0,1000,0)</f>
        <v/>
      </c>
      <c r="P129" s="8">
        <f>IF(D129,"Terminal",IF(N129=1,"Blocked",IF(K129=1,"Determination Notice",IF(L129=1,"Board","Under Review"))))</f>
        <v/>
      </c>
      <c r="Q129" s="8">
        <f>IF(Applicant_List!L130="Closed","Closed",IF(OR(Applicant_List!L130="Withdrawn",Applicant_List!L130="Terminated"),Applicant_List!L130,IF(N129=1,"No Advancement",IF(K129=1,"Determination Notice Issued",IF(L129=1,"Board","Under Review")))))</f>
        <v/>
      </c>
    </row>
    <row r="130">
      <c r="A130" s="8">
        <f>Applicant_List!C131</f>
        <v/>
      </c>
      <c r="B130" s="8">
        <f>Applicant_List!E131</f>
        <v/>
      </c>
      <c r="C130" s="8">
        <f>Applicant_List!L131</f>
        <v/>
      </c>
      <c r="D130" s="8">
        <f>OR(Applicant_List!L131="Closed",Applicant_List!L131="Withdrawn",Applicant_List!L131="Terminated")</f>
        <v/>
      </c>
      <c r="E130" s="8">
        <f>IF(OR(Applicant_List!AI131="N",Applicant_List!AI131=""),1,0)</f>
        <v/>
      </c>
      <c r="F130" s="8">
        <f>IF(OR(Applicant_List!AK131="N",Applicant_List!AK131="",Applicant_List!AL131="N",Applicant_List!AL131=""),1,0)</f>
        <v/>
      </c>
      <c r="G130" s="8">
        <f>IF(OR(Applicant_List!AM131="N",Applicant_List!AM131=""),1,0)</f>
        <v/>
      </c>
      <c r="H130" s="8">
        <f>IF(OR(Applicant_List!AX131="Y",AND(Applicant_List!AS131="Y",Applicant_List!AV131&lt;&gt;"Y")),1,0)</f>
        <v/>
      </c>
      <c r="I130" s="8">
        <f>IF(OR(Applicant_List!AZ131="N",Applicant_List!AZ131="",Applicant_List!BA131="N",Applicant_List!BA131=""),1,0)</f>
        <v/>
      </c>
      <c r="J130" s="8">
        <f>IF(OR(Applicant_List!BB131="N",Applicant_List!BB131="",Applicant_List!BC131="N",Applicant_List!BE131="Y",Applicant_List!BL131="Y"),1,0)</f>
        <v/>
      </c>
      <c r="K130" s="8">
        <f>IF(AND(Applicant_List!BJ131="Y",Applicant_List!BM131="Y",Applicant_List!BK131&lt;&gt;"Y"),1,0)</f>
        <v/>
      </c>
      <c r="L130" s="8">
        <f>IF(OR(Applicant_List!BN131="Y",Applicant_List!BK131="Y"),1,0)</f>
        <v/>
      </c>
      <c r="M130" s="8">
        <f>COUNTIF(Applicant_List!AI131:BM131,"N")+COUNTBLANK(Applicant_List!AI131:BM131)</f>
        <v/>
      </c>
      <c r="N130" s="8">
        <f>MAX(E130:J130)</f>
        <v/>
      </c>
      <c r="O130" s="8">
        <f>IF(Applicant_List!BP131="Y",100000,0)+IF(ISNUMBER(Applicant_List!BO131),50000-INT(Applicant_List!BO131),0)+IF(LEN(Applicant_List!L131)&gt;0,1000,0)</f>
        <v/>
      </c>
      <c r="P130" s="8">
        <f>IF(D130,"Terminal",IF(N130=1,"Blocked",IF(K130=1,"Determination Notice",IF(L130=1,"Board","Under Review"))))</f>
        <v/>
      </c>
      <c r="Q130" s="8">
        <f>IF(Applicant_List!L131="Closed","Closed",IF(OR(Applicant_List!L131="Withdrawn",Applicant_List!L131="Terminated"),Applicant_List!L131,IF(N130=1,"No Advancement",IF(K130=1,"Determination Notice Issued",IF(L130=1,"Board","Under Review")))))</f>
        <v/>
      </c>
    </row>
    <row r="131">
      <c r="A131" s="8">
        <f>Applicant_List!C132</f>
        <v/>
      </c>
      <c r="B131" s="8">
        <f>Applicant_List!E132</f>
        <v/>
      </c>
      <c r="C131" s="8">
        <f>Applicant_List!L132</f>
        <v/>
      </c>
      <c r="D131" s="8">
        <f>OR(Applicant_List!L132="Closed",Applicant_List!L132="Withdrawn",Applicant_List!L132="Terminated")</f>
        <v/>
      </c>
      <c r="E131" s="8">
        <f>IF(OR(Applicant_List!AI132="N",Applicant_List!AI132=""),1,0)</f>
        <v/>
      </c>
      <c r="F131" s="8">
        <f>IF(OR(Applicant_List!AK132="N",Applicant_List!AK132="",Applicant_List!AL132="N",Applicant_List!AL132=""),1,0)</f>
        <v/>
      </c>
      <c r="G131" s="8">
        <f>IF(OR(Applicant_List!AM132="N",Applicant_List!AM132=""),1,0)</f>
        <v/>
      </c>
      <c r="H131" s="8">
        <f>IF(OR(Applicant_List!AX132="Y",AND(Applicant_List!AS132="Y",Applicant_List!AV132&lt;&gt;"Y")),1,0)</f>
        <v/>
      </c>
      <c r="I131" s="8">
        <f>IF(OR(Applicant_List!AZ132="N",Applicant_List!AZ132="",Applicant_List!BA132="N",Applicant_List!BA132=""),1,0)</f>
        <v/>
      </c>
      <c r="J131" s="8">
        <f>IF(OR(Applicant_List!BB132="N",Applicant_List!BB132="",Applicant_List!BC132="N",Applicant_List!BE132="Y",Applicant_List!BL132="Y"),1,0)</f>
        <v/>
      </c>
      <c r="K131" s="8">
        <f>IF(AND(Applicant_List!BJ132="Y",Applicant_List!BM132="Y",Applicant_List!BK132&lt;&gt;"Y"),1,0)</f>
        <v/>
      </c>
      <c r="L131" s="8">
        <f>IF(OR(Applicant_List!BN132="Y",Applicant_List!BK132="Y"),1,0)</f>
        <v/>
      </c>
      <c r="M131" s="8">
        <f>COUNTIF(Applicant_List!AI132:BM132,"N")+COUNTBLANK(Applicant_List!AI132:BM132)</f>
        <v/>
      </c>
      <c r="N131" s="8">
        <f>MAX(E131:J131)</f>
        <v/>
      </c>
      <c r="O131" s="8">
        <f>IF(Applicant_List!BP132="Y",100000,0)+IF(ISNUMBER(Applicant_List!BO132),50000-INT(Applicant_List!BO132),0)+IF(LEN(Applicant_List!L132)&gt;0,1000,0)</f>
        <v/>
      </c>
      <c r="P131" s="8">
        <f>IF(D131,"Terminal",IF(N131=1,"Blocked",IF(K131=1,"Determination Notice",IF(L131=1,"Board","Under Review"))))</f>
        <v/>
      </c>
      <c r="Q131" s="8">
        <f>IF(Applicant_List!L132="Closed","Closed",IF(OR(Applicant_List!L132="Withdrawn",Applicant_List!L132="Terminated"),Applicant_List!L132,IF(N131=1,"No Advancement",IF(K131=1,"Determination Notice Issued",IF(L131=1,"Board","Under Review")))))</f>
        <v/>
      </c>
    </row>
    <row r="132">
      <c r="A132" s="8">
        <f>Applicant_List!C133</f>
        <v/>
      </c>
      <c r="B132" s="8">
        <f>Applicant_List!E133</f>
        <v/>
      </c>
      <c r="C132" s="8">
        <f>Applicant_List!L133</f>
        <v/>
      </c>
      <c r="D132" s="8">
        <f>OR(Applicant_List!L133="Closed",Applicant_List!L133="Withdrawn",Applicant_List!L133="Terminated")</f>
        <v/>
      </c>
      <c r="E132" s="8">
        <f>IF(OR(Applicant_List!AI133="N",Applicant_List!AI133=""),1,0)</f>
        <v/>
      </c>
      <c r="F132" s="8">
        <f>IF(OR(Applicant_List!AK133="N",Applicant_List!AK133="",Applicant_List!AL133="N",Applicant_List!AL133=""),1,0)</f>
        <v/>
      </c>
      <c r="G132" s="8">
        <f>IF(OR(Applicant_List!AM133="N",Applicant_List!AM133=""),1,0)</f>
        <v/>
      </c>
      <c r="H132" s="8">
        <f>IF(OR(Applicant_List!AX133="Y",AND(Applicant_List!AS133="Y",Applicant_List!AV133&lt;&gt;"Y")),1,0)</f>
        <v/>
      </c>
      <c r="I132" s="8">
        <f>IF(OR(Applicant_List!AZ133="N",Applicant_List!AZ133="",Applicant_List!BA133="N",Applicant_List!BA133=""),1,0)</f>
        <v/>
      </c>
      <c r="J132" s="8">
        <f>IF(OR(Applicant_List!BB133="N",Applicant_List!BB133="",Applicant_List!BC133="N",Applicant_List!BE133="Y",Applicant_List!BL133="Y"),1,0)</f>
        <v/>
      </c>
      <c r="K132" s="8">
        <f>IF(AND(Applicant_List!BJ133="Y",Applicant_List!BM133="Y",Applicant_List!BK133&lt;&gt;"Y"),1,0)</f>
        <v/>
      </c>
      <c r="L132" s="8">
        <f>IF(OR(Applicant_List!BN133="Y",Applicant_List!BK133="Y"),1,0)</f>
        <v/>
      </c>
      <c r="M132" s="8">
        <f>COUNTIF(Applicant_List!AI133:BM133,"N")+COUNTBLANK(Applicant_List!AI133:BM133)</f>
        <v/>
      </c>
      <c r="N132" s="8">
        <f>MAX(E132:J132)</f>
        <v/>
      </c>
      <c r="O132" s="8">
        <f>IF(Applicant_List!BP133="Y",100000,0)+IF(ISNUMBER(Applicant_List!BO133),50000-INT(Applicant_List!BO133),0)+IF(LEN(Applicant_List!L133)&gt;0,1000,0)</f>
        <v/>
      </c>
      <c r="P132" s="8">
        <f>IF(D132,"Terminal",IF(N132=1,"Blocked",IF(K132=1,"Determination Notice",IF(L132=1,"Board","Under Review"))))</f>
        <v/>
      </c>
      <c r="Q132" s="8">
        <f>IF(Applicant_List!L133="Closed","Closed",IF(OR(Applicant_List!L133="Withdrawn",Applicant_List!L133="Terminated"),Applicant_List!L133,IF(N132=1,"No Advancement",IF(K132=1,"Determination Notice Issued",IF(L132=1,"Board","Under Review")))))</f>
        <v/>
      </c>
    </row>
    <row r="133">
      <c r="A133" s="8">
        <f>Applicant_List!C134</f>
        <v/>
      </c>
      <c r="B133" s="8">
        <f>Applicant_List!E134</f>
        <v/>
      </c>
      <c r="C133" s="8">
        <f>Applicant_List!L134</f>
        <v/>
      </c>
      <c r="D133" s="8">
        <f>OR(Applicant_List!L134="Closed",Applicant_List!L134="Withdrawn",Applicant_List!L134="Terminated")</f>
        <v/>
      </c>
      <c r="E133" s="8">
        <f>IF(OR(Applicant_List!AI134="N",Applicant_List!AI134=""),1,0)</f>
        <v/>
      </c>
      <c r="F133" s="8">
        <f>IF(OR(Applicant_List!AK134="N",Applicant_List!AK134="",Applicant_List!AL134="N",Applicant_List!AL134=""),1,0)</f>
        <v/>
      </c>
      <c r="G133" s="8">
        <f>IF(OR(Applicant_List!AM134="N",Applicant_List!AM134=""),1,0)</f>
        <v/>
      </c>
      <c r="H133" s="8">
        <f>IF(OR(Applicant_List!AX134="Y",AND(Applicant_List!AS134="Y",Applicant_List!AV134&lt;&gt;"Y")),1,0)</f>
        <v/>
      </c>
      <c r="I133" s="8">
        <f>IF(OR(Applicant_List!AZ134="N",Applicant_List!AZ134="",Applicant_List!BA134="N",Applicant_List!BA134=""),1,0)</f>
        <v/>
      </c>
      <c r="J133" s="8">
        <f>IF(OR(Applicant_List!BB134="N",Applicant_List!BB134="",Applicant_List!BC134="N",Applicant_List!BE134="Y",Applicant_List!BL134="Y"),1,0)</f>
        <v/>
      </c>
      <c r="K133" s="8">
        <f>IF(AND(Applicant_List!BJ134="Y",Applicant_List!BM134="Y",Applicant_List!BK134&lt;&gt;"Y"),1,0)</f>
        <v/>
      </c>
      <c r="L133" s="8">
        <f>IF(OR(Applicant_List!BN134="Y",Applicant_List!BK134="Y"),1,0)</f>
        <v/>
      </c>
      <c r="M133" s="8">
        <f>COUNTIF(Applicant_List!AI134:BM134,"N")+COUNTBLANK(Applicant_List!AI134:BM134)</f>
        <v/>
      </c>
      <c r="N133" s="8">
        <f>MAX(E133:J133)</f>
        <v/>
      </c>
      <c r="O133" s="8">
        <f>IF(Applicant_List!BP134="Y",100000,0)+IF(ISNUMBER(Applicant_List!BO134),50000-INT(Applicant_List!BO134),0)+IF(LEN(Applicant_List!L134)&gt;0,1000,0)</f>
        <v/>
      </c>
      <c r="P133" s="8">
        <f>IF(D133,"Terminal",IF(N133=1,"Blocked",IF(K133=1,"Determination Notice",IF(L133=1,"Board","Under Review"))))</f>
        <v/>
      </c>
      <c r="Q133" s="8">
        <f>IF(Applicant_List!L134="Closed","Closed",IF(OR(Applicant_List!L134="Withdrawn",Applicant_List!L134="Terminated"),Applicant_List!L134,IF(N133=1,"No Advancement",IF(K133=1,"Determination Notice Issued",IF(L133=1,"Board","Under Review")))))</f>
        <v/>
      </c>
    </row>
    <row r="134">
      <c r="A134" s="8">
        <f>Applicant_List!C135</f>
        <v/>
      </c>
      <c r="B134" s="8">
        <f>Applicant_List!E135</f>
        <v/>
      </c>
      <c r="C134" s="8">
        <f>Applicant_List!L135</f>
        <v/>
      </c>
      <c r="D134" s="8">
        <f>OR(Applicant_List!L135="Closed",Applicant_List!L135="Withdrawn",Applicant_List!L135="Terminated")</f>
        <v/>
      </c>
      <c r="E134" s="8">
        <f>IF(OR(Applicant_List!AI135="N",Applicant_List!AI135=""),1,0)</f>
        <v/>
      </c>
      <c r="F134" s="8">
        <f>IF(OR(Applicant_List!AK135="N",Applicant_List!AK135="",Applicant_List!AL135="N",Applicant_List!AL135=""),1,0)</f>
        <v/>
      </c>
      <c r="G134" s="8">
        <f>IF(OR(Applicant_List!AM135="N",Applicant_List!AM135=""),1,0)</f>
        <v/>
      </c>
      <c r="H134" s="8">
        <f>IF(OR(Applicant_List!AX135="Y",AND(Applicant_List!AS135="Y",Applicant_List!AV135&lt;&gt;"Y")),1,0)</f>
        <v/>
      </c>
      <c r="I134" s="8">
        <f>IF(OR(Applicant_List!AZ135="N",Applicant_List!AZ135="",Applicant_List!BA135="N",Applicant_List!BA135=""),1,0)</f>
        <v/>
      </c>
      <c r="J134" s="8">
        <f>IF(OR(Applicant_List!BB135="N",Applicant_List!BB135="",Applicant_List!BC135="N",Applicant_List!BE135="Y",Applicant_List!BL135="Y"),1,0)</f>
        <v/>
      </c>
      <c r="K134" s="8">
        <f>IF(AND(Applicant_List!BJ135="Y",Applicant_List!BM135="Y",Applicant_List!BK135&lt;&gt;"Y"),1,0)</f>
        <v/>
      </c>
      <c r="L134" s="8">
        <f>IF(OR(Applicant_List!BN135="Y",Applicant_List!BK135="Y"),1,0)</f>
        <v/>
      </c>
      <c r="M134" s="8">
        <f>COUNTIF(Applicant_List!AI135:BM135,"N")+COUNTBLANK(Applicant_List!AI135:BM135)</f>
        <v/>
      </c>
      <c r="N134" s="8">
        <f>MAX(E134:J134)</f>
        <v/>
      </c>
      <c r="O134" s="8">
        <f>IF(Applicant_List!BP135="Y",100000,0)+IF(ISNUMBER(Applicant_List!BO135),50000-INT(Applicant_List!BO135),0)+IF(LEN(Applicant_List!L135)&gt;0,1000,0)</f>
        <v/>
      </c>
      <c r="P134" s="8">
        <f>IF(D134,"Terminal",IF(N134=1,"Blocked",IF(K134=1,"Determination Notice",IF(L134=1,"Board","Under Review"))))</f>
        <v/>
      </c>
      <c r="Q134" s="8">
        <f>IF(Applicant_List!L135="Closed","Closed",IF(OR(Applicant_List!L135="Withdrawn",Applicant_List!L135="Terminated"),Applicant_List!L135,IF(N134=1,"No Advancement",IF(K134=1,"Determination Notice Issued",IF(L134=1,"Board","Under Review")))))</f>
        <v/>
      </c>
    </row>
    <row r="135">
      <c r="A135" s="8">
        <f>Applicant_List!C136</f>
        <v/>
      </c>
      <c r="B135" s="8">
        <f>Applicant_List!E136</f>
        <v/>
      </c>
      <c r="C135" s="8">
        <f>Applicant_List!L136</f>
        <v/>
      </c>
      <c r="D135" s="8">
        <f>OR(Applicant_List!L136="Closed",Applicant_List!L136="Withdrawn",Applicant_List!L136="Terminated")</f>
        <v/>
      </c>
      <c r="E135" s="8">
        <f>IF(OR(Applicant_List!AI136="N",Applicant_List!AI136=""),1,0)</f>
        <v/>
      </c>
      <c r="F135" s="8">
        <f>IF(OR(Applicant_List!AK136="N",Applicant_List!AK136="",Applicant_List!AL136="N",Applicant_List!AL136=""),1,0)</f>
        <v/>
      </c>
      <c r="G135" s="8">
        <f>IF(OR(Applicant_List!AM136="N",Applicant_List!AM136=""),1,0)</f>
        <v/>
      </c>
      <c r="H135" s="8">
        <f>IF(OR(Applicant_List!AX136="Y",AND(Applicant_List!AS136="Y",Applicant_List!AV136&lt;&gt;"Y")),1,0)</f>
        <v/>
      </c>
      <c r="I135" s="8">
        <f>IF(OR(Applicant_List!AZ136="N",Applicant_List!AZ136="",Applicant_List!BA136="N",Applicant_List!BA136=""),1,0)</f>
        <v/>
      </c>
      <c r="J135" s="8">
        <f>IF(OR(Applicant_List!BB136="N",Applicant_List!BB136="",Applicant_List!BC136="N",Applicant_List!BE136="Y",Applicant_List!BL136="Y"),1,0)</f>
        <v/>
      </c>
      <c r="K135" s="8">
        <f>IF(AND(Applicant_List!BJ136="Y",Applicant_List!BM136="Y",Applicant_List!BK136&lt;&gt;"Y"),1,0)</f>
        <v/>
      </c>
      <c r="L135" s="8">
        <f>IF(OR(Applicant_List!BN136="Y",Applicant_List!BK136="Y"),1,0)</f>
        <v/>
      </c>
      <c r="M135" s="8">
        <f>COUNTIF(Applicant_List!AI136:BM136,"N")+COUNTBLANK(Applicant_List!AI136:BM136)</f>
        <v/>
      </c>
      <c r="N135" s="8">
        <f>MAX(E135:J135)</f>
        <v/>
      </c>
      <c r="O135" s="8">
        <f>IF(Applicant_List!BP136="Y",100000,0)+IF(ISNUMBER(Applicant_List!BO136),50000-INT(Applicant_List!BO136),0)+IF(LEN(Applicant_List!L136)&gt;0,1000,0)</f>
        <v/>
      </c>
      <c r="P135" s="8">
        <f>IF(D135,"Terminal",IF(N135=1,"Blocked",IF(K135=1,"Determination Notice",IF(L135=1,"Board","Under Review"))))</f>
        <v/>
      </c>
      <c r="Q135" s="8">
        <f>IF(Applicant_List!L136="Closed","Closed",IF(OR(Applicant_List!L136="Withdrawn",Applicant_List!L136="Terminated"),Applicant_List!L136,IF(N135=1,"No Advancement",IF(K135=1,"Determination Notice Issued",IF(L135=1,"Board","Under Review")))))</f>
        <v/>
      </c>
    </row>
    <row r="136">
      <c r="A136" s="8">
        <f>Applicant_List!C137</f>
        <v/>
      </c>
      <c r="B136" s="8">
        <f>Applicant_List!E137</f>
        <v/>
      </c>
      <c r="C136" s="8">
        <f>Applicant_List!L137</f>
        <v/>
      </c>
      <c r="D136" s="8">
        <f>OR(Applicant_List!L137="Closed",Applicant_List!L137="Withdrawn",Applicant_List!L137="Terminated")</f>
        <v/>
      </c>
      <c r="E136" s="8">
        <f>IF(OR(Applicant_List!AI137="N",Applicant_List!AI137=""),1,0)</f>
        <v/>
      </c>
      <c r="F136" s="8">
        <f>IF(OR(Applicant_List!AK137="N",Applicant_List!AK137="",Applicant_List!AL137="N",Applicant_List!AL137=""),1,0)</f>
        <v/>
      </c>
      <c r="G136" s="8">
        <f>IF(OR(Applicant_List!AM137="N",Applicant_List!AM137=""),1,0)</f>
        <v/>
      </c>
      <c r="H136" s="8">
        <f>IF(OR(Applicant_List!AX137="Y",AND(Applicant_List!AS137="Y",Applicant_List!AV137&lt;&gt;"Y")),1,0)</f>
        <v/>
      </c>
      <c r="I136" s="8">
        <f>IF(OR(Applicant_List!AZ137="N",Applicant_List!AZ137="",Applicant_List!BA137="N",Applicant_List!BA137=""),1,0)</f>
        <v/>
      </c>
      <c r="J136" s="8">
        <f>IF(OR(Applicant_List!BB137="N",Applicant_List!BB137="",Applicant_List!BC137="N",Applicant_List!BE137="Y",Applicant_List!BL137="Y"),1,0)</f>
        <v/>
      </c>
      <c r="K136" s="8">
        <f>IF(AND(Applicant_List!BJ137="Y",Applicant_List!BM137="Y",Applicant_List!BK137&lt;&gt;"Y"),1,0)</f>
        <v/>
      </c>
      <c r="L136" s="8">
        <f>IF(OR(Applicant_List!BN137="Y",Applicant_List!BK137="Y"),1,0)</f>
        <v/>
      </c>
      <c r="M136" s="8">
        <f>COUNTIF(Applicant_List!AI137:BM137,"N")+COUNTBLANK(Applicant_List!AI137:BM137)</f>
        <v/>
      </c>
      <c r="N136" s="8">
        <f>MAX(E136:J136)</f>
        <v/>
      </c>
      <c r="O136" s="8">
        <f>IF(Applicant_List!BP137="Y",100000,0)+IF(ISNUMBER(Applicant_List!BO137),50000-INT(Applicant_List!BO137),0)+IF(LEN(Applicant_List!L137)&gt;0,1000,0)</f>
        <v/>
      </c>
      <c r="P136" s="8">
        <f>IF(D136,"Terminal",IF(N136=1,"Blocked",IF(K136=1,"Determination Notice",IF(L136=1,"Board","Under Review"))))</f>
        <v/>
      </c>
      <c r="Q136" s="8">
        <f>IF(Applicant_List!L137="Closed","Closed",IF(OR(Applicant_List!L137="Withdrawn",Applicant_List!L137="Terminated"),Applicant_List!L137,IF(N136=1,"No Advancement",IF(K136=1,"Determination Notice Issued",IF(L136=1,"Board","Under Review")))))</f>
        <v/>
      </c>
    </row>
    <row r="137">
      <c r="A137" s="8">
        <f>Applicant_List!C138</f>
        <v/>
      </c>
      <c r="B137" s="8">
        <f>Applicant_List!E138</f>
        <v/>
      </c>
      <c r="C137" s="8">
        <f>Applicant_List!L138</f>
        <v/>
      </c>
      <c r="D137" s="8">
        <f>OR(Applicant_List!L138="Closed",Applicant_List!L138="Withdrawn",Applicant_List!L138="Terminated")</f>
        <v/>
      </c>
      <c r="E137" s="8">
        <f>IF(OR(Applicant_List!AI138="N",Applicant_List!AI138=""),1,0)</f>
        <v/>
      </c>
      <c r="F137" s="8">
        <f>IF(OR(Applicant_List!AK138="N",Applicant_List!AK138="",Applicant_List!AL138="N",Applicant_List!AL138=""),1,0)</f>
        <v/>
      </c>
      <c r="G137" s="8">
        <f>IF(OR(Applicant_List!AM138="N",Applicant_List!AM138=""),1,0)</f>
        <v/>
      </c>
      <c r="H137" s="8">
        <f>IF(OR(Applicant_List!AX138="Y",AND(Applicant_List!AS138="Y",Applicant_List!AV138&lt;&gt;"Y")),1,0)</f>
        <v/>
      </c>
      <c r="I137" s="8">
        <f>IF(OR(Applicant_List!AZ138="N",Applicant_List!AZ138="",Applicant_List!BA138="N",Applicant_List!BA138=""),1,0)</f>
        <v/>
      </c>
      <c r="J137" s="8">
        <f>IF(OR(Applicant_List!BB138="N",Applicant_List!BB138="",Applicant_List!BC138="N",Applicant_List!BE138="Y",Applicant_List!BL138="Y"),1,0)</f>
        <v/>
      </c>
      <c r="K137" s="8">
        <f>IF(AND(Applicant_List!BJ138="Y",Applicant_List!BM138="Y",Applicant_List!BK138&lt;&gt;"Y"),1,0)</f>
        <v/>
      </c>
      <c r="L137" s="8">
        <f>IF(OR(Applicant_List!BN138="Y",Applicant_List!BK138="Y"),1,0)</f>
        <v/>
      </c>
      <c r="M137" s="8">
        <f>COUNTIF(Applicant_List!AI138:BM138,"N")+COUNTBLANK(Applicant_List!AI138:BM138)</f>
        <v/>
      </c>
      <c r="N137" s="8">
        <f>MAX(E137:J137)</f>
        <v/>
      </c>
      <c r="O137" s="8">
        <f>IF(Applicant_List!BP138="Y",100000,0)+IF(ISNUMBER(Applicant_List!BO138),50000-INT(Applicant_List!BO138),0)+IF(LEN(Applicant_List!L138)&gt;0,1000,0)</f>
        <v/>
      </c>
      <c r="P137" s="8">
        <f>IF(D137,"Terminal",IF(N137=1,"Blocked",IF(K137=1,"Determination Notice",IF(L137=1,"Board","Under Review"))))</f>
        <v/>
      </c>
      <c r="Q137" s="8">
        <f>IF(Applicant_List!L138="Closed","Closed",IF(OR(Applicant_List!L138="Withdrawn",Applicant_List!L138="Terminated"),Applicant_List!L138,IF(N137=1,"No Advancement",IF(K137=1,"Determination Notice Issued",IF(L137=1,"Board","Under Review")))))</f>
        <v/>
      </c>
    </row>
    <row r="138">
      <c r="A138" s="8">
        <f>Applicant_List!C139</f>
        <v/>
      </c>
      <c r="B138" s="8">
        <f>Applicant_List!E139</f>
        <v/>
      </c>
      <c r="C138" s="8">
        <f>Applicant_List!L139</f>
        <v/>
      </c>
      <c r="D138" s="8">
        <f>OR(Applicant_List!L139="Closed",Applicant_List!L139="Withdrawn",Applicant_List!L139="Terminated")</f>
        <v/>
      </c>
      <c r="E138" s="8">
        <f>IF(OR(Applicant_List!AI139="N",Applicant_List!AI139=""),1,0)</f>
        <v/>
      </c>
      <c r="F138" s="8">
        <f>IF(OR(Applicant_List!AK139="N",Applicant_List!AK139="",Applicant_List!AL139="N",Applicant_List!AL139=""),1,0)</f>
        <v/>
      </c>
      <c r="G138" s="8">
        <f>IF(OR(Applicant_List!AM139="N",Applicant_List!AM139=""),1,0)</f>
        <v/>
      </c>
      <c r="H138" s="8">
        <f>IF(OR(Applicant_List!AX139="Y",AND(Applicant_List!AS139="Y",Applicant_List!AV139&lt;&gt;"Y")),1,0)</f>
        <v/>
      </c>
      <c r="I138" s="8">
        <f>IF(OR(Applicant_List!AZ139="N",Applicant_List!AZ139="",Applicant_List!BA139="N",Applicant_List!BA139=""),1,0)</f>
        <v/>
      </c>
      <c r="J138" s="8">
        <f>IF(OR(Applicant_List!BB139="N",Applicant_List!BB139="",Applicant_List!BC139="N",Applicant_List!BE139="Y",Applicant_List!BL139="Y"),1,0)</f>
        <v/>
      </c>
      <c r="K138" s="8">
        <f>IF(AND(Applicant_List!BJ139="Y",Applicant_List!BM139="Y",Applicant_List!BK139&lt;&gt;"Y"),1,0)</f>
        <v/>
      </c>
      <c r="L138" s="8">
        <f>IF(OR(Applicant_List!BN139="Y",Applicant_List!BK139="Y"),1,0)</f>
        <v/>
      </c>
      <c r="M138" s="8">
        <f>COUNTIF(Applicant_List!AI139:BM139,"N")+COUNTBLANK(Applicant_List!AI139:BM139)</f>
        <v/>
      </c>
      <c r="N138" s="8">
        <f>MAX(E138:J138)</f>
        <v/>
      </c>
      <c r="O138" s="8">
        <f>IF(Applicant_List!BP139="Y",100000,0)+IF(ISNUMBER(Applicant_List!BO139),50000-INT(Applicant_List!BO139),0)+IF(LEN(Applicant_List!L139)&gt;0,1000,0)</f>
        <v/>
      </c>
      <c r="P138" s="8">
        <f>IF(D138,"Terminal",IF(N138=1,"Blocked",IF(K138=1,"Determination Notice",IF(L138=1,"Board","Under Review"))))</f>
        <v/>
      </c>
      <c r="Q138" s="8">
        <f>IF(Applicant_List!L139="Closed","Closed",IF(OR(Applicant_List!L139="Withdrawn",Applicant_List!L139="Terminated"),Applicant_List!L139,IF(N138=1,"No Advancement",IF(K138=1,"Determination Notice Issued",IF(L138=1,"Board","Under Review")))))</f>
        <v/>
      </c>
    </row>
    <row r="139">
      <c r="A139" s="8">
        <f>Applicant_List!C140</f>
        <v/>
      </c>
      <c r="B139" s="8">
        <f>Applicant_List!E140</f>
        <v/>
      </c>
      <c r="C139" s="8">
        <f>Applicant_List!L140</f>
        <v/>
      </c>
      <c r="D139" s="8">
        <f>OR(Applicant_List!L140="Closed",Applicant_List!L140="Withdrawn",Applicant_List!L140="Terminated")</f>
        <v/>
      </c>
      <c r="E139" s="8">
        <f>IF(OR(Applicant_List!AI140="N",Applicant_List!AI140=""),1,0)</f>
        <v/>
      </c>
      <c r="F139" s="8">
        <f>IF(OR(Applicant_List!AK140="N",Applicant_List!AK140="",Applicant_List!AL140="N",Applicant_List!AL140=""),1,0)</f>
        <v/>
      </c>
      <c r="G139" s="8">
        <f>IF(OR(Applicant_List!AM140="N",Applicant_List!AM140=""),1,0)</f>
        <v/>
      </c>
      <c r="H139" s="8">
        <f>IF(OR(Applicant_List!AX140="Y",AND(Applicant_List!AS140="Y",Applicant_List!AV140&lt;&gt;"Y")),1,0)</f>
        <v/>
      </c>
      <c r="I139" s="8">
        <f>IF(OR(Applicant_List!AZ140="N",Applicant_List!AZ140="",Applicant_List!BA140="N",Applicant_List!BA140=""),1,0)</f>
        <v/>
      </c>
      <c r="J139" s="8">
        <f>IF(OR(Applicant_List!BB140="N",Applicant_List!BB140="",Applicant_List!BC140="N",Applicant_List!BE140="Y",Applicant_List!BL140="Y"),1,0)</f>
        <v/>
      </c>
      <c r="K139" s="8">
        <f>IF(AND(Applicant_List!BJ140="Y",Applicant_List!BM140="Y",Applicant_List!BK140&lt;&gt;"Y"),1,0)</f>
        <v/>
      </c>
      <c r="L139" s="8">
        <f>IF(OR(Applicant_List!BN140="Y",Applicant_List!BK140="Y"),1,0)</f>
        <v/>
      </c>
      <c r="M139" s="8">
        <f>COUNTIF(Applicant_List!AI140:BM140,"N")+COUNTBLANK(Applicant_List!AI140:BM140)</f>
        <v/>
      </c>
      <c r="N139" s="8">
        <f>MAX(E139:J139)</f>
        <v/>
      </c>
      <c r="O139" s="8">
        <f>IF(Applicant_List!BP140="Y",100000,0)+IF(ISNUMBER(Applicant_List!BO140),50000-INT(Applicant_List!BO140),0)+IF(LEN(Applicant_List!L140)&gt;0,1000,0)</f>
        <v/>
      </c>
      <c r="P139" s="8">
        <f>IF(D139,"Terminal",IF(N139=1,"Blocked",IF(K139=1,"Determination Notice",IF(L139=1,"Board","Under Review"))))</f>
        <v/>
      </c>
      <c r="Q139" s="8">
        <f>IF(Applicant_List!L140="Closed","Closed",IF(OR(Applicant_List!L140="Withdrawn",Applicant_List!L140="Terminated"),Applicant_List!L140,IF(N139=1,"No Advancement",IF(K139=1,"Determination Notice Issued",IF(L139=1,"Board","Under Review")))))</f>
        <v/>
      </c>
    </row>
    <row r="140">
      <c r="A140" s="8">
        <f>Applicant_List!C141</f>
        <v/>
      </c>
      <c r="B140" s="8">
        <f>Applicant_List!E141</f>
        <v/>
      </c>
      <c r="C140" s="8">
        <f>Applicant_List!L141</f>
        <v/>
      </c>
      <c r="D140" s="8">
        <f>OR(Applicant_List!L141="Closed",Applicant_List!L141="Withdrawn",Applicant_List!L141="Terminated")</f>
        <v/>
      </c>
      <c r="E140" s="8">
        <f>IF(OR(Applicant_List!AI141="N",Applicant_List!AI141=""),1,0)</f>
        <v/>
      </c>
      <c r="F140" s="8">
        <f>IF(OR(Applicant_List!AK141="N",Applicant_List!AK141="",Applicant_List!AL141="N",Applicant_List!AL141=""),1,0)</f>
        <v/>
      </c>
      <c r="G140" s="8">
        <f>IF(OR(Applicant_List!AM141="N",Applicant_List!AM141=""),1,0)</f>
        <v/>
      </c>
      <c r="H140" s="8">
        <f>IF(OR(Applicant_List!AX141="Y",AND(Applicant_List!AS141="Y",Applicant_List!AV141&lt;&gt;"Y")),1,0)</f>
        <v/>
      </c>
      <c r="I140" s="8">
        <f>IF(OR(Applicant_List!AZ141="N",Applicant_List!AZ141="",Applicant_List!BA141="N",Applicant_List!BA141=""),1,0)</f>
        <v/>
      </c>
      <c r="J140" s="8">
        <f>IF(OR(Applicant_List!BB141="N",Applicant_List!BB141="",Applicant_List!BC141="N",Applicant_List!BE141="Y",Applicant_List!BL141="Y"),1,0)</f>
        <v/>
      </c>
      <c r="K140" s="8">
        <f>IF(AND(Applicant_List!BJ141="Y",Applicant_List!BM141="Y",Applicant_List!BK141&lt;&gt;"Y"),1,0)</f>
        <v/>
      </c>
      <c r="L140" s="8">
        <f>IF(OR(Applicant_List!BN141="Y",Applicant_List!BK141="Y"),1,0)</f>
        <v/>
      </c>
      <c r="M140" s="8">
        <f>COUNTIF(Applicant_List!AI141:BM141,"N")+COUNTBLANK(Applicant_List!AI141:BM141)</f>
        <v/>
      </c>
      <c r="N140" s="8">
        <f>MAX(E140:J140)</f>
        <v/>
      </c>
      <c r="O140" s="8">
        <f>IF(Applicant_List!BP141="Y",100000,0)+IF(ISNUMBER(Applicant_List!BO141),50000-INT(Applicant_List!BO141),0)+IF(LEN(Applicant_List!L141)&gt;0,1000,0)</f>
        <v/>
      </c>
      <c r="P140" s="8">
        <f>IF(D140,"Terminal",IF(N140=1,"Blocked",IF(K140=1,"Determination Notice",IF(L140=1,"Board","Under Review"))))</f>
        <v/>
      </c>
      <c r="Q140" s="8">
        <f>IF(Applicant_List!L141="Closed","Closed",IF(OR(Applicant_List!L141="Withdrawn",Applicant_List!L141="Terminated"),Applicant_List!L141,IF(N140=1,"No Advancement",IF(K140=1,"Determination Notice Issued",IF(L140=1,"Board","Under Review")))))</f>
        <v/>
      </c>
    </row>
    <row r="141">
      <c r="A141" s="8">
        <f>Applicant_List!C142</f>
        <v/>
      </c>
      <c r="B141" s="8">
        <f>Applicant_List!E142</f>
        <v/>
      </c>
      <c r="C141" s="8">
        <f>Applicant_List!L142</f>
        <v/>
      </c>
      <c r="D141" s="8">
        <f>OR(Applicant_List!L142="Closed",Applicant_List!L142="Withdrawn",Applicant_List!L142="Terminated")</f>
        <v/>
      </c>
      <c r="E141" s="8">
        <f>IF(OR(Applicant_List!AI142="N",Applicant_List!AI142=""),1,0)</f>
        <v/>
      </c>
      <c r="F141" s="8">
        <f>IF(OR(Applicant_List!AK142="N",Applicant_List!AK142="",Applicant_List!AL142="N",Applicant_List!AL142=""),1,0)</f>
        <v/>
      </c>
      <c r="G141" s="8">
        <f>IF(OR(Applicant_List!AM142="N",Applicant_List!AM142=""),1,0)</f>
        <v/>
      </c>
      <c r="H141" s="8">
        <f>IF(OR(Applicant_List!AX142="Y",AND(Applicant_List!AS142="Y",Applicant_List!AV142&lt;&gt;"Y")),1,0)</f>
        <v/>
      </c>
      <c r="I141" s="8">
        <f>IF(OR(Applicant_List!AZ142="N",Applicant_List!AZ142="",Applicant_List!BA142="N",Applicant_List!BA142=""),1,0)</f>
        <v/>
      </c>
      <c r="J141" s="8">
        <f>IF(OR(Applicant_List!BB142="N",Applicant_List!BB142="",Applicant_List!BC142="N",Applicant_List!BE142="Y",Applicant_List!BL142="Y"),1,0)</f>
        <v/>
      </c>
      <c r="K141" s="8">
        <f>IF(AND(Applicant_List!BJ142="Y",Applicant_List!BM142="Y",Applicant_List!BK142&lt;&gt;"Y"),1,0)</f>
        <v/>
      </c>
      <c r="L141" s="8">
        <f>IF(OR(Applicant_List!BN142="Y",Applicant_List!BK142="Y"),1,0)</f>
        <v/>
      </c>
      <c r="M141" s="8">
        <f>COUNTIF(Applicant_List!AI142:BM142,"N")+COUNTBLANK(Applicant_List!AI142:BM142)</f>
        <v/>
      </c>
      <c r="N141" s="8">
        <f>MAX(E141:J141)</f>
        <v/>
      </c>
      <c r="O141" s="8">
        <f>IF(Applicant_List!BP142="Y",100000,0)+IF(ISNUMBER(Applicant_List!BO142),50000-INT(Applicant_List!BO142),0)+IF(LEN(Applicant_List!L142)&gt;0,1000,0)</f>
        <v/>
      </c>
      <c r="P141" s="8">
        <f>IF(D141,"Terminal",IF(N141=1,"Blocked",IF(K141=1,"Determination Notice",IF(L141=1,"Board","Under Review"))))</f>
        <v/>
      </c>
      <c r="Q141" s="8">
        <f>IF(Applicant_List!L142="Closed","Closed",IF(OR(Applicant_List!L142="Withdrawn",Applicant_List!L142="Terminated"),Applicant_List!L142,IF(N141=1,"No Advancement",IF(K141=1,"Determination Notice Issued",IF(L141=1,"Board","Under Review")))))</f>
        <v/>
      </c>
    </row>
    <row r="142">
      <c r="A142" s="8">
        <f>Applicant_List!C143</f>
        <v/>
      </c>
      <c r="B142" s="8">
        <f>Applicant_List!E143</f>
        <v/>
      </c>
      <c r="C142" s="8">
        <f>Applicant_List!L143</f>
        <v/>
      </c>
      <c r="D142" s="8">
        <f>OR(Applicant_List!L143="Closed",Applicant_List!L143="Withdrawn",Applicant_List!L143="Terminated")</f>
        <v/>
      </c>
      <c r="E142" s="8">
        <f>IF(OR(Applicant_List!AI143="N",Applicant_List!AI143=""),1,0)</f>
        <v/>
      </c>
      <c r="F142" s="8">
        <f>IF(OR(Applicant_List!AK143="N",Applicant_List!AK143="",Applicant_List!AL143="N",Applicant_List!AL143=""),1,0)</f>
        <v/>
      </c>
      <c r="G142" s="8">
        <f>IF(OR(Applicant_List!AM143="N",Applicant_List!AM143=""),1,0)</f>
        <v/>
      </c>
      <c r="H142" s="8">
        <f>IF(OR(Applicant_List!AX143="Y",AND(Applicant_List!AS143="Y",Applicant_List!AV143&lt;&gt;"Y")),1,0)</f>
        <v/>
      </c>
      <c r="I142" s="8">
        <f>IF(OR(Applicant_List!AZ143="N",Applicant_List!AZ143="",Applicant_List!BA143="N",Applicant_List!BA143=""),1,0)</f>
        <v/>
      </c>
      <c r="J142" s="8">
        <f>IF(OR(Applicant_List!BB143="N",Applicant_List!BB143="",Applicant_List!BC143="N",Applicant_List!BE143="Y",Applicant_List!BL143="Y"),1,0)</f>
        <v/>
      </c>
      <c r="K142" s="8">
        <f>IF(AND(Applicant_List!BJ143="Y",Applicant_List!BM143="Y",Applicant_List!BK143&lt;&gt;"Y"),1,0)</f>
        <v/>
      </c>
      <c r="L142" s="8">
        <f>IF(OR(Applicant_List!BN143="Y",Applicant_List!BK143="Y"),1,0)</f>
        <v/>
      </c>
      <c r="M142" s="8">
        <f>COUNTIF(Applicant_List!AI143:BM143,"N")+COUNTBLANK(Applicant_List!AI143:BM143)</f>
        <v/>
      </c>
      <c r="N142" s="8">
        <f>MAX(E142:J142)</f>
        <v/>
      </c>
      <c r="O142" s="8">
        <f>IF(Applicant_List!BP143="Y",100000,0)+IF(ISNUMBER(Applicant_List!BO143),50000-INT(Applicant_List!BO143),0)+IF(LEN(Applicant_List!L143)&gt;0,1000,0)</f>
        <v/>
      </c>
      <c r="P142" s="8">
        <f>IF(D142,"Terminal",IF(N142=1,"Blocked",IF(K142=1,"Determination Notice",IF(L142=1,"Board","Under Review"))))</f>
        <v/>
      </c>
      <c r="Q142" s="8">
        <f>IF(Applicant_List!L143="Closed","Closed",IF(OR(Applicant_List!L143="Withdrawn",Applicant_List!L143="Terminated"),Applicant_List!L143,IF(N142=1,"No Advancement",IF(K142=1,"Determination Notice Issued",IF(L142=1,"Board","Under Review")))))</f>
        <v/>
      </c>
    </row>
    <row r="143">
      <c r="A143" s="8">
        <f>Applicant_List!C144</f>
        <v/>
      </c>
      <c r="B143" s="8">
        <f>Applicant_List!E144</f>
        <v/>
      </c>
      <c r="C143" s="8">
        <f>Applicant_List!L144</f>
        <v/>
      </c>
      <c r="D143" s="8">
        <f>OR(Applicant_List!L144="Closed",Applicant_List!L144="Withdrawn",Applicant_List!L144="Terminated")</f>
        <v/>
      </c>
      <c r="E143" s="8">
        <f>IF(OR(Applicant_List!AI144="N",Applicant_List!AI144=""),1,0)</f>
        <v/>
      </c>
      <c r="F143" s="8">
        <f>IF(OR(Applicant_List!AK144="N",Applicant_List!AK144="",Applicant_List!AL144="N",Applicant_List!AL144=""),1,0)</f>
        <v/>
      </c>
      <c r="G143" s="8">
        <f>IF(OR(Applicant_List!AM144="N",Applicant_List!AM144=""),1,0)</f>
        <v/>
      </c>
      <c r="H143" s="8">
        <f>IF(OR(Applicant_List!AX144="Y",AND(Applicant_List!AS144="Y",Applicant_List!AV144&lt;&gt;"Y")),1,0)</f>
        <v/>
      </c>
      <c r="I143" s="8">
        <f>IF(OR(Applicant_List!AZ144="N",Applicant_List!AZ144="",Applicant_List!BA144="N",Applicant_List!BA144=""),1,0)</f>
        <v/>
      </c>
      <c r="J143" s="8">
        <f>IF(OR(Applicant_List!BB144="N",Applicant_List!BB144="",Applicant_List!BC144="N",Applicant_List!BE144="Y",Applicant_List!BL144="Y"),1,0)</f>
        <v/>
      </c>
      <c r="K143" s="8">
        <f>IF(AND(Applicant_List!BJ144="Y",Applicant_List!BM144="Y",Applicant_List!BK144&lt;&gt;"Y"),1,0)</f>
        <v/>
      </c>
      <c r="L143" s="8">
        <f>IF(OR(Applicant_List!BN144="Y",Applicant_List!BK144="Y"),1,0)</f>
        <v/>
      </c>
      <c r="M143" s="8">
        <f>COUNTIF(Applicant_List!AI144:BM144,"N")+COUNTBLANK(Applicant_List!AI144:BM144)</f>
        <v/>
      </c>
      <c r="N143" s="8">
        <f>MAX(E143:J143)</f>
        <v/>
      </c>
      <c r="O143" s="8">
        <f>IF(Applicant_List!BP144="Y",100000,0)+IF(ISNUMBER(Applicant_List!BO144),50000-INT(Applicant_List!BO144),0)+IF(LEN(Applicant_List!L144)&gt;0,1000,0)</f>
        <v/>
      </c>
      <c r="P143" s="8">
        <f>IF(D143,"Terminal",IF(N143=1,"Blocked",IF(K143=1,"Determination Notice",IF(L143=1,"Board","Under Review"))))</f>
        <v/>
      </c>
      <c r="Q143" s="8">
        <f>IF(Applicant_List!L144="Closed","Closed",IF(OR(Applicant_List!L144="Withdrawn",Applicant_List!L144="Terminated"),Applicant_List!L144,IF(N143=1,"No Advancement",IF(K143=1,"Determination Notice Issued",IF(L143=1,"Board","Under Review")))))</f>
        <v/>
      </c>
    </row>
    <row r="144">
      <c r="A144" s="8">
        <f>Applicant_List!C145</f>
        <v/>
      </c>
      <c r="B144" s="8">
        <f>Applicant_List!E145</f>
        <v/>
      </c>
      <c r="C144" s="8">
        <f>Applicant_List!L145</f>
        <v/>
      </c>
      <c r="D144" s="8">
        <f>OR(Applicant_List!L145="Closed",Applicant_List!L145="Withdrawn",Applicant_List!L145="Terminated")</f>
        <v/>
      </c>
      <c r="E144" s="8">
        <f>IF(OR(Applicant_List!AI145="N",Applicant_List!AI145=""),1,0)</f>
        <v/>
      </c>
      <c r="F144" s="8">
        <f>IF(OR(Applicant_List!AK145="N",Applicant_List!AK145="",Applicant_List!AL145="N",Applicant_List!AL145=""),1,0)</f>
        <v/>
      </c>
      <c r="G144" s="8">
        <f>IF(OR(Applicant_List!AM145="N",Applicant_List!AM145=""),1,0)</f>
        <v/>
      </c>
      <c r="H144" s="8">
        <f>IF(OR(Applicant_List!AX145="Y",AND(Applicant_List!AS145="Y",Applicant_List!AV145&lt;&gt;"Y")),1,0)</f>
        <v/>
      </c>
      <c r="I144" s="8">
        <f>IF(OR(Applicant_List!AZ145="N",Applicant_List!AZ145="",Applicant_List!BA145="N",Applicant_List!BA145=""),1,0)</f>
        <v/>
      </c>
      <c r="J144" s="8">
        <f>IF(OR(Applicant_List!BB145="N",Applicant_List!BB145="",Applicant_List!BC145="N",Applicant_List!BE145="Y",Applicant_List!BL145="Y"),1,0)</f>
        <v/>
      </c>
      <c r="K144" s="8">
        <f>IF(AND(Applicant_List!BJ145="Y",Applicant_List!BM145="Y",Applicant_List!BK145&lt;&gt;"Y"),1,0)</f>
        <v/>
      </c>
      <c r="L144" s="8">
        <f>IF(OR(Applicant_List!BN145="Y",Applicant_List!BK145="Y"),1,0)</f>
        <v/>
      </c>
      <c r="M144" s="8">
        <f>COUNTIF(Applicant_List!AI145:BM145,"N")+COUNTBLANK(Applicant_List!AI145:BM145)</f>
        <v/>
      </c>
      <c r="N144" s="8">
        <f>MAX(E144:J144)</f>
        <v/>
      </c>
      <c r="O144" s="8">
        <f>IF(Applicant_List!BP145="Y",100000,0)+IF(ISNUMBER(Applicant_List!BO145),50000-INT(Applicant_List!BO145),0)+IF(LEN(Applicant_List!L145)&gt;0,1000,0)</f>
        <v/>
      </c>
      <c r="P144" s="8">
        <f>IF(D144,"Terminal",IF(N144=1,"Blocked",IF(K144=1,"Determination Notice",IF(L144=1,"Board","Under Review"))))</f>
        <v/>
      </c>
      <c r="Q144" s="8">
        <f>IF(Applicant_List!L145="Closed","Closed",IF(OR(Applicant_List!L145="Withdrawn",Applicant_List!L145="Terminated"),Applicant_List!L145,IF(N144=1,"No Advancement",IF(K144=1,"Determination Notice Issued",IF(L144=1,"Board","Under Review")))))</f>
        <v/>
      </c>
    </row>
    <row r="145">
      <c r="A145" s="8">
        <f>Applicant_List!C146</f>
        <v/>
      </c>
      <c r="B145" s="8">
        <f>Applicant_List!E146</f>
        <v/>
      </c>
      <c r="C145" s="8">
        <f>Applicant_List!L146</f>
        <v/>
      </c>
      <c r="D145" s="8">
        <f>OR(Applicant_List!L146="Closed",Applicant_List!L146="Withdrawn",Applicant_List!L146="Terminated")</f>
        <v/>
      </c>
      <c r="E145" s="8">
        <f>IF(OR(Applicant_List!AI146="N",Applicant_List!AI146=""),1,0)</f>
        <v/>
      </c>
      <c r="F145" s="8">
        <f>IF(OR(Applicant_List!AK146="N",Applicant_List!AK146="",Applicant_List!AL146="N",Applicant_List!AL146=""),1,0)</f>
        <v/>
      </c>
      <c r="G145" s="8">
        <f>IF(OR(Applicant_List!AM146="N",Applicant_List!AM146=""),1,0)</f>
        <v/>
      </c>
      <c r="H145" s="8">
        <f>IF(OR(Applicant_List!AX146="Y",AND(Applicant_List!AS146="Y",Applicant_List!AV146&lt;&gt;"Y")),1,0)</f>
        <v/>
      </c>
      <c r="I145" s="8">
        <f>IF(OR(Applicant_List!AZ146="N",Applicant_List!AZ146="",Applicant_List!BA146="N",Applicant_List!BA146=""),1,0)</f>
        <v/>
      </c>
      <c r="J145" s="8">
        <f>IF(OR(Applicant_List!BB146="N",Applicant_List!BB146="",Applicant_List!BC146="N",Applicant_List!BE146="Y",Applicant_List!BL146="Y"),1,0)</f>
        <v/>
      </c>
      <c r="K145" s="8">
        <f>IF(AND(Applicant_List!BJ146="Y",Applicant_List!BM146="Y",Applicant_List!BK146&lt;&gt;"Y"),1,0)</f>
        <v/>
      </c>
      <c r="L145" s="8">
        <f>IF(OR(Applicant_List!BN146="Y",Applicant_List!BK146="Y"),1,0)</f>
        <v/>
      </c>
      <c r="M145" s="8">
        <f>COUNTIF(Applicant_List!AI146:BM146,"N")+COUNTBLANK(Applicant_List!AI146:BM146)</f>
        <v/>
      </c>
      <c r="N145" s="8">
        <f>MAX(E145:J145)</f>
        <v/>
      </c>
      <c r="O145" s="8">
        <f>IF(Applicant_List!BP146="Y",100000,0)+IF(ISNUMBER(Applicant_List!BO146),50000-INT(Applicant_List!BO146),0)+IF(LEN(Applicant_List!L146)&gt;0,1000,0)</f>
        <v/>
      </c>
      <c r="P145" s="8">
        <f>IF(D145,"Terminal",IF(N145=1,"Blocked",IF(K145=1,"Determination Notice",IF(L145=1,"Board","Under Review"))))</f>
        <v/>
      </c>
      <c r="Q145" s="8">
        <f>IF(Applicant_List!L146="Closed","Closed",IF(OR(Applicant_List!L146="Withdrawn",Applicant_List!L146="Terminated"),Applicant_List!L146,IF(N145=1,"No Advancement",IF(K145=1,"Determination Notice Issued",IF(L145=1,"Board","Under Review")))))</f>
        <v/>
      </c>
    </row>
    <row r="146">
      <c r="A146" s="8">
        <f>Applicant_List!C147</f>
        <v/>
      </c>
      <c r="B146" s="8">
        <f>Applicant_List!E147</f>
        <v/>
      </c>
      <c r="C146" s="8">
        <f>Applicant_List!L147</f>
        <v/>
      </c>
      <c r="D146" s="8">
        <f>OR(Applicant_List!L147="Closed",Applicant_List!L147="Withdrawn",Applicant_List!L147="Terminated")</f>
        <v/>
      </c>
      <c r="E146" s="8">
        <f>IF(OR(Applicant_List!AI147="N",Applicant_List!AI147=""),1,0)</f>
        <v/>
      </c>
      <c r="F146" s="8">
        <f>IF(OR(Applicant_List!AK147="N",Applicant_List!AK147="",Applicant_List!AL147="N",Applicant_List!AL147=""),1,0)</f>
        <v/>
      </c>
      <c r="G146" s="8">
        <f>IF(OR(Applicant_List!AM147="N",Applicant_List!AM147=""),1,0)</f>
        <v/>
      </c>
      <c r="H146" s="8">
        <f>IF(OR(Applicant_List!AX147="Y",AND(Applicant_List!AS147="Y",Applicant_List!AV147&lt;&gt;"Y")),1,0)</f>
        <v/>
      </c>
      <c r="I146" s="8">
        <f>IF(OR(Applicant_List!AZ147="N",Applicant_List!AZ147="",Applicant_List!BA147="N",Applicant_List!BA147=""),1,0)</f>
        <v/>
      </c>
      <c r="J146" s="8">
        <f>IF(OR(Applicant_List!BB147="N",Applicant_List!BB147="",Applicant_List!BC147="N",Applicant_List!BE147="Y",Applicant_List!BL147="Y"),1,0)</f>
        <v/>
      </c>
      <c r="K146" s="8">
        <f>IF(AND(Applicant_List!BJ147="Y",Applicant_List!BM147="Y",Applicant_List!BK147&lt;&gt;"Y"),1,0)</f>
        <v/>
      </c>
      <c r="L146" s="8">
        <f>IF(OR(Applicant_List!BN147="Y",Applicant_List!BK147="Y"),1,0)</f>
        <v/>
      </c>
      <c r="M146" s="8">
        <f>COUNTIF(Applicant_List!AI147:BM147,"N")+COUNTBLANK(Applicant_List!AI147:BM147)</f>
        <v/>
      </c>
      <c r="N146" s="8">
        <f>MAX(E146:J146)</f>
        <v/>
      </c>
      <c r="O146" s="8">
        <f>IF(Applicant_List!BP147="Y",100000,0)+IF(ISNUMBER(Applicant_List!BO147),50000-INT(Applicant_List!BO147),0)+IF(LEN(Applicant_List!L147)&gt;0,1000,0)</f>
        <v/>
      </c>
      <c r="P146" s="8">
        <f>IF(D146,"Terminal",IF(N146=1,"Blocked",IF(K146=1,"Determination Notice",IF(L146=1,"Board","Under Review"))))</f>
        <v/>
      </c>
      <c r="Q146" s="8">
        <f>IF(Applicant_List!L147="Closed","Closed",IF(OR(Applicant_List!L147="Withdrawn",Applicant_List!L147="Terminated"),Applicant_List!L147,IF(N146=1,"No Advancement",IF(K146=1,"Determination Notice Issued",IF(L146=1,"Board","Under Review")))))</f>
        <v/>
      </c>
    </row>
    <row r="147">
      <c r="A147" s="8">
        <f>Applicant_List!C148</f>
        <v/>
      </c>
      <c r="B147" s="8">
        <f>Applicant_List!E148</f>
        <v/>
      </c>
      <c r="C147" s="8">
        <f>Applicant_List!L148</f>
        <v/>
      </c>
      <c r="D147" s="8">
        <f>OR(Applicant_List!L148="Closed",Applicant_List!L148="Withdrawn",Applicant_List!L148="Terminated")</f>
        <v/>
      </c>
      <c r="E147" s="8">
        <f>IF(OR(Applicant_List!AI148="N",Applicant_List!AI148=""),1,0)</f>
        <v/>
      </c>
      <c r="F147" s="8">
        <f>IF(OR(Applicant_List!AK148="N",Applicant_List!AK148="",Applicant_List!AL148="N",Applicant_List!AL148=""),1,0)</f>
        <v/>
      </c>
      <c r="G147" s="8">
        <f>IF(OR(Applicant_List!AM148="N",Applicant_List!AM148=""),1,0)</f>
        <v/>
      </c>
      <c r="H147" s="8">
        <f>IF(OR(Applicant_List!AX148="Y",AND(Applicant_List!AS148="Y",Applicant_List!AV148&lt;&gt;"Y")),1,0)</f>
        <v/>
      </c>
      <c r="I147" s="8">
        <f>IF(OR(Applicant_List!AZ148="N",Applicant_List!AZ148="",Applicant_List!BA148="N",Applicant_List!BA148=""),1,0)</f>
        <v/>
      </c>
      <c r="J147" s="8">
        <f>IF(OR(Applicant_List!BB148="N",Applicant_List!BB148="",Applicant_List!BC148="N",Applicant_List!BE148="Y",Applicant_List!BL148="Y"),1,0)</f>
        <v/>
      </c>
      <c r="K147" s="8">
        <f>IF(AND(Applicant_List!BJ148="Y",Applicant_List!BM148="Y",Applicant_List!BK148&lt;&gt;"Y"),1,0)</f>
        <v/>
      </c>
      <c r="L147" s="8">
        <f>IF(OR(Applicant_List!BN148="Y",Applicant_List!BK148="Y"),1,0)</f>
        <v/>
      </c>
      <c r="M147" s="8">
        <f>COUNTIF(Applicant_List!AI148:BM148,"N")+COUNTBLANK(Applicant_List!AI148:BM148)</f>
        <v/>
      </c>
      <c r="N147" s="8">
        <f>MAX(E147:J147)</f>
        <v/>
      </c>
      <c r="O147" s="8">
        <f>IF(Applicant_List!BP148="Y",100000,0)+IF(ISNUMBER(Applicant_List!BO148),50000-INT(Applicant_List!BO148),0)+IF(LEN(Applicant_List!L148)&gt;0,1000,0)</f>
        <v/>
      </c>
      <c r="P147" s="8">
        <f>IF(D147,"Terminal",IF(N147=1,"Blocked",IF(K147=1,"Determination Notice",IF(L147=1,"Board","Under Review"))))</f>
        <v/>
      </c>
      <c r="Q147" s="8">
        <f>IF(Applicant_List!L148="Closed","Closed",IF(OR(Applicant_List!L148="Withdrawn",Applicant_List!L148="Terminated"),Applicant_List!L148,IF(N147=1,"No Advancement",IF(K147=1,"Determination Notice Issued",IF(L147=1,"Board","Under Review")))))</f>
        <v/>
      </c>
    </row>
    <row r="148">
      <c r="A148" s="8">
        <f>Applicant_List!C149</f>
        <v/>
      </c>
      <c r="B148" s="8">
        <f>Applicant_List!E149</f>
        <v/>
      </c>
      <c r="C148" s="8">
        <f>Applicant_List!L149</f>
        <v/>
      </c>
      <c r="D148" s="8">
        <f>OR(Applicant_List!L149="Closed",Applicant_List!L149="Withdrawn",Applicant_List!L149="Terminated")</f>
        <v/>
      </c>
      <c r="E148" s="8">
        <f>IF(OR(Applicant_List!AI149="N",Applicant_List!AI149=""),1,0)</f>
        <v/>
      </c>
      <c r="F148" s="8">
        <f>IF(OR(Applicant_List!AK149="N",Applicant_List!AK149="",Applicant_List!AL149="N",Applicant_List!AL149=""),1,0)</f>
        <v/>
      </c>
      <c r="G148" s="8">
        <f>IF(OR(Applicant_List!AM149="N",Applicant_List!AM149=""),1,0)</f>
        <v/>
      </c>
      <c r="H148" s="8">
        <f>IF(OR(Applicant_List!AX149="Y",AND(Applicant_List!AS149="Y",Applicant_List!AV149&lt;&gt;"Y")),1,0)</f>
        <v/>
      </c>
      <c r="I148" s="8">
        <f>IF(OR(Applicant_List!AZ149="N",Applicant_List!AZ149="",Applicant_List!BA149="N",Applicant_List!BA149=""),1,0)</f>
        <v/>
      </c>
      <c r="J148" s="8">
        <f>IF(OR(Applicant_List!BB149="N",Applicant_List!BB149="",Applicant_List!BC149="N",Applicant_List!BE149="Y",Applicant_List!BL149="Y"),1,0)</f>
        <v/>
      </c>
      <c r="K148" s="8">
        <f>IF(AND(Applicant_List!BJ149="Y",Applicant_List!BM149="Y",Applicant_List!BK149&lt;&gt;"Y"),1,0)</f>
        <v/>
      </c>
      <c r="L148" s="8">
        <f>IF(OR(Applicant_List!BN149="Y",Applicant_List!BK149="Y"),1,0)</f>
        <v/>
      </c>
      <c r="M148" s="8">
        <f>COUNTIF(Applicant_List!AI149:BM149,"N")+COUNTBLANK(Applicant_List!AI149:BM149)</f>
        <v/>
      </c>
      <c r="N148" s="8">
        <f>MAX(E148:J148)</f>
        <v/>
      </c>
      <c r="O148" s="8">
        <f>IF(Applicant_List!BP149="Y",100000,0)+IF(ISNUMBER(Applicant_List!BO149),50000-INT(Applicant_List!BO149),0)+IF(LEN(Applicant_List!L149)&gt;0,1000,0)</f>
        <v/>
      </c>
      <c r="P148" s="8">
        <f>IF(D148,"Terminal",IF(N148=1,"Blocked",IF(K148=1,"Determination Notice",IF(L148=1,"Board","Under Review"))))</f>
        <v/>
      </c>
      <c r="Q148" s="8">
        <f>IF(Applicant_List!L149="Closed","Closed",IF(OR(Applicant_List!L149="Withdrawn",Applicant_List!L149="Terminated"),Applicant_List!L149,IF(N148=1,"No Advancement",IF(K148=1,"Determination Notice Issued",IF(L148=1,"Board","Under Review")))))</f>
        <v/>
      </c>
    </row>
    <row r="149">
      <c r="A149" s="8">
        <f>Applicant_List!C150</f>
        <v/>
      </c>
      <c r="B149" s="8">
        <f>Applicant_List!E150</f>
        <v/>
      </c>
      <c r="C149" s="8">
        <f>Applicant_List!L150</f>
        <v/>
      </c>
      <c r="D149" s="8">
        <f>OR(Applicant_List!L150="Closed",Applicant_List!L150="Withdrawn",Applicant_List!L150="Terminated")</f>
        <v/>
      </c>
      <c r="E149" s="8">
        <f>IF(OR(Applicant_List!AI150="N",Applicant_List!AI150=""),1,0)</f>
        <v/>
      </c>
      <c r="F149" s="8">
        <f>IF(OR(Applicant_List!AK150="N",Applicant_List!AK150="",Applicant_List!AL150="N",Applicant_List!AL150=""),1,0)</f>
        <v/>
      </c>
      <c r="G149" s="8">
        <f>IF(OR(Applicant_List!AM150="N",Applicant_List!AM150=""),1,0)</f>
        <v/>
      </c>
      <c r="H149" s="8">
        <f>IF(OR(Applicant_List!AX150="Y",AND(Applicant_List!AS150="Y",Applicant_List!AV150&lt;&gt;"Y")),1,0)</f>
        <v/>
      </c>
      <c r="I149" s="8">
        <f>IF(OR(Applicant_List!AZ150="N",Applicant_List!AZ150="",Applicant_List!BA150="N",Applicant_List!BA150=""),1,0)</f>
        <v/>
      </c>
      <c r="J149" s="8">
        <f>IF(OR(Applicant_List!BB150="N",Applicant_List!BB150="",Applicant_List!BC150="N",Applicant_List!BE150="Y",Applicant_List!BL150="Y"),1,0)</f>
        <v/>
      </c>
      <c r="K149" s="8">
        <f>IF(AND(Applicant_List!BJ150="Y",Applicant_List!BM150="Y",Applicant_List!BK150&lt;&gt;"Y"),1,0)</f>
        <v/>
      </c>
      <c r="L149" s="8">
        <f>IF(OR(Applicant_List!BN150="Y",Applicant_List!BK150="Y"),1,0)</f>
        <v/>
      </c>
      <c r="M149" s="8">
        <f>COUNTIF(Applicant_List!AI150:BM150,"N")+COUNTBLANK(Applicant_List!AI150:BM150)</f>
        <v/>
      </c>
      <c r="N149" s="8">
        <f>MAX(E149:J149)</f>
        <v/>
      </c>
      <c r="O149" s="8">
        <f>IF(Applicant_List!BP150="Y",100000,0)+IF(ISNUMBER(Applicant_List!BO150),50000-INT(Applicant_List!BO150),0)+IF(LEN(Applicant_List!L150)&gt;0,1000,0)</f>
        <v/>
      </c>
      <c r="P149" s="8">
        <f>IF(D149,"Terminal",IF(N149=1,"Blocked",IF(K149=1,"Determination Notice",IF(L149=1,"Board","Under Review"))))</f>
        <v/>
      </c>
      <c r="Q149" s="8">
        <f>IF(Applicant_List!L150="Closed","Closed",IF(OR(Applicant_List!L150="Withdrawn",Applicant_List!L150="Terminated"),Applicant_List!L150,IF(N149=1,"No Advancement",IF(K149=1,"Determination Notice Issued",IF(L149=1,"Board","Under Review")))))</f>
        <v/>
      </c>
    </row>
    <row r="150">
      <c r="A150" s="8">
        <f>Applicant_List!C151</f>
        <v/>
      </c>
      <c r="B150" s="8">
        <f>Applicant_List!E151</f>
        <v/>
      </c>
      <c r="C150" s="8">
        <f>Applicant_List!L151</f>
        <v/>
      </c>
      <c r="D150" s="8">
        <f>OR(Applicant_List!L151="Closed",Applicant_List!L151="Withdrawn",Applicant_List!L151="Terminated")</f>
        <v/>
      </c>
      <c r="E150" s="8">
        <f>IF(OR(Applicant_List!AI151="N",Applicant_List!AI151=""),1,0)</f>
        <v/>
      </c>
      <c r="F150" s="8">
        <f>IF(OR(Applicant_List!AK151="N",Applicant_List!AK151="",Applicant_List!AL151="N",Applicant_List!AL151=""),1,0)</f>
        <v/>
      </c>
      <c r="G150" s="8">
        <f>IF(OR(Applicant_List!AM151="N",Applicant_List!AM151=""),1,0)</f>
        <v/>
      </c>
      <c r="H150" s="8">
        <f>IF(OR(Applicant_List!AX151="Y",AND(Applicant_List!AS151="Y",Applicant_List!AV151&lt;&gt;"Y")),1,0)</f>
        <v/>
      </c>
      <c r="I150" s="8">
        <f>IF(OR(Applicant_List!AZ151="N",Applicant_List!AZ151="",Applicant_List!BA151="N",Applicant_List!BA151=""),1,0)</f>
        <v/>
      </c>
      <c r="J150" s="8">
        <f>IF(OR(Applicant_List!BB151="N",Applicant_List!BB151="",Applicant_List!BC151="N",Applicant_List!BE151="Y",Applicant_List!BL151="Y"),1,0)</f>
        <v/>
      </c>
      <c r="K150" s="8">
        <f>IF(AND(Applicant_List!BJ151="Y",Applicant_List!BM151="Y",Applicant_List!BK151&lt;&gt;"Y"),1,0)</f>
        <v/>
      </c>
      <c r="L150" s="8">
        <f>IF(OR(Applicant_List!BN151="Y",Applicant_List!BK151="Y"),1,0)</f>
        <v/>
      </c>
      <c r="M150" s="8">
        <f>COUNTIF(Applicant_List!AI151:BM151,"N")+COUNTBLANK(Applicant_List!AI151:BM151)</f>
        <v/>
      </c>
      <c r="N150" s="8">
        <f>MAX(E150:J150)</f>
        <v/>
      </c>
      <c r="O150" s="8">
        <f>IF(Applicant_List!BP151="Y",100000,0)+IF(ISNUMBER(Applicant_List!BO151),50000-INT(Applicant_List!BO151),0)+IF(LEN(Applicant_List!L151)&gt;0,1000,0)</f>
        <v/>
      </c>
      <c r="P150" s="8">
        <f>IF(D150,"Terminal",IF(N150=1,"Blocked",IF(K150=1,"Determination Notice",IF(L150=1,"Board","Under Review"))))</f>
        <v/>
      </c>
      <c r="Q150" s="8">
        <f>IF(Applicant_List!L151="Closed","Closed",IF(OR(Applicant_List!L151="Withdrawn",Applicant_List!L151="Terminated"),Applicant_List!L151,IF(N150=1,"No Advancement",IF(K150=1,"Determination Notice Issued",IF(L150=1,"Board","Under Review")))))</f>
        <v/>
      </c>
    </row>
    <row r="151">
      <c r="A151" s="8">
        <f>Applicant_List!C152</f>
        <v/>
      </c>
      <c r="B151" s="8">
        <f>Applicant_List!E152</f>
        <v/>
      </c>
      <c r="C151" s="8">
        <f>Applicant_List!L152</f>
        <v/>
      </c>
      <c r="D151" s="8">
        <f>OR(Applicant_List!L152="Closed",Applicant_List!L152="Withdrawn",Applicant_List!L152="Terminated")</f>
        <v/>
      </c>
      <c r="E151" s="8">
        <f>IF(OR(Applicant_List!AI152="N",Applicant_List!AI152=""),1,0)</f>
        <v/>
      </c>
      <c r="F151" s="8">
        <f>IF(OR(Applicant_List!AK152="N",Applicant_List!AK152="",Applicant_List!AL152="N",Applicant_List!AL152=""),1,0)</f>
        <v/>
      </c>
      <c r="G151" s="8">
        <f>IF(OR(Applicant_List!AM152="N",Applicant_List!AM152=""),1,0)</f>
        <v/>
      </c>
      <c r="H151" s="8">
        <f>IF(OR(Applicant_List!AX152="Y",AND(Applicant_List!AS152="Y",Applicant_List!AV152&lt;&gt;"Y")),1,0)</f>
        <v/>
      </c>
      <c r="I151" s="8">
        <f>IF(OR(Applicant_List!AZ152="N",Applicant_List!AZ152="",Applicant_List!BA152="N",Applicant_List!BA152=""),1,0)</f>
        <v/>
      </c>
      <c r="J151" s="8">
        <f>IF(OR(Applicant_List!BB152="N",Applicant_List!BB152="",Applicant_List!BC152="N",Applicant_List!BE152="Y",Applicant_List!BL152="Y"),1,0)</f>
        <v/>
      </c>
      <c r="K151" s="8">
        <f>IF(AND(Applicant_List!BJ152="Y",Applicant_List!BM152="Y",Applicant_List!BK152&lt;&gt;"Y"),1,0)</f>
        <v/>
      </c>
      <c r="L151" s="8">
        <f>IF(OR(Applicant_List!BN152="Y",Applicant_List!BK152="Y"),1,0)</f>
        <v/>
      </c>
      <c r="M151" s="8">
        <f>COUNTIF(Applicant_List!AI152:BM152,"N")+COUNTBLANK(Applicant_List!AI152:BM152)</f>
        <v/>
      </c>
      <c r="N151" s="8">
        <f>MAX(E151:J151)</f>
        <v/>
      </c>
      <c r="O151" s="8">
        <f>IF(Applicant_List!BP152="Y",100000,0)+IF(ISNUMBER(Applicant_List!BO152),50000-INT(Applicant_List!BO152),0)+IF(LEN(Applicant_List!L152)&gt;0,1000,0)</f>
        <v/>
      </c>
      <c r="P151" s="8">
        <f>IF(D151,"Terminal",IF(N151=1,"Blocked",IF(K151=1,"Determination Notice",IF(L151=1,"Board","Under Review"))))</f>
        <v/>
      </c>
      <c r="Q151" s="8">
        <f>IF(Applicant_List!L152="Closed","Closed",IF(OR(Applicant_List!L152="Withdrawn",Applicant_List!L152="Terminated"),Applicant_List!L152,IF(N151=1,"No Advancement",IF(K151=1,"Determination Notice Issued",IF(L151=1,"Board","Under Review")))))</f>
        <v/>
      </c>
    </row>
    <row r="152">
      <c r="A152" s="8">
        <f>Applicant_List!C153</f>
        <v/>
      </c>
      <c r="B152" s="8">
        <f>Applicant_List!E153</f>
        <v/>
      </c>
      <c r="C152" s="8">
        <f>Applicant_List!L153</f>
        <v/>
      </c>
      <c r="D152" s="8">
        <f>OR(Applicant_List!L153="Closed",Applicant_List!L153="Withdrawn",Applicant_List!L153="Terminated")</f>
        <v/>
      </c>
      <c r="E152" s="8">
        <f>IF(OR(Applicant_List!AI153="N",Applicant_List!AI153=""),1,0)</f>
        <v/>
      </c>
      <c r="F152" s="8">
        <f>IF(OR(Applicant_List!AK153="N",Applicant_List!AK153="",Applicant_List!AL153="N",Applicant_List!AL153=""),1,0)</f>
        <v/>
      </c>
      <c r="G152" s="8">
        <f>IF(OR(Applicant_List!AM153="N",Applicant_List!AM153=""),1,0)</f>
        <v/>
      </c>
      <c r="H152" s="8">
        <f>IF(OR(Applicant_List!AX153="Y",AND(Applicant_List!AS153="Y",Applicant_List!AV153&lt;&gt;"Y")),1,0)</f>
        <v/>
      </c>
      <c r="I152" s="8">
        <f>IF(OR(Applicant_List!AZ153="N",Applicant_List!AZ153="",Applicant_List!BA153="N",Applicant_List!BA153=""),1,0)</f>
        <v/>
      </c>
      <c r="J152" s="8">
        <f>IF(OR(Applicant_List!BB153="N",Applicant_List!BB153="",Applicant_List!BC153="N",Applicant_List!BE153="Y",Applicant_List!BL153="Y"),1,0)</f>
        <v/>
      </c>
      <c r="K152" s="8">
        <f>IF(AND(Applicant_List!BJ153="Y",Applicant_List!BM153="Y",Applicant_List!BK153&lt;&gt;"Y"),1,0)</f>
        <v/>
      </c>
      <c r="L152" s="8">
        <f>IF(OR(Applicant_List!BN153="Y",Applicant_List!BK153="Y"),1,0)</f>
        <v/>
      </c>
      <c r="M152" s="8">
        <f>COUNTIF(Applicant_List!AI153:BM153,"N")+COUNTBLANK(Applicant_List!AI153:BM153)</f>
        <v/>
      </c>
      <c r="N152" s="8">
        <f>MAX(E152:J152)</f>
        <v/>
      </c>
      <c r="O152" s="8">
        <f>IF(Applicant_List!BP153="Y",100000,0)+IF(ISNUMBER(Applicant_List!BO153),50000-INT(Applicant_List!BO153),0)+IF(LEN(Applicant_List!L153)&gt;0,1000,0)</f>
        <v/>
      </c>
      <c r="P152" s="8">
        <f>IF(D152,"Terminal",IF(N152=1,"Blocked",IF(K152=1,"Determination Notice",IF(L152=1,"Board","Under Review"))))</f>
        <v/>
      </c>
      <c r="Q152" s="8">
        <f>IF(Applicant_List!L153="Closed","Closed",IF(OR(Applicant_List!L153="Withdrawn",Applicant_List!L153="Terminated"),Applicant_List!L153,IF(N152=1,"No Advancement",IF(K152=1,"Determination Notice Issued",IF(L152=1,"Board","Under Review")))))</f>
        <v/>
      </c>
    </row>
    <row r="153">
      <c r="A153" s="8">
        <f>Applicant_List!C154</f>
        <v/>
      </c>
      <c r="B153" s="8">
        <f>Applicant_List!E154</f>
        <v/>
      </c>
      <c r="C153" s="8">
        <f>Applicant_List!L154</f>
        <v/>
      </c>
      <c r="D153" s="8">
        <f>OR(Applicant_List!L154="Closed",Applicant_List!L154="Withdrawn",Applicant_List!L154="Terminated")</f>
        <v/>
      </c>
      <c r="E153" s="8">
        <f>IF(OR(Applicant_List!AI154="N",Applicant_List!AI154=""),1,0)</f>
        <v/>
      </c>
      <c r="F153" s="8">
        <f>IF(OR(Applicant_List!AK154="N",Applicant_List!AK154="",Applicant_List!AL154="N",Applicant_List!AL154=""),1,0)</f>
        <v/>
      </c>
      <c r="G153" s="8">
        <f>IF(OR(Applicant_List!AM154="N",Applicant_List!AM154=""),1,0)</f>
        <v/>
      </c>
      <c r="H153" s="8">
        <f>IF(OR(Applicant_List!AX154="Y",AND(Applicant_List!AS154="Y",Applicant_List!AV154&lt;&gt;"Y")),1,0)</f>
        <v/>
      </c>
      <c r="I153" s="8">
        <f>IF(OR(Applicant_List!AZ154="N",Applicant_List!AZ154="",Applicant_List!BA154="N",Applicant_List!BA154=""),1,0)</f>
        <v/>
      </c>
      <c r="J153" s="8">
        <f>IF(OR(Applicant_List!BB154="N",Applicant_List!BB154="",Applicant_List!BC154="N",Applicant_List!BE154="Y",Applicant_List!BL154="Y"),1,0)</f>
        <v/>
      </c>
      <c r="K153" s="8">
        <f>IF(AND(Applicant_List!BJ154="Y",Applicant_List!BM154="Y",Applicant_List!BK154&lt;&gt;"Y"),1,0)</f>
        <v/>
      </c>
      <c r="L153" s="8">
        <f>IF(OR(Applicant_List!BN154="Y",Applicant_List!BK154="Y"),1,0)</f>
        <v/>
      </c>
      <c r="M153" s="8">
        <f>COUNTIF(Applicant_List!AI154:BM154,"N")+COUNTBLANK(Applicant_List!AI154:BM154)</f>
        <v/>
      </c>
      <c r="N153" s="8">
        <f>MAX(E153:J153)</f>
        <v/>
      </c>
      <c r="O153" s="8">
        <f>IF(Applicant_List!BP154="Y",100000,0)+IF(ISNUMBER(Applicant_List!BO154),50000-INT(Applicant_List!BO154),0)+IF(LEN(Applicant_List!L154)&gt;0,1000,0)</f>
        <v/>
      </c>
      <c r="P153" s="8">
        <f>IF(D153,"Terminal",IF(N153=1,"Blocked",IF(K153=1,"Determination Notice",IF(L153=1,"Board","Under Review"))))</f>
        <v/>
      </c>
      <c r="Q153" s="8">
        <f>IF(Applicant_List!L154="Closed","Closed",IF(OR(Applicant_List!L154="Withdrawn",Applicant_List!L154="Terminated"),Applicant_List!L154,IF(N153=1,"No Advancement",IF(K153=1,"Determination Notice Issued",IF(L153=1,"Board","Under Review")))))</f>
        <v/>
      </c>
    </row>
    <row r="154">
      <c r="A154" s="8">
        <f>Applicant_List!C155</f>
        <v/>
      </c>
      <c r="B154" s="8">
        <f>Applicant_List!E155</f>
        <v/>
      </c>
      <c r="C154" s="8">
        <f>Applicant_List!L155</f>
        <v/>
      </c>
      <c r="D154" s="8">
        <f>OR(Applicant_List!L155="Closed",Applicant_List!L155="Withdrawn",Applicant_List!L155="Terminated")</f>
        <v/>
      </c>
      <c r="E154" s="8">
        <f>IF(OR(Applicant_List!AI155="N",Applicant_List!AI155=""),1,0)</f>
        <v/>
      </c>
      <c r="F154" s="8">
        <f>IF(OR(Applicant_List!AK155="N",Applicant_List!AK155="",Applicant_List!AL155="N",Applicant_List!AL155=""),1,0)</f>
        <v/>
      </c>
      <c r="G154" s="8">
        <f>IF(OR(Applicant_List!AM155="N",Applicant_List!AM155=""),1,0)</f>
        <v/>
      </c>
      <c r="H154" s="8">
        <f>IF(OR(Applicant_List!AX155="Y",AND(Applicant_List!AS155="Y",Applicant_List!AV155&lt;&gt;"Y")),1,0)</f>
        <v/>
      </c>
      <c r="I154" s="8">
        <f>IF(OR(Applicant_List!AZ155="N",Applicant_List!AZ155="",Applicant_List!BA155="N",Applicant_List!BA155=""),1,0)</f>
        <v/>
      </c>
      <c r="J154" s="8">
        <f>IF(OR(Applicant_List!BB155="N",Applicant_List!BB155="",Applicant_List!BC155="N",Applicant_List!BE155="Y",Applicant_List!BL155="Y"),1,0)</f>
        <v/>
      </c>
      <c r="K154" s="8">
        <f>IF(AND(Applicant_List!BJ155="Y",Applicant_List!BM155="Y",Applicant_List!BK155&lt;&gt;"Y"),1,0)</f>
        <v/>
      </c>
      <c r="L154" s="8">
        <f>IF(OR(Applicant_List!BN155="Y",Applicant_List!BK155="Y"),1,0)</f>
        <v/>
      </c>
      <c r="M154" s="8">
        <f>COUNTIF(Applicant_List!AI155:BM155,"N")+COUNTBLANK(Applicant_List!AI155:BM155)</f>
        <v/>
      </c>
      <c r="N154" s="8">
        <f>MAX(E154:J154)</f>
        <v/>
      </c>
      <c r="O154" s="8">
        <f>IF(Applicant_List!BP155="Y",100000,0)+IF(ISNUMBER(Applicant_List!BO155),50000-INT(Applicant_List!BO155),0)+IF(LEN(Applicant_List!L155)&gt;0,1000,0)</f>
        <v/>
      </c>
      <c r="P154" s="8">
        <f>IF(D154,"Terminal",IF(N154=1,"Blocked",IF(K154=1,"Determination Notice",IF(L154=1,"Board","Under Review"))))</f>
        <v/>
      </c>
      <c r="Q154" s="8">
        <f>IF(Applicant_List!L155="Closed","Closed",IF(OR(Applicant_List!L155="Withdrawn",Applicant_List!L155="Terminated"),Applicant_List!L155,IF(N154=1,"No Advancement",IF(K154=1,"Determination Notice Issued",IF(L154=1,"Board","Under Review")))))</f>
        <v/>
      </c>
    </row>
    <row r="155">
      <c r="A155" s="8">
        <f>Applicant_List!C156</f>
        <v/>
      </c>
      <c r="B155" s="8">
        <f>Applicant_List!E156</f>
        <v/>
      </c>
      <c r="C155" s="8">
        <f>Applicant_List!L156</f>
        <v/>
      </c>
      <c r="D155" s="8">
        <f>OR(Applicant_List!L156="Closed",Applicant_List!L156="Withdrawn",Applicant_List!L156="Terminated")</f>
        <v/>
      </c>
      <c r="E155" s="8">
        <f>IF(OR(Applicant_List!AI156="N",Applicant_List!AI156=""),1,0)</f>
        <v/>
      </c>
      <c r="F155" s="8">
        <f>IF(OR(Applicant_List!AK156="N",Applicant_List!AK156="",Applicant_List!AL156="N",Applicant_List!AL156=""),1,0)</f>
        <v/>
      </c>
      <c r="G155" s="8">
        <f>IF(OR(Applicant_List!AM156="N",Applicant_List!AM156=""),1,0)</f>
        <v/>
      </c>
      <c r="H155" s="8">
        <f>IF(OR(Applicant_List!AX156="Y",AND(Applicant_List!AS156="Y",Applicant_List!AV156&lt;&gt;"Y")),1,0)</f>
        <v/>
      </c>
      <c r="I155" s="8">
        <f>IF(OR(Applicant_List!AZ156="N",Applicant_List!AZ156="",Applicant_List!BA156="N",Applicant_List!BA156=""),1,0)</f>
        <v/>
      </c>
      <c r="J155" s="8">
        <f>IF(OR(Applicant_List!BB156="N",Applicant_List!BB156="",Applicant_List!BC156="N",Applicant_List!BE156="Y",Applicant_List!BL156="Y"),1,0)</f>
        <v/>
      </c>
      <c r="K155" s="8">
        <f>IF(AND(Applicant_List!BJ156="Y",Applicant_List!BM156="Y",Applicant_List!BK156&lt;&gt;"Y"),1,0)</f>
        <v/>
      </c>
      <c r="L155" s="8">
        <f>IF(OR(Applicant_List!BN156="Y",Applicant_List!BK156="Y"),1,0)</f>
        <v/>
      </c>
      <c r="M155" s="8">
        <f>COUNTIF(Applicant_List!AI156:BM156,"N")+COUNTBLANK(Applicant_List!AI156:BM156)</f>
        <v/>
      </c>
      <c r="N155" s="8">
        <f>MAX(E155:J155)</f>
        <v/>
      </c>
      <c r="O155" s="8">
        <f>IF(Applicant_List!BP156="Y",100000,0)+IF(ISNUMBER(Applicant_List!BO156),50000-INT(Applicant_List!BO156),0)+IF(LEN(Applicant_List!L156)&gt;0,1000,0)</f>
        <v/>
      </c>
      <c r="P155" s="8">
        <f>IF(D155,"Terminal",IF(N155=1,"Blocked",IF(K155=1,"Determination Notice",IF(L155=1,"Board","Under Review"))))</f>
        <v/>
      </c>
      <c r="Q155" s="8">
        <f>IF(Applicant_List!L156="Closed","Closed",IF(OR(Applicant_List!L156="Withdrawn",Applicant_List!L156="Terminated"),Applicant_List!L156,IF(N155=1,"No Advancement",IF(K155=1,"Determination Notice Issued",IF(L155=1,"Board","Under Review")))))</f>
        <v/>
      </c>
    </row>
    <row r="156">
      <c r="A156" s="8">
        <f>Applicant_List!C157</f>
        <v/>
      </c>
      <c r="B156" s="8">
        <f>Applicant_List!E157</f>
        <v/>
      </c>
      <c r="C156" s="8">
        <f>Applicant_List!L157</f>
        <v/>
      </c>
      <c r="D156" s="8">
        <f>OR(Applicant_List!L157="Closed",Applicant_List!L157="Withdrawn",Applicant_List!L157="Terminated")</f>
        <v/>
      </c>
      <c r="E156" s="8">
        <f>IF(OR(Applicant_List!AI157="N",Applicant_List!AI157=""),1,0)</f>
        <v/>
      </c>
      <c r="F156" s="8">
        <f>IF(OR(Applicant_List!AK157="N",Applicant_List!AK157="",Applicant_List!AL157="N",Applicant_List!AL157=""),1,0)</f>
        <v/>
      </c>
      <c r="G156" s="8">
        <f>IF(OR(Applicant_List!AM157="N",Applicant_List!AM157=""),1,0)</f>
        <v/>
      </c>
      <c r="H156" s="8">
        <f>IF(OR(Applicant_List!AX157="Y",AND(Applicant_List!AS157="Y",Applicant_List!AV157&lt;&gt;"Y")),1,0)</f>
        <v/>
      </c>
      <c r="I156" s="8">
        <f>IF(OR(Applicant_List!AZ157="N",Applicant_List!AZ157="",Applicant_List!BA157="N",Applicant_List!BA157=""),1,0)</f>
        <v/>
      </c>
      <c r="J156" s="8">
        <f>IF(OR(Applicant_List!BB157="N",Applicant_List!BB157="",Applicant_List!BC157="N",Applicant_List!BE157="Y",Applicant_List!BL157="Y"),1,0)</f>
        <v/>
      </c>
      <c r="K156" s="8">
        <f>IF(AND(Applicant_List!BJ157="Y",Applicant_List!BM157="Y",Applicant_List!BK157&lt;&gt;"Y"),1,0)</f>
        <v/>
      </c>
      <c r="L156" s="8">
        <f>IF(OR(Applicant_List!BN157="Y",Applicant_List!BK157="Y"),1,0)</f>
        <v/>
      </c>
      <c r="M156" s="8">
        <f>COUNTIF(Applicant_List!AI157:BM157,"N")+COUNTBLANK(Applicant_List!AI157:BM157)</f>
        <v/>
      </c>
      <c r="N156" s="8">
        <f>MAX(E156:J156)</f>
        <v/>
      </c>
      <c r="O156" s="8">
        <f>IF(Applicant_List!BP157="Y",100000,0)+IF(ISNUMBER(Applicant_List!BO157),50000-INT(Applicant_List!BO157),0)+IF(LEN(Applicant_List!L157)&gt;0,1000,0)</f>
        <v/>
      </c>
      <c r="P156" s="8">
        <f>IF(D156,"Terminal",IF(N156=1,"Blocked",IF(K156=1,"Determination Notice",IF(L156=1,"Board","Under Review"))))</f>
        <v/>
      </c>
      <c r="Q156" s="8">
        <f>IF(Applicant_List!L157="Closed","Closed",IF(OR(Applicant_List!L157="Withdrawn",Applicant_List!L157="Terminated"),Applicant_List!L157,IF(N156=1,"No Advancement",IF(K156=1,"Determination Notice Issued",IF(L156=1,"Board","Under Review")))))</f>
        <v/>
      </c>
    </row>
    <row r="157">
      <c r="A157" s="8">
        <f>Applicant_List!C158</f>
        <v/>
      </c>
      <c r="B157" s="8">
        <f>Applicant_List!E158</f>
        <v/>
      </c>
      <c r="C157" s="8">
        <f>Applicant_List!L158</f>
        <v/>
      </c>
      <c r="D157" s="8">
        <f>OR(Applicant_List!L158="Closed",Applicant_List!L158="Withdrawn",Applicant_List!L158="Terminated")</f>
        <v/>
      </c>
      <c r="E157" s="8">
        <f>IF(OR(Applicant_List!AI158="N",Applicant_List!AI158=""),1,0)</f>
        <v/>
      </c>
      <c r="F157" s="8">
        <f>IF(OR(Applicant_List!AK158="N",Applicant_List!AK158="",Applicant_List!AL158="N",Applicant_List!AL158=""),1,0)</f>
        <v/>
      </c>
      <c r="G157" s="8">
        <f>IF(OR(Applicant_List!AM158="N",Applicant_List!AM158=""),1,0)</f>
        <v/>
      </c>
      <c r="H157" s="8">
        <f>IF(OR(Applicant_List!AX158="Y",AND(Applicant_List!AS158="Y",Applicant_List!AV158&lt;&gt;"Y")),1,0)</f>
        <v/>
      </c>
      <c r="I157" s="8">
        <f>IF(OR(Applicant_List!AZ158="N",Applicant_List!AZ158="",Applicant_List!BA158="N",Applicant_List!BA158=""),1,0)</f>
        <v/>
      </c>
      <c r="J157" s="8">
        <f>IF(OR(Applicant_List!BB158="N",Applicant_List!BB158="",Applicant_List!BC158="N",Applicant_List!BE158="Y",Applicant_List!BL158="Y"),1,0)</f>
        <v/>
      </c>
      <c r="K157" s="8">
        <f>IF(AND(Applicant_List!BJ158="Y",Applicant_List!BM158="Y",Applicant_List!BK158&lt;&gt;"Y"),1,0)</f>
        <v/>
      </c>
      <c r="L157" s="8">
        <f>IF(OR(Applicant_List!BN158="Y",Applicant_List!BK158="Y"),1,0)</f>
        <v/>
      </c>
      <c r="M157" s="8">
        <f>COUNTIF(Applicant_List!AI158:BM158,"N")+COUNTBLANK(Applicant_List!AI158:BM158)</f>
        <v/>
      </c>
      <c r="N157" s="8">
        <f>MAX(E157:J157)</f>
        <v/>
      </c>
      <c r="O157" s="8">
        <f>IF(Applicant_List!BP158="Y",100000,0)+IF(ISNUMBER(Applicant_List!BO158),50000-INT(Applicant_List!BO158),0)+IF(LEN(Applicant_List!L158)&gt;0,1000,0)</f>
        <v/>
      </c>
      <c r="P157" s="8">
        <f>IF(D157,"Terminal",IF(N157=1,"Blocked",IF(K157=1,"Determination Notice",IF(L157=1,"Board","Under Review"))))</f>
        <v/>
      </c>
      <c r="Q157" s="8">
        <f>IF(Applicant_List!L158="Closed","Closed",IF(OR(Applicant_List!L158="Withdrawn",Applicant_List!L158="Terminated"),Applicant_List!L158,IF(N157=1,"No Advancement",IF(K157=1,"Determination Notice Issued",IF(L157=1,"Board","Under Review")))))</f>
        <v/>
      </c>
    </row>
    <row r="158">
      <c r="A158" s="8">
        <f>Applicant_List!C159</f>
        <v/>
      </c>
      <c r="B158" s="8">
        <f>Applicant_List!E159</f>
        <v/>
      </c>
      <c r="C158" s="8">
        <f>Applicant_List!L159</f>
        <v/>
      </c>
      <c r="D158" s="8">
        <f>OR(Applicant_List!L159="Closed",Applicant_List!L159="Withdrawn",Applicant_List!L159="Terminated")</f>
        <v/>
      </c>
      <c r="E158" s="8">
        <f>IF(OR(Applicant_List!AI159="N",Applicant_List!AI159=""),1,0)</f>
        <v/>
      </c>
      <c r="F158" s="8">
        <f>IF(OR(Applicant_List!AK159="N",Applicant_List!AK159="",Applicant_List!AL159="N",Applicant_List!AL159=""),1,0)</f>
        <v/>
      </c>
      <c r="G158" s="8">
        <f>IF(OR(Applicant_List!AM159="N",Applicant_List!AM159=""),1,0)</f>
        <v/>
      </c>
      <c r="H158" s="8">
        <f>IF(OR(Applicant_List!AX159="Y",AND(Applicant_List!AS159="Y",Applicant_List!AV159&lt;&gt;"Y")),1,0)</f>
        <v/>
      </c>
      <c r="I158" s="8">
        <f>IF(OR(Applicant_List!AZ159="N",Applicant_List!AZ159="",Applicant_List!BA159="N",Applicant_List!BA159=""),1,0)</f>
        <v/>
      </c>
      <c r="J158" s="8">
        <f>IF(OR(Applicant_List!BB159="N",Applicant_List!BB159="",Applicant_List!BC159="N",Applicant_List!BE159="Y",Applicant_List!BL159="Y"),1,0)</f>
        <v/>
      </c>
      <c r="K158" s="8">
        <f>IF(AND(Applicant_List!BJ159="Y",Applicant_List!BM159="Y",Applicant_List!BK159&lt;&gt;"Y"),1,0)</f>
        <v/>
      </c>
      <c r="L158" s="8">
        <f>IF(OR(Applicant_List!BN159="Y",Applicant_List!BK159="Y"),1,0)</f>
        <v/>
      </c>
      <c r="M158" s="8">
        <f>COUNTIF(Applicant_List!AI159:BM159,"N")+COUNTBLANK(Applicant_List!AI159:BM159)</f>
        <v/>
      </c>
      <c r="N158" s="8">
        <f>MAX(E158:J158)</f>
        <v/>
      </c>
      <c r="O158" s="8">
        <f>IF(Applicant_List!BP159="Y",100000,0)+IF(ISNUMBER(Applicant_List!BO159),50000-INT(Applicant_List!BO159),0)+IF(LEN(Applicant_List!L159)&gt;0,1000,0)</f>
        <v/>
      </c>
      <c r="P158" s="8">
        <f>IF(D158,"Terminal",IF(N158=1,"Blocked",IF(K158=1,"Determination Notice",IF(L158=1,"Board","Under Review"))))</f>
        <v/>
      </c>
      <c r="Q158" s="8">
        <f>IF(Applicant_List!L159="Closed","Closed",IF(OR(Applicant_List!L159="Withdrawn",Applicant_List!L159="Terminated"),Applicant_List!L159,IF(N158=1,"No Advancement",IF(K158=1,"Determination Notice Issued",IF(L158=1,"Board","Under Review")))))</f>
        <v/>
      </c>
    </row>
    <row r="159">
      <c r="A159" s="8">
        <f>Applicant_List!C160</f>
        <v/>
      </c>
      <c r="B159" s="8">
        <f>Applicant_List!E160</f>
        <v/>
      </c>
      <c r="C159" s="8">
        <f>Applicant_List!L160</f>
        <v/>
      </c>
      <c r="D159" s="8">
        <f>OR(Applicant_List!L160="Closed",Applicant_List!L160="Withdrawn",Applicant_List!L160="Terminated")</f>
        <v/>
      </c>
      <c r="E159" s="8">
        <f>IF(OR(Applicant_List!AI160="N",Applicant_List!AI160=""),1,0)</f>
        <v/>
      </c>
      <c r="F159" s="8">
        <f>IF(OR(Applicant_List!AK160="N",Applicant_List!AK160="",Applicant_List!AL160="N",Applicant_List!AL160=""),1,0)</f>
        <v/>
      </c>
      <c r="G159" s="8">
        <f>IF(OR(Applicant_List!AM160="N",Applicant_List!AM160=""),1,0)</f>
        <v/>
      </c>
      <c r="H159" s="8">
        <f>IF(OR(Applicant_List!AX160="Y",AND(Applicant_List!AS160="Y",Applicant_List!AV160&lt;&gt;"Y")),1,0)</f>
        <v/>
      </c>
      <c r="I159" s="8">
        <f>IF(OR(Applicant_List!AZ160="N",Applicant_List!AZ160="",Applicant_List!BA160="N",Applicant_List!BA160=""),1,0)</f>
        <v/>
      </c>
      <c r="J159" s="8">
        <f>IF(OR(Applicant_List!BB160="N",Applicant_List!BB160="",Applicant_List!BC160="N",Applicant_List!BE160="Y",Applicant_List!BL160="Y"),1,0)</f>
        <v/>
      </c>
      <c r="K159" s="8">
        <f>IF(AND(Applicant_List!BJ160="Y",Applicant_List!BM160="Y",Applicant_List!BK160&lt;&gt;"Y"),1,0)</f>
        <v/>
      </c>
      <c r="L159" s="8">
        <f>IF(OR(Applicant_List!BN160="Y",Applicant_List!BK160="Y"),1,0)</f>
        <v/>
      </c>
      <c r="M159" s="8">
        <f>COUNTIF(Applicant_List!AI160:BM160,"N")+COUNTBLANK(Applicant_List!AI160:BM160)</f>
        <v/>
      </c>
      <c r="N159" s="8">
        <f>MAX(E159:J159)</f>
        <v/>
      </c>
      <c r="O159" s="8">
        <f>IF(Applicant_List!BP160="Y",100000,0)+IF(ISNUMBER(Applicant_List!BO160),50000-INT(Applicant_List!BO160),0)+IF(LEN(Applicant_List!L160)&gt;0,1000,0)</f>
        <v/>
      </c>
      <c r="P159" s="8">
        <f>IF(D159,"Terminal",IF(N159=1,"Blocked",IF(K159=1,"Determination Notice",IF(L159=1,"Board","Under Review"))))</f>
        <v/>
      </c>
      <c r="Q159" s="8">
        <f>IF(Applicant_List!L160="Closed","Closed",IF(OR(Applicant_List!L160="Withdrawn",Applicant_List!L160="Terminated"),Applicant_List!L160,IF(N159=1,"No Advancement",IF(K159=1,"Determination Notice Issued",IF(L159=1,"Board","Under Review")))))</f>
        <v/>
      </c>
    </row>
    <row r="160">
      <c r="A160" s="8">
        <f>Applicant_List!C161</f>
        <v/>
      </c>
      <c r="B160" s="8">
        <f>Applicant_List!E161</f>
        <v/>
      </c>
      <c r="C160" s="8">
        <f>Applicant_List!L161</f>
        <v/>
      </c>
      <c r="D160" s="8">
        <f>OR(Applicant_List!L161="Closed",Applicant_List!L161="Withdrawn",Applicant_List!L161="Terminated")</f>
        <v/>
      </c>
      <c r="E160" s="8">
        <f>IF(OR(Applicant_List!AI161="N",Applicant_List!AI161=""),1,0)</f>
        <v/>
      </c>
      <c r="F160" s="8">
        <f>IF(OR(Applicant_List!AK161="N",Applicant_List!AK161="",Applicant_List!AL161="N",Applicant_List!AL161=""),1,0)</f>
        <v/>
      </c>
      <c r="G160" s="8">
        <f>IF(OR(Applicant_List!AM161="N",Applicant_List!AM161=""),1,0)</f>
        <v/>
      </c>
      <c r="H160" s="8">
        <f>IF(OR(Applicant_List!AX161="Y",AND(Applicant_List!AS161="Y",Applicant_List!AV161&lt;&gt;"Y")),1,0)</f>
        <v/>
      </c>
      <c r="I160" s="8">
        <f>IF(OR(Applicant_List!AZ161="N",Applicant_List!AZ161="",Applicant_List!BA161="N",Applicant_List!BA161=""),1,0)</f>
        <v/>
      </c>
      <c r="J160" s="8">
        <f>IF(OR(Applicant_List!BB161="N",Applicant_List!BB161="",Applicant_List!BC161="N",Applicant_List!BE161="Y",Applicant_List!BL161="Y"),1,0)</f>
        <v/>
      </c>
      <c r="K160" s="8">
        <f>IF(AND(Applicant_List!BJ161="Y",Applicant_List!BM161="Y",Applicant_List!BK161&lt;&gt;"Y"),1,0)</f>
        <v/>
      </c>
      <c r="L160" s="8">
        <f>IF(OR(Applicant_List!BN161="Y",Applicant_List!BK161="Y"),1,0)</f>
        <v/>
      </c>
      <c r="M160" s="8">
        <f>COUNTIF(Applicant_List!AI161:BM161,"N")+COUNTBLANK(Applicant_List!AI161:BM161)</f>
        <v/>
      </c>
      <c r="N160" s="8">
        <f>MAX(E160:J160)</f>
        <v/>
      </c>
      <c r="O160" s="8">
        <f>IF(Applicant_List!BP161="Y",100000,0)+IF(ISNUMBER(Applicant_List!BO161),50000-INT(Applicant_List!BO161),0)+IF(LEN(Applicant_List!L161)&gt;0,1000,0)</f>
        <v/>
      </c>
      <c r="P160" s="8">
        <f>IF(D160,"Terminal",IF(N160=1,"Blocked",IF(K160=1,"Determination Notice",IF(L160=1,"Board","Under Review"))))</f>
        <v/>
      </c>
      <c r="Q160" s="8">
        <f>IF(Applicant_List!L161="Closed","Closed",IF(OR(Applicant_List!L161="Withdrawn",Applicant_List!L161="Terminated"),Applicant_List!L161,IF(N160=1,"No Advancement",IF(K160=1,"Determination Notice Issued",IF(L160=1,"Board","Under Review")))))</f>
        <v/>
      </c>
    </row>
    <row r="161">
      <c r="A161" s="8">
        <f>Applicant_List!C162</f>
        <v/>
      </c>
      <c r="B161" s="8">
        <f>Applicant_List!E162</f>
        <v/>
      </c>
      <c r="C161" s="8">
        <f>Applicant_List!L162</f>
        <v/>
      </c>
      <c r="D161" s="8">
        <f>OR(Applicant_List!L162="Closed",Applicant_List!L162="Withdrawn",Applicant_List!L162="Terminated")</f>
        <v/>
      </c>
      <c r="E161" s="8">
        <f>IF(OR(Applicant_List!AI162="N",Applicant_List!AI162=""),1,0)</f>
        <v/>
      </c>
      <c r="F161" s="8">
        <f>IF(OR(Applicant_List!AK162="N",Applicant_List!AK162="",Applicant_List!AL162="N",Applicant_List!AL162=""),1,0)</f>
        <v/>
      </c>
      <c r="G161" s="8">
        <f>IF(OR(Applicant_List!AM162="N",Applicant_List!AM162=""),1,0)</f>
        <v/>
      </c>
      <c r="H161" s="8">
        <f>IF(OR(Applicant_List!AX162="Y",AND(Applicant_List!AS162="Y",Applicant_List!AV162&lt;&gt;"Y")),1,0)</f>
        <v/>
      </c>
      <c r="I161" s="8">
        <f>IF(OR(Applicant_List!AZ162="N",Applicant_List!AZ162="",Applicant_List!BA162="N",Applicant_List!BA162=""),1,0)</f>
        <v/>
      </c>
      <c r="J161" s="8">
        <f>IF(OR(Applicant_List!BB162="N",Applicant_List!BB162="",Applicant_List!BC162="N",Applicant_List!BE162="Y",Applicant_List!BL162="Y"),1,0)</f>
        <v/>
      </c>
      <c r="K161" s="8">
        <f>IF(AND(Applicant_List!BJ162="Y",Applicant_List!BM162="Y",Applicant_List!BK162&lt;&gt;"Y"),1,0)</f>
        <v/>
      </c>
      <c r="L161" s="8">
        <f>IF(OR(Applicant_List!BN162="Y",Applicant_List!BK162="Y"),1,0)</f>
        <v/>
      </c>
      <c r="M161" s="8">
        <f>COUNTIF(Applicant_List!AI162:BM162,"N")+COUNTBLANK(Applicant_List!AI162:BM162)</f>
        <v/>
      </c>
      <c r="N161" s="8">
        <f>MAX(E161:J161)</f>
        <v/>
      </c>
      <c r="O161" s="8">
        <f>IF(Applicant_List!BP162="Y",100000,0)+IF(ISNUMBER(Applicant_List!BO162),50000-INT(Applicant_List!BO162),0)+IF(LEN(Applicant_List!L162)&gt;0,1000,0)</f>
        <v/>
      </c>
      <c r="P161" s="8">
        <f>IF(D161,"Terminal",IF(N161=1,"Blocked",IF(K161=1,"Determination Notice",IF(L161=1,"Board","Under Review"))))</f>
        <v/>
      </c>
      <c r="Q161" s="8">
        <f>IF(Applicant_List!L162="Closed","Closed",IF(OR(Applicant_List!L162="Withdrawn",Applicant_List!L162="Terminated"),Applicant_List!L162,IF(N161=1,"No Advancement",IF(K161=1,"Determination Notice Issued",IF(L161=1,"Board","Under Review")))))</f>
        <v/>
      </c>
    </row>
    <row r="162">
      <c r="A162" s="8">
        <f>Applicant_List!C163</f>
        <v/>
      </c>
      <c r="B162" s="8">
        <f>Applicant_List!E163</f>
        <v/>
      </c>
      <c r="C162" s="8">
        <f>Applicant_List!L163</f>
        <v/>
      </c>
      <c r="D162" s="8">
        <f>OR(Applicant_List!L163="Closed",Applicant_List!L163="Withdrawn",Applicant_List!L163="Terminated")</f>
        <v/>
      </c>
      <c r="E162" s="8">
        <f>IF(OR(Applicant_List!AI163="N",Applicant_List!AI163=""),1,0)</f>
        <v/>
      </c>
      <c r="F162" s="8">
        <f>IF(OR(Applicant_List!AK163="N",Applicant_List!AK163="",Applicant_List!AL163="N",Applicant_List!AL163=""),1,0)</f>
        <v/>
      </c>
      <c r="G162" s="8">
        <f>IF(OR(Applicant_List!AM163="N",Applicant_List!AM163=""),1,0)</f>
        <v/>
      </c>
      <c r="H162" s="8">
        <f>IF(OR(Applicant_List!AX163="Y",AND(Applicant_List!AS163="Y",Applicant_List!AV163&lt;&gt;"Y")),1,0)</f>
        <v/>
      </c>
      <c r="I162" s="8">
        <f>IF(OR(Applicant_List!AZ163="N",Applicant_List!AZ163="",Applicant_List!BA163="N",Applicant_List!BA163=""),1,0)</f>
        <v/>
      </c>
      <c r="J162" s="8">
        <f>IF(OR(Applicant_List!BB163="N",Applicant_List!BB163="",Applicant_List!BC163="N",Applicant_List!BE163="Y",Applicant_List!BL163="Y"),1,0)</f>
        <v/>
      </c>
      <c r="K162" s="8">
        <f>IF(AND(Applicant_List!BJ163="Y",Applicant_List!BM163="Y",Applicant_List!BK163&lt;&gt;"Y"),1,0)</f>
        <v/>
      </c>
      <c r="L162" s="8">
        <f>IF(OR(Applicant_List!BN163="Y",Applicant_List!BK163="Y"),1,0)</f>
        <v/>
      </c>
      <c r="M162" s="8">
        <f>COUNTIF(Applicant_List!AI163:BM163,"N")+COUNTBLANK(Applicant_List!AI163:BM163)</f>
        <v/>
      </c>
      <c r="N162" s="8">
        <f>MAX(E162:J162)</f>
        <v/>
      </c>
      <c r="O162" s="8">
        <f>IF(Applicant_List!BP163="Y",100000,0)+IF(ISNUMBER(Applicant_List!BO163),50000-INT(Applicant_List!BO163),0)+IF(LEN(Applicant_List!L163)&gt;0,1000,0)</f>
        <v/>
      </c>
      <c r="P162" s="8">
        <f>IF(D162,"Terminal",IF(N162=1,"Blocked",IF(K162=1,"Determination Notice",IF(L162=1,"Board","Under Review"))))</f>
        <v/>
      </c>
      <c r="Q162" s="8">
        <f>IF(Applicant_List!L163="Closed","Closed",IF(OR(Applicant_List!L163="Withdrawn",Applicant_List!L163="Terminated"),Applicant_List!L163,IF(N162=1,"No Advancement",IF(K162=1,"Determination Notice Issued",IF(L162=1,"Board","Under Review")))))</f>
        <v/>
      </c>
    </row>
    <row r="163">
      <c r="A163" s="8">
        <f>Applicant_List!C164</f>
        <v/>
      </c>
      <c r="B163" s="8">
        <f>Applicant_List!E164</f>
        <v/>
      </c>
      <c r="C163" s="8">
        <f>Applicant_List!L164</f>
        <v/>
      </c>
      <c r="D163" s="8">
        <f>OR(Applicant_List!L164="Closed",Applicant_List!L164="Withdrawn",Applicant_List!L164="Terminated")</f>
        <v/>
      </c>
      <c r="E163" s="8">
        <f>IF(OR(Applicant_List!AI164="N",Applicant_List!AI164=""),1,0)</f>
        <v/>
      </c>
      <c r="F163" s="8">
        <f>IF(OR(Applicant_List!AK164="N",Applicant_List!AK164="",Applicant_List!AL164="N",Applicant_List!AL164=""),1,0)</f>
        <v/>
      </c>
      <c r="G163" s="8">
        <f>IF(OR(Applicant_List!AM164="N",Applicant_List!AM164=""),1,0)</f>
        <v/>
      </c>
      <c r="H163" s="8">
        <f>IF(OR(Applicant_List!AX164="Y",AND(Applicant_List!AS164="Y",Applicant_List!AV164&lt;&gt;"Y")),1,0)</f>
        <v/>
      </c>
      <c r="I163" s="8">
        <f>IF(OR(Applicant_List!AZ164="N",Applicant_List!AZ164="",Applicant_List!BA164="N",Applicant_List!BA164=""),1,0)</f>
        <v/>
      </c>
      <c r="J163" s="8">
        <f>IF(OR(Applicant_List!BB164="N",Applicant_List!BB164="",Applicant_List!BC164="N",Applicant_List!BE164="Y",Applicant_List!BL164="Y"),1,0)</f>
        <v/>
      </c>
      <c r="K163" s="8">
        <f>IF(AND(Applicant_List!BJ164="Y",Applicant_List!BM164="Y",Applicant_List!BK164&lt;&gt;"Y"),1,0)</f>
        <v/>
      </c>
      <c r="L163" s="8">
        <f>IF(OR(Applicant_List!BN164="Y",Applicant_List!BK164="Y"),1,0)</f>
        <v/>
      </c>
      <c r="M163" s="8">
        <f>COUNTIF(Applicant_List!AI164:BM164,"N")+COUNTBLANK(Applicant_List!AI164:BM164)</f>
        <v/>
      </c>
      <c r="N163" s="8">
        <f>MAX(E163:J163)</f>
        <v/>
      </c>
      <c r="O163" s="8">
        <f>IF(Applicant_List!BP164="Y",100000,0)+IF(ISNUMBER(Applicant_List!BO164),50000-INT(Applicant_List!BO164),0)+IF(LEN(Applicant_List!L164)&gt;0,1000,0)</f>
        <v/>
      </c>
      <c r="P163" s="8">
        <f>IF(D163,"Terminal",IF(N163=1,"Blocked",IF(K163=1,"Determination Notice",IF(L163=1,"Board","Under Review"))))</f>
        <v/>
      </c>
      <c r="Q163" s="8">
        <f>IF(Applicant_List!L164="Closed","Closed",IF(OR(Applicant_List!L164="Withdrawn",Applicant_List!L164="Terminated"),Applicant_List!L164,IF(N163=1,"No Advancement",IF(K163=1,"Determination Notice Issued",IF(L163=1,"Board","Under Review")))))</f>
        <v/>
      </c>
    </row>
    <row r="164">
      <c r="A164" s="8">
        <f>Applicant_List!C165</f>
        <v/>
      </c>
      <c r="B164" s="8">
        <f>Applicant_List!E165</f>
        <v/>
      </c>
      <c r="C164" s="8">
        <f>Applicant_List!L165</f>
        <v/>
      </c>
      <c r="D164" s="8">
        <f>OR(Applicant_List!L165="Closed",Applicant_List!L165="Withdrawn",Applicant_List!L165="Terminated")</f>
        <v/>
      </c>
      <c r="E164" s="8">
        <f>IF(OR(Applicant_List!AI165="N",Applicant_List!AI165=""),1,0)</f>
        <v/>
      </c>
      <c r="F164" s="8">
        <f>IF(OR(Applicant_List!AK165="N",Applicant_List!AK165="",Applicant_List!AL165="N",Applicant_List!AL165=""),1,0)</f>
        <v/>
      </c>
      <c r="G164" s="8">
        <f>IF(OR(Applicant_List!AM165="N",Applicant_List!AM165=""),1,0)</f>
        <v/>
      </c>
      <c r="H164" s="8">
        <f>IF(OR(Applicant_List!AX165="Y",AND(Applicant_List!AS165="Y",Applicant_List!AV165&lt;&gt;"Y")),1,0)</f>
        <v/>
      </c>
      <c r="I164" s="8">
        <f>IF(OR(Applicant_List!AZ165="N",Applicant_List!AZ165="",Applicant_List!BA165="N",Applicant_List!BA165=""),1,0)</f>
        <v/>
      </c>
      <c r="J164" s="8">
        <f>IF(OR(Applicant_List!BB165="N",Applicant_List!BB165="",Applicant_List!BC165="N",Applicant_List!BE165="Y",Applicant_List!BL165="Y"),1,0)</f>
        <v/>
      </c>
      <c r="K164" s="8">
        <f>IF(AND(Applicant_List!BJ165="Y",Applicant_List!BM165="Y",Applicant_List!BK165&lt;&gt;"Y"),1,0)</f>
        <v/>
      </c>
      <c r="L164" s="8">
        <f>IF(OR(Applicant_List!BN165="Y",Applicant_List!BK165="Y"),1,0)</f>
        <v/>
      </c>
      <c r="M164" s="8">
        <f>COUNTIF(Applicant_List!AI165:BM165,"N")+COUNTBLANK(Applicant_List!AI165:BM165)</f>
        <v/>
      </c>
      <c r="N164" s="8">
        <f>MAX(E164:J164)</f>
        <v/>
      </c>
      <c r="O164" s="8">
        <f>IF(Applicant_List!BP165="Y",100000,0)+IF(ISNUMBER(Applicant_List!BO165),50000-INT(Applicant_List!BO165),0)+IF(LEN(Applicant_List!L165)&gt;0,1000,0)</f>
        <v/>
      </c>
      <c r="P164" s="8">
        <f>IF(D164,"Terminal",IF(N164=1,"Blocked",IF(K164=1,"Determination Notice",IF(L164=1,"Board","Under Review"))))</f>
        <v/>
      </c>
      <c r="Q164" s="8">
        <f>IF(Applicant_List!L165="Closed","Closed",IF(OR(Applicant_List!L165="Withdrawn",Applicant_List!L165="Terminated"),Applicant_List!L165,IF(N164=1,"No Advancement",IF(K164=1,"Determination Notice Issued",IF(L164=1,"Board","Under Review")))))</f>
        <v/>
      </c>
    </row>
    <row r="165">
      <c r="A165" s="8">
        <f>Applicant_List!C166</f>
        <v/>
      </c>
      <c r="B165" s="8">
        <f>Applicant_List!E166</f>
        <v/>
      </c>
      <c r="C165" s="8">
        <f>Applicant_List!L166</f>
        <v/>
      </c>
      <c r="D165" s="8">
        <f>OR(Applicant_List!L166="Closed",Applicant_List!L166="Withdrawn",Applicant_List!L166="Terminated")</f>
        <v/>
      </c>
      <c r="E165" s="8">
        <f>IF(OR(Applicant_List!AI166="N",Applicant_List!AI166=""),1,0)</f>
        <v/>
      </c>
      <c r="F165" s="8">
        <f>IF(OR(Applicant_List!AK166="N",Applicant_List!AK166="",Applicant_List!AL166="N",Applicant_List!AL166=""),1,0)</f>
        <v/>
      </c>
      <c r="G165" s="8">
        <f>IF(OR(Applicant_List!AM166="N",Applicant_List!AM166=""),1,0)</f>
        <v/>
      </c>
      <c r="H165" s="8">
        <f>IF(OR(Applicant_List!AX166="Y",AND(Applicant_List!AS166="Y",Applicant_List!AV166&lt;&gt;"Y")),1,0)</f>
        <v/>
      </c>
      <c r="I165" s="8">
        <f>IF(OR(Applicant_List!AZ166="N",Applicant_List!AZ166="",Applicant_List!BA166="N",Applicant_List!BA166=""),1,0)</f>
        <v/>
      </c>
      <c r="J165" s="8">
        <f>IF(OR(Applicant_List!BB166="N",Applicant_List!BB166="",Applicant_List!BC166="N",Applicant_List!BE166="Y",Applicant_List!BL166="Y"),1,0)</f>
        <v/>
      </c>
      <c r="K165" s="8">
        <f>IF(AND(Applicant_List!BJ166="Y",Applicant_List!BM166="Y",Applicant_List!BK166&lt;&gt;"Y"),1,0)</f>
        <v/>
      </c>
      <c r="L165" s="8">
        <f>IF(OR(Applicant_List!BN166="Y",Applicant_List!BK166="Y"),1,0)</f>
        <v/>
      </c>
      <c r="M165" s="8">
        <f>COUNTIF(Applicant_List!AI166:BM166,"N")+COUNTBLANK(Applicant_List!AI166:BM166)</f>
        <v/>
      </c>
      <c r="N165" s="8">
        <f>MAX(E165:J165)</f>
        <v/>
      </c>
      <c r="O165" s="8">
        <f>IF(Applicant_List!BP166="Y",100000,0)+IF(ISNUMBER(Applicant_List!BO166),50000-INT(Applicant_List!BO166),0)+IF(LEN(Applicant_List!L166)&gt;0,1000,0)</f>
        <v/>
      </c>
      <c r="P165" s="8">
        <f>IF(D165,"Terminal",IF(N165=1,"Blocked",IF(K165=1,"Determination Notice",IF(L165=1,"Board","Under Review"))))</f>
        <v/>
      </c>
      <c r="Q165" s="8">
        <f>IF(Applicant_List!L166="Closed","Closed",IF(OR(Applicant_List!L166="Withdrawn",Applicant_List!L166="Terminated"),Applicant_List!L166,IF(N165=1,"No Advancement",IF(K165=1,"Determination Notice Issued",IF(L165=1,"Board","Under Review")))))</f>
        <v/>
      </c>
    </row>
    <row r="166">
      <c r="A166" s="8">
        <f>Applicant_List!C167</f>
        <v/>
      </c>
      <c r="B166" s="8">
        <f>Applicant_List!E167</f>
        <v/>
      </c>
      <c r="C166" s="8">
        <f>Applicant_List!L167</f>
        <v/>
      </c>
      <c r="D166" s="8">
        <f>OR(Applicant_List!L167="Closed",Applicant_List!L167="Withdrawn",Applicant_List!L167="Terminated")</f>
        <v/>
      </c>
      <c r="E166" s="8">
        <f>IF(OR(Applicant_List!AI167="N",Applicant_List!AI167=""),1,0)</f>
        <v/>
      </c>
      <c r="F166" s="8">
        <f>IF(OR(Applicant_List!AK167="N",Applicant_List!AK167="",Applicant_List!AL167="N",Applicant_List!AL167=""),1,0)</f>
        <v/>
      </c>
      <c r="G166" s="8">
        <f>IF(OR(Applicant_List!AM167="N",Applicant_List!AM167=""),1,0)</f>
        <v/>
      </c>
      <c r="H166" s="8">
        <f>IF(OR(Applicant_List!AX167="Y",AND(Applicant_List!AS167="Y",Applicant_List!AV167&lt;&gt;"Y")),1,0)</f>
        <v/>
      </c>
      <c r="I166" s="8">
        <f>IF(OR(Applicant_List!AZ167="N",Applicant_List!AZ167="",Applicant_List!BA167="N",Applicant_List!BA167=""),1,0)</f>
        <v/>
      </c>
      <c r="J166" s="8">
        <f>IF(OR(Applicant_List!BB167="N",Applicant_List!BB167="",Applicant_List!BC167="N",Applicant_List!BE167="Y",Applicant_List!BL167="Y"),1,0)</f>
        <v/>
      </c>
      <c r="K166" s="8">
        <f>IF(AND(Applicant_List!BJ167="Y",Applicant_List!BM167="Y",Applicant_List!BK167&lt;&gt;"Y"),1,0)</f>
        <v/>
      </c>
      <c r="L166" s="8">
        <f>IF(OR(Applicant_List!BN167="Y",Applicant_List!BK167="Y"),1,0)</f>
        <v/>
      </c>
      <c r="M166" s="8">
        <f>COUNTIF(Applicant_List!AI167:BM167,"N")+COUNTBLANK(Applicant_List!AI167:BM167)</f>
        <v/>
      </c>
      <c r="N166" s="8">
        <f>MAX(E166:J166)</f>
        <v/>
      </c>
      <c r="O166" s="8">
        <f>IF(Applicant_List!BP167="Y",100000,0)+IF(ISNUMBER(Applicant_List!BO167),50000-INT(Applicant_List!BO167),0)+IF(LEN(Applicant_List!L167)&gt;0,1000,0)</f>
        <v/>
      </c>
      <c r="P166" s="8">
        <f>IF(D166,"Terminal",IF(N166=1,"Blocked",IF(K166=1,"Determination Notice",IF(L166=1,"Board","Under Review"))))</f>
        <v/>
      </c>
      <c r="Q166" s="8">
        <f>IF(Applicant_List!L167="Closed","Closed",IF(OR(Applicant_List!L167="Withdrawn",Applicant_List!L167="Terminated"),Applicant_List!L167,IF(N166=1,"No Advancement",IF(K166=1,"Determination Notice Issued",IF(L166=1,"Board","Under Review")))))</f>
        <v/>
      </c>
    </row>
    <row r="167">
      <c r="A167" s="8">
        <f>Applicant_List!C168</f>
        <v/>
      </c>
      <c r="B167" s="8">
        <f>Applicant_List!E168</f>
        <v/>
      </c>
      <c r="C167" s="8">
        <f>Applicant_List!L168</f>
        <v/>
      </c>
      <c r="D167" s="8">
        <f>OR(Applicant_List!L168="Closed",Applicant_List!L168="Withdrawn",Applicant_List!L168="Terminated")</f>
        <v/>
      </c>
      <c r="E167" s="8">
        <f>IF(OR(Applicant_List!AI168="N",Applicant_List!AI168=""),1,0)</f>
        <v/>
      </c>
      <c r="F167" s="8">
        <f>IF(OR(Applicant_List!AK168="N",Applicant_List!AK168="",Applicant_List!AL168="N",Applicant_List!AL168=""),1,0)</f>
        <v/>
      </c>
      <c r="G167" s="8">
        <f>IF(OR(Applicant_List!AM168="N",Applicant_List!AM168=""),1,0)</f>
        <v/>
      </c>
      <c r="H167" s="8">
        <f>IF(OR(Applicant_List!AX168="Y",AND(Applicant_List!AS168="Y",Applicant_List!AV168&lt;&gt;"Y")),1,0)</f>
        <v/>
      </c>
      <c r="I167" s="8">
        <f>IF(OR(Applicant_List!AZ168="N",Applicant_List!AZ168="",Applicant_List!BA168="N",Applicant_List!BA168=""),1,0)</f>
        <v/>
      </c>
      <c r="J167" s="8">
        <f>IF(OR(Applicant_List!BB168="N",Applicant_List!BB168="",Applicant_List!BC168="N",Applicant_List!BE168="Y",Applicant_List!BL168="Y"),1,0)</f>
        <v/>
      </c>
      <c r="K167" s="8">
        <f>IF(AND(Applicant_List!BJ168="Y",Applicant_List!BM168="Y",Applicant_List!BK168&lt;&gt;"Y"),1,0)</f>
        <v/>
      </c>
      <c r="L167" s="8">
        <f>IF(OR(Applicant_List!BN168="Y",Applicant_List!BK168="Y"),1,0)</f>
        <v/>
      </c>
      <c r="M167" s="8">
        <f>COUNTIF(Applicant_List!AI168:BM168,"N")+COUNTBLANK(Applicant_List!AI168:BM168)</f>
        <v/>
      </c>
      <c r="N167" s="8">
        <f>MAX(E167:J167)</f>
        <v/>
      </c>
      <c r="O167" s="8">
        <f>IF(Applicant_List!BP168="Y",100000,0)+IF(ISNUMBER(Applicant_List!BO168),50000-INT(Applicant_List!BO168),0)+IF(LEN(Applicant_List!L168)&gt;0,1000,0)</f>
        <v/>
      </c>
      <c r="P167" s="8">
        <f>IF(D167,"Terminal",IF(N167=1,"Blocked",IF(K167=1,"Determination Notice",IF(L167=1,"Board","Under Review"))))</f>
        <v/>
      </c>
      <c r="Q167" s="8">
        <f>IF(Applicant_List!L168="Closed","Closed",IF(OR(Applicant_List!L168="Withdrawn",Applicant_List!L168="Terminated"),Applicant_List!L168,IF(N167=1,"No Advancement",IF(K167=1,"Determination Notice Issued",IF(L167=1,"Board","Under Review")))))</f>
        <v/>
      </c>
    </row>
    <row r="168">
      <c r="A168" s="8">
        <f>Applicant_List!C169</f>
        <v/>
      </c>
      <c r="B168" s="8">
        <f>Applicant_List!E169</f>
        <v/>
      </c>
      <c r="C168" s="8">
        <f>Applicant_List!L169</f>
        <v/>
      </c>
      <c r="D168" s="8">
        <f>OR(Applicant_List!L169="Closed",Applicant_List!L169="Withdrawn",Applicant_List!L169="Terminated")</f>
        <v/>
      </c>
      <c r="E168" s="8">
        <f>IF(OR(Applicant_List!AI169="N",Applicant_List!AI169=""),1,0)</f>
        <v/>
      </c>
      <c r="F168" s="8">
        <f>IF(OR(Applicant_List!AK169="N",Applicant_List!AK169="",Applicant_List!AL169="N",Applicant_List!AL169=""),1,0)</f>
        <v/>
      </c>
      <c r="G168" s="8">
        <f>IF(OR(Applicant_List!AM169="N",Applicant_List!AM169=""),1,0)</f>
        <v/>
      </c>
      <c r="H168" s="8">
        <f>IF(OR(Applicant_List!AX169="Y",AND(Applicant_List!AS169="Y",Applicant_List!AV169&lt;&gt;"Y")),1,0)</f>
        <v/>
      </c>
      <c r="I168" s="8">
        <f>IF(OR(Applicant_List!AZ169="N",Applicant_List!AZ169="",Applicant_List!BA169="N",Applicant_List!BA169=""),1,0)</f>
        <v/>
      </c>
      <c r="J168" s="8">
        <f>IF(OR(Applicant_List!BB169="N",Applicant_List!BB169="",Applicant_List!BC169="N",Applicant_List!BE169="Y",Applicant_List!BL169="Y"),1,0)</f>
        <v/>
      </c>
      <c r="K168" s="8">
        <f>IF(AND(Applicant_List!BJ169="Y",Applicant_List!BM169="Y",Applicant_List!BK169&lt;&gt;"Y"),1,0)</f>
        <v/>
      </c>
      <c r="L168" s="8">
        <f>IF(OR(Applicant_List!BN169="Y",Applicant_List!BK169="Y"),1,0)</f>
        <v/>
      </c>
      <c r="M168" s="8">
        <f>COUNTIF(Applicant_List!AI169:BM169,"N")+COUNTBLANK(Applicant_List!AI169:BM169)</f>
        <v/>
      </c>
      <c r="N168" s="8">
        <f>MAX(E168:J168)</f>
        <v/>
      </c>
      <c r="O168" s="8">
        <f>IF(Applicant_List!BP169="Y",100000,0)+IF(ISNUMBER(Applicant_List!BO169),50000-INT(Applicant_List!BO169),0)+IF(LEN(Applicant_List!L169)&gt;0,1000,0)</f>
        <v/>
      </c>
      <c r="P168" s="8">
        <f>IF(D168,"Terminal",IF(N168=1,"Blocked",IF(K168=1,"Determination Notice",IF(L168=1,"Board","Under Review"))))</f>
        <v/>
      </c>
      <c r="Q168" s="8">
        <f>IF(Applicant_List!L169="Closed","Closed",IF(OR(Applicant_List!L169="Withdrawn",Applicant_List!L169="Terminated"),Applicant_List!L169,IF(N168=1,"No Advancement",IF(K168=1,"Determination Notice Issued",IF(L168=1,"Board","Under Review")))))</f>
        <v/>
      </c>
    </row>
    <row r="169">
      <c r="A169" s="8">
        <f>Applicant_List!C170</f>
        <v/>
      </c>
      <c r="B169" s="8">
        <f>Applicant_List!E170</f>
        <v/>
      </c>
      <c r="C169" s="8">
        <f>Applicant_List!L170</f>
        <v/>
      </c>
      <c r="D169" s="8">
        <f>OR(Applicant_List!L170="Closed",Applicant_List!L170="Withdrawn",Applicant_List!L170="Terminated")</f>
        <v/>
      </c>
      <c r="E169" s="8">
        <f>IF(OR(Applicant_List!AI170="N",Applicant_List!AI170=""),1,0)</f>
        <v/>
      </c>
      <c r="F169" s="8">
        <f>IF(OR(Applicant_List!AK170="N",Applicant_List!AK170="",Applicant_List!AL170="N",Applicant_List!AL170=""),1,0)</f>
        <v/>
      </c>
      <c r="G169" s="8">
        <f>IF(OR(Applicant_List!AM170="N",Applicant_List!AM170=""),1,0)</f>
        <v/>
      </c>
      <c r="H169" s="8">
        <f>IF(OR(Applicant_List!AX170="Y",AND(Applicant_List!AS170="Y",Applicant_List!AV170&lt;&gt;"Y")),1,0)</f>
        <v/>
      </c>
      <c r="I169" s="8">
        <f>IF(OR(Applicant_List!AZ170="N",Applicant_List!AZ170="",Applicant_List!BA170="N",Applicant_List!BA170=""),1,0)</f>
        <v/>
      </c>
      <c r="J169" s="8">
        <f>IF(OR(Applicant_List!BB170="N",Applicant_List!BB170="",Applicant_List!BC170="N",Applicant_List!BE170="Y",Applicant_List!BL170="Y"),1,0)</f>
        <v/>
      </c>
      <c r="K169" s="8">
        <f>IF(AND(Applicant_List!BJ170="Y",Applicant_List!BM170="Y",Applicant_List!BK170&lt;&gt;"Y"),1,0)</f>
        <v/>
      </c>
      <c r="L169" s="8">
        <f>IF(OR(Applicant_List!BN170="Y",Applicant_List!BK170="Y"),1,0)</f>
        <v/>
      </c>
      <c r="M169" s="8">
        <f>COUNTIF(Applicant_List!AI170:BM170,"N")+COUNTBLANK(Applicant_List!AI170:BM170)</f>
        <v/>
      </c>
      <c r="N169" s="8">
        <f>MAX(E169:J169)</f>
        <v/>
      </c>
      <c r="O169" s="8">
        <f>IF(Applicant_List!BP170="Y",100000,0)+IF(ISNUMBER(Applicant_List!BO170),50000-INT(Applicant_List!BO170),0)+IF(LEN(Applicant_List!L170)&gt;0,1000,0)</f>
        <v/>
      </c>
      <c r="P169" s="8">
        <f>IF(D169,"Terminal",IF(N169=1,"Blocked",IF(K169=1,"Determination Notice",IF(L169=1,"Board","Under Review"))))</f>
        <v/>
      </c>
      <c r="Q169" s="8">
        <f>IF(Applicant_List!L170="Closed","Closed",IF(OR(Applicant_List!L170="Withdrawn",Applicant_List!L170="Terminated"),Applicant_List!L170,IF(N169=1,"No Advancement",IF(K169=1,"Determination Notice Issued",IF(L169=1,"Board","Under Review")))))</f>
        <v/>
      </c>
    </row>
    <row r="170">
      <c r="A170" s="8">
        <f>Applicant_List!C171</f>
        <v/>
      </c>
      <c r="B170" s="8">
        <f>Applicant_List!E171</f>
        <v/>
      </c>
      <c r="C170" s="8">
        <f>Applicant_List!L171</f>
        <v/>
      </c>
      <c r="D170" s="8">
        <f>OR(Applicant_List!L171="Closed",Applicant_List!L171="Withdrawn",Applicant_List!L171="Terminated")</f>
        <v/>
      </c>
      <c r="E170" s="8">
        <f>IF(OR(Applicant_List!AI171="N",Applicant_List!AI171=""),1,0)</f>
        <v/>
      </c>
      <c r="F170" s="8">
        <f>IF(OR(Applicant_List!AK171="N",Applicant_List!AK171="",Applicant_List!AL171="N",Applicant_List!AL171=""),1,0)</f>
        <v/>
      </c>
      <c r="G170" s="8">
        <f>IF(OR(Applicant_List!AM171="N",Applicant_List!AM171=""),1,0)</f>
        <v/>
      </c>
      <c r="H170" s="8">
        <f>IF(OR(Applicant_List!AX171="Y",AND(Applicant_List!AS171="Y",Applicant_List!AV171&lt;&gt;"Y")),1,0)</f>
        <v/>
      </c>
      <c r="I170" s="8">
        <f>IF(OR(Applicant_List!AZ171="N",Applicant_List!AZ171="",Applicant_List!BA171="N",Applicant_List!BA171=""),1,0)</f>
        <v/>
      </c>
      <c r="J170" s="8">
        <f>IF(OR(Applicant_List!BB171="N",Applicant_List!BB171="",Applicant_List!BC171="N",Applicant_List!BE171="Y",Applicant_List!BL171="Y"),1,0)</f>
        <v/>
      </c>
      <c r="K170" s="8">
        <f>IF(AND(Applicant_List!BJ171="Y",Applicant_List!BM171="Y",Applicant_List!BK171&lt;&gt;"Y"),1,0)</f>
        <v/>
      </c>
      <c r="L170" s="8">
        <f>IF(OR(Applicant_List!BN171="Y",Applicant_List!BK171="Y"),1,0)</f>
        <v/>
      </c>
      <c r="M170" s="8">
        <f>COUNTIF(Applicant_List!AI171:BM171,"N")+COUNTBLANK(Applicant_List!AI171:BM171)</f>
        <v/>
      </c>
      <c r="N170" s="8">
        <f>MAX(E170:J170)</f>
        <v/>
      </c>
      <c r="O170" s="8">
        <f>IF(Applicant_List!BP171="Y",100000,0)+IF(ISNUMBER(Applicant_List!BO171),50000-INT(Applicant_List!BO171),0)+IF(LEN(Applicant_List!L171)&gt;0,1000,0)</f>
        <v/>
      </c>
      <c r="P170" s="8">
        <f>IF(D170,"Terminal",IF(N170=1,"Blocked",IF(K170=1,"Determination Notice",IF(L170=1,"Board","Under Review"))))</f>
        <v/>
      </c>
      <c r="Q170" s="8">
        <f>IF(Applicant_List!L171="Closed","Closed",IF(OR(Applicant_List!L171="Withdrawn",Applicant_List!L171="Terminated"),Applicant_List!L171,IF(N170=1,"No Advancement",IF(K170=1,"Determination Notice Issued",IF(L170=1,"Board","Under Review")))))</f>
        <v/>
      </c>
    </row>
    <row r="171">
      <c r="A171" s="8">
        <f>Applicant_List!C172</f>
        <v/>
      </c>
      <c r="B171" s="8">
        <f>Applicant_List!E172</f>
        <v/>
      </c>
      <c r="C171" s="8">
        <f>Applicant_List!L172</f>
        <v/>
      </c>
      <c r="D171" s="8">
        <f>OR(Applicant_List!L172="Closed",Applicant_List!L172="Withdrawn",Applicant_List!L172="Terminated")</f>
        <v/>
      </c>
      <c r="E171" s="8">
        <f>IF(OR(Applicant_List!AI172="N",Applicant_List!AI172=""),1,0)</f>
        <v/>
      </c>
      <c r="F171" s="8">
        <f>IF(OR(Applicant_List!AK172="N",Applicant_List!AK172="",Applicant_List!AL172="N",Applicant_List!AL172=""),1,0)</f>
        <v/>
      </c>
      <c r="G171" s="8">
        <f>IF(OR(Applicant_List!AM172="N",Applicant_List!AM172=""),1,0)</f>
        <v/>
      </c>
      <c r="H171" s="8">
        <f>IF(OR(Applicant_List!AX172="Y",AND(Applicant_List!AS172="Y",Applicant_List!AV172&lt;&gt;"Y")),1,0)</f>
        <v/>
      </c>
      <c r="I171" s="8">
        <f>IF(OR(Applicant_List!AZ172="N",Applicant_List!AZ172="",Applicant_List!BA172="N",Applicant_List!BA172=""),1,0)</f>
        <v/>
      </c>
      <c r="J171" s="8">
        <f>IF(OR(Applicant_List!BB172="N",Applicant_List!BB172="",Applicant_List!BC172="N",Applicant_List!BE172="Y",Applicant_List!BL172="Y"),1,0)</f>
        <v/>
      </c>
      <c r="K171" s="8">
        <f>IF(AND(Applicant_List!BJ172="Y",Applicant_List!BM172="Y",Applicant_List!BK172&lt;&gt;"Y"),1,0)</f>
        <v/>
      </c>
      <c r="L171" s="8">
        <f>IF(OR(Applicant_List!BN172="Y",Applicant_List!BK172="Y"),1,0)</f>
        <v/>
      </c>
      <c r="M171" s="8">
        <f>COUNTIF(Applicant_List!AI172:BM172,"N")+COUNTBLANK(Applicant_List!AI172:BM172)</f>
        <v/>
      </c>
      <c r="N171" s="8">
        <f>MAX(E171:J171)</f>
        <v/>
      </c>
      <c r="O171" s="8">
        <f>IF(Applicant_List!BP172="Y",100000,0)+IF(ISNUMBER(Applicant_List!BO172),50000-INT(Applicant_List!BO172),0)+IF(LEN(Applicant_List!L172)&gt;0,1000,0)</f>
        <v/>
      </c>
      <c r="P171" s="8">
        <f>IF(D171,"Terminal",IF(N171=1,"Blocked",IF(K171=1,"Determination Notice",IF(L171=1,"Board","Under Review"))))</f>
        <v/>
      </c>
      <c r="Q171" s="8">
        <f>IF(Applicant_List!L172="Closed","Closed",IF(OR(Applicant_List!L172="Withdrawn",Applicant_List!L172="Terminated"),Applicant_List!L172,IF(N171=1,"No Advancement",IF(K171=1,"Determination Notice Issued",IF(L171=1,"Board","Under Review")))))</f>
        <v/>
      </c>
    </row>
    <row r="172">
      <c r="A172" s="8">
        <f>Applicant_List!C173</f>
        <v/>
      </c>
      <c r="B172" s="8">
        <f>Applicant_List!E173</f>
        <v/>
      </c>
      <c r="C172" s="8">
        <f>Applicant_List!L173</f>
        <v/>
      </c>
      <c r="D172" s="8">
        <f>OR(Applicant_List!L173="Closed",Applicant_List!L173="Withdrawn",Applicant_List!L173="Terminated")</f>
        <v/>
      </c>
      <c r="E172" s="8">
        <f>IF(OR(Applicant_List!AI173="N",Applicant_List!AI173=""),1,0)</f>
        <v/>
      </c>
      <c r="F172" s="8">
        <f>IF(OR(Applicant_List!AK173="N",Applicant_List!AK173="",Applicant_List!AL173="N",Applicant_List!AL173=""),1,0)</f>
        <v/>
      </c>
      <c r="G172" s="8">
        <f>IF(OR(Applicant_List!AM173="N",Applicant_List!AM173=""),1,0)</f>
        <v/>
      </c>
      <c r="H172" s="8">
        <f>IF(OR(Applicant_List!AX173="Y",AND(Applicant_List!AS173="Y",Applicant_List!AV173&lt;&gt;"Y")),1,0)</f>
        <v/>
      </c>
      <c r="I172" s="8">
        <f>IF(OR(Applicant_List!AZ173="N",Applicant_List!AZ173="",Applicant_List!BA173="N",Applicant_List!BA173=""),1,0)</f>
        <v/>
      </c>
      <c r="J172" s="8">
        <f>IF(OR(Applicant_List!BB173="N",Applicant_List!BB173="",Applicant_List!BC173="N",Applicant_List!BE173="Y",Applicant_List!BL173="Y"),1,0)</f>
        <v/>
      </c>
      <c r="K172" s="8">
        <f>IF(AND(Applicant_List!BJ173="Y",Applicant_List!BM173="Y",Applicant_List!BK173&lt;&gt;"Y"),1,0)</f>
        <v/>
      </c>
      <c r="L172" s="8">
        <f>IF(OR(Applicant_List!BN173="Y",Applicant_List!BK173="Y"),1,0)</f>
        <v/>
      </c>
      <c r="M172" s="8">
        <f>COUNTIF(Applicant_List!AI173:BM173,"N")+COUNTBLANK(Applicant_List!AI173:BM173)</f>
        <v/>
      </c>
      <c r="N172" s="8">
        <f>MAX(E172:J172)</f>
        <v/>
      </c>
      <c r="O172" s="8">
        <f>IF(Applicant_List!BP173="Y",100000,0)+IF(ISNUMBER(Applicant_List!BO173),50000-INT(Applicant_List!BO173),0)+IF(LEN(Applicant_List!L173)&gt;0,1000,0)</f>
        <v/>
      </c>
      <c r="P172" s="8">
        <f>IF(D172,"Terminal",IF(N172=1,"Blocked",IF(K172=1,"Determination Notice",IF(L172=1,"Board","Under Review"))))</f>
        <v/>
      </c>
      <c r="Q172" s="8">
        <f>IF(Applicant_List!L173="Closed","Closed",IF(OR(Applicant_List!L173="Withdrawn",Applicant_List!L173="Terminated"),Applicant_List!L173,IF(N172=1,"No Advancement",IF(K172=1,"Determination Notice Issued",IF(L172=1,"Board","Under Review")))))</f>
        <v/>
      </c>
    </row>
    <row r="173">
      <c r="A173" s="8">
        <f>Applicant_List!C174</f>
        <v/>
      </c>
      <c r="B173" s="8">
        <f>Applicant_List!E174</f>
        <v/>
      </c>
      <c r="C173" s="8">
        <f>Applicant_List!L174</f>
        <v/>
      </c>
      <c r="D173" s="8">
        <f>OR(Applicant_List!L174="Closed",Applicant_List!L174="Withdrawn",Applicant_List!L174="Terminated")</f>
        <v/>
      </c>
      <c r="E173" s="8">
        <f>IF(OR(Applicant_List!AI174="N",Applicant_List!AI174=""),1,0)</f>
        <v/>
      </c>
      <c r="F173" s="8">
        <f>IF(OR(Applicant_List!AK174="N",Applicant_List!AK174="",Applicant_List!AL174="N",Applicant_List!AL174=""),1,0)</f>
        <v/>
      </c>
      <c r="G173" s="8">
        <f>IF(OR(Applicant_List!AM174="N",Applicant_List!AM174=""),1,0)</f>
        <v/>
      </c>
      <c r="H173" s="8">
        <f>IF(OR(Applicant_List!AX174="Y",AND(Applicant_List!AS174="Y",Applicant_List!AV174&lt;&gt;"Y")),1,0)</f>
        <v/>
      </c>
      <c r="I173" s="8">
        <f>IF(OR(Applicant_List!AZ174="N",Applicant_List!AZ174="",Applicant_List!BA174="N",Applicant_List!BA174=""),1,0)</f>
        <v/>
      </c>
      <c r="J173" s="8">
        <f>IF(OR(Applicant_List!BB174="N",Applicant_List!BB174="",Applicant_List!BC174="N",Applicant_List!BE174="Y",Applicant_List!BL174="Y"),1,0)</f>
        <v/>
      </c>
      <c r="K173" s="8">
        <f>IF(AND(Applicant_List!BJ174="Y",Applicant_List!BM174="Y",Applicant_List!BK174&lt;&gt;"Y"),1,0)</f>
        <v/>
      </c>
      <c r="L173" s="8">
        <f>IF(OR(Applicant_List!BN174="Y",Applicant_List!BK174="Y"),1,0)</f>
        <v/>
      </c>
      <c r="M173" s="8">
        <f>COUNTIF(Applicant_List!AI174:BM174,"N")+COUNTBLANK(Applicant_List!AI174:BM174)</f>
        <v/>
      </c>
      <c r="N173" s="8">
        <f>MAX(E173:J173)</f>
        <v/>
      </c>
      <c r="O173" s="8">
        <f>IF(Applicant_List!BP174="Y",100000,0)+IF(ISNUMBER(Applicant_List!BO174),50000-INT(Applicant_List!BO174),0)+IF(LEN(Applicant_List!L174)&gt;0,1000,0)</f>
        <v/>
      </c>
      <c r="P173" s="8">
        <f>IF(D173,"Terminal",IF(N173=1,"Blocked",IF(K173=1,"Determination Notice",IF(L173=1,"Board","Under Review"))))</f>
        <v/>
      </c>
      <c r="Q173" s="8">
        <f>IF(Applicant_List!L174="Closed","Closed",IF(OR(Applicant_List!L174="Withdrawn",Applicant_List!L174="Terminated"),Applicant_List!L174,IF(N173=1,"No Advancement",IF(K173=1,"Determination Notice Issued",IF(L173=1,"Board","Under Review")))))</f>
        <v/>
      </c>
    </row>
    <row r="174">
      <c r="A174" s="8">
        <f>Applicant_List!C175</f>
        <v/>
      </c>
      <c r="B174" s="8">
        <f>Applicant_List!E175</f>
        <v/>
      </c>
      <c r="C174" s="8">
        <f>Applicant_List!L175</f>
        <v/>
      </c>
      <c r="D174" s="8">
        <f>OR(Applicant_List!L175="Closed",Applicant_List!L175="Withdrawn",Applicant_List!L175="Terminated")</f>
        <v/>
      </c>
      <c r="E174" s="8">
        <f>IF(OR(Applicant_List!AI175="N",Applicant_List!AI175=""),1,0)</f>
        <v/>
      </c>
      <c r="F174" s="8">
        <f>IF(OR(Applicant_List!AK175="N",Applicant_List!AK175="",Applicant_List!AL175="N",Applicant_List!AL175=""),1,0)</f>
        <v/>
      </c>
      <c r="G174" s="8">
        <f>IF(OR(Applicant_List!AM175="N",Applicant_List!AM175=""),1,0)</f>
        <v/>
      </c>
      <c r="H174" s="8">
        <f>IF(OR(Applicant_List!AX175="Y",AND(Applicant_List!AS175="Y",Applicant_List!AV175&lt;&gt;"Y")),1,0)</f>
        <v/>
      </c>
      <c r="I174" s="8">
        <f>IF(OR(Applicant_List!AZ175="N",Applicant_List!AZ175="",Applicant_List!BA175="N",Applicant_List!BA175=""),1,0)</f>
        <v/>
      </c>
      <c r="J174" s="8">
        <f>IF(OR(Applicant_List!BB175="N",Applicant_List!BB175="",Applicant_List!BC175="N",Applicant_List!BE175="Y",Applicant_List!BL175="Y"),1,0)</f>
        <v/>
      </c>
      <c r="K174" s="8">
        <f>IF(AND(Applicant_List!BJ175="Y",Applicant_List!BM175="Y",Applicant_List!BK175&lt;&gt;"Y"),1,0)</f>
        <v/>
      </c>
      <c r="L174" s="8">
        <f>IF(OR(Applicant_List!BN175="Y",Applicant_List!BK175="Y"),1,0)</f>
        <v/>
      </c>
      <c r="M174" s="8">
        <f>COUNTIF(Applicant_List!AI175:BM175,"N")+COUNTBLANK(Applicant_List!AI175:BM175)</f>
        <v/>
      </c>
      <c r="N174" s="8">
        <f>MAX(E174:J174)</f>
        <v/>
      </c>
      <c r="O174" s="8">
        <f>IF(Applicant_List!BP175="Y",100000,0)+IF(ISNUMBER(Applicant_List!BO175),50000-INT(Applicant_List!BO175),0)+IF(LEN(Applicant_List!L175)&gt;0,1000,0)</f>
        <v/>
      </c>
      <c r="P174" s="8">
        <f>IF(D174,"Terminal",IF(N174=1,"Blocked",IF(K174=1,"Determination Notice",IF(L174=1,"Board","Under Review"))))</f>
        <v/>
      </c>
      <c r="Q174" s="8">
        <f>IF(Applicant_List!L175="Closed","Closed",IF(OR(Applicant_List!L175="Withdrawn",Applicant_List!L175="Terminated"),Applicant_List!L175,IF(N174=1,"No Advancement",IF(K174=1,"Determination Notice Issued",IF(L174=1,"Board","Under Review")))))</f>
        <v/>
      </c>
    </row>
    <row r="175">
      <c r="A175" s="8">
        <f>Applicant_List!C176</f>
        <v/>
      </c>
      <c r="B175" s="8">
        <f>Applicant_List!E176</f>
        <v/>
      </c>
      <c r="C175" s="8">
        <f>Applicant_List!L176</f>
        <v/>
      </c>
      <c r="D175" s="8">
        <f>OR(Applicant_List!L176="Closed",Applicant_List!L176="Withdrawn",Applicant_List!L176="Terminated")</f>
        <v/>
      </c>
      <c r="E175" s="8">
        <f>IF(OR(Applicant_List!AI176="N",Applicant_List!AI176=""),1,0)</f>
        <v/>
      </c>
      <c r="F175" s="8">
        <f>IF(OR(Applicant_List!AK176="N",Applicant_List!AK176="",Applicant_List!AL176="N",Applicant_List!AL176=""),1,0)</f>
        <v/>
      </c>
      <c r="G175" s="8">
        <f>IF(OR(Applicant_List!AM176="N",Applicant_List!AM176=""),1,0)</f>
        <v/>
      </c>
      <c r="H175" s="8">
        <f>IF(OR(Applicant_List!AX176="Y",AND(Applicant_List!AS176="Y",Applicant_List!AV176&lt;&gt;"Y")),1,0)</f>
        <v/>
      </c>
      <c r="I175" s="8">
        <f>IF(OR(Applicant_List!AZ176="N",Applicant_List!AZ176="",Applicant_List!BA176="N",Applicant_List!BA176=""),1,0)</f>
        <v/>
      </c>
      <c r="J175" s="8">
        <f>IF(OR(Applicant_List!BB176="N",Applicant_List!BB176="",Applicant_List!BC176="N",Applicant_List!BE176="Y",Applicant_List!BL176="Y"),1,0)</f>
        <v/>
      </c>
      <c r="K175" s="8">
        <f>IF(AND(Applicant_List!BJ176="Y",Applicant_List!BM176="Y",Applicant_List!BK176&lt;&gt;"Y"),1,0)</f>
        <v/>
      </c>
      <c r="L175" s="8">
        <f>IF(OR(Applicant_List!BN176="Y",Applicant_List!BK176="Y"),1,0)</f>
        <v/>
      </c>
      <c r="M175" s="8">
        <f>COUNTIF(Applicant_List!AI176:BM176,"N")+COUNTBLANK(Applicant_List!AI176:BM176)</f>
        <v/>
      </c>
      <c r="N175" s="8">
        <f>MAX(E175:J175)</f>
        <v/>
      </c>
      <c r="O175" s="8">
        <f>IF(Applicant_List!BP176="Y",100000,0)+IF(ISNUMBER(Applicant_List!BO176),50000-INT(Applicant_List!BO176),0)+IF(LEN(Applicant_List!L176)&gt;0,1000,0)</f>
        <v/>
      </c>
      <c r="P175" s="8">
        <f>IF(D175,"Terminal",IF(N175=1,"Blocked",IF(K175=1,"Determination Notice",IF(L175=1,"Board","Under Review"))))</f>
        <v/>
      </c>
      <c r="Q175" s="8">
        <f>IF(Applicant_List!L176="Closed","Closed",IF(OR(Applicant_List!L176="Withdrawn",Applicant_List!L176="Terminated"),Applicant_List!L176,IF(N175=1,"No Advancement",IF(K175=1,"Determination Notice Issued",IF(L175=1,"Board","Under Review")))))</f>
        <v/>
      </c>
    </row>
    <row r="176">
      <c r="A176" s="8">
        <f>Applicant_List!C177</f>
        <v/>
      </c>
      <c r="B176" s="8">
        <f>Applicant_List!E177</f>
        <v/>
      </c>
      <c r="C176" s="8">
        <f>Applicant_List!L177</f>
        <v/>
      </c>
      <c r="D176" s="8">
        <f>OR(Applicant_List!L177="Closed",Applicant_List!L177="Withdrawn",Applicant_List!L177="Terminated")</f>
        <v/>
      </c>
      <c r="E176" s="8">
        <f>IF(OR(Applicant_List!AI177="N",Applicant_List!AI177=""),1,0)</f>
        <v/>
      </c>
      <c r="F176" s="8">
        <f>IF(OR(Applicant_List!AK177="N",Applicant_List!AK177="",Applicant_List!AL177="N",Applicant_List!AL177=""),1,0)</f>
        <v/>
      </c>
      <c r="G176" s="8">
        <f>IF(OR(Applicant_List!AM177="N",Applicant_List!AM177=""),1,0)</f>
        <v/>
      </c>
      <c r="H176" s="8">
        <f>IF(OR(Applicant_List!AX177="Y",AND(Applicant_List!AS177="Y",Applicant_List!AV177&lt;&gt;"Y")),1,0)</f>
        <v/>
      </c>
      <c r="I176" s="8">
        <f>IF(OR(Applicant_List!AZ177="N",Applicant_List!AZ177="",Applicant_List!BA177="N",Applicant_List!BA177=""),1,0)</f>
        <v/>
      </c>
      <c r="J176" s="8">
        <f>IF(OR(Applicant_List!BB177="N",Applicant_List!BB177="",Applicant_List!BC177="N",Applicant_List!BE177="Y",Applicant_List!BL177="Y"),1,0)</f>
        <v/>
      </c>
      <c r="K176" s="8">
        <f>IF(AND(Applicant_List!BJ177="Y",Applicant_List!BM177="Y",Applicant_List!BK177&lt;&gt;"Y"),1,0)</f>
        <v/>
      </c>
      <c r="L176" s="8">
        <f>IF(OR(Applicant_List!BN177="Y",Applicant_List!BK177="Y"),1,0)</f>
        <v/>
      </c>
      <c r="M176" s="8">
        <f>COUNTIF(Applicant_List!AI177:BM177,"N")+COUNTBLANK(Applicant_List!AI177:BM177)</f>
        <v/>
      </c>
      <c r="N176" s="8">
        <f>MAX(E176:J176)</f>
        <v/>
      </c>
      <c r="O176" s="8">
        <f>IF(Applicant_List!BP177="Y",100000,0)+IF(ISNUMBER(Applicant_List!BO177),50000-INT(Applicant_List!BO177),0)+IF(LEN(Applicant_List!L177)&gt;0,1000,0)</f>
        <v/>
      </c>
      <c r="P176" s="8">
        <f>IF(D176,"Terminal",IF(N176=1,"Blocked",IF(K176=1,"Determination Notice",IF(L176=1,"Board","Under Review"))))</f>
        <v/>
      </c>
      <c r="Q176" s="8">
        <f>IF(Applicant_List!L177="Closed","Closed",IF(OR(Applicant_List!L177="Withdrawn",Applicant_List!L177="Terminated"),Applicant_List!L177,IF(N176=1,"No Advancement",IF(K176=1,"Determination Notice Issued",IF(L176=1,"Board","Under Review")))))</f>
        <v/>
      </c>
    </row>
    <row r="177">
      <c r="A177" s="8">
        <f>Applicant_List!C178</f>
        <v/>
      </c>
      <c r="B177" s="8">
        <f>Applicant_List!E178</f>
        <v/>
      </c>
      <c r="C177" s="8">
        <f>Applicant_List!L178</f>
        <v/>
      </c>
      <c r="D177" s="8">
        <f>OR(Applicant_List!L178="Closed",Applicant_List!L178="Withdrawn",Applicant_List!L178="Terminated")</f>
        <v/>
      </c>
      <c r="E177" s="8">
        <f>IF(OR(Applicant_List!AI178="N",Applicant_List!AI178=""),1,0)</f>
        <v/>
      </c>
      <c r="F177" s="8">
        <f>IF(OR(Applicant_List!AK178="N",Applicant_List!AK178="",Applicant_List!AL178="N",Applicant_List!AL178=""),1,0)</f>
        <v/>
      </c>
      <c r="G177" s="8">
        <f>IF(OR(Applicant_List!AM178="N",Applicant_List!AM178=""),1,0)</f>
        <v/>
      </c>
      <c r="H177" s="8">
        <f>IF(OR(Applicant_List!AX178="Y",AND(Applicant_List!AS178="Y",Applicant_List!AV178&lt;&gt;"Y")),1,0)</f>
        <v/>
      </c>
      <c r="I177" s="8">
        <f>IF(OR(Applicant_List!AZ178="N",Applicant_List!AZ178="",Applicant_List!BA178="N",Applicant_List!BA178=""),1,0)</f>
        <v/>
      </c>
      <c r="J177" s="8">
        <f>IF(OR(Applicant_List!BB178="N",Applicant_List!BB178="",Applicant_List!BC178="N",Applicant_List!BE178="Y",Applicant_List!BL178="Y"),1,0)</f>
        <v/>
      </c>
      <c r="K177" s="8">
        <f>IF(AND(Applicant_List!BJ178="Y",Applicant_List!BM178="Y",Applicant_List!BK178&lt;&gt;"Y"),1,0)</f>
        <v/>
      </c>
      <c r="L177" s="8">
        <f>IF(OR(Applicant_List!BN178="Y",Applicant_List!BK178="Y"),1,0)</f>
        <v/>
      </c>
      <c r="M177" s="8">
        <f>COUNTIF(Applicant_List!AI178:BM178,"N")+COUNTBLANK(Applicant_List!AI178:BM178)</f>
        <v/>
      </c>
      <c r="N177" s="8">
        <f>MAX(E177:J177)</f>
        <v/>
      </c>
      <c r="O177" s="8">
        <f>IF(Applicant_List!BP178="Y",100000,0)+IF(ISNUMBER(Applicant_List!BO178),50000-INT(Applicant_List!BO178),0)+IF(LEN(Applicant_List!L178)&gt;0,1000,0)</f>
        <v/>
      </c>
      <c r="P177" s="8">
        <f>IF(D177,"Terminal",IF(N177=1,"Blocked",IF(K177=1,"Determination Notice",IF(L177=1,"Board","Under Review"))))</f>
        <v/>
      </c>
      <c r="Q177" s="8">
        <f>IF(Applicant_List!L178="Closed","Closed",IF(OR(Applicant_List!L178="Withdrawn",Applicant_List!L178="Terminated"),Applicant_List!L178,IF(N177=1,"No Advancement",IF(K177=1,"Determination Notice Issued",IF(L177=1,"Board","Under Review")))))</f>
        <v/>
      </c>
    </row>
    <row r="178">
      <c r="A178" s="8">
        <f>Applicant_List!C179</f>
        <v/>
      </c>
      <c r="B178" s="8">
        <f>Applicant_List!E179</f>
        <v/>
      </c>
      <c r="C178" s="8">
        <f>Applicant_List!L179</f>
        <v/>
      </c>
      <c r="D178" s="8">
        <f>OR(Applicant_List!L179="Closed",Applicant_List!L179="Withdrawn",Applicant_List!L179="Terminated")</f>
        <v/>
      </c>
      <c r="E178" s="8">
        <f>IF(OR(Applicant_List!AI179="N",Applicant_List!AI179=""),1,0)</f>
        <v/>
      </c>
      <c r="F178" s="8">
        <f>IF(OR(Applicant_List!AK179="N",Applicant_List!AK179="",Applicant_List!AL179="N",Applicant_List!AL179=""),1,0)</f>
        <v/>
      </c>
      <c r="G178" s="8">
        <f>IF(OR(Applicant_List!AM179="N",Applicant_List!AM179=""),1,0)</f>
        <v/>
      </c>
      <c r="H178" s="8">
        <f>IF(OR(Applicant_List!AX179="Y",AND(Applicant_List!AS179="Y",Applicant_List!AV179&lt;&gt;"Y")),1,0)</f>
        <v/>
      </c>
      <c r="I178" s="8">
        <f>IF(OR(Applicant_List!AZ179="N",Applicant_List!AZ179="",Applicant_List!BA179="N",Applicant_List!BA179=""),1,0)</f>
        <v/>
      </c>
      <c r="J178" s="8">
        <f>IF(OR(Applicant_List!BB179="N",Applicant_List!BB179="",Applicant_List!BC179="N",Applicant_List!BE179="Y",Applicant_List!BL179="Y"),1,0)</f>
        <v/>
      </c>
      <c r="K178" s="8">
        <f>IF(AND(Applicant_List!BJ179="Y",Applicant_List!BM179="Y",Applicant_List!BK179&lt;&gt;"Y"),1,0)</f>
        <v/>
      </c>
      <c r="L178" s="8">
        <f>IF(OR(Applicant_List!BN179="Y",Applicant_List!BK179="Y"),1,0)</f>
        <v/>
      </c>
      <c r="M178" s="8">
        <f>COUNTIF(Applicant_List!AI179:BM179,"N")+COUNTBLANK(Applicant_List!AI179:BM179)</f>
        <v/>
      </c>
      <c r="N178" s="8">
        <f>MAX(E178:J178)</f>
        <v/>
      </c>
      <c r="O178" s="8">
        <f>IF(Applicant_List!BP179="Y",100000,0)+IF(ISNUMBER(Applicant_List!BO179),50000-INT(Applicant_List!BO179),0)+IF(LEN(Applicant_List!L179)&gt;0,1000,0)</f>
        <v/>
      </c>
      <c r="P178" s="8">
        <f>IF(D178,"Terminal",IF(N178=1,"Blocked",IF(K178=1,"Determination Notice",IF(L178=1,"Board","Under Review"))))</f>
        <v/>
      </c>
      <c r="Q178" s="8">
        <f>IF(Applicant_List!L179="Closed","Closed",IF(OR(Applicant_List!L179="Withdrawn",Applicant_List!L179="Terminated"),Applicant_List!L179,IF(N178=1,"No Advancement",IF(K178=1,"Determination Notice Issued",IF(L178=1,"Board","Under Review")))))</f>
        <v/>
      </c>
    </row>
    <row r="179">
      <c r="A179" s="8">
        <f>Applicant_List!C180</f>
        <v/>
      </c>
      <c r="B179" s="8">
        <f>Applicant_List!E180</f>
        <v/>
      </c>
      <c r="C179" s="8">
        <f>Applicant_List!L180</f>
        <v/>
      </c>
      <c r="D179" s="8">
        <f>OR(Applicant_List!L180="Closed",Applicant_List!L180="Withdrawn",Applicant_List!L180="Terminated")</f>
        <v/>
      </c>
      <c r="E179" s="8">
        <f>IF(OR(Applicant_List!AI180="N",Applicant_List!AI180=""),1,0)</f>
        <v/>
      </c>
      <c r="F179" s="8">
        <f>IF(OR(Applicant_List!AK180="N",Applicant_List!AK180="",Applicant_List!AL180="N",Applicant_List!AL180=""),1,0)</f>
        <v/>
      </c>
      <c r="G179" s="8">
        <f>IF(OR(Applicant_List!AM180="N",Applicant_List!AM180=""),1,0)</f>
        <v/>
      </c>
      <c r="H179" s="8">
        <f>IF(OR(Applicant_List!AX180="Y",AND(Applicant_List!AS180="Y",Applicant_List!AV180&lt;&gt;"Y")),1,0)</f>
        <v/>
      </c>
      <c r="I179" s="8">
        <f>IF(OR(Applicant_List!AZ180="N",Applicant_List!AZ180="",Applicant_List!BA180="N",Applicant_List!BA180=""),1,0)</f>
        <v/>
      </c>
      <c r="J179" s="8">
        <f>IF(OR(Applicant_List!BB180="N",Applicant_List!BB180="",Applicant_List!BC180="N",Applicant_List!BE180="Y",Applicant_List!BL180="Y"),1,0)</f>
        <v/>
      </c>
      <c r="K179" s="8">
        <f>IF(AND(Applicant_List!BJ180="Y",Applicant_List!BM180="Y",Applicant_List!BK180&lt;&gt;"Y"),1,0)</f>
        <v/>
      </c>
      <c r="L179" s="8">
        <f>IF(OR(Applicant_List!BN180="Y",Applicant_List!BK180="Y"),1,0)</f>
        <v/>
      </c>
      <c r="M179" s="8">
        <f>COUNTIF(Applicant_List!AI180:BM180,"N")+COUNTBLANK(Applicant_List!AI180:BM180)</f>
        <v/>
      </c>
      <c r="N179" s="8">
        <f>MAX(E179:J179)</f>
        <v/>
      </c>
      <c r="O179" s="8">
        <f>IF(Applicant_List!BP180="Y",100000,0)+IF(ISNUMBER(Applicant_List!BO180),50000-INT(Applicant_List!BO180),0)+IF(LEN(Applicant_List!L180)&gt;0,1000,0)</f>
        <v/>
      </c>
      <c r="P179" s="8">
        <f>IF(D179,"Terminal",IF(N179=1,"Blocked",IF(K179=1,"Determination Notice",IF(L179=1,"Board","Under Review"))))</f>
        <v/>
      </c>
      <c r="Q179" s="8">
        <f>IF(Applicant_List!L180="Closed","Closed",IF(OR(Applicant_List!L180="Withdrawn",Applicant_List!L180="Terminated"),Applicant_List!L180,IF(N179=1,"No Advancement",IF(K179=1,"Determination Notice Issued",IF(L179=1,"Board","Under Review")))))</f>
        <v/>
      </c>
    </row>
    <row r="180">
      <c r="A180" s="8">
        <f>Applicant_List!C181</f>
        <v/>
      </c>
      <c r="B180" s="8">
        <f>Applicant_List!E181</f>
        <v/>
      </c>
      <c r="C180" s="8">
        <f>Applicant_List!L181</f>
        <v/>
      </c>
      <c r="D180" s="8">
        <f>OR(Applicant_List!L181="Closed",Applicant_List!L181="Withdrawn",Applicant_List!L181="Terminated")</f>
        <v/>
      </c>
      <c r="E180" s="8">
        <f>IF(OR(Applicant_List!AI181="N",Applicant_List!AI181=""),1,0)</f>
        <v/>
      </c>
      <c r="F180" s="8">
        <f>IF(OR(Applicant_List!AK181="N",Applicant_List!AK181="",Applicant_List!AL181="N",Applicant_List!AL181=""),1,0)</f>
        <v/>
      </c>
      <c r="G180" s="8">
        <f>IF(OR(Applicant_List!AM181="N",Applicant_List!AM181=""),1,0)</f>
        <v/>
      </c>
      <c r="H180" s="8">
        <f>IF(OR(Applicant_List!AX181="Y",AND(Applicant_List!AS181="Y",Applicant_List!AV181&lt;&gt;"Y")),1,0)</f>
        <v/>
      </c>
      <c r="I180" s="8">
        <f>IF(OR(Applicant_List!AZ181="N",Applicant_List!AZ181="",Applicant_List!BA181="N",Applicant_List!BA181=""),1,0)</f>
        <v/>
      </c>
      <c r="J180" s="8">
        <f>IF(OR(Applicant_List!BB181="N",Applicant_List!BB181="",Applicant_List!BC181="N",Applicant_List!BE181="Y",Applicant_List!BL181="Y"),1,0)</f>
        <v/>
      </c>
      <c r="K180" s="8">
        <f>IF(AND(Applicant_List!BJ181="Y",Applicant_List!BM181="Y",Applicant_List!BK181&lt;&gt;"Y"),1,0)</f>
        <v/>
      </c>
      <c r="L180" s="8">
        <f>IF(OR(Applicant_List!BN181="Y",Applicant_List!BK181="Y"),1,0)</f>
        <v/>
      </c>
      <c r="M180" s="8">
        <f>COUNTIF(Applicant_List!AI181:BM181,"N")+COUNTBLANK(Applicant_List!AI181:BM181)</f>
        <v/>
      </c>
      <c r="N180" s="8">
        <f>MAX(E180:J180)</f>
        <v/>
      </c>
      <c r="O180" s="8">
        <f>IF(Applicant_List!BP181="Y",100000,0)+IF(ISNUMBER(Applicant_List!BO181),50000-INT(Applicant_List!BO181),0)+IF(LEN(Applicant_List!L181)&gt;0,1000,0)</f>
        <v/>
      </c>
      <c r="P180" s="8">
        <f>IF(D180,"Terminal",IF(N180=1,"Blocked",IF(K180=1,"Determination Notice",IF(L180=1,"Board","Under Review"))))</f>
        <v/>
      </c>
      <c r="Q180" s="8">
        <f>IF(Applicant_List!L181="Closed","Closed",IF(OR(Applicant_List!L181="Withdrawn",Applicant_List!L181="Terminated"),Applicant_List!L181,IF(N180=1,"No Advancement",IF(K180=1,"Determination Notice Issued",IF(L180=1,"Board","Under Review")))))</f>
        <v/>
      </c>
    </row>
    <row r="181">
      <c r="A181" s="8">
        <f>Applicant_List!C182</f>
        <v/>
      </c>
      <c r="B181" s="8">
        <f>Applicant_List!E182</f>
        <v/>
      </c>
      <c r="C181" s="8">
        <f>Applicant_List!L182</f>
        <v/>
      </c>
      <c r="D181" s="8">
        <f>OR(Applicant_List!L182="Closed",Applicant_List!L182="Withdrawn",Applicant_List!L182="Terminated")</f>
        <v/>
      </c>
      <c r="E181" s="8">
        <f>IF(OR(Applicant_List!AI182="N",Applicant_List!AI182=""),1,0)</f>
        <v/>
      </c>
      <c r="F181" s="8">
        <f>IF(OR(Applicant_List!AK182="N",Applicant_List!AK182="",Applicant_List!AL182="N",Applicant_List!AL182=""),1,0)</f>
        <v/>
      </c>
      <c r="G181" s="8">
        <f>IF(OR(Applicant_List!AM182="N",Applicant_List!AM182=""),1,0)</f>
        <v/>
      </c>
      <c r="H181" s="8">
        <f>IF(OR(Applicant_List!AX182="Y",AND(Applicant_List!AS182="Y",Applicant_List!AV182&lt;&gt;"Y")),1,0)</f>
        <v/>
      </c>
      <c r="I181" s="8">
        <f>IF(OR(Applicant_List!AZ182="N",Applicant_List!AZ182="",Applicant_List!BA182="N",Applicant_List!BA182=""),1,0)</f>
        <v/>
      </c>
      <c r="J181" s="8">
        <f>IF(OR(Applicant_List!BB182="N",Applicant_List!BB182="",Applicant_List!BC182="N",Applicant_List!BE182="Y",Applicant_List!BL182="Y"),1,0)</f>
        <v/>
      </c>
      <c r="K181" s="8">
        <f>IF(AND(Applicant_List!BJ182="Y",Applicant_List!BM182="Y",Applicant_List!BK182&lt;&gt;"Y"),1,0)</f>
        <v/>
      </c>
      <c r="L181" s="8">
        <f>IF(OR(Applicant_List!BN182="Y",Applicant_List!BK182="Y"),1,0)</f>
        <v/>
      </c>
      <c r="M181" s="8">
        <f>COUNTIF(Applicant_List!AI182:BM182,"N")+COUNTBLANK(Applicant_List!AI182:BM182)</f>
        <v/>
      </c>
      <c r="N181" s="8">
        <f>MAX(E181:J181)</f>
        <v/>
      </c>
      <c r="O181" s="8">
        <f>IF(Applicant_List!BP182="Y",100000,0)+IF(ISNUMBER(Applicant_List!BO182),50000-INT(Applicant_List!BO182),0)+IF(LEN(Applicant_List!L182)&gt;0,1000,0)</f>
        <v/>
      </c>
      <c r="P181" s="8">
        <f>IF(D181,"Terminal",IF(N181=1,"Blocked",IF(K181=1,"Determination Notice",IF(L181=1,"Board","Under Review"))))</f>
        <v/>
      </c>
      <c r="Q181" s="8">
        <f>IF(Applicant_List!L182="Closed","Closed",IF(OR(Applicant_List!L182="Withdrawn",Applicant_List!L182="Terminated"),Applicant_List!L182,IF(N181=1,"No Advancement",IF(K181=1,"Determination Notice Issued",IF(L181=1,"Board","Under Review")))))</f>
        <v/>
      </c>
    </row>
    <row r="182">
      <c r="A182" s="8">
        <f>Applicant_List!C183</f>
        <v/>
      </c>
      <c r="B182" s="8">
        <f>Applicant_List!E183</f>
        <v/>
      </c>
      <c r="C182" s="8">
        <f>Applicant_List!L183</f>
        <v/>
      </c>
      <c r="D182" s="8">
        <f>OR(Applicant_List!L183="Closed",Applicant_List!L183="Withdrawn",Applicant_List!L183="Terminated")</f>
        <v/>
      </c>
      <c r="E182" s="8">
        <f>IF(OR(Applicant_List!AI183="N",Applicant_List!AI183=""),1,0)</f>
        <v/>
      </c>
      <c r="F182" s="8">
        <f>IF(OR(Applicant_List!AK183="N",Applicant_List!AK183="",Applicant_List!AL183="N",Applicant_List!AL183=""),1,0)</f>
        <v/>
      </c>
      <c r="G182" s="8">
        <f>IF(OR(Applicant_List!AM183="N",Applicant_List!AM183=""),1,0)</f>
        <v/>
      </c>
      <c r="H182" s="8">
        <f>IF(OR(Applicant_List!AX183="Y",AND(Applicant_List!AS183="Y",Applicant_List!AV183&lt;&gt;"Y")),1,0)</f>
        <v/>
      </c>
      <c r="I182" s="8">
        <f>IF(OR(Applicant_List!AZ183="N",Applicant_List!AZ183="",Applicant_List!BA183="N",Applicant_List!BA183=""),1,0)</f>
        <v/>
      </c>
      <c r="J182" s="8">
        <f>IF(OR(Applicant_List!BB183="N",Applicant_List!BB183="",Applicant_List!BC183="N",Applicant_List!BE183="Y",Applicant_List!BL183="Y"),1,0)</f>
        <v/>
      </c>
      <c r="K182" s="8">
        <f>IF(AND(Applicant_List!BJ183="Y",Applicant_List!BM183="Y",Applicant_List!BK183&lt;&gt;"Y"),1,0)</f>
        <v/>
      </c>
      <c r="L182" s="8">
        <f>IF(OR(Applicant_List!BN183="Y",Applicant_List!BK183="Y"),1,0)</f>
        <v/>
      </c>
      <c r="M182" s="8">
        <f>COUNTIF(Applicant_List!AI183:BM183,"N")+COUNTBLANK(Applicant_List!AI183:BM183)</f>
        <v/>
      </c>
      <c r="N182" s="8">
        <f>MAX(E182:J182)</f>
        <v/>
      </c>
      <c r="O182" s="8">
        <f>IF(Applicant_List!BP183="Y",100000,0)+IF(ISNUMBER(Applicant_List!BO183),50000-INT(Applicant_List!BO183),0)+IF(LEN(Applicant_List!L183)&gt;0,1000,0)</f>
        <v/>
      </c>
      <c r="P182" s="8">
        <f>IF(D182,"Terminal",IF(N182=1,"Blocked",IF(K182=1,"Determination Notice",IF(L182=1,"Board","Under Review"))))</f>
        <v/>
      </c>
      <c r="Q182" s="8">
        <f>IF(Applicant_List!L183="Closed","Closed",IF(OR(Applicant_List!L183="Withdrawn",Applicant_List!L183="Terminated"),Applicant_List!L183,IF(N182=1,"No Advancement",IF(K182=1,"Determination Notice Issued",IF(L182=1,"Board","Under Review")))))</f>
        <v/>
      </c>
    </row>
    <row r="183">
      <c r="A183" s="8">
        <f>Applicant_List!C184</f>
        <v/>
      </c>
      <c r="B183" s="8">
        <f>Applicant_List!E184</f>
        <v/>
      </c>
      <c r="C183" s="8">
        <f>Applicant_List!L184</f>
        <v/>
      </c>
      <c r="D183" s="8">
        <f>OR(Applicant_List!L184="Closed",Applicant_List!L184="Withdrawn",Applicant_List!L184="Terminated")</f>
        <v/>
      </c>
      <c r="E183" s="8">
        <f>IF(OR(Applicant_List!AI184="N",Applicant_List!AI184=""),1,0)</f>
        <v/>
      </c>
      <c r="F183" s="8">
        <f>IF(OR(Applicant_List!AK184="N",Applicant_List!AK184="",Applicant_List!AL184="N",Applicant_List!AL184=""),1,0)</f>
        <v/>
      </c>
      <c r="G183" s="8">
        <f>IF(OR(Applicant_List!AM184="N",Applicant_List!AM184=""),1,0)</f>
        <v/>
      </c>
      <c r="H183" s="8">
        <f>IF(OR(Applicant_List!AX184="Y",AND(Applicant_List!AS184="Y",Applicant_List!AV184&lt;&gt;"Y")),1,0)</f>
        <v/>
      </c>
      <c r="I183" s="8">
        <f>IF(OR(Applicant_List!AZ184="N",Applicant_List!AZ184="",Applicant_List!BA184="N",Applicant_List!BA184=""),1,0)</f>
        <v/>
      </c>
      <c r="J183" s="8">
        <f>IF(OR(Applicant_List!BB184="N",Applicant_List!BB184="",Applicant_List!BC184="N",Applicant_List!BE184="Y",Applicant_List!BL184="Y"),1,0)</f>
        <v/>
      </c>
      <c r="K183" s="8">
        <f>IF(AND(Applicant_List!BJ184="Y",Applicant_List!BM184="Y",Applicant_List!BK184&lt;&gt;"Y"),1,0)</f>
        <v/>
      </c>
      <c r="L183" s="8">
        <f>IF(OR(Applicant_List!BN184="Y",Applicant_List!BK184="Y"),1,0)</f>
        <v/>
      </c>
      <c r="M183" s="8">
        <f>COUNTIF(Applicant_List!AI184:BM184,"N")+COUNTBLANK(Applicant_List!AI184:BM184)</f>
        <v/>
      </c>
      <c r="N183" s="8">
        <f>MAX(E183:J183)</f>
        <v/>
      </c>
      <c r="O183" s="8">
        <f>IF(Applicant_List!BP184="Y",100000,0)+IF(ISNUMBER(Applicant_List!BO184),50000-INT(Applicant_List!BO184),0)+IF(LEN(Applicant_List!L184)&gt;0,1000,0)</f>
        <v/>
      </c>
      <c r="P183" s="8">
        <f>IF(D183,"Terminal",IF(N183=1,"Blocked",IF(K183=1,"Determination Notice",IF(L183=1,"Board","Under Review"))))</f>
        <v/>
      </c>
      <c r="Q183" s="8">
        <f>IF(Applicant_List!L184="Closed","Closed",IF(OR(Applicant_List!L184="Withdrawn",Applicant_List!L184="Terminated"),Applicant_List!L184,IF(N183=1,"No Advancement",IF(K183=1,"Determination Notice Issued",IF(L183=1,"Board","Under Review")))))</f>
        <v/>
      </c>
    </row>
    <row r="184">
      <c r="A184" s="8">
        <f>Applicant_List!C185</f>
        <v/>
      </c>
      <c r="B184" s="8">
        <f>Applicant_List!E185</f>
        <v/>
      </c>
      <c r="C184" s="8">
        <f>Applicant_List!L185</f>
        <v/>
      </c>
      <c r="D184" s="8">
        <f>OR(Applicant_List!L185="Closed",Applicant_List!L185="Withdrawn",Applicant_List!L185="Terminated")</f>
        <v/>
      </c>
      <c r="E184" s="8">
        <f>IF(OR(Applicant_List!AI185="N",Applicant_List!AI185=""),1,0)</f>
        <v/>
      </c>
      <c r="F184" s="8">
        <f>IF(OR(Applicant_List!AK185="N",Applicant_List!AK185="",Applicant_List!AL185="N",Applicant_List!AL185=""),1,0)</f>
        <v/>
      </c>
      <c r="G184" s="8">
        <f>IF(OR(Applicant_List!AM185="N",Applicant_List!AM185=""),1,0)</f>
        <v/>
      </c>
      <c r="H184" s="8">
        <f>IF(OR(Applicant_List!AX185="Y",AND(Applicant_List!AS185="Y",Applicant_List!AV185&lt;&gt;"Y")),1,0)</f>
        <v/>
      </c>
      <c r="I184" s="8">
        <f>IF(OR(Applicant_List!AZ185="N",Applicant_List!AZ185="",Applicant_List!BA185="N",Applicant_List!BA185=""),1,0)</f>
        <v/>
      </c>
      <c r="J184" s="8">
        <f>IF(OR(Applicant_List!BB185="N",Applicant_List!BB185="",Applicant_List!BC185="N",Applicant_List!BE185="Y",Applicant_List!BL185="Y"),1,0)</f>
        <v/>
      </c>
      <c r="K184" s="8">
        <f>IF(AND(Applicant_List!BJ185="Y",Applicant_List!BM185="Y",Applicant_List!BK185&lt;&gt;"Y"),1,0)</f>
        <v/>
      </c>
      <c r="L184" s="8">
        <f>IF(OR(Applicant_List!BN185="Y",Applicant_List!BK185="Y"),1,0)</f>
        <v/>
      </c>
      <c r="M184" s="8">
        <f>COUNTIF(Applicant_List!AI185:BM185,"N")+COUNTBLANK(Applicant_List!AI185:BM185)</f>
        <v/>
      </c>
      <c r="N184" s="8">
        <f>MAX(E184:J184)</f>
        <v/>
      </c>
      <c r="O184" s="8">
        <f>IF(Applicant_List!BP185="Y",100000,0)+IF(ISNUMBER(Applicant_List!BO185),50000-INT(Applicant_List!BO185),0)+IF(LEN(Applicant_List!L185)&gt;0,1000,0)</f>
        <v/>
      </c>
      <c r="P184" s="8">
        <f>IF(D184,"Terminal",IF(N184=1,"Blocked",IF(K184=1,"Determination Notice",IF(L184=1,"Board","Under Review"))))</f>
        <v/>
      </c>
      <c r="Q184" s="8">
        <f>IF(Applicant_List!L185="Closed","Closed",IF(OR(Applicant_List!L185="Withdrawn",Applicant_List!L185="Terminated"),Applicant_List!L185,IF(N184=1,"No Advancement",IF(K184=1,"Determination Notice Issued",IF(L184=1,"Board","Under Review")))))</f>
        <v/>
      </c>
    </row>
    <row r="185">
      <c r="A185" s="8">
        <f>Applicant_List!C186</f>
        <v/>
      </c>
      <c r="B185" s="8">
        <f>Applicant_List!E186</f>
        <v/>
      </c>
      <c r="C185" s="8">
        <f>Applicant_List!L186</f>
        <v/>
      </c>
      <c r="D185" s="8">
        <f>OR(Applicant_List!L186="Closed",Applicant_List!L186="Withdrawn",Applicant_List!L186="Terminated")</f>
        <v/>
      </c>
      <c r="E185" s="8">
        <f>IF(OR(Applicant_List!AI186="N",Applicant_List!AI186=""),1,0)</f>
        <v/>
      </c>
      <c r="F185" s="8">
        <f>IF(OR(Applicant_List!AK186="N",Applicant_List!AK186="",Applicant_List!AL186="N",Applicant_List!AL186=""),1,0)</f>
        <v/>
      </c>
      <c r="G185" s="8">
        <f>IF(OR(Applicant_List!AM186="N",Applicant_List!AM186=""),1,0)</f>
        <v/>
      </c>
      <c r="H185" s="8">
        <f>IF(OR(Applicant_List!AX186="Y",AND(Applicant_List!AS186="Y",Applicant_List!AV186&lt;&gt;"Y")),1,0)</f>
        <v/>
      </c>
      <c r="I185" s="8">
        <f>IF(OR(Applicant_List!AZ186="N",Applicant_List!AZ186="",Applicant_List!BA186="N",Applicant_List!BA186=""),1,0)</f>
        <v/>
      </c>
      <c r="J185" s="8">
        <f>IF(OR(Applicant_List!BB186="N",Applicant_List!BB186="",Applicant_List!BC186="N",Applicant_List!BE186="Y",Applicant_List!BL186="Y"),1,0)</f>
        <v/>
      </c>
      <c r="K185" s="8">
        <f>IF(AND(Applicant_List!BJ186="Y",Applicant_List!BM186="Y",Applicant_List!BK186&lt;&gt;"Y"),1,0)</f>
        <v/>
      </c>
      <c r="L185" s="8">
        <f>IF(OR(Applicant_List!BN186="Y",Applicant_List!BK186="Y"),1,0)</f>
        <v/>
      </c>
      <c r="M185" s="8">
        <f>COUNTIF(Applicant_List!AI186:BM186,"N")+COUNTBLANK(Applicant_List!AI186:BM186)</f>
        <v/>
      </c>
      <c r="N185" s="8">
        <f>MAX(E185:J185)</f>
        <v/>
      </c>
      <c r="O185" s="8">
        <f>IF(Applicant_List!BP186="Y",100000,0)+IF(ISNUMBER(Applicant_List!BO186),50000-INT(Applicant_List!BO186),0)+IF(LEN(Applicant_List!L186)&gt;0,1000,0)</f>
        <v/>
      </c>
      <c r="P185" s="8">
        <f>IF(D185,"Terminal",IF(N185=1,"Blocked",IF(K185=1,"Determination Notice",IF(L185=1,"Board","Under Review"))))</f>
        <v/>
      </c>
      <c r="Q185" s="8">
        <f>IF(Applicant_List!L186="Closed","Closed",IF(OR(Applicant_List!L186="Withdrawn",Applicant_List!L186="Terminated"),Applicant_List!L186,IF(N185=1,"No Advancement",IF(K185=1,"Determination Notice Issued",IF(L185=1,"Board","Under Review")))))</f>
        <v/>
      </c>
    </row>
    <row r="186">
      <c r="A186" s="8">
        <f>Applicant_List!C187</f>
        <v/>
      </c>
      <c r="B186" s="8">
        <f>Applicant_List!E187</f>
        <v/>
      </c>
      <c r="C186" s="8">
        <f>Applicant_List!L187</f>
        <v/>
      </c>
      <c r="D186" s="8">
        <f>OR(Applicant_List!L187="Closed",Applicant_List!L187="Withdrawn",Applicant_List!L187="Terminated")</f>
        <v/>
      </c>
      <c r="E186" s="8">
        <f>IF(OR(Applicant_List!AI187="N",Applicant_List!AI187=""),1,0)</f>
        <v/>
      </c>
      <c r="F186" s="8">
        <f>IF(OR(Applicant_List!AK187="N",Applicant_List!AK187="",Applicant_List!AL187="N",Applicant_List!AL187=""),1,0)</f>
        <v/>
      </c>
      <c r="G186" s="8">
        <f>IF(OR(Applicant_List!AM187="N",Applicant_List!AM187=""),1,0)</f>
        <v/>
      </c>
      <c r="H186" s="8">
        <f>IF(OR(Applicant_List!AX187="Y",AND(Applicant_List!AS187="Y",Applicant_List!AV187&lt;&gt;"Y")),1,0)</f>
        <v/>
      </c>
      <c r="I186" s="8">
        <f>IF(OR(Applicant_List!AZ187="N",Applicant_List!AZ187="",Applicant_List!BA187="N",Applicant_List!BA187=""),1,0)</f>
        <v/>
      </c>
      <c r="J186" s="8">
        <f>IF(OR(Applicant_List!BB187="N",Applicant_List!BB187="",Applicant_List!BC187="N",Applicant_List!BE187="Y",Applicant_List!BL187="Y"),1,0)</f>
        <v/>
      </c>
      <c r="K186" s="8">
        <f>IF(AND(Applicant_List!BJ187="Y",Applicant_List!BM187="Y",Applicant_List!BK187&lt;&gt;"Y"),1,0)</f>
        <v/>
      </c>
      <c r="L186" s="8">
        <f>IF(OR(Applicant_List!BN187="Y",Applicant_List!BK187="Y"),1,0)</f>
        <v/>
      </c>
      <c r="M186" s="8">
        <f>COUNTIF(Applicant_List!AI187:BM187,"N")+COUNTBLANK(Applicant_List!AI187:BM187)</f>
        <v/>
      </c>
      <c r="N186" s="8">
        <f>MAX(E186:J186)</f>
        <v/>
      </c>
      <c r="O186" s="8">
        <f>IF(Applicant_List!BP187="Y",100000,0)+IF(ISNUMBER(Applicant_List!BO187),50000-INT(Applicant_List!BO187),0)+IF(LEN(Applicant_List!L187)&gt;0,1000,0)</f>
        <v/>
      </c>
      <c r="P186" s="8">
        <f>IF(D186,"Terminal",IF(N186=1,"Blocked",IF(K186=1,"Determination Notice",IF(L186=1,"Board","Under Review"))))</f>
        <v/>
      </c>
      <c r="Q186" s="8">
        <f>IF(Applicant_List!L187="Closed","Closed",IF(OR(Applicant_List!L187="Withdrawn",Applicant_List!L187="Terminated"),Applicant_List!L187,IF(N186=1,"No Advancement",IF(K186=1,"Determination Notice Issued",IF(L186=1,"Board","Under Review")))))</f>
        <v/>
      </c>
    </row>
    <row r="187">
      <c r="A187" s="8">
        <f>Applicant_List!C188</f>
        <v/>
      </c>
      <c r="B187" s="8">
        <f>Applicant_List!E188</f>
        <v/>
      </c>
      <c r="C187" s="8">
        <f>Applicant_List!L188</f>
        <v/>
      </c>
      <c r="D187" s="8">
        <f>OR(Applicant_List!L188="Closed",Applicant_List!L188="Withdrawn",Applicant_List!L188="Terminated")</f>
        <v/>
      </c>
      <c r="E187" s="8">
        <f>IF(OR(Applicant_List!AI188="N",Applicant_List!AI188=""),1,0)</f>
        <v/>
      </c>
      <c r="F187" s="8">
        <f>IF(OR(Applicant_List!AK188="N",Applicant_List!AK188="",Applicant_List!AL188="N",Applicant_List!AL188=""),1,0)</f>
        <v/>
      </c>
      <c r="G187" s="8">
        <f>IF(OR(Applicant_List!AM188="N",Applicant_List!AM188=""),1,0)</f>
        <v/>
      </c>
      <c r="H187" s="8">
        <f>IF(OR(Applicant_List!AX188="Y",AND(Applicant_List!AS188="Y",Applicant_List!AV188&lt;&gt;"Y")),1,0)</f>
        <v/>
      </c>
      <c r="I187" s="8">
        <f>IF(OR(Applicant_List!AZ188="N",Applicant_List!AZ188="",Applicant_List!BA188="N",Applicant_List!BA188=""),1,0)</f>
        <v/>
      </c>
      <c r="J187" s="8">
        <f>IF(OR(Applicant_List!BB188="N",Applicant_List!BB188="",Applicant_List!BC188="N",Applicant_List!BE188="Y",Applicant_List!BL188="Y"),1,0)</f>
        <v/>
      </c>
      <c r="K187" s="8">
        <f>IF(AND(Applicant_List!BJ188="Y",Applicant_List!BM188="Y",Applicant_List!BK188&lt;&gt;"Y"),1,0)</f>
        <v/>
      </c>
      <c r="L187" s="8">
        <f>IF(OR(Applicant_List!BN188="Y",Applicant_List!BK188="Y"),1,0)</f>
        <v/>
      </c>
      <c r="M187" s="8">
        <f>COUNTIF(Applicant_List!AI188:BM188,"N")+COUNTBLANK(Applicant_List!AI188:BM188)</f>
        <v/>
      </c>
      <c r="N187" s="8">
        <f>MAX(E187:J187)</f>
        <v/>
      </c>
      <c r="O187" s="8">
        <f>IF(Applicant_List!BP188="Y",100000,0)+IF(ISNUMBER(Applicant_List!BO188),50000-INT(Applicant_List!BO188),0)+IF(LEN(Applicant_List!L188)&gt;0,1000,0)</f>
        <v/>
      </c>
      <c r="P187" s="8">
        <f>IF(D187,"Terminal",IF(N187=1,"Blocked",IF(K187=1,"Determination Notice",IF(L187=1,"Board","Under Review"))))</f>
        <v/>
      </c>
      <c r="Q187" s="8">
        <f>IF(Applicant_List!L188="Closed","Closed",IF(OR(Applicant_List!L188="Withdrawn",Applicant_List!L188="Terminated"),Applicant_List!L188,IF(N187=1,"No Advancement",IF(K187=1,"Determination Notice Issued",IF(L187=1,"Board","Under Review")))))</f>
        <v/>
      </c>
    </row>
    <row r="188">
      <c r="A188" s="8">
        <f>Applicant_List!C189</f>
        <v/>
      </c>
      <c r="B188" s="8">
        <f>Applicant_List!E189</f>
        <v/>
      </c>
      <c r="C188" s="8">
        <f>Applicant_List!L189</f>
        <v/>
      </c>
      <c r="D188" s="8">
        <f>OR(Applicant_List!L189="Closed",Applicant_List!L189="Withdrawn",Applicant_List!L189="Terminated")</f>
        <v/>
      </c>
      <c r="E188" s="8">
        <f>IF(OR(Applicant_List!AI189="N",Applicant_List!AI189=""),1,0)</f>
        <v/>
      </c>
      <c r="F188" s="8">
        <f>IF(OR(Applicant_List!AK189="N",Applicant_List!AK189="",Applicant_List!AL189="N",Applicant_List!AL189=""),1,0)</f>
        <v/>
      </c>
      <c r="G188" s="8">
        <f>IF(OR(Applicant_List!AM189="N",Applicant_List!AM189=""),1,0)</f>
        <v/>
      </c>
      <c r="H188" s="8">
        <f>IF(OR(Applicant_List!AX189="Y",AND(Applicant_List!AS189="Y",Applicant_List!AV189&lt;&gt;"Y")),1,0)</f>
        <v/>
      </c>
      <c r="I188" s="8">
        <f>IF(OR(Applicant_List!AZ189="N",Applicant_List!AZ189="",Applicant_List!BA189="N",Applicant_List!BA189=""),1,0)</f>
        <v/>
      </c>
      <c r="J188" s="8">
        <f>IF(OR(Applicant_List!BB189="N",Applicant_List!BB189="",Applicant_List!BC189="N",Applicant_List!BE189="Y",Applicant_List!BL189="Y"),1,0)</f>
        <v/>
      </c>
      <c r="K188" s="8">
        <f>IF(AND(Applicant_List!BJ189="Y",Applicant_List!BM189="Y",Applicant_List!BK189&lt;&gt;"Y"),1,0)</f>
        <v/>
      </c>
      <c r="L188" s="8">
        <f>IF(OR(Applicant_List!BN189="Y",Applicant_List!BK189="Y"),1,0)</f>
        <v/>
      </c>
      <c r="M188" s="8">
        <f>COUNTIF(Applicant_List!AI189:BM189,"N")+COUNTBLANK(Applicant_List!AI189:BM189)</f>
        <v/>
      </c>
      <c r="N188" s="8">
        <f>MAX(E188:J188)</f>
        <v/>
      </c>
      <c r="O188" s="8">
        <f>IF(Applicant_List!BP189="Y",100000,0)+IF(ISNUMBER(Applicant_List!BO189),50000-INT(Applicant_List!BO189),0)+IF(LEN(Applicant_List!L189)&gt;0,1000,0)</f>
        <v/>
      </c>
      <c r="P188" s="8">
        <f>IF(D188,"Terminal",IF(N188=1,"Blocked",IF(K188=1,"Determination Notice",IF(L188=1,"Board","Under Review"))))</f>
        <v/>
      </c>
      <c r="Q188" s="8">
        <f>IF(Applicant_List!L189="Closed","Closed",IF(OR(Applicant_List!L189="Withdrawn",Applicant_List!L189="Terminated"),Applicant_List!L189,IF(N188=1,"No Advancement",IF(K188=1,"Determination Notice Issued",IF(L188=1,"Board","Under Review")))))</f>
        <v/>
      </c>
    </row>
    <row r="189">
      <c r="A189" s="8">
        <f>Applicant_List!C190</f>
        <v/>
      </c>
      <c r="B189" s="8">
        <f>Applicant_List!E190</f>
        <v/>
      </c>
      <c r="C189" s="8">
        <f>Applicant_List!L190</f>
        <v/>
      </c>
      <c r="D189" s="8">
        <f>OR(Applicant_List!L190="Closed",Applicant_List!L190="Withdrawn",Applicant_List!L190="Terminated")</f>
        <v/>
      </c>
      <c r="E189" s="8">
        <f>IF(OR(Applicant_List!AI190="N",Applicant_List!AI190=""),1,0)</f>
        <v/>
      </c>
      <c r="F189" s="8">
        <f>IF(OR(Applicant_List!AK190="N",Applicant_List!AK190="",Applicant_List!AL190="N",Applicant_List!AL190=""),1,0)</f>
        <v/>
      </c>
      <c r="G189" s="8">
        <f>IF(OR(Applicant_List!AM190="N",Applicant_List!AM190=""),1,0)</f>
        <v/>
      </c>
      <c r="H189" s="8">
        <f>IF(OR(Applicant_List!AX190="Y",AND(Applicant_List!AS190="Y",Applicant_List!AV190&lt;&gt;"Y")),1,0)</f>
        <v/>
      </c>
      <c r="I189" s="8">
        <f>IF(OR(Applicant_List!AZ190="N",Applicant_List!AZ190="",Applicant_List!BA190="N",Applicant_List!BA190=""),1,0)</f>
        <v/>
      </c>
      <c r="J189" s="8">
        <f>IF(OR(Applicant_List!BB190="N",Applicant_List!BB190="",Applicant_List!BC190="N",Applicant_List!BE190="Y",Applicant_List!BL190="Y"),1,0)</f>
        <v/>
      </c>
      <c r="K189" s="8">
        <f>IF(AND(Applicant_List!BJ190="Y",Applicant_List!BM190="Y",Applicant_List!BK190&lt;&gt;"Y"),1,0)</f>
        <v/>
      </c>
      <c r="L189" s="8">
        <f>IF(OR(Applicant_List!BN190="Y",Applicant_List!BK190="Y"),1,0)</f>
        <v/>
      </c>
      <c r="M189" s="8">
        <f>COUNTIF(Applicant_List!AI190:BM190,"N")+COUNTBLANK(Applicant_List!AI190:BM190)</f>
        <v/>
      </c>
      <c r="N189" s="8">
        <f>MAX(E189:J189)</f>
        <v/>
      </c>
      <c r="O189" s="8">
        <f>IF(Applicant_List!BP190="Y",100000,0)+IF(ISNUMBER(Applicant_List!BO190),50000-INT(Applicant_List!BO190),0)+IF(LEN(Applicant_List!L190)&gt;0,1000,0)</f>
        <v/>
      </c>
      <c r="P189" s="8">
        <f>IF(D189,"Terminal",IF(N189=1,"Blocked",IF(K189=1,"Determination Notice",IF(L189=1,"Board","Under Review"))))</f>
        <v/>
      </c>
      <c r="Q189" s="8">
        <f>IF(Applicant_List!L190="Closed","Closed",IF(OR(Applicant_List!L190="Withdrawn",Applicant_List!L190="Terminated"),Applicant_List!L190,IF(N189=1,"No Advancement",IF(K189=1,"Determination Notice Issued",IF(L189=1,"Board","Under Review")))))</f>
        <v/>
      </c>
    </row>
    <row r="190">
      <c r="A190" s="8">
        <f>Applicant_List!C191</f>
        <v/>
      </c>
      <c r="B190" s="8">
        <f>Applicant_List!E191</f>
        <v/>
      </c>
      <c r="C190" s="8">
        <f>Applicant_List!L191</f>
        <v/>
      </c>
      <c r="D190" s="8">
        <f>OR(Applicant_List!L191="Closed",Applicant_List!L191="Withdrawn",Applicant_List!L191="Terminated")</f>
        <v/>
      </c>
      <c r="E190" s="8">
        <f>IF(OR(Applicant_List!AI191="N",Applicant_List!AI191=""),1,0)</f>
        <v/>
      </c>
      <c r="F190" s="8">
        <f>IF(OR(Applicant_List!AK191="N",Applicant_List!AK191="",Applicant_List!AL191="N",Applicant_List!AL191=""),1,0)</f>
        <v/>
      </c>
      <c r="G190" s="8">
        <f>IF(OR(Applicant_List!AM191="N",Applicant_List!AM191=""),1,0)</f>
        <v/>
      </c>
      <c r="H190" s="8">
        <f>IF(OR(Applicant_List!AX191="Y",AND(Applicant_List!AS191="Y",Applicant_List!AV191&lt;&gt;"Y")),1,0)</f>
        <v/>
      </c>
      <c r="I190" s="8">
        <f>IF(OR(Applicant_List!AZ191="N",Applicant_List!AZ191="",Applicant_List!BA191="N",Applicant_List!BA191=""),1,0)</f>
        <v/>
      </c>
      <c r="J190" s="8">
        <f>IF(OR(Applicant_List!BB191="N",Applicant_List!BB191="",Applicant_List!BC191="N",Applicant_List!BE191="Y",Applicant_List!BL191="Y"),1,0)</f>
        <v/>
      </c>
      <c r="K190" s="8">
        <f>IF(AND(Applicant_List!BJ191="Y",Applicant_List!BM191="Y",Applicant_List!BK191&lt;&gt;"Y"),1,0)</f>
        <v/>
      </c>
      <c r="L190" s="8">
        <f>IF(OR(Applicant_List!BN191="Y",Applicant_List!BK191="Y"),1,0)</f>
        <v/>
      </c>
      <c r="M190" s="8">
        <f>COUNTIF(Applicant_List!AI191:BM191,"N")+COUNTBLANK(Applicant_List!AI191:BM191)</f>
        <v/>
      </c>
      <c r="N190" s="8">
        <f>MAX(E190:J190)</f>
        <v/>
      </c>
      <c r="O190" s="8">
        <f>IF(Applicant_List!BP191="Y",100000,0)+IF(ISNUMBER(Applicant_List!BO191),50000-INT(Applicant_List!BO191),0)+IF(LEN(Applicant_List!L191)&gt;0,1000,0)</f>
        <v/>
      </c>
      <c r="P190" s="8">
        <f>IF(D190,"Terminal",IF(N190=1,"Blocked",IF(K190=1,"Determination Notice",IF(L190=1,"Board","Under Review"))))</f>
        <v/>
      </c>
      <c r="Q190" s="8">
        <f>IF(Applicant_List!L191="Closed","Closed",IF(OR(Applicant_List!L191="Withdrawn",Applicant_List!L191="Terminated"),Applicant_List!L191,IF(N190=1,"No Advancement",IF(K190=1,"Determination Notice Issued",IF(L190=1,"Board","Under Review")))))</f>
        <v/>
      </c>
    </row>
    <row r="191">
      <c r="A191" s="8">
        <f>Applicant_List!C192</f>
        <v/>
      </c>
      <c r="B191" s="8">
        <f>Applicant_List!E192</f>
        <v/>
      </c>
      <c r="C191" s="8">
        <f>Applicant_List!L192</f>
        <v/>
      </c>
      <c r="D191" s="8">
        <f>OR(Applicant_List!L192="Closed",Applicant_List!L192="Withdrawn",Applicant_List!L192="Terminated")</f>
        <v/>
      </c>
      <c r="E191" s="8">
        <f>IF(OR(Applicant_List!AI192="N",Applicant_List!AI192=""),1,0)</f>
        <v/>
      </c>
      <c r="F191" s="8">
        <f>IF(OR(Applicant_List!AK192="N",Applicant_List!AK192="",Applicant_List!AL192="N",Applicant_List!AL192=""),1,0)</f>
        <v/>
      </c>
      <c r="G191" s="8">
        <f>IF(OR(Applicant_List!AM192="N",Applicant_List!AM192=""),1,0)</f>
        <v/>
      </c>
      <c r="H191" s="8">
        <f>IF(OR(Applicant_List!AX192="Y",AND(Applicant_List!AS192="Y",Applicant_List!AV192&lt;&gt;"Y")),1,0)</f>
        <v/>
      </c>
      <c r="I191" s="8">
        <f>IF(OR(Applicant_List!AZ192="N",Applicant_List!AZ192="",Applicant_List!BA192="N",Applicant_List!BA192=""),1,0)</f>
        <v/>
      </c>
      <c r="J191" s="8">
        <f>IF(OR(Applicant_List!BB192="N",Applicant_List!BB192="",Applicant_List!BC192="N",Applicant_List!BE192="Y",Applicant_List!BL192="Y"),1,0)</f>
        <v/>
      </c>
      <c r="K191" s="8">
        <f>IF(AND(Applicant_List!BJ192="Y",Applicant_List!BM192="Y",Applicant_List!BK192&lt;&gt;"Y"),1,0)</f>
        <v/>
      </c>
      <c r="L191" s="8">
        <f>IF(OR(Applicant_List!BN192="Y",Applicant_List!BK192="Y"),1,0)</f>
        <v/>
      </c>
      <c r="M191" s="8">
        <f>COUNTIF(Applicant_List!AI192:BM192,"N")+COUNTBLANK(Applicant_List!AI192:BM192)</f>
        <v/>
      </c>
      <c r="N191" s="8">
        <f>MAX(E191:J191)</f>
        <v/>
      </c>
      <c r="O191" s="8">
        <f>IF(Applicant_List!BP192="Y",100000,0)+IF(ISNUMBER(Applicant_List!BO192),50000-INT(Applicant_List!BO192),0)+IF(LEN(Applicant_List!L192)&gt;0,1000,0)</f>
        <v/>
      </c>
      <c r="P191" s="8">
        <f>IF(D191,"Terminal",IF(N191=1,"Blocked",IF(K191=1,"Determination Notice",IF(L191=1,"Board","Under Review"))))</f>
        <v/>
      </c>
      <c r="Q191" s="8">
        <f>IF(Applicant_List!L192="Closed","Closed",IF(OR(Applicant_List!L192="Withdrawn",Applicant_List!L192="Terminated"),Applicant_List!L192,IF(N191=1,"No Advancement",IF(K191=1,"Determination Notice Issued",IF(L191=1,"Board","Under Review")))))</f>
        <v/>
      </c>
    </row>
    <row r="192">
      <c r="A192" s="8">
        <f>Applicant_List!C193</f>
        <v/>
      </c>
      <c r="B192" s="8">
        <f>Applicant_List!E193</f>
        <v/>
      </c>
      <c r="C192" s="8">
        <f>Applicant_List!L193</f>
        <v/>
      </c>
      <c r="D192" s="8">
        <f>OR(Applicant_List!L193="Closed",Applicant_List!L193="Withdrawn",Applicant_List!L193="Terminated")</f>
        <v/>
      </c>
      <c r="E192" s="8">
        <f>IF(OR(Applicant_List!AI193="N",Applicant_List!AI193=""),1,0)</f>
        <v/>
      </c>
      <c r="F192" s="8">
        <f>IF(OR(Applicant_List!AK193="N",Applicant_List!AK193="",Applicant_List!AL193="N",Applicant_List!AL193=""),1,0)</f>
        <v/>
      </c>
      <c r="G192" s="8">
        <f>IF(OR(Applicant_List!AM193="N",Applicant_List!AM193=""),1,0)</f>
        <v/>
      </c>
      <c r="H192" s="8">
        <f>IF(OR(Applicant_List!AX193="Y",AND(Applicant_List!AS193="Y",Applicant_List!AV193&lt;&gt;"Y")),1,0)</f>
        <v/>
      </c>
      <c r="I192" s="8">
        <f>IF(OR(Applicant_List!AZ193="N",Applicant_List!AZ193="",Applicant_List!BA193="N",Applicant_List!BA193=""),1,0)</f>
        <v/>
      </c>
      <c r="J192" s="8">
        <f>IF(OR(Applicant_List!BB193="N",Applicant_List!BB193="",Applicant_List!BC193="N",Applicant_List!BE193="Y",Applicant_List!BL193="Y"),1,0)</f>
        <v/>
      </c>
      <c r="K192" s="8">
        <f>IF(AND(Applicant_List!BJ193="Y",Applicant_List!BM193="Y",Applicant_List!BK193&lt;&gt;"Y"),1,0)</f>
        <v/>
      </c>
      <c r="L192" s="8">
        <f>IF(OR(Applicant_List!BN193="Y",Applicant_List!BK193="Y"),1,0)</f>
        <v/>
      </c>
      <c r="M192" s="8">
        <f>COUNTIF(Applicant_List!AI193:BM193,"N")+COUNTBLANK(Applicant_List!AI193:BM193)</f>
        <v/>
      </c>
      <c r="N192" s="8">
        <f>MAX(E192:J192)</f>
        <v/>
      </c>
      <c r="O192" s="8">
        <f>IF(Applicant_List!BP193="Y",100000,0)+IF(ISNUMBER(Applicant_List!BO193),50000-INT(Applicant_List!BO193),0)+IF(LEN(Applicant_List!L193)&gt;0,1000,0)</f>
        <v/>
      </c>
      <c r="P192" s="8">
        <f>IF(D192,"Terminal",IF(N192=1,"Blocked",IF(K192=1,"Determination Notice",IF(L192=1,"Board","Under Review"))))</f>
        <v/>
      </c>
      <c r="Q192" s="8">
        <f>IF(Applicant_List!L193="Closed","Closed",IF(OR(Applicant_List!L193="Withdrawn",Applicant_List!L193="Terminated"),Applicant_List!L193,IF(N192=1,"No Advancement",IF(K192=1,"Determination Notice Issued",IF(L192=1,"Board","Under Review")))))</f>
        <v/>
      </c>
    </row>
    <row r="193">
      <c r="A193" s="8">
        <f>Applicant_List!C194</f>
        <v/>
      </c>
      <c r="B193" s="8">
        <f>Applicant_List!E194</f>
        <v/>
      </c>
      <c r="C193" s="8">
        <f>Applicant_List!L194</f>
        <v/>
      </c>
      <c r="D193" s="8">
        <f>OR(Applicant_List!L194="Closed",Applicant_List!L194="Withdrawn",Applicant_List!L194="Terminated")</f>
        <v/>
      </c>
      <c r="E193" s="8">
        <f>IF(OR(Applicant_List!AI194="N",Applicant_List!AI194=""),1,0)</f>
        <v/>
      </c>
      <c r="F193" s="8">
        <f>IF(OR(Applicant_List!AK194="N",Applicant_List!AK194="",Applicant_List!AL194="N",Applicant_List!AL194=""),1,0)</f>
        <v/>
      </c>
      <c r="G193" s="8">
        <f>IF(OR(Applicant_List!AM194="N",Applicant_List!AM194=""),1,0)</f>
        <v/>
      </c>
      <c r="H193" s="8">
        <f>IF(OR(Applicant_List!AX194="Y",AND(Applicant_List!AS194="Y",Applicant_List!AV194&lt;&gt;"Y")),1,0)</f>
        <v/>
      </c>
      <c r="I193" s="8">
        <f>IF(OR(Applicant_List!AZ194="N",Applicant_List!AZ194="",Applicant_List!BA194="N",Applicant_List!BA194=""),1,0)</f>
        <v/>
      </c>
      <c r="J193" s="8">
        <f>IF(OR(Applicant_List!BB194="N",Applicant_List!BB194="",Applicant_List!BC194="N",Applicant_List!BE194="Y",Applicant_List!BL194="Y"),1,0)</f>
        <v/>
      </c>
      <c r="K193" s="8">
        <f>IF(AND(Applicant_List!BJ194="Y",Applicant_List!BM194="Y",Applicant_List!BK194&lt;&gt;"Y"),1,0)</f>
        <v/>
      </c>
      <c r="L193" s="8">
        <f>IF(OR(Applicant_List!BN194="Y",Applicant_List!BK194="Y"),1,0)</f>
        <v/>
      </c>
      <c r="M193" s="8">
        <f>COUNTIF(Applicant_List!AI194:BM194,"N")+COUNTBLANK(Applicant_List!AI194:BM194)</f>
        <v/>
      </c>
      <c r="N193" s="8">
        <f>MAX(E193:J193)</f>
        <v/>
      </c>
      <c r="O193" s="8">
        <f>IF(Applicant_List!BP194="Y",100000,0)+IF(ISNUMBER(Applicant_List!BO194),50000-INT(Applicant_List!BO194),0)+IF(LEN(Applicant_List!L194)&gt;0,1000,0)</f>
        <v/>
      </c>
      <c r="P193" s="8">
        <f>IF(D193,"Terminal",IF(N193=1,"Blocked",IF(K193=1,"Determination Notice",IF(L193=1,"Board","Under Review"))))</f>
        <v/>
      </c>
      <c r="Q193" s="8">
        <f>IF(Applicant_List!L194="Closed","Closed",IF(OR(Applicant_List!L194="Withdrawn",Applicant_List!L194="Terminated"),Applicant_List!L194,IF(N193=1,"No Advancement",IF(K193=1,"Determination Notice Issued",IF(L193=1,"Board","Under Review")))))</f>
        <v/>
      </c>
    </row>
    <row r="194">
      <c r="A194" s="8">
        <f>Applicant_List!C195</f>
        <v/>
      </c>
      <c r="B194" s="8">
        <f>Applicant_List!E195</f>
        <v/>
      </c>
      <c r="C194" s="8">
        <f>Applicant_List!L195</f>
        <v/>
      </c>
      <c r="D194" s="8">
        <f>OR(Applicant_List!L195="Closed",Applicant_List!L195="Withdrawn",Applicant_List!L195="Terminated")</f>
        <v/>
      </c>
      <c r="E194" s="8">
        <f>IF(OR(Applicant_List!AI195="N",Applicant_List!AI195=""),1,0)</f>
        <v/>
      </c>
      <c r="F194" s="8">
        <f>IF(OR(Applicant_List!AK195="N",Applicant_List!AK195="",Applicant_List!AL195="N",Applicant_List!AL195=""),1,0)</f>
        <v/>
      </c>
      <c r="G194" s="8">
        <f>IF(OR(Applicant_List!AM195="N",Applicant_List!AM195=""),1,0)</f>
        <v/>
      </c>
      <c r="H194" s="8">
        <f>IF(OR(Applicant_List!AX195="Y",AND(Applicant_List!AS195="Y",Applicant_List!AV195&lt;&gt;"Y")),1,0)</f>
        <v/>
      </c>
      <c r="I194" s="8">
        <f>IF(OR(Applicant_List!AZ195="N",Applicant_List!AZ195="",Applicant_List!BA195="N",Applicant_List!BA195=""),1,0)</f>
        <v/>
      </c>
      <c r="J194" s="8">
        <f>IF(OR(Applicant_List!BB195="N",Applicant_List!BB195="",Applicant_List!BC195="N",Applicant_List!BE195="Y",Applicant_List!BL195="Y"),1,0)</f>
        <v/>
      </c>
      <c r="K194" s="8">
        <f>IF(AND(Applicant_List!BJ195="Y",Applicant_List!BM195="Y",Applicant_List!BK195&lt;&gt;"Y"),1,0)</f>
        <v/>
      </c>
      <c r="L194" s="8">
        <f>IF(OR(Applicant_List!BN195="Y",Applicant_List!BK195="Y"),1,0)</f>
        <v/>
      </c>
      <c r="M194" s="8">
        <f>COUNTIF(Applicant_List!AI195:BM195,"N")+COUNTBLANK(Applicant_List!AI195:BM195)</f>
        <v/>
      </c>
      <c r="N194" s="8">
        <f>MAX(E194:J194)</f>
        <v/>
      </c>
      <c r="O194" s="8">
        <f>IF(Applicant_List!BP195="Y",100000,0)+IF(ISNUMBER(Applicant_List!BO195),50000-INT(Applicant_List!BO195),0)+IF(LEN(Applicant_List!L195)&gt;0,1000,0)</f>
        <v/>
      </c>
      <c r="P194" s="8">
        <f>IF(D194,"Terminal",IF(N194=1,"Blocked",IF(K194=1,"Determination Notice",IF(L194=1,"Board","Under Review"))))</f>
        <v/>
      </c>
      <c r="Q194" s="8">
        <f>IF(Applicant_List!L195="Closed","Closed",IF(OR(Applicant_List!L195="Withdrawn",Applicant_List!L195="Terminated"),Applicant_List!L195,IF(N194=1,"No Advancement",IF(K194=1,"Determination Notice Issued",IF(L194=1,"Board","Under Review")))))</f>
        <v/>
      </c>
    </row>
    <row r="195">
      <c r="A195" s="8">
        <f>Applicant_List!C196</f>
        <v/>
      </c>
      <c r="B195" s="8">
        <f>Applicant_List!E196</f>
        <v/>
      </c>
      <c r="C195" s="8">
        <f>Applicant_List!L196</f>
        <v/>
      </c>
      <c r="D195" s="8">
        <f>OR(Applicant_List!L196="Closed",Applicant_List!L196="Withdrawn",Applicant_List!L196="Terminated")</f>
        <v/>
      </c>
      <c r="E195" s="8">
        <f>IF(OR(Applicant_List!AI196="N",Applicant_List!AI196=""),1,0)</f>
        <v/>
      </c>
      <c r="F195" s="8">
        <f>IF(OR(Applicant_List!AK196="N",Applicant_List!AK196="",Applicant_List!AL196="N",Applicant_List!AL196=""),1,0)</f>
        <v/>
      </c>
      <c r="G195" s="8">
        <f>IF(OR(Applicant_List!AM196="N",Applicant_List!AM196=""),1,0)</f>
        <v/>
      </c>
      <c r="H195" s="8">
        <f>IF(OR(Applicant_List!AX196="Y",AND(Applicant_List!AS196="Y",Applicant_List!AV196&lt;&gt;"Y")),1,0)</f>
        <v/>
      </c>
      <c r="I195" s="8">
        <f>IF(OR(Applicant_List!AZ196="N",Applicant_List!AZ196="",Applicant_List!BA196="N",Applicant_List!BA196=""),1,0)</f>
        <v/>
      </c>
      <c r="J195" s="8">
        <f>IF(OR(Applicant_List!BB196="N",Applicant_List!BB196="",Applicant_List!BC196="N",Applicant_List!BE196="Y",Applicant_List!BL196="Y"),1,0)</f>
        <v/>
      </c>
      <c r="K195" s="8">
        <f>IF(AND(Applicant_List!BJ196="Y",Applicant_List!BM196="Y",Applicant_List!BK196&lt;&gt;"Y"),1,0)</f>
        <v/>
      </c>
      <c r="L195" s="8">
        <f>IF(OR(Applicant_List!BN196="Y",Applicant_List!BK196="Y"),1,0)</f>
        <v/>
      </c>
      <c r="M195" s="8">
        <f>COUNTIF(Applicant_List!AI196:BM196,"N")+COUNTBLANK(Applicant_List!AI196:BM196)</f>
        <v/>
      </c>
      <c r="N195" s="8">
        <f>MAX(E195:J195)</f>
        <v/>
      </c>
      <c r="O195" s="8">
        <f>IF(Applicant_List!BP196="Y",100000,0)+IF(ISNUMBER(Applicant_List!BO196),50000-INT(Applicant_List!BO196),0)+IF(LEN(Applicant_List!L196)&gt;0,1000,0)</f>
        <v/>
      </c>
      <c r="P195" s="8">
        <f>IF(D195,"Terminal",IF(N195=1,"Blocked",IF(K195=1,"Determination Notice",IF(L195=1,"Board","Under Review"))))</f>
        <v/>
      </c>
      <c r="Q195" s="8">
        <f>IF(Applicant_List!L196="Closed","Closed",IF(OR(Applicant_List!L196="Withdrawn",Applicant_List!L196="Terminated"),Applicant_List!L196,IF(N195=1,"No Advancement",IF(K195=1,"Determination Notice Issued",IF(L195=1,"Board","Under Review")))))</f>
        <v/>
      </c>
    </row>
    <row r="196">
      <c r="A196" s="8">
        <f>Applicant_List!C197</f>
        <v/>
      </c>
      <c r="B196" s="8">
        <f>Applicant_List!E197</f>
        <v/>
      </c>
      <c r="C196" s="8">
        <f>Applicant_List!L197</f>
        <v/>
      </c>
      <c r="D196" s="8">
        <f>OR(Applicant_List!L197="Closed",Applicant_List!L197="Withdrawn",Applicant_List!L197="Terminated")</f>
        <v/>
      </c>
      <c r="E196" s="8">
        <f>IF(OR(Applicant_List!AI197="N",Applicant_List!AI197=""),1,0)</f>
        <v/>
      </c>
      <c r="F196" s="8">
        <f>IF(OR(Applicant_List!AK197="N",Applicant_List!AK197="",Applicant_List!AL197="N",Applicant_List!AL197=""),1,0)</f>
        <v/>
      </c>
      <c r="G196" s="8">
        <f>IF(OR(Applicant_List!AM197="N",Applicant_List!AM197=""),1,0)</f>
        <v/>
      </c>
      <c r="H196" s="8">
        <f>IF(OR(Applicant_List!AX197="Y",AND(Applicant_List!AS197="Y",Applicant_List!AV197&lt;&gt;"Y")),1,0)</f>
        <v/>
      </c>
      <c r="I196" s="8">
        <f>IF(OR(Applicant_List!AZ197="N",Applicant_List!AZ197="",Applicant_List!BA197="N",Applicant_List!BA197=""),1,0)</f>
        <v/>
      </c>
      <c r="J196" s="8">
        <f>IF(OR(Applicant_List!BB197="N",Applicant_List!BB197="",Applicant_List!BC197="N",Applicant_List!BE197="Y",Applicant_List!BL197="Y"),1,0)</f>
        <v/>
      </c>
      <c r="K196" s="8">
        <f>IF(AND(Applicant_List!BJ197="Y",Applicant_List!BM197="Y",Applicant_List!BK197&lt;&gt;"Y"),1,0)</f>
        <v/>
      </c>
      <c r="L196" s="8">
        <f>IF(OR(Applicant_List!BN197="Y",Applicant_List!BK197="Y"),1,0)</f>
        <v/>
      </c>
      <c r="M196" s="8">
        <f>COUNTIF(Applicant_List!AI197:BM197,"N")+COUNTBLANK(Applicant_List!AI197:BM197)</f>
        <v/>
      </c>
      <c r="N196" s="8">
        <f>MAX(E196:J196)</f>
        <v/>
      </c>
      <c r="O196" s="8">
        <f>IF(Applicant_List!BP197="Y",100000,0)+IF(ISNUMBER(Applicant_List!BO197),50000-INT(Applicant_List!BO197),0)+IF(LEN(Applicant_List!L197)&gt;0,1000,0)</f>
        <v/>
      </c>
      <c r="P196" s="8">
        <f>IF(D196,"Terminal",IF(N196=1,"Blocked",IF(K196=1,"Determination Notice",IF(L196=1,"Board","Under Review"))))</f>
        <v/>
      </c>
      <c r="Q196" s="8">
        <f>IF(Applicant_List!L197="Closed","Closed",IF(OR(Applicant_List!L197="Withdrawn",Applicant_List!L197="Terminated"),Applicant_List!L197,IF(N196=1,"No Advancement",IF(K196=1,"Determination Notice Issued",IF(L196=1,"Board","Under Review")))))</f>
        <v/>
      </c>
    </row>
    <row r="197">
      <c r="A197" s="8">
        <f>Applicant_List!C198</f>
        <v/>
      </c>
      <c r="B197" s="8">
        <f>Applicant_List!E198</f>
        <v/>
      </c>
      <c r="C197" s="8">
        <f>Applicant_List!L198</f>
        <v/>
      </c>
      <c r="D197" s="8">
        <f>OR(Applicant_List!L198="Closed",Applicant_List!L198="Withdrawn",Applicant_List!L198="Terminated")</f>
        <v/>
      </c>
      <c r="E197" s="8">
        <f>IF(OR(Applicant_List!AI198="N",Applicant_List!AI198=""),1,0)</f>
        <v/>
      </c>
      <c r="F197" s="8">
        <f>IF(OR(Applicant_List!AK198="N",Applicant_List!AK198="",Applicant_List!AL198="N",Applicant_List!AL198=""),1,0)</f>
        <v/>
      </c>
      <c r="G197" s="8">
        <f>IF(OR(Applicant_List!AM198="N",Applicant_List!AM198=""),1,0)</f>
        <v/>
      </c>
      <c r="H197" s="8">
        <f>IF(OR(Applicant_List!AX198="Y",AND(Applicant_List!AS198="Y",Applicant_List!AV198&lt;&gt;"Y")),1,0)</f>
        <v/>
      </c>
      <c r="I197" s="8">
        <f>IF(OR(Applicant_List!AZ198="N",Applicant_List!AZ198="",Applicant_List!BA198="N",Applicant_List!BA198=""),1,0)</f>
        <v/>
      </c>
      <c r="J197" s="8">
        <f>IF(OR(Applicant_List!BB198="N",Applicant_List!BB198="",Applicant_List!BC198="N",Applicant_List!BE198="Y",Applicant_List!BL198="Y"),1,0)</f>
        <v/>
      </c>
      <c r="K197" s="8">
        <f>IF(AND(Applicant_List!BJ198="Y",Applicant_List!BM198="Y",Applicant_List!BK198&lt;&gt;"Y"),1,0)</f>
        <v/>
      </c>
      <c r="L197" s="8">
        <f>IF(OR(Applicant_List!BN198="Y",Applicant_List!BK198="Y"),1,0)</f>
        <v/>
      </c>
      <c r="M197" s="8">
        <f>COUNTIF(Applicant_List!AI198:BM198,"N")+COUNTBLANK(Applicant_List!AI198:BM198)</f>
        <v/>
      </c>
      <c r="N197" s="8">
        <f>MAX(E197:J197)</f>
        <v/>
      </c>
      <c r="O197" s="8">
        <f>IF(Applicant_List!BP198="Y",100000,0)+IF(ISNUMBER(Applicant_List!BO198),50000-INT(Applicant_List!BO198),0)+IF(LEN(Applicant_List!L198)&gt;0,1000,0)</f>
        <v/>
      </c>
      <c r="P197" s="8">
        <f>IF(D197,"Terminal",IF(N197=1,"Blocked",IF(K197=1,"Determination Notice",IF(L197=1,"Board","Under Review"))))</f>
        <v/>
      </c>
      <c r="Q197" s="8">
        <f>IF(Applicant_List!L198="Closed","Closed",IF(OR(Applicant_List!L198="Withdrawn",Applicant_List!L198="Terminated"),Applicant_List!L198,IF(N197=1,"No Advancement",IF(K197=1,"Determination Notice Issued",IF(L197=1,"Board","Under Review")))))</f>
        <v/>
      </c>
    </row>
    <row r="198">
      <c r="A198" s="8">
        <f>Applicant_List!C199</f>
        <v/>
      </c>
      <c r="B198" s="8">
        <f>Applicant_List!E199</f>
        <v/>
      </c>
      <c r="C198" s="8">
        <f>Applicant_List!L199</f>
        <v/>
      </c>
      <c r="D198" s="8">
        <f>OR(Applicant_List!L199="Closed",Applicant_List!L199="Withdrawn",Applicant_List!L199="Terminated")</f>
        <v/>
      </c>
      <c r="E198" s="8">
        <f>IF(OR(Applicant_List!AI199="N",Applicant_List!AI199=""),1,0)</f>
        <v/>
      </c>
      <c r="F198" s="8">
        <f>IF(OR(Applicant_List!AK199="N",Applicant_List!AK199="",Applicant_List!AL199="N",Applicant_List!AL199=""),1,0)</f>
        <v/>
      </c>
      <c r="G198" s="8">
        <f>IF(OR(Applicant_List!AM199="N",Applicant_List!AM199=""),1,0)</f>
        <v/>
      </c>
      <c r="H198" s="8">
        <f>IF(OR(Applicant_List!AX199="Y",AND(Applicant_List!AS199="Y",Applicant_List!AV199&lt;&gt;"Y")),1,0)</f>
        <v/>
      </c>
      <c r="I198" s="8">
        <f>IF(OR(Applicant_List!AZ199="N",Applicant_List!AZ199="",Applicant_List!BA199="N",Applicant_List!BA199=""),1,0)</f>
        <v/>
      </c>
      <c r="J198" s="8">
        <f>IF(OR(Applicant_List!BB199="N",Applicant_List!BB199="",Applicant_List!BC199="N",Applicant_List!BE199="Y",Applicant_List!BL199="Y"),1,0)</f>
        <v/>
      </c>
      <c r="K198" s="8">
        <f>IF(AND(Applicant_List!BJ199="Y",Applicant_List!BM199="Y",Applicant_List!BK199&lt;&gt;"Y"),1,0)</f>
        <v/>
      </c>
      <c r="L198" s="8">
        <f>IF(OR(Applicant_List!BN199="Y",Applicant_List!BK199="Y"),1,0)</f>
        <v/>
      </c>
      <c r="M198" s="8">
        <f>COUNTIF(Applicant_List!AI199:BM199,"N")+COUNTBLANK(Applicant_List!AI199:BM199)</f>
        <v/>
      </c>
      <c r="N198" s="8">
        <f>MAX(E198:J198)</f>
        <v/>
      </c>
      <c r="O198" s="8">
        <f>IF(Applicant_List!BP199="Y",100000,0)+IF(ISNUMBER(Applicant_List!BO199),50000-INT(Applicant_List!BO199),0)+IF(LEN(Applicant_List!L199)&gt;0,1000,0)</f>
        <v/>
      </c>
      <c r="P198" s="8">
        <f>IF(D198,"Terminal",IF(N198=1,"Blocked",IF(K198=1,"Determination Notice",IF(L198=1,"Board","Under Review"))))</f>
        <v/>
      </c>
      <c r="Q198" s="8">
        <f>IF(Applicant_List!L199="Closed","Closed",IF(OR(Applicant_List!L199="Withdrawn",Applicant_List!L199="Terminated"),Applicant_List!L199,IF(N198=1,"No Advancement",IF(K198=1,"Determination Notice Issued",IF(L198=1,"Board","Under Review")))))</f>
        <v/>
      </c>
    </row>
    <row r="199">
      <c r="A199" s="8">
        <f>Applicant_List!C200</f>
        <v/>
      </c>
      <c r="B199" s="8">
        <f>Applicant_List!E200</f>
        <v/>
      </c>
      <c r="C199" s="8">
        <f>Applicant_List!L200</f>
        <v/>
      </c>
      <c r="D199" s="8">
        <f>OR(Applicant_List!L200="Closed",Applicant_List!L200="Withdrawn",Applicant_List!L200="Terminated")</f>
        <v/>
      </c>
      <c r="E199" s="8">
        <f>IF(OR(Applicant_List!AI200="N",Applicant_List!AI200=""),1,0)</f>
        <v/>
      </c>
      <c r="F199" s="8">
        <f>IF(OR(Applicant_List!AK200="N",Applicant_List!AK200="",Applicant_List!AL200="N",Applicant_List!AL200=""),1,0)</f>
        <v/>
      </c>
      <c r="G199" s="8">
        <f>IF(OR(Applicant_List!AM200="N",Applicant_List!AM200=""),1,0)</f>
        <v/>
      </c>
      <c r="H199" s="8">
        <f>IF(OR(Applicant_List!AX200="Y",AND(Applicant_List!AS200="Y",Applicant_List!AV200&lt;&gt;"Y")),1,0)</f>
        <v/>
      </c>
      <c r="I199" s="8">
        <f>IF(OR(Applicant_List!AZ200="N",Applicant_List!AZ200="",Applicant_List!BA200="N",Applicant_List!BA200=""),1,0)</f>
        <v/>
      </c>
      <c r="J199" s="8">
        <f>IF(OR(Applicant_List!BB200="N",Applicant_List!BB200="",Applicant_List!BC200="N",Applicant_List!BE200="Y",Applicant_List!BL200="Y"),1,0)</f>
        <v/>
      </c>
      <c r="K199" s="8">
        <f>IF(AND(Applicant_List!BJ200="Y",Applicant_List!BM200="Y",Applicant_List!BK200&lt;&gt;"Y"),1,0)</f>
        <v/>
      </c>
      <c r="L199" s="8">
        <f>IF(OR(Applicant_List!BN200="Y",Applicant_List!BK200="Y"),1,0)</f>
        <v/>
      </c>
      <c r="M199" s="8">
        <f>COUNTIF(Applicant_List!AI200:BM200,"N")+COUNTBLANK(Applicant_List!AI200:BM200)</f>
        <v/>
      </c>
      <c r="N199" s="8">
        <f>MAX(E199:J199)</f>
        <v/>
      </c>
      <c r="O199" s="8">
        <f>IF(Applicant_List!BP200="Y",100000,0)+IF(ISNUMBER(Applicant_List!BO200),50000-INT(Applicant_List!BO200),0)+IF(LEN(Applicant_List!L200)&gt;0,1000,0)</f>
        <v/>
      </c>
      <c r="P199" s="8">
        <f>IF(D199,"Terminal",IF(N199=1,"Blocked",IF(K199=1,"Determination Notice",IF(L199=1,"Board","Under Review"))))</f>
        <v/>
      </c>
      <c r="Q199" s="8">
        <f>IF(Applicant_List!L200="Closed","Closed",IF(OR(Applicant_List!L200="Withdrawn",Applicant_List!L200="Terminated"),Applicant_List!L200,IF(N199=1,"No Advancement",IF(K199=1,"Determination Notice Issued",IF(L199=1,"Board","Under Review")))))</f>
        <v/>
      </c>
    </row>
    <row r="200">
      <c r="A200" s="8">
        <f>Applicant_List!C201</f>
        <v/>
      </c>
      <c r="B200" s="8">
        <f>Applicant_List!E201</f>
        <v/>
      </c>
      <c r="C200" s="8">
        <f>Applicant_List!L201</f>
        <v/>
      </c>
      <c r="D200" s="8">
        <f>OR(Applicant_List!L201="Closed",Applicant_List!L201="Withdrawn",Applicant_List!L201="Terminated")</f>
        <v/>
      </c>
      <c r="E200" s="8">
        <f>IF(OR(Applicant_List!AI201="N",Applicant_List!AI201=""),1,0)</f>
        <v/>
      </c>
      <c r="F200" s="8">
        <f>IF(OR(Applicant_List!AK201="N",Applicant_List!AK201="",Applicant_List!AL201="N",Applicant_List!AL201=""),1,0)</f>
        <v/>
      </c>
      <c r="G200" s="8">
        <f>IF(OR(Applicant_List!AM201="N",Applicant_List!AM201=""),1,0)</f>
        <v/>
      </c>
      <c r="H200" s="8">
        <f>IF(OR(Applicant_List!AX201="Y",AND(Applicant_List!AS201="Y",Applicant_List!AV201&lt;&gt;"Y")),1,0)</f>
        <v/>
      </c>
      <c r="I200" s="8">
        <f>IF(OR(Applicant_List!AZ201="N",Applicant_List!AZ201="",Applicant_List!BA201="N",Applicant_List!BA201=""),1,0)</f>
        <v/>
      </c>
      <c r="J200" s="8">
        <f>IF(OR(Applicant_List!BB201="N",Applicant_List!BB201="",Applicant_List!BC201="N",Applicant_List!BE201="Y",Applicant_List!BL201="Y"),1,0)</f>
        <v/>
      </c>
      <c r="K200" s="8">
        <f>IF(AND(Applicant_List!BJ201="Y",Applicant_List!BM201="Y",Applicant_List!BK201&lt;&gt;"Y"),1,0)</f>
        <v/>
      </c>
      <c r="L200" s="8">
        <f>IF(OR(Applicant_List!BN201="Y",Applicant_List!BK201="Y"),1,0)</f>
        <v/>
      </c>
      <c r="M200" s="8">
        <f>COUNTIF(Applicant_List!AI201:BM201,"N")+COUNTBLANK(Applicant_List!AI201:BM201)</f>
        <v/>
      </c>
      <c r="N200" s="8">
        <f>MAX(E200:J200)</f>
        <v/>
      </c>
      <c r="O200" s="8">
        <f>IF(Applicant_List!BP201="Y",100000,0)+IF(ISNUMBER(Applicant_List!BO201),50000-INT(Applicant_List!BO201),0)+IF(LEN(Applicant_List!L201)&gt;0,1000,0)</f>
        <v/>
      </c>
      <c r="P200" s="8">
        <f>IF(D200,"Terminal",IF(N200=1,"Blocked",IF(K200=1,"Determination Notice",IF(L200=1,"Board","Under Review"))))</f>
        <v/>
      </c>
      <c r="Q200" s="8">
        <f>IF(Applicant_List!L201="Closed","Closed",IF(OR(Applicant_List!L201="Withdrawn",Applicant_List!L201="Terminated"),Applicant_List!L201,IF(N200=1,"No Advancement",IF(K200=1,"Determination Notice Issued",IF(L200=1,"Board","Under Review")))))</f>
        <v/>
      </c>
    </row>
    <row r="201">
      <c r="A201" s="8">
        <f>Applicant_List!C202</f>
        <v/>
      </c>
      <c r="B201" s="8">
        <f>Applicant_List!E202</f>
        <v/>
      </c>
      <c r="C201" s="8">
        <f>Applicant_List!L202</f>
        <v/>
      </c>
      <c r="D201" s="8">
        <f>OR(Applicant_List!L202="Closed",Applicant_List!L202="Withdrawn",Applicant_List!L202="Terminated")</f>
        <v/>
      </c>
      <c r="E201" s="8">
        <f>IF(OR(Applicant_List!AI202="N",Applicant_List!AI202=""),1,0)</f>
        <v/>
      </c>
      <c r="F201" s="8">
        <f>IF(OR(Applicant_List!AK202="N",Applicant_List!AK202="",Applicant_List!AL202="N",Applicant_List!AL202=""),1,0)</f>
        <v/>
      </c>
      <c r="G201" s="8">
        <f>IF(OR(Applicant_List!AM202="N",Applicant_List!AM202=""),1,0)</f>
        <v/>
      </c>
      <c r="H201" s="8">
        <f>IF(OR(Applicant_List!AX202="Y",AND(Applicant_List!AS202="Y",Applicant_List!AV202&lt;&gt;"Y")),1,0)</f>
        <v/>
      </c>
      <c r="I201" s="8">
        <f>IF(OR(Applicant_List!AZ202="N",Applicant_List!AZ202="",Applicant_List!BA202="N",Applicant_List!BA202=""),1,0)</f>
        <v/>
      </c>
      <c r="J201" s="8">
        <f>IF(OR(Applicant_List!BB202="N",Applicant_List!BB202="",Applicant_List!BC202="N",Applicant_List!BE202="Y",Applicant_List!BL202="Y"),1,0)</f>
        <v/>
      </c>
      <c r="K201" s="8">
        <f>IF(AND(Applicant_List!BJ202="Y",Applicant_List!BM202="Y",Applicant_List!BK202&lt;&gt;"Y"),1,0)</f>
        <v/>
      </c>
      <c r="L201" s="8">
        <f>IF(OR(Applicant_List!BN202="Y",Applicant_List!BK202="Y"),1,0)</f>
        <v/>
      </c>
      <c r="M201" s="8">
        <f>COUNTIF(Applicant_List!AI202:BM202,"N")+COUNTBLANK(Applicant_List!AI202:BM202)</f>
        <v/>
      </c>
      <c r="N201" s="8">
        <f>MAX(E201:J201)</f>
        <v/>
      </c>
      <c r="O201" s="8">
        <f>IF(Applicant_List!BP202="Y",100000,0)+IF(ISNUMBER(Applicant_List!BO202),50000-INT(Applicant_List!BO202),0)+IF(LEN(Applicant_List!L202)&gt;0,1000,0)</f>
        <v/>
      </c>
      <c r="P201" s="8">
        <f>IF(D201,"Terminal",IF(N201=1,"Blocked",IF(K201=1,"Determination Notice",IF(L201=1,"Board","Under Review"))))</f>
        <v/>
      </c>
      <c r="Q201" s="8">
        <f>IF(Applicant_List!L202="Closed","Closed",IF(OR(Applicant_List!L202="Withdrawn",Applicant_List!L202="Terminated"),Applicant_List!L202,IF(N201=1,"No Advancement",IF(K201=1,"Determination Notice Issued",IF(L201=1,"Board","Under Review")))))</f>
        <v/>
      </c>
    </row>
    <row r="202">
      <c r="A202" s="8">
        <f>Applicant_List!C203</f>
        <v/>
      </c>
      <c r="B202" s="8">
        <f>Applicant_List!E203</f>
        <v/>
      </c>
      <c r="C202" s="8">
        <f>Applicant_List!L203</f>
        <v/>
      </c>
      <c r="D202" s="8">
        <f>OR(Applicant_List!L203="Closed",Applicant_List!L203="Withdrawn",Applicant_List!L203="Terminated")</f>
        <v/>
      </c>
      <c r="E202" s="8">
        <f>IF(OR(Applicant_List!AI203="N",Applicant_List!AI203=""),1,0)</f>
        <v/>
      </c>
      <c r="F202" s="8">
        <f>IF(OR(Applicant_List!AK203="N",Applicant_List!AK203="",Applicant_List!AL203="N",Applicant_List!AL203=""),1,0)</f>
        <v/>
      </c>
      <c r="G202" s="8">
        <f>IF(OR(Applicant_List!AM203="N",Applicant_List!AM203=""),1,0)</f>
        <v/>
      </c>
      <c r="H202" s="8">
        <f>IF(OR(Applicant_List!AX203="Y",AND(Applicant_List!AS203="Y",Applicant_List!AV203&lt;&gt;"Y")),1,0)</f>
        <v/>
      </c>
      <c r="I202" s="8">
        <f>IF(OR(Applicant_List!AZ203="N",Applicant_List!AZ203="",Applicant_List!BA203="N",Applicant_List!BA203=""),1,0)</f>
        <v/>
      </c>
      <c r="J202" s="8">
        <f>IF(OR(Applicant_List!BB203="N",Applicant_List!BB203="",Applicant_List!BC203="N",Applicant_List!BE203="Y",Applicant_List!BL203="Y"),1,0)</f>
        <v/>
      </c>
      <c r="K202" s="8">
        <f>IF(AND(Applicant_List!BJ203="Y",Applicant_List!BM203="Y",Applicant_List!BK203&lt;&gt;"Y"),1,0)</f>
        <v/>
      </c>
      <c r="L202" s="8">
        <f>IF(OR(Applicant_List!BN203="Y",Applicant_List!BK203="Y"),1,0)</f>
        <v/>
      </c>
      <c r="M202" s="8">
        <f>COUNTIF(Applicant_List!AI203:BM203,"N")+COUNTBLANK(Applicant_List!AI203:BM203)</f>
        <v/>
      </c>
      <c r="N202" s="8">
        <f>MAX(E202:J202)</f>
        <v/>
      </c>
      <c r="O202" s="8">
        <f>IF(Applicant_List!BP203="Y",100000,0)+IF(ISNUMBER(Applicant_List!BO203),50000-INT(Applicant_List!BO203),0)+IF(LEN(Applicant_List!L203)&gt;0,1000,0)</f>
        <v/>
      </c>
      <c r="P202" s="8">
        <f>IF(D202,"Terminal",IF(N202=1,"Blocked",IF(K202=1,"Determination Notice",IF(L202=1,"Board","Under Review"))))</f>
        <v/>
      </c>
      <c r="Q202" s="8">
        <f>IF(Applicant_List!L203="Closed","Closed",IF(OR(Applicant_List!L203="Withdrawn",Applicant_List!L203="Terminated"),Applicant_List!L203,IF(N202=1,"No Advancement",IF(K202=1,"Determination Notice Issued",IF(L202=1,"Board","Under Review")))))</f>
        <v/>
      </c>
    </row>
    <row r="203">
      <c r="A203" s="8">
        <f>Applicant_List!C204</f>
        <v/>
      </c>
      <c r="B203" s="8">
        <f>Applicant_List!E204</f>
        <v/>
      </c>
      <c r="C203" s="8">
        <f>Applicant_List!L204</f>
        <v/>
      </c>
      <c r="D203" s="8">
        <f>OR(Applicant_List!L204="Closed",Applicant_List!L204="Withdrawn",Applicant_List!L204="Terminated")</f>
        <v/>
      </c>
      <c r="E203" s="8">
        <f>IF(OR(Applicant_List!AI204="N",Applicant_List!AI204=""),1,0)</f>
        <v/>
      </c>
      <c r="F203" s="8">
        <f>IF(OR(Applicant_List!AK204="N",Applicant_List!AK204="",Applicant_List!AL204="N",Applicant_List!AL204=""),1,0)</f>
        <v/>
      </c>
      <c r="G203" s="8">
        <f>IF(OR(Applicant_List!AM204="N",Applicant_List!AM204=""),1,0)</f>
        <v/>
      </c>
      <c r="H203" s="8">
        <f>IF(OR(Applicant_List!AX204="Y",AND(Applicant_List!AS204="Y",Applicant_List!AV204&lt;&gt;"Y")),1,0)</f>
        <v/>
      </c>
      <c r="I203" s="8">
        <f>IF(OR(Applicant_List!AZ204="N",Applicant_List!AZ204="",Applicant_List!BA204="N",Applicant_List!BA204=""),1,0)</f>
        <v/>
      </c>
      <c r="J203" s="8">
        <f>IF(OR(Applicant_List!BB204="N",Applicant_List!BB204="",Applicant_List!BC204="N",Applicant_List!BE204="Y",Applicant_List!BL204="Y"),1,0)</f>
        <v/>
      </c>
      <c r="K203" s="8">
        <f>IF(AND(Applicant_List!BJ204="Y",Applicant_List!BM204="Y",Applicant_List!BK204&lt;&gt;"Y"),1,0)</f>
        <v/>
      </c>
      <c r="L203" s="8">
        <f>IF(OR(Applicant_List!BN204="Y",Applicant_List!BK204="Y"),1,0)</f>
        <v/>
      </c>
      <c r="M203" s="8">
        <f>COUNTIF(Applicant_List!AI204:BM204,"N")+COUNTBLANK(Applicant_List!AI204:BM204)</f>
        <v/>
      </c>
      <c r="N203" s="8">
        <f>MAX(E203:J203)</f>
        <v/>
      </c>
      <c r="O203" s="8">
        <f>IF(Applicant_List!BP204="Y",100000,0)+IF(ISNUMBER(Applicant_List!BO204),50000-INT(Applicant_List!BO204),0)+IF(LEN(Applicant_List!L204)&gt;0,1000,0)</f>
        <v/>
      </c>
      <c r="P203" s="8">
        <f>IF(D203,"Terminal",IF(N203=1,"Blocked",IF(K203=1,"Determination Notice",IF(L203=1,"Board","Under Review"))))</f>
        <v/>
      </c>
      <c r="Q203" s="8">
        <f>IF(Applicant_List!L204="Closed","Closed",IF(OR(Applicant_List!L204="Withdrawn",Applicant_List!L204="Terminated"),Applicant_List!L204,IF(N203=1,"No Advancement",IF(K203=1,"Determination Notice Issued",IF(L203=1,"Board","Under Review")))))</f>
        <v/>
      </c>
    </row>
    <row r="204">
      <c r="A204" s="8">
        <f>Applicant_List!C205</f>
        <v/>
      </c>
      <c r="B204" s="8">
        <f>Applicant_List!E205</f>
        <v/>
      </c>
      <c r="C204" s="8">
        <f>Applicant_List!L205</f>
        <v/>
      </c>
      <c r="D204" s="8">
        <f>OR(Applicant_List!L205="Closed",Applicant_List!L205="Withdrawn",Applicant_List!L205="Terminated")</f>
        <v/>
      </c>
      <c r="E204" s="8">
        <f>IF(OR(Applicant_List!AI205="N",Applicant_List!AI205=""),1,0)</f>
        <v/>
      </c>
      <c r="F204" s="8">
        <f>IF(OR(Applicant_List!AK205="N",Applicant_List!AK205="",Applicant_List!AL205="N",Applicant_List!AL205=""),1,0)</f>
        <v/>
      </c>
      <c r="G204" s="8">
        <f>IF(OR(Applicant_List!AM205="N",Applicant_List!AM205=""),1,0)</f>
        <v/>
      </c>
      <c r="H204" s="8">
        <f>IF(OR(Applicant_List!AX205="Y",AND(Applicant_List!AS205="Y",Applicant_List!AV205&lt;&gt;"Y")),1,0)</f>
        <v/>
      </c>
      <c r="I204" s="8">
        <f>IF(OR(Applicant_List!AZ205="N",Applicant_List!AZ205="",Applicant_List!BA205="N",Applicant_List!BA205=""),1,0)</f>
        <v/>
      </c>
      <c r="J204" s="8">
        <f>IF(OR(Applicant_List!BB205="N",Applicant_List!BB205="",Applicant_List!BC205="N",Applicant_List!BE205="Y",Applicant_List!BL205="Y"),1,0)</f>
        <v/>
      </c>
      <c r="K204" s="8">
        <f>IF(AND(Applicant_List!BJ205="Y",Applicant_List!BM205="Y",Applicant_List!BK205&lt;&gt;"Y"),1,0)</f>
        <v/>
      </c>
      <c r="L204" s="8">
        <f>IF(OR(Applicant_List!BN205="Y",Applicant_List!BK205="Y"),1,0)</f>
        <v/>
      </c>
      <c r="M204" s="8">
        <f>COUNTIF(Applicant_List!AI205:BM205,"N")+COUNTBLANK(Applicant_List!AI205:BM205)</f>
        <v/>
      </c>
      <c r="N204" s="8">
        <f>MAX(E204:J204)</f>
        <v/>
      </c>
      <c r="O204" s="8">
        <f>IF(Applicant_List!BP205="Y",100000,0)+IF(ISNUMBER(Applicant_List!BO205),50000-INT(Applicant_List!BO205),0)+IF(LEN(Applicant_List!L205)&gt;0,1000,0)</f>
        <v/>
      </c>
      <c r="P204" s="8">
        <f>IF(D204,"Terminal",IF(N204=1,"Blocked",IF(K204=1,"Determination Notice",IF(L204=1,"Board","Under Review"))))</f>
        <v/>
      </c>
      <c r="Q204" s="8">
        <f>IF(Applicant_List!L205="Closed","Closed",IF(OR(Applicant_List!L205="Withdrawn",Applicant_List!L205="Terminated"),Applicant_List!L205,IF(N204=1,"No Advancement",IF(K204=1,"Determination Notice Issued",IF(L204=1,"Board","Under Review")))))</f>
        <v/>
      </c>
    </row>
    <row r="205">
      <c r="A205" s="8">
        <f>Applicant_List!C206</f>
        <v/>
      </c>
      <c r="B205" s="8">
        <f>Applicant_List!E206</f>
        <v/>
      </c>
      <c r="C205" s="8">
        <f>Applicant_List!L206</f>
        <v/>
      </c>
      <c r="D205" s="8">
        <f>OR(Applicant_List!L206="Closed",Applicant_List!L206="Withdrawn",Applicant_List!L206="Terminated")</f>
        <v/>
      </c>
      <c r="E205" s="8">
        <f>IF(OR(Applicant_List!AI206="N",Applicant_List!AI206=""),1,0)</f>
        <v/>
      </c>
      <c r="F205" s="8">
        <f>IF(OR(Applicant_List!AK206="N",Applicant_List!AK206="",Applicant_List!AL206="N",Applicant_List!AL206=""),1,0)</f>
        <v/>
      </c>
      <c r="G205" s="8">
        <f>IF(OR(Applicant_List!AM206="N",Applicant_List!AM206=""),1,0)</f>
        <v/>
      </c>
      <c r="H205" s="8">
        <f>IF(OR(Applicant_List!AX206="Y",AND(Applicant_List!AS206="Y",Applicant_List!AV206&lt;&gt;"Y")),1,0)</f>
        <v/>
      </c>
      <c r="I205" s="8">
        <f>IF(OR(Applicant_List!AZ206="N",Applicant_List!AZ206="",Applicant_List!BA206="N",Applicant_List!BA206=""),1,0)</f>
        <v/>
      </c>
      <c r="J205" s="8">
        <f>IF(OR(Applicant_List!BB206="N",Applicant_List!BB206="",Applicant_List!BC206="N",Applicant_List!BE206="Y",Applicant_List!BL206="Y"),1,0)</f>
        <v/>
      </c>
      <c r="K205" s="8">
        <f>IF(AND(Applicant_List!BJ206="Y",Applicant_List!BM206="Y",Applicant_List!BK206&lt;&gt;"Y"),1,0)</f>
        <v/>
      </c>
      <c r="L205" s="8">
        <f>IF(OR(Applicant_List!BN206="Y",Applicant_List!BK206="Y"),1,0)</f>
        <v/>
      </c>
      <c r="M205" s="8">
        <f>COUNTIF(Applicant_List!AI206:BM206,"N")+COUNTBLANK(Applicant_List!AI206:BM206)</f>
        <v/>
      </c>
      <c r="N205" s="8">
        <f>MAX(E205:J205)</f>
        <v/>
      </c>
      <c r="O205" s="8">
        <f>IF(Applicant_List!BP206="Y",100000,0)+IF(ISNUMBER(Applicant_List!BO206),50000-INT(Applicant_List!BO206),0)+IF(LEN(Applicant_List!L206)&gt;0,1000,0)</f>
        <v/>
      </c>
      <c r="P205" s="8">
        <f>IF(D205,"Terminal",IF(N205=1,"Blocked",IF(K205=1,"Determination Notice",IF(L205=1,"Board","Under Review"))))</f>
        <v/>
      </c>
      <c r="Q205" s="8">
        <f>IF(Applicant_List!L206="Closed","Closed",IF(OR(Applicant_List!L206="Withdrawn",Applicant_List!L206="Terminated"),Applicant_List!L206,IF(N205=1,"No Advancement",IF(K205=1,"Determination Notice Issued",IF(L205=1,"Board","Under Review")))))</f>
        <v/>
      </c>
    </row>
    <row r="206">
      <c r="A206" s="8">
        <f>Applicant_List!C207</f>
        <v/>
      </c>
      <c r="B206" s="8">
        <f>Applicant_List!E207</f>
        <v/>
      </c>
      <c r="C206" s="8">
        <f>Applicant_List!L207</f>
        <v/>
      </c>
      <c r="D206" s="8">
        <f>OR(Applicant_List!L207="Closed",Applicant_List!L207="Withdrawn",Applicant_List!L207="Terminated")</f>
        <v/>
      </c>
      <c r="E206" s="8">
        <f>IF(OR(Applicant_List!AI207="N",Applicant_List!AI207=""),1,0)</f>
        <v/>
      </c>
      <c r="F206" s="8">
        <f>IF(OR(Applicant_List!AK207="N",Applicant_List!AK207="",Applicant_List!AL207="N",Applicant_List!AL207=""),1,0)</f>
        <v/>
      </c>
      <c r="G206" s="8">
        <f>IF(OR(Applicant_List!AM207="N",Applicant_List!AM207=""),1,0)</f>
        <v/>
      </c>
      <c r="H206" s="8">
        <f>IF(OR(Applicant_List!AX207="Y",AND(Applicant_List!AS207="Y",Applicant_List!AV207&lt;&gt;"Y")),1,0)</f>
        <v/>
      </c>
      <c r="I206" s="8">
        <f>IF(OR(Applicant_List!AZ207="N",Applicant_List!AZ207="",Applicant_List!BA207="N",Applicant_List!BA207=""),1,0)</f>
        <v/>
      </c>
      <c r="J206" s="8">
        <f>IF(OR(Applicant_List!BB207="N",Applicant_List!BB207="",Applicant_List!BC207="N",Applicant_List!BE207="Y",Applicant_List!BL207="Y"),1,0)</f>
        <v/>
      </c>
      <c r="K206" s="8">
        <f>IF(AND(Applicant_List!BJ207="Y",Applicant_List!BM207="Y",Applicant_List!BK207&lt;&gt;"Y"),1,0)</f>
        <v/>
      </c>
      <c r="L206" s="8">
        <f>IF(OR(Applicant_List!BN207="Y",Applicant_List!BK207="Y"),1,0)</f>
        <v/>
      </c>
      <c r="M206" s="8">
        <f>COUNTIF(Applicant_List!AI207:BM207,"N")+COUNTBLANK(Applicant_List!AI207:BM207)</f>
        <v/>
      </c>
      <c r="N206" s="8">
        <f>MAX(E206:J206)</f>
        <v/>
      </c>
      <c r="O206" s="8">
        <f>IF(Applicant_List!BP207="Y",100000,0)+IF(ISNUMBER(Applicant_List!BO207),50000-INT(Applicant_List!BO207),0)+IF(LEN(Applicant_List!L207)&gt;0,1000,0)</f>
        <v/>
      </c>
      <c r="P206" s="8">
        <f>IF(D206,"Terminal",IF(N206=1,"Blocked",IF(K206=1,"Determination Notice",IF(L206=1,"Board","Under Review"))))</f>
        <v/>
      </c>
      <c r="Q206" s="8">
        <f>IF(Applicant_List!L207="Closed","Closed",IF(OR(Applicant_List!L207="Withdrawn",Applicant_List!L207="Terminated"),Applicant_List!L207,IF(N206=1,"No Advancement",IF(K206=1,"Determination Notice Issued",IF(L206=1,"Board","Under Review")))))</f>
        <v/>
      </c>
    </row>
    <row r="207">
      <c r="A207" s="8">
        <f>Applicant_List!C208</f>
        <v/>
      </c>
      <c r="B207" s="8">
        <f>Applicant_List!E208</f>
        <v/>
      </c>
      <c r="C207" s="8">
        <f>Applicant_List!L208</f>
        <v/>
      </c>
      <c r="D207" s="8">
        <f>OR(Applicant_List!L208="Closed",Applicant_List!L208="Withdrawn",Applicant_List!L208="Terminated")</f>
        <v/>
      </c>
      <c r="E207" s="8">
        <f>IF(OR(Applicant_List!AI208="N",Applicant_List!AI208=""),1,0)</f>
        <v/>
      </c>
      <c r="F207" s="8">
        <f>IF(OR(Applicant_List!AK208="N",Applicant_List!AK208="",Applicant_List!AL208="N",Applicant_List!AL208=""),1,0)</f>
        <v/>
      </c>
      <c r="G207" s="8">
        <f>IF(OR(Applicant_List!AM208="N",Applicant_List!AM208=""),1,0)</f>
        <v/>
      </c>
      <c r="H207" s="8">
        <f>IF(OR(Applicant_List!AX208="Y",AND(Applicant_List!AS208="Y",Applicant_List!AV208&lt;&gt;"Y")),1,0)</f>
        <v/>
      </c>
      <c r="I207" s="8">
        <f>IF(OR(Applicant_List!AZ208="N",Applicant_List!AZ208="",Applicant_List!BA208="N",Applicant_List!BA208=""),1,0)</f>
        <v/>
      </c>
      <c r="J207" s="8">
        <f>IF(OR(Applicant_List!BB208="N",Applicant_List!BB208="",Applicant_List!BC208="N",Applicant_List!BE208="Y",Applicant_List!BL208="Y"),1,0)</f>
        <v/>
      </c>
      <c r="K207" s="8">
        <f>IF(AND(Applicant_List!BJ208="Y",Applicant_List!BM208="Y",Applicant_List!BK208&lt;&gt;"Y"),1,0)</f>
        <v/>
      </c>
      <c r="L207" s="8">
        <f>IF(OR(Applicant_List!BN208="Y",Applicant_List!BK208="Y"),1,0)</f>
        <v/>
      </c>
      <c r="M207" s="8">
        <f>COUNTIF(Applicant_List!AI208:BM208,"N")+COUNTBLANK(Applicant_List!AI208:BM208)</f>
        <v/>
      </c>
      <c r="N207" s="8">
        <f>MAX(E207:J207)</f>
        <v/>
      </c>
      <c r="O207" s="8">
        <f>IF(Applicant_List!BP208="Y",100000,0)+IF(ISNUMBER(Applicant_List!BO208),50000-INT(Applicant_List!BO208),0)+IF(LEN(Applicant_List!L208)&gt;0,1000,0)</f>
        <v/>
      </c>
      <c r="P207" s="8">
        <f>IF(D207,"Terminal",IF(N207=1,"Blocked",IF(K207=1,"Determination Notice",IF(L207=1,"Board","Under Review"))))</f>
        <v/>
      </c>
      <c r="Q207" s="8">
        <f>IF(Applicant_List!L208="Closed","Closed",IF(OR(Applicant_List!L208="Withdrawn",Applicant_List!L208="Terminated"),Applicant_List!L208,IF(N207=1,"No Advancement",IF(K207=1,"Determination Notice Issued",IF(L207=1,"Board","Under Review")))))</f>
        <v/>
      </c>
    </row>
    <row r="208">
      <c r="A208" s="8">
        <f>Applicant_List!C209</f>
        <v/>
      </c>
      <c r="B208" s="8">
        <f>Applicant_List!E209</f>
        <v/>
      </c>
      <c r="C208" s="8">
        <f>Applicant_List!L209</f>
        <v/>
      </c>
      <c r="D208" s="8">
        <f>OR(Applicant_List!L209="Closed",Applicant_List!L209="Withdrawn",Applicant_List!L209="Terminated")</f>
        <v/>
      </c>
      <c r="E208" s="8">
        <f>IF(OR(Applicant_List!AI209="N",Applicant_List!AI209=""),1,0)</f>
        <v/>
      </c>
      <c r="F208" s="8">
        <f>IF(OR(Applicant_List!AK209="N",Applicant_List!AK209="",Applicant_List!AL209="N",Applicant_List!AL209=""),1,0)</f>
        <v/>
      </c>
      <c r="G208" s="8">
        <f>IF(OR(Applicant_List!AM209="N",Applicant_List!AM209=""),1,0)</f>
        <v/>
      </c>
      <c r="H208" s="8">
        <f>IF(OR(Applicant_List!AX209="Y",AND(Applicant_List!AS209="Y",Applicant_List!AV209&lt;&gt;"Y")),1,0)</f>
        <v/>
      </c>
      <c r="I208" s="8">
        <f>IF(OR(Applicant_List!AZ209="N",Applicant_List!AZ209="",Applicant_List!BA209="N",Applicant_List!BA209=""),1,0)</f>
        <v/>
      </c>
      <c r="J208" s="8">
        <f>IF(OR(Applicant_List!BB209="N",Applicant_List!BB209="",Applicant_List!BC209="N",Applicant_List!BE209="Y",Applicant_List!BL209="Y"),1,0)</f>
        <v/>
      </c>
      <c r="K208" s="8">
        <f>IF(AND(Applicant_List!BJ209="Y",Applicant_List!BM209="Y",Applicant_List!BK209&lt;&gt;"Y"),1,0)</f>
        <v/>
      </c>
      <c r="L208" s="8">
        <f>IF(OR(Applicant_List!BN209="Y",Applicant_List!BK209="Y"),1,0)</f>
        <v/>
      </c>
      <c r="M208" s="8">
        <f>COUNTIF(Applicant_List!AI209:BM209,"N")+COUNTBLANK(Applicant_List!AI209:BM209)</f>
        <v/>
      </c>
      <c r="N208" s="8">
        <f>MAX(E208:J208)</f>
        <v/>
      </c>
      <c r="O208" s="8">
        <f>IF(Applicant_List!BP209="Y",100000,0)+IF(ISNUMBER(Applicant_List!BO209),50000-INT(Applicant_List!BO209),0)+IF(LEN(Applicant_List!L209)&gt;0,1000,0)</f>
        <v/>
      </c>
      <c r="P208" s="8">
        <f>IF(D208,"Terminal",IF(N208=1,"Blocked",IF(K208=1,"Determination Notice",IF(L208=1,"Board","Under Review"))))</f>
        <v/>
      </c>
      <c r="Q208" s="8">
        <f>IF(Applicant_List!L209="Closed","Closed",IF(OR(Applicant_List!L209="Withdrawn",Applicant_List!L209="Terminated"),Applicant_List!L209,IF(N208=1,"No Advancement",IF(K208=1,"Determination Notice Issued",IF(L208=1,"Board","Under Review")))))</f>
        <v/>
      </c>
    </row>
    <row r="209">
      <c r="A209" s="8">
        <f>Applicant_List!C210</f>
        <v/>
      </c>
      <c r="B209" s="8">
        <f>Applicant_List!E210</f>
        <v/>
      </c>
      <c r="C209" s="8">
        <f>Applicant_List!L210</f>
        <v/>
      </c>
      <c r="D209" s="8">
        <f>OR(Applicant_List!L210="Closed",Applicant_List!L210="Withdrawn",Applicant_List!L210="Terminated")</f>
        <v/>
      </c>
      <c r="E209" s="8">
        <f>IF(OR(Applicant_List!AI210="N",Applicant_List!AI210=""),1,0)</f>
        <v/>
      </c>
      <c r="F209" s="8">
        <f>IF(OR(Applicant_List!AK210="N",Applicant_List!AK210="",Applicant_List!AL210="N",Applicant_List!AL210=""),1,0)</f>
        <v/>
      </c>
      <c r="G209" s="8">
        <f>IF(OR(Applicant_List!AM210="N",Applicant_List!AM210=""),1,0)</f>
        <v/>
      </c>
      <c r="H209" s="8">
        <f>IF(OR(Applicant_List!AX210="Y",AND(Applicant_List!AS210="Y",Applicant_List!AV210&lt;&gt;"Y")),1,0)</f>
        <v/>
      </c>
      <c r="I209" s="8">
        <f>IF(OR(Applicant_List!AZ210="N",Applicant_List!AZ210="",Applicant_List!BA210="N",Applicant_List!BA210=""),1,0)</f>
        <v/>
      </c>
      <c r="J209" s="8">
        <f>IF(OR(Applicant_List!BB210="N",Applicant_List!BB210="",Applicant_List!BC210="N",Applicant_List!BE210="Y",Applicant_List!BL210="Y"),1,0)</f>
        <v/>
      </c>
      <c r="K209" s="8">
        <f>IF(AND(Applicant_List!BJ210="Y",Applicant_List!BM210="Y",Applicant_List!BK210&lt;&gt;"Y"),1,0)</f>
        <v/>
      </c>
      <c r="L209" s="8">
        <f>IF(OR(Applicant_List!BN210="Y",Applicant_List!BK210="Y"),1,0)</f>
        <v/>
      </c>
      <c r="M209" s="8">
        <f>COUNTIF(Applicant_List!AI210:BM210,"N")+COUNTBLANK(Applicant_List!AI210:BM210)</f>
        <v/>
      </c>
      <c r="N209" s="8">
        <f>MAX(E209:J209)</f>
        <v/>
      </c>
      <c r="O209" s="8">
        <f>IF(Applicant_List!BP210="Y",100000,0)+IF(ISNUMBER(Applicant_List!BO210),50000-INT(Applicant_List!BO210),0)+IF(LEN(Applicant_List!L210)&gt;0,1000,0)</f>
        <v/>
      </c>
      <c r="P209" s="8">
        <f>IF(D209,"Terminal",IF(N209=1,"Blocked",IF(K209=1,"Determination Notice",IF(L209=1,"Board","Under Review"))))</f>
        <v/>
      </c>
      <c r="Q209" s="8">
        <f>IF(Applicant_List!L210="Closed","Closed",IF(OR(Applicant_List!L210="Withdrawn",Applicant_List!L210="Terminated"),Applicant_List!L210,IF(N209=1,"No Advancement",IF(K209=1,"Determination Notice Issued",IF(L209=1,"Board","Under Review")))))</f>
        <v/>
      </c>
    </row>
    <row r="210">
      <c r="A210" s="8">
        <f>Applicant_List!C211</f>
        <v/>
      </c>
      <c r="B210" s="8">
        <f>Applicant_List!E211</f>
        <v/>
      </c>
      <c r="C210" s="8">
        <f>Applicant_List!L211</f>
        <v/>
      </c>
      <c r="D210" s="8">
        <f>OR(Applicant_List!L211="Closed",Applicant_List!L211="Withdrawn",Applicant_List!L211="Terminated")</f>
        <v/>
      </c>
      <c r="E210" s="8">
        <f>IF(OR(Applicant_List!AI211="N",Applicant_List!AI211=""),1,0)</f>
        <v/>
      </c>
      <c r="F210" s="8">
        <f>IF(OR(Applicant_List!AK211="N",Applicant_List!AK211="",Applicant_List!AL211="N",Applicant_List!AL211=""),1,0)</f>
        <v/>
      </c>
      <c r="G210" s="8">
        <f>IF(OR(Applicant_List!AM211="N",Applicant_List!AM211=""),1,0)</f>
        <v/>
      </c>
      <c r="H210" s="8">
        <f>IF(OR(Applicant_List!AX211="Y",AND(Applicant_List!AS211="Y",Applicant_List!AV211&lt;&gt;"Y")),1,0)</f>
        <v/>
      </c>
      <c r="I210" s="8">
        <f>IF(OR(Applicant_List!AZ211="N",Applicant_List!AZ211="",Applicant_List!BA211="N",Applicant_List!BA211=""),1,0)</f>
        <v/>
      </c>
      <c r="J210" s="8">
        <f>IF(OR(Applicant_List!BB211="N",Applicant_List!BB211="",Applicant_List!BC211="N",Applicant_List!BE211="Y",Applicant_List!BL211="Y"),1,0)</f>
        <v/>
      </c>
      <c r="K210" s="8">
        <f>IF(AND(Applicant_List!BJ211="Y",Applicant_List!BM211="Y",Applicant_List!BK211&lt;&gt;"Y"),1,0)</f>
        <v/>
      </c>
      <c r="L210" s="8">
        <f>IF(OR(Applicant_List!BN211="Y",Applicant_List!BK211="Y"),1,0)</f>
        <v/>
      </c>
      <c r="M210" s="8">
        <f>COUNTIF(Applicant_List!AI211:BM211,"N")+COUNTBLANK(Applicant_List!AI211:BM211)</f>
        <v/>
      </c>
      <c r="N210" s="8">
        <f>MAX(E210:J210)</f>
        <v/>
      </c>
      <c r="O210" s="8">
        <f>IF(Applicant_List!BP211="Y",100000,0)+IF(ISNUMBER(Applicant_List!BO211),50000-INT(Applicant_List!BO211),0)+IF(LEN(Applicant_List!L211)&gt;0,1000,0)</f>
        <v/>
      </c>
      <c r="P210" s="8">
        <f>IF(D210,"Terminal",IF(N210=1,"Blocked",IF(K210=1,"Determination Notice",IF(L210=1,"Board","Under Review"))))</f>
        <v/>
      </c>
      <c r="Q210" s="8">
        <f>IF(Applicant_List!L211="Closed","Closed",IF(OR(Applicant_List!L211="Withdrawn",Applicant_List!L211="Terminated"),Applicant_List!L211,IF(N210=1,"No Advancement",IF(K210=1,"Determination Notice Issued",IF(L210=1,"Board","Under Review")))))</f>
        <v/>
      </c>
    </row>
    <row r="211">
      <c r="A211" s="8">
        <f>Applicant_List!C212</f>
        <v/>
      </c>
      <c r="B211" s="8">
        <f>Applicant_List!E212</f>
        <v/>
      </c>
      <c r="C211" s="8">
        <f>Applicant_List!L212</f>
        <v/>
      </c>
      <c r="D211" s="8">
        <f>OR(Applicant_List!L212="Closed",Applicant_List!L212="Withdrawn",Applicant_List!L212="Terminated")</f>
        <v/>
      </c>
      <c r="E211" s="8">
        <f>IF(OR(Applicant_List!AI212="N",Applicant_List!AI212=""),1,0)</f>
        <v/>
      </c>
      <c r="F211" s="8">
        <f>IF(OR(Applicant_List!AK212="N",Applicant_List!AK212="",Applicant_List!AL212="N",Applicant_List!AL212=""),1,0)</f>
        <v/>
      </c>
      <c r="G211" s="8">
        <f>IF(OR(Applicant_List!AM212="N",Applicant_List!AM212=""),1,0)</f>
        <v/>
      </c>
      <c r="H211" s="8">
        <f>IF(OR(Applicant_List!AX212="Y",AND(Applicant_List!AS212="Y",Applicant_List!AV212&lt;&gt;"Y")),1,0)</f>
        <v/>
      </c>
      <c r="I211" s="8">
        <f>IF(OR(Applicant_List!AZ212="N",Applicant_List!AZ212="",Applicant_List!BA212="N",Applicant_List!BA212=""),1,0)</f>
        <v/>
      </c>
      <c r="J211" s="8">
        <f>IF(OR(Applicant_List!BB212="N",Applicant_List!BB212="",Applicant_List!BC212="N",Applicant_List!BE212="Y",Applicant_List!BL212="Y"),1,0)</f>
        <v/>
      </c>
      <c r="K211" s="8">
        <f>IF(AND(Applicant_List!BJ212="Y",Applicant_List!BM212="Y",Applicant_List!BK212&lt;&gt;"Y"),1,0)</f>
        <v/>
      </c>
      <c r="L211" s="8">
        <f>IF(OR(Applicant_List!BN212="Y",Applicant_List!BK212="Y"),1,0)</f>
        <v/>
      </c>
      <c r="M211" s="8">
        <f>COUNTIF(Applicant_List!AI212:BM212,"N")+COUNTBLANK(Applicant_List!AI212:BM212)</f>
        <v/>
      </c>
      <c r="N211" s="8">
        <f>MAX(E211:J211)</f>
        <v/>
      </c>
      <c r="O211" s="8">
        <f>IF(Applicant_List!BP212="Y",100000,0)+IF(ISNUMBER(Applicant_List!BO212),50000-INT(Applicant_List!BO212),0)+IF(LEN(Applicant_List!L212)&gt;0,1000,0)</f>
        <v/>
      </c>
      <c r="P211" s="8">
        <f>IF(D211,"Terminal",IF(N211=1,"Blocked",IF(K211=1,"Determination Notice",IF(L211=1,"Board","Under Review"))))</f>
        <v/>
      </c>
      <c r="Q211" s="8">
        <f>IF(Applicant_List!L212="Closed","Closed",IF(OR(Applicant_List!L212="Withdrawn",Applicant_List!L212="Terminated"),Applicant_List!L212,IF(N211=1,"No Advancement",IF(K211=1,"Determination Notice Issued",IF(L211=1,"Board","Under Review")))))</f>
        <v/>
      </c>
    </row>
    <row r="212">
      <c r="A212" s="8">
        <f>Applicant_List!C213</f>
        <v/>
      </c>
      <c r="B212" s="8">
        <f>Applicant_List!E213</f>
        <v/>
      </c>
      <c r="C212" s="8">
        <f>Applicant_List!L213</f>
        <v/>
      </c>
      <c r="D212" s="8">
        <f>OR(Applicant_List!L213="Closed",Applicant_List!L213="Withdrawn",Applicant_List!L213="Terminated")</f>
        <v/>
      </c>
      <c r="E212" s="8">
        <f>IF(OR(Applicant_List!AI213="N",Applicant_List!AI213=""),1,0)</f>
        <v/>
      </c>
      <c r="F212" s="8">
        <f>IF(OR(Applicant_List!AK213="N",Applicant_List!AK213="",Applicant_List!AL213="N",Applicant_List!AL213=""),1,0)</f>
        <v/>
      </c>
      <c r="G212" s="8">
        <f>IF(OR(Applicant_List!AM213="N",Applicant_List!AM213=""),1,0)</f>
        <v/>
      </c>
      <c r="H212" s="8">
        <f>IF(OR(Applicant_List!AX213="Y",AND(Applicant_List!AS213="Y",Applicant_List!AV213&lt;&gt;"Y")),1,0)</f>
        <v/>
      </c>
      <c r="I212" s="8">
        <f>IF(OR(Applicant_List!AZ213="N",Applicant_List!AZ213="",Applicant_List!BA213="N",Applicant_List!BA213=""),1,0)</f>
        <v/>
      </c>
      <c r="J212" s="8">
        <f>IF(OR(Applicant_List!BB213="N",Applicant_List!BB213="",Applicant_List!BC213="N",Applicant_List!BE213="Y",Applicant_List!BL213="Y"),1,0)</f>
        <v/>
      </c>
      <c r="K212" s="8">
        <f>IF(AND(Applicant_List!BJ213="Y",Applicant_List!BM213="Y",Applicant_List!BK213&lt;&gt;"Y"),1,0)</f>
        <v/>
      </c>
      <c r="L212" s="8">
        <f>IF(OR(Applicant_List!BN213="Y",Applicant_List!BK213="Y"),1,0)</f>
        <v/>
      </c>
      <c r="M212" s="8">
        <f>COUNTIF(Applicant_List!AI213:BM213,"N")+COUNTBLANK(Applicant_List!AI213:BM213)</f>
        <v/>
      </c>
      <c r="N212" s="8">
        <f>MAX(E212:J212)</f>
        <v/>
      </c>
      <c r="O212" s="8">
        <f>IF(Applicant_List!BP213="Y",100000,0)+IF(ISNUMBER(Applicant_List!BO213),50000-INT(Applicant_List!BO213),0)+IF(LEN(Applicant_List!L213)&gt;0,1000,0)</f>
        <v/>
      </c>
      <c r="P212" s="8">
        <f>IF(D212,"Terminal",IF(N212=1,"Blocked",IF(K212=1,"Determination Notice",IF(L212=1,"Board","Under Review"))))</f>
        <v/>
      </c>
      <c r="Q212" s="8">
        <f>IF(Applicant_List!L213="Closed","Closed",IF(OR(Applicant_List!L213="Withdrawn",Applicant_List!L213="Terminated"),Applicant_List!L213,IF(N212=1,"No Advancement",IF(K212=1,"Determination Notice Issued",IF(L212=1,"Board","Under Review")))))</f>
        <v/>
      </c>
    </row>
    <row r="213">
      <c r="A213" s="8">
        <f>Applicant_List!C214</f>
        <v/>
      </c>
      <c r="B213" s="8">
        <f>Applicant_List!E214</f>
        <v/>
      </c>
      <c r="C213" s="8">
        <f>Applicant_List!L214</f>
        <v/>
      </c>
      <c r="D213" s="8">
        <f>OR(Applicant_List!L214="Closed",Applicant_List!L214="Withdrawn",Applicant_List!L214="Terminated")</f>
        <v/>
      </c>
      <c r="E213" s="8">
        <f>IF(OR(Applicant_List!AI214="N",Applicant_List!AI214=""),1,0)</f>
        <v/>
      </c>
      <c r="F213" s="8">
        <f>IF(OR(Applicant_List!AK214="N",Applicant_List!AK214="",Applicant_List!AL214="N",Applicant_List!AL214=""),1,0)</f>
        <v/>
      </c>
      <c r="G213" s="8">
        <f>IF(OR(Applicant_List!AM214="N",Applicant_List!AM214=""),1,0)</f>
        <v/>
      </c>
      <c r="H213" s="8">
        <f>IF(OR(Applicant_List!AX214="Y",AND(Applicant_List!AS214="Y",Applicant_List!AV214&lt;&gt;"Y")),1,0)</f>
        <v/>
      </c>
      <c r="I213" s="8">
        <f>IF(OR(Applicant_List!AZ214="N",Applicant_List!AZ214="",Applicant_List!BA214="N",Applicant_List!BA214=""),1,0)</f>
        <v/>
      </c>
      <c r="J213" s="8">
        <f>IF(OR(Applicant_List!BB214="N",Applicant_List!BB214="",Applicant_List!BC214="N",Applicant_List!BE214="Y",Applicant_List!BL214="Y"),1,0)</f>
        <v/>
      </c>
      <c r="K213" s="8">
        <f>IF(AND(Applicant_List!BJ214="Y",Applicant_List!BM214="Y",Applicant_List!BK214&lt;&gt;"Y"),1,0)</f>
        <v/>
      </c>
      <c r="L213" s="8">
        <f>IF(OR(Applicant_List!BN214="Y",Applicant_List!BK214="Y"),1,0)</f>
        <v/>
      </c>
      <c r="M213" s="8">
        <f>COUNTIF(Applicant_List!AI214:BM214,"N")+COUNTBLANK(Applicant_List!AI214:BM214)</f>
        <v/>
      </c>
      <c r="N213" s="8">
        <f>MAX(E213:J213)</f>
        <v/>
      </c>
      <c r="O213" s="8">
        <f>IF(Applicant_List!BP214="Y",100000,0)+IF(ISNUMBER(Applicant_List!BO214),50000-INT(Applicant_List!BO214),0)+IF(LEN(Applicant_List!L214)&gt;0,1000,0)</f>
        <v/>
      </c>
      <c r="P213" s="8">
        <f>IF(D213,"Terminal",IF(N213=1,"Blocked",IF(K213=1,"Determination Notice",IF(L213=1,"Board","Under Review"))))</f>
        <v/>
      </c>
      <c r="Q213" s="8">
        <f>IF(Applicant_List!L214="Closed","Closed",IF(OR(Applicant_List!L214="Withdrawn",Applicant_List!L214="Terminated"),Applicant_List!L214,IF(N213=1,"No Advancement",IF(K213=1,"Determination Notice Issued",IF(L213=1,"Board","Under Review")))))</f>
        <v/>
      </c>
    </row>
    <row r="214">
      <c r="A214" s="8">
        <f>Applicant_List!C215</f>
        <v/>
      </c>
      <c r="B214" s="8">
        <f>Applicant_List!E215</f>
        <v/>
      </c>
      <c r="C214" s="8">
        <f>Applicant_List!L215</f>
        <v/>
      </c>
      <c r="D214" s="8">
        <f>OR(Applicant_List!L215="Closed",Applicant_List!L215="Withdrawn",Applicant_List!L215="Terminated")</f>
        <v/>
      </c>
      <c r="E214" s="8">
        <f>IF(OR(Applicant_List!AI215="N",Applicant_List!AI215=""),1,0)</f>
        <v/>
      </c>
      <c r="F214" s="8">
        <f>IF(OR(Applicant_List!AK215="N",Applicant_List!AK215="",Applicant_List!AL215="N",Applicant_List!AL215=""),1,0)</f>
        <v/>
      </c>
      <c r="G214" s="8">
        <f>IF(OR(Applicant_List!AM215="N",Applicant_List!AM215=""),1,0)</f>
        <v/>
      </c>
      <c r="H214" s="8">
        <f>IF(OR(Applicant_List!AX215="Y",AND(Applicant_List!AS215="Y",Applicant_List!AV215&lt;&gt;"Y")),1,0)</f>
        <v/>
      </c>
      <c r="I214" s="8">
        <f>IF(OR(Applicant_List!AZ215="N",Applicant_List!AZ215="",Applicant_List!BA215="N",Applicant_List!BA215=""),1,0)</f>
        <v/>
      </c>
      <c r="J214" s="8">
        <f>IF(OR(Applicant_List!BB215="N",Applicant_List!BB215="",Applicant_List!BC215="N",Applicant_List!BE215="Y",Applicant_List!BL215="Y"),1,0)</f>
        <v/>
      </c>
      <c r="K214" s="8">
        <f>IF(AND(Applicant_List!BJ215="Y",Applicant_List!BM215="Y",Applicant_List!BK215&lt;&gt;"Y"),1,0)</f>
        <v/>
      </c>
      <c r="L214" s="8">
        <f>IF(OR(Applicant_List!BN215="Y",Applicant_List!BK215="Y"),1,0)</f>
        <v/>
      </c>
      <c r="M214" s="8">
        <f>COUNTIF(Applicant_List!AI215:BM215,"N")+COUNTBLANK(Applicant_List!AI215:BM215)</f>
        <v/>
      </c>
      <c r="N214" s="8">
        <f>MAX(E214:J214)</f>
        <v/>
      </c>
      <c r="O214" s="8">
        <f>IF(Applicant_List!BP215="Y",100000,0)+IF(ISNUMBER(Applicant_List!BO215),50000-INT(Applicant_List!BO215),0)+IF(LEN(Applicant_List!L215)&gt;0,1000,0)</f>
        <v/>
      </c>
      <c r="P214" s="8">
        <f>IF(D214,"Terminal",IF(N214=1,"Blocked",IF(K214=1,"Determination Notice",IF(L214=1,"Board","Under Review"))))</f>
        <v/>
      </c>
      <c r="Q214" s="8">
        <f>IF(Applicant_List!L215="Closed","Closed",IF(OR(Applicant_List!L215="Withdrawn",Applicant_List!L215="Terminated"),Applicant_List!L215,IF(N214=1,"No Advancement",IF(K214=1,"Determination Notice Issued",IF(L214=1,"Board","Under Review")))))</f>
        <v/>
      </c>
    </row>
    <row r="215">
      <c r="A215" s="8">
        <f>Applicant_List!C216</f>
        <v/>
      </c>
      <c r="B215" s="8">
        <f>Applicant_List!E216</f>
        <v/>
      </c>
      <c r="C215" s="8">
        <f>Applicant_List!L216</f>
        <v/>
      </c>
      <c r="D215" s="8">
        <f>OR(Applicant_List!L216="Closed",Applicant_List!L216="Withdrawn",Applicant_List!L216="Terminated")</f>
        <v/>
      </c>
      <c r="E215" s="8">
        <f>IF(OR(Applicant_List!AI216="N",Applicant_List!AI216=""),1,0)</f>
        <v/>
      </c>
      <c r="F215" s="8">
        <f>IF(OR(Applicant_List!AK216="N",Applicant_List!AK216="",Applicant_List!AL216="N",Applicant_List!AL216=""),1,0)</f>
        <v/>
      </c>
      <c r="G215" s="8">
        <f>IF(OR(Applicant_List!AM216="N",Applicant_List!AM216=""),1,0)</f>
        <v/>
      </c>
      <c r="H215" s="8">
        <f>IF(OR(Applicant_List!AX216="Y",AND(Applicant_List!AS216="Y",Applicant_List!AV216&lt;&gt;"Y")),1,0)</f>
        <v/>
      </c>
      <c r="I215" s="8">
        <f>IF(OR(Applicant_List!AZ216="N",Applicant_List!AZ216="",Applicant_List!BA216="N",Applicant_List!BA216=""),1,0)</f>
        <v/>
      </c>
      <c r="J215" s="8">
        <f>IF(OR(Applicant_List!BB216="N",Applicant_List!BB216="",Applicant_List!BC216="N",Applicant_List!BE216="Y",Applicant_List!BL216="Y"),1,0)</f>
        <v/>
      </c>
      <c r="K215" s="8">
        <f>IF(AND(Applicant_List!BJ216="Y",Applicant_List!BM216="Y",Applicant_List!BK216&lt;&gt;"Y"),1,0)</f>
        <v/>
      </c>
      <c r="L215" s="8">
        <f>IF(OR(Applicant_List!BN216="Y",Applicant_List!BK216="Y"),1,0)</f>
        <v/>
      </c>
      <c r="M215" s="8">
        <f>COUNTIF(Applicant_List!AI216:BM216,"N")+COUNTBLANK(Applicant_List!AI216:BM216)</f>
        <v/>
      </c>
      <c r="N215" s="8">
        <f>MAX(E215:J215)</f>
        <v/>
      </c>
      <c r="O215" s="8">
        <f>IF(Applicant_List!BP216="Y",100000,0)+IF(ISNUMBER(Applicant_List!BO216),50000-INT(Applicant_List!BO216),0)+IF(LEN(Applicant_List!L216)&gt;0,1000,0)</f>
        <v/>
      </c>
      <c r="P215" s="8">
        <f>IF(D215,"Terminal",IF(N215=1,"Blocked",IF(K215=1,"Determination Notice",IF(L215=1,"Board","Under Review"))))</f>
        <v/>
      </c>
      <c r="Q215" s="8">
        <f>IF(Applicant_List!L216="Closed","Closed",IF(OR(Applicant_List!L216="Withdrawn",Applicant_List!L216="Terminated"),Applicant_List!L216,IF(N215=1,"No Advancement",IF(K215=1,"Determination Notice Issued",IF(L215=1,"Board","Under Review")))))</f>
        <v/>
      </c>
    </row>
    <row r="216">
      <c r="A216" s="8">
        <f>Applicant_List!C217</f>
        <v/>
      </c>
      <c r="B216" s="8">
        <f>Applicant_List!E217</f>
        <v/>
      </c>
      <c r="C216" s="8">
        <f>Applicant_List!L217</f>
        <v/>
      </c>
      <c r="D216" s="8">
        <f>OR(Applicant_List!L217="Closed",Applicant_List!L217="Withdrawn",Applicant_List!L217="Terminated")</f>
        <v/>
      </c>
      <c r="E216" s="8">
        <f>IF(OR(Applicant_List!AI217="N",Applicant_List!AI217=""),1,0)</f>
        <v/>
      </c>
      <c r="F216" s="8">
        <f>IF(OR(Applicant_List!AK217="N",Applicant_List!AK217="",Applicant_List!AL217="N",Applicant_List!AL217=""),1,0)</f>
        <v/>
      </c>
      <c r="G216" s="8">
        <f>IF(OR(Applicant_List!AM217="N",Applicant_List!AM217=""),1,0)</f>
        <v/>
      </c>
      <c r="H216" s="8">
        <f>IF(OR(Applicant_List!AX217="Y",AND(Applicant_List!AS217="Y",Applicant_List!AV217&lt;&gt;"Y")),1,0)</f>
        <v/>
      </c>
      <c r="I216" s="8">
        <f>IF(OR(Applicant_List!AZ217="N",Applicant_List!AZ217="",Applicant_List!BA217="N",Applicant_List!BA217=""),1,0)</f>
        <v/>
      </c>
      <c r="J216" s="8">
        <f>IF(OR(Applicant_List!BB217="N",Applicant_List!BB217="",Applicant_List!BC217="N",Applicant_List!BE217="Y",Applicant_List!BL217="Y"),1,0)</f>
        <v/>
      </c>
      <c r="K216" s="8">
        <f>IF(AND(Applicant_List!BJ217="Y",Applicant_List!BM217="Y",Applicant_List!BK217&lt;&gt;"Y"),1,0)</f>
        <v/>
      </c>
      <c r="L216" s="8">
        <f>IF(OR(Applicant_List!BN217="Y",Applicant_List!BK217="Y"),1,0)</f>
        <v/>
      </c>
      <c r="M216" s="8">
        <f>COUNTIF(Applicant_List!AI217:BM217,"N")+COUNTBLANK(Applicant_List!AI217:BM217)</f>
        <v/>
      </c>
      <c r="N216" s="8">
        <f>MAX(E216:J216)</f>
        <v/>
      </c>
      <c r="O216" s="8">
        <f>IF(Applicant_List!BP217="Y",100000,0)+IF(ISNUMBER(Applicant_List!BO217),50000-INT(Applicant_List!BO217),0)+IF(LEN(Applicant_List!L217)&gt;0,1000,0)</f>
        <v/>
      </c>
      <c r="P216" s="8">
        <f>IF(D216,"Terminal",IF(N216=1,"Blocked",IF(K216=1,"Determination Notice",IF(L216=1,"Board","Under Review"))))</f>
        <v/>
      </c>
      <c r="Q216" s="8">
        <f>IF(Applicant_List!L217="Closed","Closed",IF(OR(Applicant_List!L217="Withdrawn",Applicant_List!L217="Terminated"),Applicant_List!L217,IF(N216=1,"No Advancement",IF(K216=1,"Determination Notice Issued",IF(L216=1,"Board","Under Review")))))</f>
        <v/>
      </c>
    </row>
    <row r="217">
      <c r="A217" s="8">
        <f>Applicant_List!C218</f>
        <v/>
      </c>
      <c r="B217" s="8">
        <f>Applicant_List!E218</f>
        <v/>
      </c>
      <c r="C217" s="8">
        <f>Applicant_List!L218</f>
        <v/>
      </c>
      <c r="D217" s="8">
        <f>OR(Applicant_List!L218="Closed",Applicant_List!L218="Withdrawn",Applicant_List!L218="Terminated")</f>
        <v/>
      </c>
      <c r="E217" s="8">
        <f>IF(OR(Applicant_List!AI218="N",Applicant_List!AI218=""),1,0)</f>
        <v/>
      </c>
      <c r="F217" s="8">
        <f>IF(OR(Applicant_List!AK218="N",Applicant_List!AK218="",Applicant_List!AL218="N",Applicant_List!AL218=""),1,0)</f>
        <v/>
      </c>
      <c r="G217" s="8">
        <f>IF(OR(Applicant_List!AM218="N",Applicant_List!AM218=""),1,0)</f>
        <v/>
      </c>
      <c r="H217" s="8">
        <f>IF(OR(Applicant_List!AX218="Y",AND(Applicant_List!AS218="Y",Applicant_List!AV218&lt;&gt;"Y")),1,0)</f>
        <v/>
      </c>
      <c r="I217" s="8">
        <f>IF(OR(Applicant_List!AZ218="N",Applicant_List!AZ218="",Applicant_List!BA218="N",Applicant_List!BA218=""),1,0)</f>
        <v/>
      </c>
      <c r="J217" s="8">
        <f>IF(OR(Applicant_List!BB218="N",Applicant_List!BB218="",Applicant_List!BC218="N",Applicant_List!BE218="Y",Applicant_List!BL218="Y"),1,0)</f>
        <v/>
      </c>
      <c r="K217" s="8">
        <f>IF(AND(Applicant_List!BJ218="Y",Applicant_List!BM218="Y",Applicant_List!BK218&lt;&gt;"Y"),1,0)</f>
        <v/>
      </c>
      <c r="L217" s="8">
        <f>IF(OR(Applicant_List!BN218="Y",Applicant_List!BK218="Y"),1,0)</f>
        <v/>
      </c>
      <c r="M217" s="8">
        <f>COUNTIF(Applicant_List!AI218:BM218,"N")+COUNTBLANK(Applicant_List!AI218:BM218)</f>
        <v/>
      </c>
      <c r="N217" s="8">
        <f>MAX(E217:J217)</f>
        <v/>
      </c>
      <c r="O217" s="8">
        <f>IF(Applicant_List!BP218="Y",100000,0)+IF(ISNUMBER(Applicant_List!BO218),50000-INT(Applicant_List!BO218),0)+IF(LEN(Applicant_List!L218)&gt;0,1000,0)</f>
        <v/>
      </c>
      <c r="P217" s="8">
        <f>IF(D217,"Terminal",IF(N217=1,"Blocked",IF(K217=1,"Determination Notice",IF(L217=1,"Board","Under Review"))))</f>
        <v/>
      </c>
      <c r="Q217" s="8">
        <f>IF(Applicant_List!L218="Closed","Closed",IF(OR(Applicant_List!L218="Withdrawn",Applicant_List!L218="Terminated"),Applicant_List!L218,IF(N217=1,"No Advancement",IF(K217=1,"Determination Notice Issued",IF(L217=1,"Board","Under Review")))))</f>
        <v/>
      </c>
    </row>
    <row r="218">
      <c r="A218" s="8">
        <f>Applicant_List!C219</f>
        <v/>
      </c>
      <c r="B218" s="8">
        <f>Applicant_List!E219</f>
        <v/>
      </c>
      <c r="C218" s="8">
        <f>Applicant_List!L219</f>
        <v/>
      </c>
      <c r="D218" s="8">
        <f>OR(Applicant_List!L219="Closed",Applicant_List!L219="Withdrawn",Applicant_List!L219="Terminated")</f>
        <v/>
      </c>
      <c r="E218" s="8">
        <f>IF(OR(Applicant_List!AI219="N",Applicant_List!AI219=""),1,0)</f>
        <v/>
      </c>
      <c r="F218" s="8">
        <f>IF(OR(Applicant_List!AK219="N",Applicant_List!AK219="",Applicant_List!AL219="N",Applicant_List!AL219=""),1,0)</f>
        <v/>
      </c>
      <c r="G218" s="8">
        <f>IF(OR(Applicant_List!AM219="N",Applicant_List!AM219=""),1,0)</f>
        <v/>
      </c>
      <c r="H218" s="8">
        <f>IF(OR(Applicant_List!AX219="Y",AND(Applicant_List!AS219="Y",Applicant_List!AV219&lt;&gt;"Y")),1,0)</f>
        <v/>
      </c>
      <c r="I218" s="8">
        <f>IF(OR(Applicant_List!AZ219="N",Applicant_List!AZ219="",Applicant_List!BA219="N",Applicant_List!BA219=""),1,0)</f>
        <v/>
      </c>
      <c r="J218" s="8">
        <f>IF(OR(Applicant_List!BB219="N",Applicant_List!BB219="",Applicant_List!BC219="N",Applicant_List!BE219="Y",Applicant_List!BL219="Y"),1,0)</f>
        <v/>
      </c>
      <c r="K218" s="8">
        <f>IF(AND(Applicant_List!BJ219="Y",Applicant_List!BM219="Y",Applicant_List!BK219&lt;&gt;"Y"),1,0)</f>
        <v/>
      </c>
      <c r="L218" s="8">
        <f>IF(OR(Applicant_List!BN219="Y",Applicant_List!BK219="Y"),1,0)</f>
        <v/>
      </c>
      <c r="M218" s="8">
        <f>COUNTIF(Applicant_List!AI219:BM219,"N")+COUNTBLANK(Applicant_List!AI219:BM219)</f>
        <v/>
      </c>
      <c r="N218" s="8">
        <f>MAX(E218:J218)</f>
        <v/>
      </c>
      <c r="O218" s="8">
        <f>IF(Applicant_List!BP219="Y",100000,0)+IF(ISNUMBER(Applicant_List!BO219),50000-INT(Applicant_List!BO219),0)+IF(LEN(Applicant_List!L219)&gt;0,1000,0)</f>
        <v/>
      </c>
      <c r="P218" s="8">
        <f>IF(D218,"Terminal",IF(N218=1,"Blocked",IF(K218=1,"Determination Notice",IF(L218=1,"Board","Under Review"))))</f>
        <v/>
      </c>
      <c r="Q218" s="8">
        <f>IF(Applicant_List!L219="Closed","Closed",IF(OR(Applicant_List!L219="Withdrawn",Applicant_List!L219="Terminated"),Applicant_List!L219,IF(N218=1,"No Advancement",IF(K218=1,"Determination Notice Issued",IF(L218=1,"Board","Under Review")))))</f>
        <v/>
      </c>
    </row>
    <row r="219">
      <c r="A219" s="8">
        <f>Applicant_List!C220</f>
        <v/>
      </c>
      <c r="B219" s="8">
        <f>Applicant_List!E220</f>
        <v/>
      </c>
      <c r="C219" s="8">
        <f>Applicant_List!L220</f>
        <v/>
      </c>
      <c r="D219" s="8">
        <f>OR(Applicant_List!L220="Closed",Applicant_List!L220="Withdrawn",Applicant_List!L220="Terminated")</f>
        <v/>
      </c>
      <c r="E219" s="8">
        <f>IF(OR(Applicant_List!AI220="N",Applicant_List!AI220=""),1,0)</f>
        <v/>
      </c>
      <c r="F219" s="8">
        <f>IF(OR(Applicant_List!AK220="N",Applicant_List!AK220="",Applicant_List!AL220="N",Applicant_List!AL220=""),1,0)</f>
        <v/>
      </c>
      <c r="G219" s="8">
        <f>IF(OR(Applicant_List!AM220="N",Applicant_List!AM220=""),1,0)</f>
        <v/>
      </c>
      <c r="H219" s="8">
        <f>IF(OR(Applicant_List!AX220="Y",AND(Applicant_List!AS220="Y",Applicant_List!AV220&lt;&gt;"Y")),1,0)</f>
        <v/>
      </c>
      <c r="I219" s="8">
        <f>IF(OR(Applicant_List!AZ220="N",Applicant_List!AZ220="",Applicant_List!BA220="N",Applicant_List!BA220=""),1,0)</f>
        <v/>
      </c>
      <c r="J219" s="8">
        <f>IF(OR(Applicant_List!BB220="N",Applicant_List!BB220="",Applicant_List!BC220="N",Applicant_List!BE220="Y",Applicant_List!BL220="Y"),1,0)</f>
        <v/>
      </c>
      <c r="K219" s="8">
        <f>IF(AND(Applicant_List!BJ220="Y",Applicant_List!BM220="Y",Applicant_List!BK220&lt;&gt;"Y"),1,0)</f>
        <v/>
      </c>
      <c r="L219" s="8">
        <f>IF(OR(Applicant_List!BN220="Y",Applicant_List!BK220="Y"),1,0)</f>
        <v/>
      </c>
      <c r="M219" s="8">
        <f>COUNTIF(Applicant_List!AI220:BM220,"N")+COUNTBLANK(Applicant_List!AI220:BM220)</f>
        <v/>
      </c>
      <c r="N219" s="8">
        <f>MAX(E219:J219)</f>
        <v/>
      </c>
      <c r="O219" s="8">
        <f>IF(Applicant_List!BP220="Y",100000,0)+IF(ISNUMBER(Applicant_List!BO220),50000-INT(Applicant_List!BO220),0)+IF(LEN(Applicant_List!L220)&gt;0,1000,0)</f>
        <v/>
      </c>
      <c r="P219" s="8">
        <f>IF(D219,"Terminal",IF(N219=1,"Blocked",IF(K219=1,"Determination Notice",IF(L219=1,"Board","Under Review"))))</f>
        <v/>
      </c>
      <c r="Q219" s="8">
        <f>IF(Applicant_List!L220="Closed","Closed",IF(OR(Applicant_List!L220="Withdrawn",Applicant_List!L220="Terminated"),Applicant_List!L220,IF(N219=1,"No Advancement",IF(K219=1,"Determination Notice Issued",IF(L219=1,"Board","Under Review")))))</f>
        <v/>
      </c>
    </row>
    <row r="220">
      <c r="A220" s="8">
        <f>Applicant_List!C221</f>
        <v/>
      </c>
      <c r="B220" s="8">
        <f>Applicant_List!E221</f>
        <v/>
      </c>
      <c r="C220" s="8">
        <f>Applicant_List!L221</f>
        <v/>
      </c>
      <c r="D220" s="8">
        <f>OR(Applicant_List!L221="Closed",Applicant_List!L221="Withdrawn",Applicant_List!L221="Terminated")</f>
        <v/>
      </c>
      <c r="E220" s="8">
        <f>IF(OR(Applicant_List!AI221="N",Applicant_List!AI221=""),1,0)</f>
        <v/>
      </c>
      <c r="F220" s="8">
        <f>IF(OR(Applicant_List!AK221="N",Applicant_List!AK221="",Applicant_List!AL221="N",Applicant_List!AL221=""),1,0)</f>
        <v/>
      </c>
      <c r="G220" s="8">
        <f>IF(OR(Applicant_List!AM221="N",Applicant_List!AM221=""),1,0)</f>
        <v/>
      </c>
      <c r="H220" s="8">
        <f>IF(OR(Applicant_List!AX221="Y",AND(Applicant_List!AS221="Y",Applicant_List!AV221&lt;&gt;"Y")),1,0)</f>
        <v/>
      </c>
      <c r="I220" s="8">
        <f>IF(OR(Applicant_List!AZ221="N",Applicant_List!AZ221="",Applicant_List!BA221="N",Applicant_List!BA221=""),1,0)</f>
        <v/>
      </c>
      <c r="J220" s="8">
        <f>IF(OR(Applicant_List!BB221="N",Applicant_List!BB221="",Applicant_List!BC221="N",Applicant_List!BE221="Y",Applicant_List!BL221="Y"),1,0)</f>
        <v/>
      </c>
      <c r="K220" s="8">
        <f>IF(AND(Applicant_List!BJ221="Y",Applicant_List!BM221="Y",Applicant_List!BK221&lt;&gt;"Y"),1,0)</f>
        <v/>
      </c>
      <c r="L220" s="8">
        <f>IF(OR(Applicant_List!BN221="Y",Applicant_List!BK221="Y"),1,0)</f>
        <v/>
      </c>
      <c r="M220" s="8">
        <f>COUNTIF(Applicant_List!AI221:BM221,"N")+COUNTBLANK(Applicant_List!AI221:BM221)</f>
        <v/>
      </c>
      <c r="N220" s="8">
        <f>MAX(E220:J220)</f>
        <v/>
      </c>
      <c r="O220" s="8">
        <f>IF(Applicant_List!BP221="Y",100000,0)+IF(ISNUMBER(Applicant_List!BO221),50000-INT(Applicant_List!BO221),0)+IF(LEN(Applicant_List!L221)&gt;0,1000,0)</f>
        <v/>
      </c>
      <c r="P220" s="8">
        <f>IF(D220,"Terminal",IF(N220=1,"Blocked",IF(K220=1,"Determination Notice",IF(L220=1,"Board","Under Review"))))</f>
        <v/>
      </c>
      <c r="Q220" s="8">
        <f>IF(Applicant_List!L221="Closed","Closed",IF(OR(Applicant_List!L221="Withdrawn",Applicant_List!L221="Terminated"),Applicant_List!L221,IF(N220=1,"No Advancement",IF(K220=1,"Determination Notice Issued",IF(L220=1,"Board","Under Review")))))</f>
        <v/>
      </c>
    </row>
    <row r="221">
      <c r="A221" s="8">
        <f>Applicant_List!C222</f>
        <v/>
      </c>
      <c r="B221" s="8">
        <f>Applicant_List!E222</f>
        <v/>
      </c>
      <c r="C221" s="8">
        <f>Applicant_List!L222</f>
        <v/>
      </c>
      <c r="D221" s="8">
        <f>OR(Applicant_List!L222="Closed",Applicant_List!L222="Withdrawn",Applicant_List!L222="Terminated")</f>
        <v/>
      </c>
      <c r="E221" s="8">
        <f>IF(OR(Applicant_List!AI222="N",Applicant_List!AI222=""),1,0)</f>
        <v/>
      </c>
      <c r="F221" s="8">
        <f>IF(OR(Applicant_List!AK222="N",Applicant_List!AK222="",Applicant_List!AL222="N",Applicant_List!AL222=""),1,0)</f>
        <v/>
      </c>
      <c r="G221" s="8">
        <f>IF(OR(Applicant_List!AM222="N",Applicant_List!AM222=""),1,0)</f>
        <v/>
      </c>
      <c r="H221" s="8">
        <f>IF(OR(Applicant_List!AX222="Y",AND(Applicant_List!AS222="Y",Applicant_List!AV222&lt;&gt;"Y")),1,0)</f>
        <v/>
      </c>
      <c r="I221" s="8">
        <f>IF(OR(Applicant_List!AZ222="N",Applicant_List!AZ222="",Applicant_List!BA222="N",Applicant_List!BA222=""),1,0)</f>
        <v/>
      </c>
      <c r="J221" s="8">
        <f>IF(OR(Applicant_List!BB222="N",Applicant_List!BB222="",Applicant_List!BC222="N",Applicant_List!BE222="Y",Applicant_List!BL222="Y"),1,0)</f>
        <v/>
      </c>
      <c r="K221" s="8">
        <f>IF(AND(Applicant_List!BJ222="Y",Applicant_List!BM222="Y",Applicant_List!BK222&lt;&gt;"Y"),1,0)</f>
        <v/>
      </c>
      <c r="L221" s="8">
        <f>IF(OR(Applicant_List!BN222="Y",Applicant_List!BK222="Y"),1,0)</f>
        <v/>
      </c>
      <c r="M221" s="8">
        <f>COUNTIF(Applicant_List!AI222:BM222,"N")+COUNTBLANK(Applicant_List!AI222:BM222)</f>
        <v/>
      </c>
      <c r="N221" s="8">
        <f>MAX(E221:J221)</f>
        <v/>
      </c>
      <c r="O221" s="8">
        <f>IF(Applicant_List!BP222="Y",100000,0)+IF(ISNUMBER(Applicant_List!BO222),50000-INT(Applicant_List!BO222),0)+IF(LEN(Applicant_List!L222)&gt;0,1000,0)</f>
        <v/>
      </c>
      <c r="P221" s="8">
        <f>IF(D221,"Terminal",IF(N221=1,"Blocked",IF(K221=1,"Determination Notice",IF(L221=1,"Board","Under Review"))))</f>
        <v/>
      </c>
      <c r="Q221" s="8">
        <f>IF(Applicant_List!L222="Closed","Closed",IF(OR(Applicant_List!L222="Withdrawn",Applicant_List!L222="Terminated"),Applicant_List!L222,IF(N221=1,"No Advancement",IF(K221=1,"Determination Notice Issued",IF(L221=1,"Board","Under Review")))))</f>
        <v/>
      </c>
    </row>
    <row r="222">
      <c r="A222" s="8">
        <f>Applicant_List!C223</f>
        <v/>
      </c>
      <c r="B222" s="8">
        <f>Applicant_List!E223</f>
        <v/>
      </c>
      <c r="C222" s="8">
        <f>Applicant_List!L223</f>
        <v/>
      </c>
      <c r="D222" s="8">
        <f>OR(Applicant_List!L223="Closed",Applicant_List!L223="Withdrawn",Applicant_List!L223="Terminated")</f>
        <v/>
      </c>
      <c r="E222" s="8">
        <f>IF(OR(Applicant_List!AI223="N",Applicant_List!AI223=""),1,0)</f>
        <v/>
      </c>
      <c r="F222" s="8">
        <f>IF(OR(Applicant_List!AK223="N",Applicant_List!AK223="",Applicant_List!AL223="N",Applicant_List!AL223=""),1,0)</f>
        <v/>
      </c>
      <c r="G222" s="8">
        <f>IF(OR(Applicant_List!AM223="N",Applicant_List!AM223=""),1,0)</f>
        <v/>
      </c>
      <c r="H222" s="8">
        <f>IF(OR(Applicant_List!AX223="Y",AND(Applicant_List!AS223="Y",Applicant_List!AV223&lt;&gt;"Y")),1,0)</f>
        <v/>
      </c>
      <c r="I222" s="8">
        <f>IF(OR(Applicant_List!AZ223="N",Applicant_List!AZ223="",Applicant_List!BA223="N",Applicant_List!BA223=""),1,0)</f>
        <v/>
      </c>
      <c r="J222" s="8">
        <f>IF(OR(Applicant_List!BB223="N",Applicant_List!BB223="",Applicant_List!BC223="N",Applicant_List!BE223="Y",Applicant_List!BL223="Y"),1,0)</f>
        <v/>
      </c>
      <c r="K222" s="8">
        <f>IF(AND(Applicant_List!BJ223="Y",Applicant_List!BM223="Y",Applicant_List!BK223&lt;&gt;"Y"),1,0)</f>
        <v/>
      </c>
      <c r="L222" s="8">
        <f>IF(OR(Applicant_List!BN223="Y",Applicant_List!BK223="Y"),1,0)</f>
        <v/>
      </c>
      <c r="M222" s="8">
        <f>COUNTIF(Applicant_List!AI223:BM223,"N")+COUNTBLANK(Applicant_List!AI223:BM223)</f>
        <v/>
      </c>
      <c r="N222" s="8">
        <f>MAX(E222:J222)</f>
        <v/>
      </c>
      <c r="O222" s="8">
        <f>IF(Applicant_List!BP223="Y",100000,0)+IF(ISNUMBER(Applicant_List!BO223),50000-INT(Applicant_List!BO223),0)+IF(LEN(Applicant_List!L223)&gt;0,1000,0)</f>
        <v/>
      </c>
      <c r="P222" s="8">
        <f>IF(D222,"Terminal",IF(N222=1,"Blocked",IF(K222=1,"Determination Notice",IF(L222=1,"Board","Under Review"))))</f>
        <v/>
      </c>
      <c r="Q222" s="8">
        <f>IF(Applicant_List!L223="Closed","Closed",IF(OR(Applicant_List!L223="Withdrawn",Applicant_List!L223="Terminated"),Applicant_List!L223,IF(N222=1,"No Advancement",IF(K222=1,"Determination Notice Issued",IF(L222=1,"Board","Under Review")))))</f>
        <v/>
      </c>
    </row>
    <row r="223">
      <c r="A223" s="8">
        <f>Applicant_List!C224</f>
        <v/>
      </c>
      <c r="B223" s="8">
        <f>Applicant_List!E224</f>
        <v/>
      </c>
      <c r="C223" s="8">
        <f>Applicant_List!L224</f>
        <v/>
      </c>
      <c r="D223" s="8">
        <f>OR(Applicant_List!L224="Closed",Applicant_List!L224="Withdrawn",Applicant_List!L224="Terminated")</f>
        <v/>
      </c>
      <c r="E223" s="8">
        <f>IF(OR(Applicant_List!AI224="N",Applicant_List!AI224=""),1,0)</f>
        <v/>
      </c>
      <c r="F223" s="8">
        <f>IF(OR(Applicant_List!AK224="N",Applicant_List!AK224="",Applicant_List!AL224="N",Applicant_List!AL224=""),1,0)</f>
        <v/>
      </c>
      <c r="G223" s="8">
        <f>IF(OR(Applicant_List!AM224="N",Applicant_List!AM224=""),1,0)</f>
        <v/>
      </c>
      <c r="H223" s="8">
        <f>IF(OR(Applicant_List!AX224="Y",AND(Applicant_List!AS224="Y",Applicant_List!AV224&lt;&gt;"Y")),1,0)</f>
        <v/>
      </c>
      <c r="I223" s="8">
        <f>IF(OR(Applicant_List!AZ224="N",Applicant_List!AZ224="",Applicant_List!BA224="N",Applicant_List!BA224=""),1,0)</f>
        <v/>
      </c>
      <c r="J223" s="8">
        <f>IF(OR(Applicant_List!BB224="N",Applicant_List!BB224="",Applicant_List!BC224="N",Applicant_List!BE224="Y",Applicant_List!BL224="Y"),1,0)</f>
        <v/>
      </c>
      <c r="K223" s="8">
        <f>IF(AND(Applicant_List!BJ224="Y",Applicant_List!BM224="Y",Applicant_List!BK224&lt;&gt;"Y"),1,0)</f>
        <v/>
      </c>
      <c r="L223" s="8">
        <f>IF(OR(Applicant_List!BN224="Y",Applicant_List!BK224="Y"),1,0)</f>
        <v/>
      </c>
      <c r="M223" s="8">
        <f>COUNTIF(Applicant_List!AI224:BM224,"N")+COUNTBLANK(Applicant_List!AI224:BM224)</f>
        <v/>
      </c>
      <c r="N223" s="8">
        <f>MAX(E223:J223)</f>
        <v/>
      </c>
      <c r="O223" s="8">
        <f>IF(Applicant_List!BP224="Y",100000,0)+IF(ISNUMBER(Applicant_List!BO224),50000-INT(Applicant_List!BO224),0)+IF(LEN(Applicant_List!L224)&gt;0,1000,0)</f>
        <v/>
      </c>
      <c r="P223" s="8">
        <f>IF(D223,"Terminal",IF(N223=1,"Blocked",IF(K223=1,"Determination Notice",IF(L223=1,"Board","Under Review"))))</f>
        <v/>
      </c>
      <c r="Q223" s="8">
        <f>IF(Applicant_List!L224="Closed","Closed",IF(OR(Applicant_List!L224="Withdrawn",Applicant_List!L224="Terminated"),Applicant_List!L224,IF(N223=1,"No Advancement",IF(K223=1,"Determination Notice Issued",IF(L223=1,"Board","Under Review")))))</f>
        <v/>
      </c>
    </row>
    <row r="224">
      <c r="A224" s="8">
        <f>Applicant_List!C225</f>
        <v/>
      </c>
      <c r="B224" s="8">
        <f>Applicant_List!E225</f>
        <v/>
      </c>
      <c r="C224" s="8">
        <f>Applicant_List!L225</f>
        <v/>
      </c>
      <c r="D224" s="8">
        <f>OR(Applicant_List!L225="Closed",Applicant_List!L225="Withdrawn",Applicant_List!L225="Terminated")</f>
        <v/>
      </c>
      <c r="E224" s="8">
        <f>IF(OR(Applicant_List!AI225="N",Applicant_List!AI225=""),1,0)</f>
        <v/>
      </c>
      <c r="F224" s="8">
        <f>IF(OR(Applicant_List!AK225="N",Applicant_List!AK225="",Applicant_List!AL225="N",Applicant_List!AL225=""),1,0)</f>
        <v/>
      </c>
      <c r="G224" s="8">
        <f>IF(OR(Applicant_List!AM225="N",Applicant_List!AM225=""),1,0)</f>
        <v/>
      </c>
      <c r="H224" s="8">
        <f>IF(OR(Applicant_List!AX225="Y",AND(Applicant_List!AS225="Y",Applicant_List!AV225&lt;&gt;"Y")),1,0)</f>
        <v/>
      </c>
      <c r="I224" s="8">
        <f>IF(OR(Applicant_List!AZ225="N",Applicant_List!AZ225="",Applicant_List!BA225="N",Applicant_List!BA225=""),1,0)</f>
        <v/>
      </c>
      <c r="J224" s="8">
        <f>IF(OR(Applicant_List!BB225="N",Applicant_List!BB225="",Applicant_List!BC225="N",Applicant_List!BE225="Y",Applicant_List!BL225="Y"),1,0)</f>
        <v/>
      </c>
      <c r="K224" s="8">
        <f>IF(AND(Applicant_List!BJ225="Y",Applicant_List!BM225="Y",Applicant_List!BK225&lt;&gt;"Y"),1,0)</f>
        <v/>
      </c>
      <c r="L224" s="8">
        <f>IF(OR(Applicant_List!BN225="Y",Applicant_List!BK225="Y"),1,0)</f>
        <v/>
      </c>
      <c r="M224" s="8">
        <f>COUNTIF(Applicant_List!AI225:BM225,"N")+COUNTBLANK(Applicant_List!AI225:BM225)</f>
        <v/>
      </c>
      <c r="N224" s="8">
        <f>MAX(E224:J224)</f>
        <v/>
      </c>
      <c r="O224" s="8">
        <f>IF(Applicant_List!BP225="Y",100000,0)+IF(ISNUMBER(Applicant_List!BO225),50000-INT(Applicant_List!BO225),0)+IF(LEN(Applicant_List!L225)&gt;0,1000,0)</f>
        <v/>
      </c>
      <c r="P224" s="8">
        <f>IF(D224,"Terminal",IF(N224=1,"Blocked",IF(K224=1,"Determination Notice",IF(L224=1,"Board","Under Review"))))</f>
        <v/>
      </c>
      <c r="Q224" s="8">
        <f>IF(Applicant_List!L225="Closed","Closed",IF(OR(Applicant_List!L225="Withdrawn",Applicant_List!L225="Terminated"),Applicant_List!L225,IF(N224=1,"No Advancement",IF(K224=1,"Determination Notice Issued",IF(L224=1,"Board","Under Review")))))</f>
        <v/>
      </c>
    </row>
    <row r="225">
      <c r="A225" s="8">
        <f>Applicant_List!C226</f>
        <v/>
      </c>
      <c r="B225" s="8">
        <f>Applicant_List!E226</f>
        <v/>
      </c>
      <c r="C225" s="8">
        <f>Applicant_List!L226</f>
        <v/>
      </c>
      <c r="D225" s="8">
        <f>OR(Applicant_List!L226="Closed",Applicant_List!L226="Withdrawn",Applicant_List!L226="Terminated")</f>
        <v/>
      </c>
      <c r="E225" s="8">
        <f>IF(OR(Applicant_List!AI226="N",Applicant_List!AI226=""),1,0)</f>
        <v/>
      </c>
      <c r="F225" s="8">
        <f>IF(OR(Applicant_List!AK226="N",Applicant_List!AK226="",Applicant_List!AL226="N",Applicant_List!AL226=""),1,0)</f>
        <v/>
      </c>
      <c r="G225" s="8">
        <f>IF(OR(Applicant_List!AM226="N",Applicant_List!AM226=""),1,0)</f>
        <v/>
      </c>
      <c r="H225" s="8">
        <f>IF(OR(Applicant_List!AX226="Y",AND(Applicant_List!AS226="Y",Applicant_List!AV226&lt;&gt;"Y")),1,0)</f>
        <v/>
      </c>
      <c r="I225" s="8">
        <f>IF(OR(Applicant_List!AZ226="N",Applicant_List!AZ226="",Applicant_List!BA226="N",Applicant_List!BA226=""),1,0)</f>
        <v/>
      </c>
      <c r="J225" s="8">
        <f>IF(OR(Applicant_List!BB226="N",Applicant_List!BB226="",Applicant_List!BC226="N",Applicant_List!BE226="Y",Applicant_List!BL226="Y"),1,0)</f>
        <v/>
      </c>
      <c r="K225" s="8">
        <f>IF(AND(Applicant_List!BJ226="Y",Applicant_List!BM226="Y",Applicant_List!BK226&lt;&gt;"Y"),1,0)</f>
        <v/>
      </c>
      <c r="L225" s="8">
        <f>IF(OR(Applicant_List!BN226="Y",Applicant_List!BK226="Y"),1,0)</f>
        <v/>
      </c>
      <c r="M225" s="8">
        <f>COUNTIF(Applicant_List!AI226:BM226,"N")+COUNTBLANK(Applicant_List!AI226:BM226)</f>
        <v/>
      </c>
      <c r="N225" s="8">
        <f>MAX(E225:J225)</f>
        <v/>
      </c>
      <c r="O225" s="8">
        <f>IF(Applicant_List!BP226="Y",100000,0)+IF(ISNUMBER(Applicant_List!BO226),50000-INT(Applicant_List!BO226),0)+IF(LEN(Applicant_List!L226)&gt;0,1000,0)</f>
        <v/>
      </c>
      <c r="P225" s="8">
        <f>IF(D225,"Terminal",IF(N225=1,"Blocked",IF(K225=1,"Determination Notice",IF(L225=1,"Board","Under Review"))))</f>
        <v/>
      </c>
      <c r="Q225" s="8">
        <f>IF(Applicant_List!L226="Closed","Closed",IF(OR(Applicant_List!L226="Withdrawn",Applicant_List!L226="Terminated"),Applicant_List!L226,IF(N225=1,"No Advancement",IF(K225=1,"Determination Notice Issued",IF(L225=1,"Board","Under Review")))))</f>
        <v/>
      </c>
    </row>
    <row r="226">
      <c r="A226" s="8">
        <f>Applicant_List!C227</f>
        <v/>
      </c>
      <c r="B226" s="8">
        <f>Applicant_List!E227</f>
        <v/>
      </c>
      <c r="C226" s="8">
        <f>Applicant_List!L227</f>
        <v/>
      </c>
      <c r="D226" s="8">
        <f>OR(Applicant_List!L227="Closed",Applicant_List!L227="Withdrawn",Applicant_List!L227="Terminated")</f>
        <v/>
      </c>
      <c r="E226" s="8">
        <f>IF(OR(Applicant_List!AI227="N",Applicant_List!AI227=""),1,0)</f>
        <v/>
      </c>
      <c r="F226" s="8">
        <f>IF(OR(Applicant_List!AK227="N",Applicant_List!AK227="",Applicant_List!AL227="N",Applicant_List!AL227=""),1,0)</f>
        <v/>
      </c>
      <c r="G226" s="8">
        <f>IF(OR(Applicant_List!AM227="N",Applicant_List!AM227=""),1,0)</f>
        <v/>
      </c>
      <c r="H226" s="8">
        <f>IF(OR(Applicant_List!AX227="Y",AND(Applicant_List!AS227="Y",Applicant_List!AV227&lt;&gt;"Y")),1,0)</f>
        <v/>
      </c>
      <c r="I226" s="8">
        <f>IF(OR(Applicant_List!AZ227="N",Applicant_List!AZ227="",Applicant_List!BA227="N",Applicant_List!BA227=""),1,0)</f>
        <v/>
      </c>
      <c r="J226" s="8">
        <f>IF(OR(Applicant_List!BB227="N",Applicant_List!BB227="",Applicant_List!BC227="N",Applicant_List!BE227="Y",Applicant_List!BL227="Y"),1,0)</f>
        <v/>
      </c>
      <c r="K226" s="8">
        <f>IF(AND(Applicant_List!BJ227="Y",Applicant_List!BM227="Y",Applicant_List!BK227&lt;&gt;"Y"),1,0)</f>
        <v/>
      </c>
      <c r="L226" s="8">
        <f>IF(OR(Applicant_List!BN227="Y",Applicant_List!BK227="Y"),1,0)</f>
        <v/>
      </c>
      <c r="M226" s="8">
        <f>COUNTIF(Applicant_List!AI227:BM227,"N")+COUNTBLANK(Applicant_List!AI227:BM227)</f>
        <v/>
      </c>
      <c r="N226" s="8">
        <f>MAX(E226:J226)</f>
        <v/>
      </c>
      <c r="O226" s="8">
        <f>IF(Applicant_List!BP227="Y",100000,0)+IF(ISNUMBER(Applicant_List!BO227),50000-INT(Applicant_List!BO227),0)+IF(LEN(Applicant_List!L227)&gt;0,1000,0)</f>
        <v/>
      </c>
      <c r="P226" s="8">
        <f>IF(D226,"Terminal",IF(N226=1,"Blocked",IF(K226=1,"Determination Notice",IF(L226=1,"Board","Under Review"))))</f>
        <v/>
      </c>
      <c r="Q226" s="8">
        <f>IF(Applicant_List!L227="Closed","Closed",IF(OR(Applicant_List!L227="Withdrawn",Applicant_List!L227="Terminated"),Applicant_List!L227,IF(N226=1,"No Advancement",IF(K226=1,"Determination Notice Issued",IF(L226=1,"Board","Under Review")))))</f>
        <v/>
      </c>
    </row>
    <row r="227">
      <c r="A227" s="8">
        <f>Applicant_List!C228</f>
        <v/>
      </c>
      <c r="B227" s="8">
        <f>Applicant_List!E228</f>
        <v/>
      </c>
      <c r="C227" s="8">
        <f>Applicant_List!L228</f>
        <v/>
      </c>
      <c r="D227" s="8">
        <f>OR(Applicant_List!L228="Closed",Applicant_List!L228="Withdrawn",Applicant_List!L228="Terminated")</f>
        <v/>
      </c>
      <c r="E227" s="8">
        <f>IF(OR(Applicant_List!AI228="N",Applicant_List!AI228=""),1,0)</f>
        <v/>
      </c>
      <c r="F227" s="8">
        <f>IF(OR(Applicant_List!AK228="N",Applicant_List!AK228="",Applicant_List!AL228="N",Applicant_List!AL228=""),1,0)</f>
        <v/>
      </c>
      <c r="G227" s="8">
        <f>IF(OR(Applicant_List!AM228="N",Applicant_List!AM228=""),1,0)</f>
        <v/>
      </c>
      <c r="H227" s="8">
        <f>IF(OR(Applicant_List!AX228="Y",AND(Applicant_List!AS228="Y",Applicant_List!AV228&lt;&gt;"Y")),1,0)</f>
        <v/>
      </c>
      <c r="I227" s="8">
        <f>IF(OR(Applicant_List!AZ228="N",Applicant_List!AZ228="",Applicant_List!BA228="N",Applicant_List!BA228=""),1,0)</f>
        <v/>
      </c>
      <c r="J227" s="8">
        <f>IF(OR(Applicant_List!BB228="N",Applicant_List!BB228="",Applicant_List!BC228="N",Applicant_List!BE228="Y",Applicant_List!BL228="Y"),1,0)</f>
        <v/>
      </c>
      <c r="K227" s="8">
        <f>IF(AND(Applicant_List!BJ228="Y",Applicant_List!BM228="Y",Applicant_List!BK228&lt;&gt;"Y"),1,0)</f>
        <v/>
      </c>
      <c r="L227" s="8">
        <f>IF(OR(Applicant_List!BN228="Y",Applicant_List!BK228="Y"),1,0)</f>
        <v/>
      </c>
      <c r="M227" s="8">
        <f>COUNTIF(Applicant_List!AI228:BM228,"N")+COUNTBLANK(Applicant_List!AI228:BM228)</f>
        <v/>
      </c>
      <c r="N227" s="8">
        <f>MAX(E227:J227)</f>
        <v/>
      </c>
      <c r="O227" s="8">
        <f>IF(Applicant_List!BP228="Y",100000,0)+IF(ISNUMBER(Applicant_List!BO228),50000-INT(Applicant_List!BO228),0)+IF(LEN(Applicant_List!L228)&gt;0,1000,0)</f>
        <v/>
      </c>
      <c r="P227" s="8">
        <f>IF(D227,"Terminal",IF(N227=1,"Blocked",IF(K227=1,"Determination Notice",IF(L227=1,"Board","Under Review"))))</f>
        <v/>
      </c>
      <c r="Q227" s="8">
        <f>IF(Applicant_List!L228="Closed","Closed",IF(OR(Applicant_List!L228="Withdrawn",Applicant_List!L228="Terminated"),Applicant_List!L228,IF(N227=1,"No Advancement",IF(K227=1,"Determination Notice Issued",IF(L227=1,"Board","Under Review")))))</f>
        <v/>
      </c>
    </row>
    <row r="228">
      <c r="A228" s="8">
        <f>Applicant_List!C229</f>
        <v/>
      </c>
      <c r="B228" s="8">
        <f>Applicant_List!E229</f>
        <v/>
      </c>
      <c r="C228" s="8">
        <f>Applicant_List!L229</f>
        <v/>
      </c>
      <c r="D228" s="8">
        <f>OR(Applicant_List!L229="Closed",Applicant_List!L229="Withdrawn",Applicant_List!L229="Terminated")</f>
        <v/>
      </c>
      <c r="E228" s="8">
        <f>IF(OR(Applicant_List!AI229="N",Applicant_List!AI229=""),1,0)</f>
        <v/>
      </c>
      <c r="F228" s="8">
        <f>IF(OR(Applicant_List!AK229="N",Applicant_List!AK229="",Applicant_List!AL229="N",Applicant_List!AL229=""),1,0)</f>
        <v/>
      </c>
      <c r="G228" s="8">
        <f>IF(OR(Applicant_List!AM229="N",Applicant_List!AM229=""),1,0)</f>
        <v/>
      </c>
      <c r="H228" s="8">
        <f>IF(OR(Applicant_List!AX229="Y",AND(Applicant_List!AS229="Y",Applicant_List!AV229&lt;&gt;"Y")),1,0)</f>
        <v/>
      </c>
      <c r="I228" s="8">
        <f>IF(OR(Applicant_List!AZ229="N",Applicant_List!AZ229="",Applicant_List!BA229="N",Applicant_List!BA229=""),1,0)</f>
        <v/>
      </c>
      <c r="J228" s="8">
        <f>IF(OR(Applicant_List!BB229="N",Applicant_List!BB229="",Applicant_List!BC229="N",Applicant_List!BE229="Y",Applicant_List!BL229="Y"),1,0)</f>
        <v/>
      </c>
      <c r="K228" s="8">
        <f>IF(AND(Applicant_List!BJ229="Y",Applicant_List!BM229="Y",Applicant_List!BK229&lt;&gt;"Y"),1,0)</f>
        <v/>
      </c>
      <c r="L228" s="8">
        <f>IF(OR(Applicant_List!BN229="Y",Applicant_List!BK229="Y"),1,0)</f>
        <v/>
      </c>
      <c r="M228" s="8">
        <f>COUNTIF(Applicant_List!AI229:BM229,"N")+COUNTBLANK(Applicant_List!AI229:BM229)</f>
        <v/>
      </c>
      <c r="N228" s="8">
        <f>MAX(E228:J228)</f>
        <v/>
      </c>
      <c r="O228" s="8">
        <f>IF(Applicant_List!BP229="Y",100000,0)+IF(ISNUMBER(Applicant_List!BO229),50000-INT(Applicant_List!BO229),0)+IF(LEN(Applicant_List!L229)&gt;0,1000,0)</f>
        <v/>
      </c>
      <c r="P228" s="8">
        <f>IF(D228,"Terminal",IF(N228=1,"Blocked",IF(K228=1,"Determination Notice",IF(L228=1,"Board","Under Review"))))</f>
        <v/>
      </c>
      <c r="Q228" s="8">
        <f>IF(Applicant_List!L229="Closed","Closed",IF(OR(Applicant_List!L229="Withdrawn",Applicant_List!L229="Terminated"),Applicant_List!L229,IF(N228=1,"No Advancement",IF(K228=1,"Determination Notice Issued",IF(L228=1,"Board","Under Review")))))</f>
        <v/>
      </c>
    </row>
    <row r="229">
      <c r="A229" s="8">
        <f>Applicant_List!C230</f>
        <v/>
      </c>
      <c r="B229" s="8">
        <f>Applicant_List!E230</f>
        <v/>
      </c>
      <c r="C229" s="8">
        <f>Applicant_List!L230</f>
        <v/>
      </c>
      <c r="D229" s="8">
        <f>OR(Applicant_List!L230="Closed",Applicant_List!L230="Withdrawn",Applicant_List!L230="Terminated")</f>
        <v/>
      </c>
      <c r="E229" s="8">
        <f>IF(OR(Applicant_List!AI230="N",Applicant_List!AI230=""),1,0)</f>
        <v/>
      </c>
      <c r="F229" s="8">
        <f>IF(OR(Applicant_List!AK230="N",Applicant_List!AK230="",Applicant_List!AL230="N",Applicant_List!AL230=""),1,0)</f>
        <v/>
      </c>
      <c r="G229" s="8">
        <f>IF(OR(Applicant_List!AM230="N",Applicant_List!AM230=""),1,0)</f>
        <v/>
      </c>
      <c r="H229" s="8">
        <f>IF(OR(Applicant_List!AX230="Y",AND(Applicant_List!AS230="Y",Applicant_List!AV230&lt;&gt;"Y")),1,0)</f>
        <v/>
      </c>
      <c r="I229" s="8">
        <f>IF(OR(Applicant_List!AZ230="N",Applicant_List!AZ230="",Applicant_List!BA230="N",Applicant_List!BA230=""),1,0)</f>
        <v/>
      </c>
      <c r="J229" s="8">
        <f>IF(OR(Applicant_List!BB230="N",Applicant_List!BB230="",Applicant_List!BC230="N",Applicant_List!BE230="Y",Applicant_List!BL230="Y"),1,0)</f>
        <v/>
      </c>
      <c r="K229" s="8">
        <f>IF(AND(Applicant_List!BJ230="Y",Applicant_List!BM230="Y",Applicant_List!BK230&lt;&gt;"Y"),1,0)</f>
        <v/>
      </c>
      <c r="L229" s="8">
        <f>IF(OR(Applicant_List!BN230="Y",Applicant_List!BK230="Y"),1,0)</f>
        <v/>
      </c>
      <c r="M229" s="8">
        <f>COUNTIF(Applicant_List!AI230:BM230,"N")+COUNTBLANK(Applicant_List!AI230:BM230)</f>
        <v/>
      </c>
      <c r="N229" s="8">
        <f>MAX(E229:J229)</f>
        <v/>
      </c>
      <c r="O229" s="8">
        <f>IF(Applicant_List!BP230="Y",100000,0)+IF(ISNUMBER(Applicant_List!BO230),50000-INT(Applicant_List!BO230),0)+IF(LEN(Applicant_List!L230)&gt;0,1000,0)</f>
        <v/>
      </c>
      <c r="P229" s="8">
        <f>IF(D229,"Terminal",IF(N229=1,"Blocked",IF(K229=1,"Determination Notice",IF(L229=1,"Board","Under Review"))))</f>
        <v/>
      </c>
      <c r="Q229" s="8">
        <f>IF(Applicant_List!L230="Closed","Closed",IF(OR(Applicant_List!L230="Withdrawn",Applicant_List!L230="Terminated"),Applicant_List!L230,IF(N229=1,"No Advancement",IF(K229=1,"Determination Notice Issued",IF(L229=1,"Board","Under Review")))))</f>
        <v/>
      </c>
    </row>
    <row r="230">
      <c r="A230" s="8">
        <f>Applicant_List!C231</f>
        <v/>
      </c>
      <c r="B230" s="8">
        <f>Applicant_List!E231</f>
        <v/>
      </c>
      <c r="C230" s="8">
        <f>Applicant_List!L231</f>
        <v/>
      </c>
      <c r="D230" s="8">
        <f>OR(Applicant_List!L231="Closed",Applicant_List!L231="Withdrawn",Applicant_List!L231="Terminated")</f>
        <v/>
      </c>
      <c r="E230" s="8">
        <f>IF(OR(Applicant_List!AI231="N",Applicant_List!AI231=""),1,0)</f>
        <v/>
      </c>
      <c r="F230" s="8">
        <f>IF(OR(Applicant_List!AK231="N",Applicant_List!AK231="",Applicant_List!AL231="N",Applicant_List!AL231=""),1,0)</f>
        <v/>
      </c>
      <c r="G230" s="8">
        <f>IF(OR(Applicant_List!AM231="N",Applicant_List!AM231=""),1,0)</f>
        <v/>
      </c>
      <c r="H230" s="8">
        <f>IF(OR(Applicant_List!AX231="Y",AND(Applicant_List!AS231="Y",Applicant_List!AV231&lt;&gt;"Y")),1,0)</f>
        <v/>
      </c>
      <c r="I230" s="8">
        <f>IF(OR(Applicant_List!AZ231="N",Applicant_List!AZ231="",Applicant_List!BA231="N",Applicant_List!BA231=""),1,0)</f>
        <v/>
      </c>
      <c r="J230" s="8">
        <f>IF(OR(Applicant_List!BB231="N",Applicant_List!BB231="",Applicant_List!BC231="N",Applicant_List!BE231="Y",Applicant_List!BL231="Y"),1,0)</f>
        <v/>
      </c>
      <c r="K230" s="8">
        <f>IF(AND(Applicant_List!BJ231="Y",Applicant_List!BM231="Y",Applicant_List!BK231&lt;&gt;"Y"),1,0)</f>
        <v/>
      </c>
      <c r="L230" s="8">
        <f>IF(OR(Applicant_List!BN231="Y",Applicant_List!BK231="Y"),1,0)</f>
        <v/>
      </c>
      <c r="M230" s="8">
        <f>COUNTIF(Applicant_List!AI231:BM231,"N")+COUNTBLANK(Applicant_List!AI231:BM231)</f>
        <v/>
      </c>
      <c r="N230" s="8">
        <f>MAX(E230:J230)</f>
        <v/>
      </c>
      <c r="O230" s="8">
        <f>IF(Applicant_List!BP231="Y",100000,0)+IF(ISNUMBER(Applicant_List!BO231),50000-INT(Applicant_List!BO231),0)+IF(LEN(Applicant_List!L231)&gt;0,1000,0)</f>
        <v/>
      </c>
      <c r="P230" s="8">
        <f>IF(D230,"Terminal",IF(N230=1,"Blocked",IF(K230=1,"Determination Notice",IF(L230=1,"Board","Under Review"))))</f>
        <v/>
      </c>
      <c r="Q230" s="8">
        <f>IF(Applicant_List!L231="Closed","Closed",IF(OR(Applicant_List!L231="Withdrawn",Applicant_List!L231="Terminated"),Applicant_List!L231,IF(N230=1,"No Advancement",IF(K230=1,"Determination Notice Issued",IF(L230=1,"Board","Under Review")))))</f>
        <v/>
      </c>
    </row>
    <row r="231">
      <c r="A231" s="8">
        <f>Applicant_List!C232</f>
        <v/>
      </c>
      <c r="B231" s="8">
        <f>Applicant_List!E232</f>
        <v/>
      </c>
      <c r="C231" s="8">
        <f>Applicant_List!L232</f>
        <v/>
      </c>
      <c r="D231" s="8">
        <f>OR(Applicant_List!L232="Closed",Applicant_List!L232="Withdrawn",Applicant_List!L232="Terminated")</f>
        <v/>
      </c>
      <c r="E231" s="8">
        <f>IF(OR(Applicant_List!AI232="N",Applicant_List!AI232=""),1,0)</f>
        <v/>
      </c>
      <c r="F231" s="8">
        <f>IF(OR(Applicant_List!AK232="N",Applicant_List!AK232="",Applicant_List!AL232="N",Applicant_List!AL232=""),1,0)</f>
        <v/>
      </c>
      <c r="G231" s="8">
        <f>IF(OR(Applicant_List!AM232="N",Applicant_List!AM232=""),1,0)</f>
        <v/>
      </c>
      <c r="H231" s="8">
        <f>IF(OR(Applicant_List!AX232="Y",AND(Applicant_List!AS232="Y",Applicant_List!AV232&lt;&gt;"Y")),1,0)</f>
        <v/>
      </c>
      <c r="I231" s="8">
        <f>IF(OR(Applicant_List!AZ232="N",Applicant_List!AZ232="",Applicant_List!BA232="N",Applicant_List!BA232=""),1,0)</f>
        <v/>
      </c>
      <c r="J231" s="8">
        <f>IF(OR(Applicant_List!BB232="N",Applicant_List!BB232="",Applicant_List!BC232="N",Applicant_List!BE232="Y",Applicant_List!BL232="Y"),1,0)</f>
        <v/>
      </c>
      <c r="K231" s="8">
        <f>IF(AND(Applicant_List!BJ232="Y",Applicant_List!BM232="Y",Applicant_List!BK232&lt;&gt;"Y"),1,0)</f>
        <v/>
      </c>
      <c r="L231" s="8">
        <f>IF(OR(Applicant_List!BN232="Y",Applicant_List!BK232="Y"),1,0)</f>
        <v/>
      </c>
      <c r="M231" s="8">
        <f>COUNTIF(Applicant_List!AI232:BM232,"N")+COUNTBLANK(Applicant_List!AI232:BM232)</f>
        <v/>
      </c>
      <c r="N231" s="8">
        <f>MAX(E231:J231)</f>
        <v/>
      </c>
      <c r="O231" s="8">
        <f>IF(Applicant_List!BP232="Y",100000,0)+IF(ISNUMBER(Applicant_List!BO232),50000-INT(Applicant_List!BO232),0)+IF(LEN(Applicant_List!L232)&gt;0,1000,0)</f>
        <v/>
      </c>
      <c r="P231" s="8">
        <f>IF(D231,"Terminal",IF(N231=1,"Blocked",IF(K231=1,"Determination Notice",IF(L231=1,"Board","Under Review"))))</f>
        <v/>
      </c>
      <c r="Q231" s="8">
        <f>IF(Applicant_List!L232="Closed","Closed",IF(OR(Applicant_List!L232="Withdrawn",Applicant_List!L232="Terminated"),Applicant_List!L232,IF(N231=1,"No Advancement",IF(K231=1,"Determination Notice Issued",IF(L231=1,"Board","Under Review")))))</f>
        <v/>
      </c>
    </row>
    <row r="232">
      <c r="A232" s="8">
        <f>Applicant_List!C233</f>
        <v/>
      </c>
      <c r="B232" s="8">
        <f>Applicant_List!E233</f>
        <v/>
      </c>
      <c r="C232" s="8">
        <f>Applicant_List!L233</f>
        <v/>
      </c>
      <c r="D232" s="8">
        <f>OR(Applicant_List!L233="Closed",Applicant_List!L233="Withdrawn",Applicant_List!L233="Terminated")</f>
        <v/>
      </c>
      <c r="E232" s="8">
        <f>IF(OR(Applicant_List!AI233="N",Applicant_List!AI233=""),1,0)</f>
        <v/>
      </c>
      <c r="F232" s="8">
        <f>IF(OR(Applicant_List!AK233="N",Applicant_List!AK233="",Applicant_List!AL233="N",Applicant_List!AL233=""),1,0)</f>
        <v/>
      </c>
      <c r="G232" s="8">
        <f>IF(OR(Applicant_List!AM233="N",Applicant_List!AM233=""),1,0)</f>
        <v/>
      </c>
      <c r="H232" s="8">
        <f>IF(OR(Applicant_List!AX233="Y",AND(Applicant_List!AS233="Y",Applicant_List!AV233&lt;&gt;"Y")),1,0)</f>
        <v/>
      </c>
      <c r="I232" s="8">
        <f>IF(OR(Applicant_List!AZ233="N",Applicant_List!AZ233="",Applicant_List!BA233="N",Applicant_List!BA233=""),1,0)</f>
        <v/>
      </c>
      <c r="J232" s="8">
        <f>IF(OR(Applicant_List!BB233="N",Applicant_List!BB233="",Applicant_List!BC233="N",Applicant_List!BE233="Y",Applicant_List!BL233="Y"),1,0)</f>
        <v/>
      </c>
      <c r="K232" s="8">
        <f>IF(AND(Applicant_List!BJ233="Y",Applicant_List!BM233="Y",Applicant_List!BK233&lt;&gt;"Y"),1,0)</f>
        <v/>
      </c>
      <c r="L232" s="8">
        <f>IF(OR(Applicant_List!BN233="Y",Applicant_List!BK233="Y"),1,0)</f>
        <v/>
      </c>
      <c r="M232" s="8">
        <f>COUNTIF(Applicant_List!AI233:BM233,"N")+COUNTBLANK(Applicant_List!AI233:BM233)</f>
        <v/>
      </c>
      <c r="N232" s="8">
        <f>MAX(E232:J232)</f>
        <v/>
      </c>
      <c r="O232" s="8">
        <f>IF(Applicant_List!BP233="Y",100000,0)+IF(ISNUMBER(Applicant_List!BO233),50000-INT(Applicant_List!BO233),0)+IF(LEN(Applicant_List!L233)&gt;0,1000,0)</f>
        <v/>
      </c>
      <c r="P232" s="8">
        <f>IF(D232,"Terminal",IF(N232=1,"Blocked",IF(K232=1,"Determination Notice",IF(L232=1,"Board","Under Review"))))</f>
        <v/>
      </c>
      <c r="Q232" s="8">
        <f>IF(Applicant_List!L233="Closed","Closed",IF(OR(Applicant_List!L233="Withdrawn",Applicant_List!L233="Terminated"),Applicant_List!L233,IF(N232=1,"No Advancement",IF(K232=1,"Determination Notice Issued",IF(L232=1,"Board","Under Review")))))</f>
        <v/>
      </c>
    </row>
    <row r="233">
      <c r="A233" s="8">
        <f>Applicant_List!C234</f>
        <v/>
      </c>
      <c r="B233" s="8">
        <f>Applicant_List!E234</f>
        <v/>
      </c>
      <c r="C233" s="8">
        <f>Applicant_List!L234</f>
        <v/>
      </c>
      <c r="D233" s="8">
        <f>OR(Applicant_List!L234="Closed",Applicant_List!L234="Withdrawn",Applicant_List!L234="Terminated")</f>
        <v/>
      </c>
      <c r="E233" s="8">
        <f>IF(OR(Applicant_List!AI234="N",Applicant_List!AI234=""),1,0)</f>
        <v/>
      </c>
      <c r="F233" s="8">
        <f>IF(OR(Applicant_List!AK234="N",Applicant_List!AK234="",Applicant_List!AL234="N",Applicant_List!AL234=""),1,0)</f>
        <v/>
      </c>
      <c r="G233" s="8">
        <f>IF(OR(Applicant_List!AM234="N",Applicant_List!AM234=""),1,0)</f>
        <v/>
      </c>
      <c r="H233" s="8">
        <f>IF(OR(Applicant_List!AX234="Y",AND(Applicant_List!AS234="Y",Applicant_List!AV234&lt;&gt;"Y")),1,0)</f>
        <v/>
      </c>
      <c r="I233" s="8">
        <f>IF(OR(Applicant_List!AZ234="N",Applicant_List!AZ234="",Applicant_List!BA234="N",Applicant_List!BA234=""),1,0)</f>
        <v/>
      </c>
      <c r="J233" s="8">
        <f>IF(OR(Applicant_List!BB234="N",Applicant_List!BB234="",Applicant_List!BC234="N",Applicant_List!BE234="Y",Applicant_List!BL234="Y"),1,0)</f>
        <v/>
      </c>
      <c r="K233" s="8">
        <f>IF(AND(Applicant_List!BJ234="Y",Applicant_List!BM234="Y",Applicant_List!BK234&lt;&gt;"Y"),1,0)</f>
        <v/>
      </c>
      <c r="L233" s="8">
        <f>IF(OR(Applicant_List!BN234="Y",Applicant_List!BK234="Y"),1,0)</f>
        <v/>
      </c>
      <c r="M233" s="8">
        <f>COUNTIF(Applicant_List!AI234:BM234,"N")+COUNTBLANK(Applicant_List!AI234:BM234)</f>
        <v/>
      </c>
      <c r="N233" s="8">
        <f>MAX(E233:J233)</f>
        <v/>
      </c>
      <c r="O233" s="8">
        <f>IF(Applicant_List!BP234="Y",100000,0)+IF(ISNUMBER(Applicant_List!BO234),50000-INT(Applicant_List!BO234),0)+IF(LEN(Applicant_List!L234)&gt;0,1000,0)</f>
        <v/>
      </c>
      <c r="P233" s="8">
        <f>IF(D233,"Terminal",IF(N233=1,"Blocked",IF(K233=1,"Determination Notice",IF(L233=1,"Board","Under Review"))))</f>
        <v/>
      </c>
      <c r="Q233" s="8">
        <f>IF(Applicant_List!L234="Closed","Closed",IF(OR(Applicant_List!L234="Withdrawn",Applicant_List!L234="Terminated"),Applicant_List!L234,IF(N233=1,"No Advancement",IF(K233=1,"Determination Notice Issued",IF(L233=1,"Board","Under Review")))))</f>
        <v/>
      </c>
    </row>
    <row r="234">
      <c r="A234" s="8">
        <f>Applicant_List!C235</f>
        <v/>
      </c>
      <c r="B234" s="8">
        <f>Applicant_List!E235</f>
        <v/>
      </c>
      <c r="C234" s="8">
        <f>Applicant_List!L235</f>
        <v/>
      </c>
      <c r="D234" s="8">
        <f>OR(Applicant_List!L235="Closed",Applicant_List!L235="Withdrawn",Applicant_List!L235="Terminated")</f>
        <v/>
      </c>
      <c r="E234" s="8">
        <f>IF(OR(Applicant_List!AI235="N",Applicant_List!AI235=""),1,0)</f>
        <v/>
      </c>
      <c r="F234" s="8">
        <f>IF(OR(Applicant_List!AK235="N",Applicant_List!AK235="",Applicant_List!AL235="N",Applicant_List!AL235=""),1,0)</f>
        <v/>
      </c>
      <c r="G234" s="8">
        <f>IF(OR(Applicant_List!AM235="N",Applicant_List!AM235=""),1,0)</f>
        <v/>
      </c>
      <c r="H234" s="8">
        <f>IF(OR(Applicant_List!AX235="Y",AND(Applicant_List!AS235="Y",Applicant_List!AV235&lt;&gt;"Y")),1,0)</f>
        <v/>
      </c>
      <c r="I234" s="8">
        <f>IF(OR(Applicant_List!AZ235="N",Applicant_List!AZ235="",Applicant_List!BA235="N",Applicant_List!BA235=""),1,0)</f>
        <v/>
      </c>
      <c r="J234" s="8">
        <f>IF(OR(Applicant_List!BB235="N",Applicant_List!BB235="",Applicant_List!BC235="N",Applicant_List!BE235="Y",Applicant_List!BL235="Y"),1,0)</f>
        <v/>
      </c>
      <c r="K234" s="8">
        <f>IF(AND(Applicant_List!BJ235="Y",Applicant_List!BM235="Y",Applicant_List!BK235&lt;&gt;"Y"),1,0)</f>
        <v/>
      </c>
      <c r="L234" s="8">
        <f>IF(OR(Applicant_List!BN235="Y",Applicant_List!BK235="Y"),1,0)</f>
        <v/>
      </c>
      <c r="M234" s="8">
        <f>COUNTIF(Applicant_List!AI235:BM235,"N")+COUNTBLANK(Applicant_List!AI235:BM235)</f>
        <v/>
      </c>
      <c r="N234" s="8">
        <f>MAX(E234:J234)</f>
        <v/>
      </c>
      <c r="O234" s="8">
        <f>IF(Applicant_List!BP235="Y",100000,0)+IF(ISNUMBER(Applicant_List!BO235),50000-INT(Applicant_List!BO235),0)+IF(LEN(Applicant_List!L235)&gt;0,1000,0)</f>
        <v/>
      </c>
      <c r="P234" s="8">
        <f>IF(D234,"Terminal",IF(N234=1,"Blocked",IF(K234=1,"Determination Notice",IF(L234=1,"Board","Under Review"))))</f>
        <v/>
      </c>
      <c r="Q234" s="8">
        <f>IF(Applicant_List!L235="Closed","Closed",IF(OR(Applicant_List!L235="Withdrawn",Applicant_List!L235="Terminated"),Applicant_List!L235,IF(N234=1,"No Advancement",IF(K234=1,"Determination Notice Issued",IF(L234=1,"Board","Under Review")))))</f>
        <v/>
      </c>
    </row>
    <row r="235">
      <c r="A235" s="8">
        <f>Applicant_List!C236</f>
        <v/>
      </c>
      <c r="B235" s="8">
        <f>Applicant_List!E236</f>
        <v/>
      </c>
      <c r="C235" s="8">
        <f>Applicant_List!L236</f>
        <v/>
      </c>
      <c r="D235" s="8">
        <f>OR(Applicant_List!L236="Closed",Applicant_List!L236="Withdrawn",Applicant_List!L236="Terminated")</f>
        <v/>
      </c>
      <c r="E235" s="8">
        <f>IF(OR(Applicant_List!AI236="N",Applicant_List!AI236=""),1,0)</f>
        <v/>
      </c>
      <c r="F235" s="8">
        <f>IF(OR(Applicant_List!AK236="N",Applicant_List!AK236="",Applicant_List!AL236="N",Applicant_List!AL236=""),1,0)</f>
        <v/>
      </c>
      <c r="G235" s="8">
        <f>IF(OR(Applicant_List!AM236="N",Applicant_List!AM236=""),1,0)</f>
        <v/>
      </c>
      <c r="H235" s="8">
        <f>IF(OR(Applicant_List!AX236="Y",AND(Applicant_List!AS236="Y",Applicant_List!AV236&lt;&gt;"Y")),1,0)</f>
        <v/>
      </c>
      <c r="I235" s="8">
        <f>IF(OR(Applicant_List!AZ236="N",Applicant_List!AZ236="",Applicant_List!BA236="N",Applicant_List!BA236=""),1,0)</f>
        <v/>
      </c>
      <c r="J235" s="8">
        <f>IF(OR(Applicant_List!BB236="N",Applicant_List!BB236="",Applicant_List!BC236="N",Applicant_List!BE236="Y",Applicant_List!BL236="Y"),1,0)</f>
        <v/>
      </c>
      <c r="K235" s="8">
        <f>IF(AND(Applicant_List!BJ236="Y",Applicant_List!BM236="Y",Applicant_List!BK236&lt;&gt;"Y"),1,0)</f>
        <v/>
      </c>
      <c r="L235" s="8">
        <f>IF(OR(Applicant_List!BN236="Y",Applicant_List!BK236="Y"),1,0)</f>
        <v/>
      </c>
      <c r="M235" s="8">
        <f>COUNTIF(Applicant_List!AI236:BM236,"N")+COUNTBLANK(Applicant_List!AI236:BM236)</f>
        <v/>
      </c>
      <c r="N235" s="8">
        <f>MAX(E235:J235)</f>
        <v/>
      </c>
      <c r="O235" s="8">
        <f>IF(Applicant_List!BP236="Y",100000,0)+IF(ISNUMBER(Applicant_List!BO236),50000-INT(Applicant_List!BO236),0)+IF(LEN(Applicant_List!L236)&gt;0,1000,0)</f>
        <v/>
      </c>
      <c r="P235" s="8">
        <f>IF(D235,"Terminal",IF(N235=1,"Blocked",IF(K235=1,"Determination Notice",IF(L235=1,"Board","Under Review"))))</f>
        <v/>
      </c>
      <c r="Q235" s="8">
        <f>IF(Applicant_List!L236="Closed","Closed",IF(OR(Applicant_List!L236="Withdrawn",Applicant_List!L236="Terminated"),Applicant_List!L236,IF(N235=1,"No Advancement",IF(K235=1,"Determination Notice Issued",IF(L235=1,"Board","Under Review")))))</f>
        <v/>
      </c>
    </row>
    <row r="236">
      <c r="A236" s="8">
        <f>Applicant_List!C237</f>
        <v/>
      </c>
      <c r="B236" s="8">
        <f>Applicant_List!E237</f>
        <v/>
      </c>
      <c r="C236" s="8">
        <f>Applicant_List!L237</f>
        <v/>
      </c>
      <c r="D236" s="8">
        <f>OR(Applicant_List!L237="Closed",Applicant_List!L237="Withdrawn",Applicant_List!L237="Terminated")</f>
        <v/>
      </c>
      <c r="E236" s="8">
        <f>IF(OR(Applicant_List!AI237="N",Applicant_List!AI237=""),1,0)</f>
        <v/>
      </c>
      <c r="F236" s="8">
        <f>IF(OR(Applicant_List!AK237="N",Applicant_List!AK237="",Applicant_List!AL237="N",Applicant_List!AL237=""),1,0)</f>
        <v/>
      </c>
      <c r="G236" s="8">
        <f>IF(OR(Applicant_List!AM237="N",Applicant_List!AM237=""),1,0)</f>
        <v/>
      </c>
      <c r="H236" s="8">
        <f>IF(OR(Applicant_List!AX237="Y",AND(Applicant_List!AS237="Y",Applicant_List!AV237&lt;&gt;"Y")),1,0)</f>
        <v/>
      </c>
      <c r="I236" s="8">
        <f>IF(OR(Applicant_List!AZ237="N",Applicant_List!AZ237="",Applicant_List!BA237="N",Applicant_List!BA237=""),1,0)</f>
        <v/>
      </c>
      <c r="J236" s="8">
        <f>IF(OR(Applicant_List!BB237="N",Applicant_List!BB237="",Applicant_List!BC237="N",Applicant_List!BE237="Y",Applicant_List!BL237="Y"),1,0)</f>
        <v/>
      </c>
      <c r="K236" s="8">
        <f>IF(AND(Applicant_List!BJ237="Y",Applicant_List!BM237="Y",Applicant_List!BK237&lt;&gt;"Y"),1,0)</f>
        <v/>
      </c>
      <c r="L236" s="8">
        <f>IF(OR(Applicant_List!BN237="Y",Applicant_List!BK237="Y"),1,0)</f>
        <v/>
      </c>
      <c r="M236" s="8">
        <f>COUNTIF(Applicant_List!AI237:BM237,"N")+COUNTBLANK(Applicant_List!AI237:BM237)</f>
        <v/>
      </c>
      <c r="N236" s="8">
        <f>MAX(E236:J236)</f>
        <v/>
      </c>
      <c r="O236" s="8">
        <f>IF(Applicant_List!BP237="Y",100000,0)+IF(ISNUMBER(Applicant_List!BO237),50000-INT(Applicant_List!BO237),0)+IF(LEN(Applicant_List!L237)&gt;0,1000,0)</f>
        <v/>
      </c>
      <c r="P236" s="8">
        <f>IF(D236,"Terminal",IF(N236=1,"Blocked",IF(K236=1,"Determination Notice",IF(L236=1,"Board","Under Review"))))</f>
        <v/>
      </c>
      <c r="Q236" s="8">
        <f>IF(Applicant_List!L237="Closed","Closed",IF(OR(Applicant_List!L237="Withdrawn",Applicant_List!L237="Terminated"),Applicant_List!L237,IF(N236=1,"No Advancement",IF(K236=1,"Determination Notice Issued",IF(L236=1,"Board","Under Review")))))</f>
        <v/>
      </c>
    </row>
    <row r="237">
      <c r="A237" s="8">
        <f>Applicant_List!C238</f>
        <v/>
      </c>
      <c r="B237" s="8">
        <f>Applicant_List!E238</f>
        <v/>
      </c>
      <c r="C237" s="8">
        <f>Applicant_List!L238</f>
        <v/>
      </c>
      <c r="D237" s="8">
        <f>OR(Applicant_List!L238="Closed",Applicant_List!L238="Withdrawn",Applicant_List!L238="Terminated")</f>
        <v/>
      </c>
      <c r="E237" s="8">
        <f>IF(OR(Applicant_List!AI238="N",Applicant_List!AI238=""),1,0)</f>
        <v/>
      </c>
      <c r="F237" s="8">
        <f>IF(OR(Applicant_List!AK238="N",Applicant_List!AK238="",Applicant_List!AL238="N",Applicant_List!AL238=""),1,0)</f>
        <v/>
      </c>
      <c r="G237" s="8">
        <f>IF(OR(Applicant_List!AM238="N",Applicant_List!AM238=""),1,0)</f>
        <v/>
      </c>
      <c r="H237" s="8">
        <f>IF(OR(Applicant_List!AX238="Y",AND(Applicant_List!AS238="Y",Applicant_List!AV238&lt;&gt;"Y")),1,0)</f>
        <v/>
      </c>
      <c r="I237" s="8">
        <f>IF(OR(Applicant_List!AZ238="N",Applicant_List!AZ238="",Applicant_List!BA238="N",Applicant_List!BA238=""),1,0)</f>
        <v/>
      </c>
      <c r="J237" s="8">
        <f>IF(OR(Applicant_List!BB238="N",Applicant_List!BB238="",Applicant_List!BC238="N",Applicant_List!BE238="Y",Applicant_List!BL238="Y"),1,0)</f>
        <v/>
      </c>
      <c r="K237" s="8">
        <f>IF(AND(Applicant_List!BJ238="Y",Applicant_List!BM238="Y",Applicant_List!BK238&lt;&gt;"Y"),1,0)</f>
        <v/>
      </c>
      <c r="L237" s="8">
        <f>IF(OR(Applicant_List!BN238="Y",Applicant_List!BK238="Y"),1,0)</f>
        <v/>
      </c>
      <c r="M237" s="8">
        <f>COUNTIF(Applicant_List!AI238:BM238,"N")+COUNTBLANK(Applicant_List!AI238:BM238)</f>
        <v/>
      </c>
      <c r="N237" s="8">
        <f>MAX(E237:J237)</f>
        <v/>
      </c>
      <c r="O237" s="8">
        <f>IF(Applicant_List!BP238="Y",100000,0)+IF(ISNUMBER(Applicant_List!BO238),50000-INT(Applicant_List!BO238),0)+IF(LEN(Applicant_List!L238)&gt;0,1000,0)</f>
        <v/>
      </c>
      <c r="P237" s="8">
        <f>IF(D237,"Terminal",IF(N237=1,"Blocked",IF(K237=1,"Determination Notice",IF(L237=1,"Board","Under Review"))))</f>
        <v/>
      </c>
      <c r="Q237" s="8">
        <f>IF(Applicant_List!L238="Closed","Closed",IF(OR(Applicant_List!L238="Withdrawn",Applicant_List!L238="Terminated"),Applicant_List!L238,IF(N237=1,"No Advancement",IF(K237=1,"Determination Notice Issued",IF(L237=1,"Board","Under Review")))))</f>
        <v/>
      </c>
    </row>
    <row r="238">
      <c r="A238" s="8">
        <f>Applicant_List!C239</f>
        <v/>
      </c>
      <c r="B238" s="8">
        <f>Applicant_List!E239</f>
        <v/>
      </c>
      <c r="C238" s="8">
        <f>Applicant_List!L239</f>
        <v/>
      </c>
      <c r="D238" s="8">
        <f>OR(Applicant_List!L239="Closed",Applicant_List!L239="Withdrawn",Applicant_List!L239="Terminated")</f>
        <v/>
      </c>
      <c r="E238" s="8">
        <f>IF(OR(Applicant_List!AI239="N",Applicant_List!AI239=""),1,0)</f>
        <v/>
      </c>
      <c r="F238" s="8">
        <f>IF(OR(Applicant_List!AK239="N",Applicant_List!AK239="",Applicant_List!AL239="N",Applicant_List!AL239=""),1,0)</f>
        <v/>
      </c>
      <c r="G238" s="8">
        <f>IF(OR(Applicant_List!AM239="N",Applicant_List!AM239=""),1,0)</f>
        <v/>
      </c>
      <c r="H238" s="8">
        <f>IF(OR(Applicant_List!AX239="Y",AND(Applicant_List!AS239="Y",Applicant_List!AV239&lt;&gt;"Y")),1,0)</f>
        <v/>
      </c>
      <c r="I238" s="8">
        <f>IF(OR(Applicant_List!AZ239="N",Applicant_List!AZ239="",Applicant_List!BA239="N",Applicant_List!BA239=""),1,0)</f>
        <v/>
      </c>
      <c r="J238" s="8">
        <f>IF(OR(Applicant_List!BB239="N",Applicant_List!BB239="",Applicant_List!BC239="N",Applicant_List!BE239="Y",Applicant_List!BL239="Y"),1,0)</f>
        <v/>
      </c>
      <c r="K238" s="8">
        <f>IF(AND(Applicant_List!BJ239="Y",Applicant_List!BM239="Y",Applicant_List!BK239&lt;&gt;"Y"),1,0)</f>
        <v/>
      </c>
      <c r="L238" s="8">
        <f>IF(OR(Applicant_List!BN239="Y",Applicant_List!BK239="Y"),1,0)</f>
        <v/>
      </c>
      <c r="M238" s="8">
        <f>COUNTIF(Applicant_List!AI239:BM239,"N")+COUNTBLANK(Applicant_List!AI239:BM239)</f>
        <v/>
      </c>
      <c r="N238" s="8">
        <f>MAX(E238:J238)</f>
        <v/>
      </c>
      <c r="O238" s="8">
        <f>IF(Applicant_List!BP239="Y",100000,0)+IF(ISNUMBER(Applicant_List!BO239),50000-INT(Applicant_List!BO239),0)+IF(LEN(Applicant_List!L239)&gt;0,1000,0)</f>
        <v/>
      </c>
      <c r="P238" s="8">
        <f>IF(D238,"Terminal",IF(N238=1,"Blocked",IF(K238=1,"Determination Notice",IF(L238=1,"Board","Under Review"))))</f>
        <v/>
      </c>
      <c r="Q238" s="8">
        <f>IF(Applicant_List!L239="Closed","Closed",IF(OR(Applicant_List!L239="Withdrawn",Applicant_List!L239="Terminated"),Applicant_List!L239,IF(N238=1,"No Advancement",IF(K238=1,"Determination Notice Issued",IF(L238=1,"Board","Under Review")))))</f>
        <v/>
      </c>
    </row>
    <row r="239">
      <c r="A239" s="8">
        <f>Applicant_List!C240</f>
        <v/>
      </c>
      <c r="B239" s="8">
        <f>Applicant_List!E240</f>
        <v/>
      </c>
      <c r="C239" s="8">
        <f>Applicant_List!L240</f>
        <v/>
      </c>
      <c r="D239" s="8">
        <f>OR(Applicant_List!L240="Closed",Applicant_List!L240="Withdrawn",Applicant_List!L240="Terminated")</f>
        <v/>
      </c>
      <c r="E239" s="8">
        <f>IF(OR(Applicant_List!AI240="N",Applicant_List!AI240=""),1,0)</f>
        <v/>
      </c>
      <c r="F239" s="8">
        <f>IF(OR(Applicant_List!AK240="N",Applicant_List!AK240="",Applicant_List!AL240="N",Applicant_List!AL240=""),1,0)</f>
        <v/>
      </c>
      <c r="G239" s="8">
        <f>IF(OR(Applicant_List!AM240="N",Applicant_List!AM240=""),1,0)</f>
        <v/>
      </c>
      <c r="H239" s="8">
        <f>IF(OR(Applicant_List!AX240="Y",AND(Applicant_List!AS240="Y",Applicant_List!AV240&lt;&gt;"Y")),1,0)</f>
        <v/>
      </c>
      <c r="I239" s="8">
        <f>IF(OR(Applicant_List!AZ240="N",Applicant_List!AZ240="",Applicant_List!BA240="N",Applicant_List!BA240=""),1,0)</f>
        <v/>
      </c>
      <c r="J239" s="8">
        <f>IF(OR(Applicant_List!BB240="N",Applicant_List!BB240="",Applicant_List!BC240="N",Applicant_List!BE240="Y",Applicant_List!BL240="Y"),1,0)</f>
        <v/>
      </c>
      <c r="K239" s="8">
        <f>IF(AND(Applicant_List!BJ240="Y",Applicant_List!BM240="Y",Applicant_List!BK240&lt;&gt;"Y"),1,0)</f>
        <v/>
      </c>
      <c r="L239" s="8">
        <f>IF(OR(Applicant_List!BN240="Y",Applicant_List!BK240="Y"),1,0)</f>
        <v/>
      </c>
      <c r="M239" s="8">
        <f>COUNTIF(Applicant_List!AI240:BM240,"N")+COUNTBLANK(Applicant_List!AI240:BM240)</f>
        <v/>
      </c>
      <c r="N239" s="8">
        <f>MAX(E239:J239)</f>
        <v/>
      </c>
      <c r="O239" s="8">
        <f>IF(Applicant_List!BP240="Y",100000,0)+IF(ISNUMBER(Applicant_List!BO240),50000-INT(Applicant_List!BO240),0)+IF(LEN(Applicant_List!L240)&gt;0,1000,0)</f>
        <v/>
      </c>
      <c r="P239" s="8">
        <f>IF(D239,"Terminal",IF(N239=1,"Blocked",IF(K239=1,"Determination Notice",IF(L239=1,"Board","Under Review"))))</f>
        <v/>
      </c>
      <c r="Q239" s="8">
        <f>IF(Applicant_List!L240="Closed","Closed",IF(OR(Applicant_List!L240="Withdrawn",Applicant_List!L240="Terminated"),Applicant_List!L240,IF(N239=1,"No Advancement",IF(K239=1,"Determination Notice Issued",IF(L239=1,"Board","Under Review")))))</f>
        <v/>
      </c>
    </row>
    <row r="240">
      <c r="A240" s="8">
        <f>Applicant_List!C241</f>
        <v/>
      </c>
      <c r="B240" s="8">
        <f>Applicant_List!E241</f>
        <v/>
      </c>
      <c r="C240" s="8">
        <f>Applicant_List!L241</f>
        <v/>
      </c>
      <c r="D240" s="8">
        <f>OR(Applicant_List!L241="Closed",Applicant_List!L241="Withdrawn",Applicant_List!L241="Terminated")</f>
        <v/>
      </c>
      <c r="E240" s="8">
        <f>IF(OR(Applicant_List!AI241="N",Applicant_List!AI241=""),1,0)</f>
        <v/>
      </c>
      <c r="F240" s="8">
        <f>IF(OR(Applicant_List!AK241="N",Applicant_List!AK241="",Applicant_List!AL241="N",Applicant_List!AL241=""),1,0)</f>
        <v/>
      </c>
      <c r="G240" s="8">
        <f>IF(OR(Applicant_List!AM241="N",Applicant_List!AM241=""),1,0)</f>
        <v/>
      </c>
      <c r="H240" s="8">
        <f>IF(OR(Applicant_List!AX241="Y",AND(Applicant_List!AS241="Y",Applicant_List!AV241&lt;&gt;"Y")),1,0)</f>
        <v/>
      </c>
      <c r="I240" s="8">
        <f>IF(OR(Applicant_List!AZ241="N",Applicant_List!AZ241="",Applicant_List!BA241="N",Applicant_List!BA241=""),1,0)</f>
        <v/>
      </c>
      <c r="J240" s="8">
        <f>IF(OR(Applicant_List!BB241="N",Applicant_List!BB241="",Applicant_List!BC241="N",Applicant_List!BE241="Y",Applicant_List!BL241="Y"),1,0)</f>
        <v/>
      </c>
      <c r="K240" s="8">
        <f>IF(AND(Applicant_List!BJ241="Y",Applicant_List!BM241="Y",Applicant_List!BK241&lt;&gt;"Y"),1,0)</f>
        <v/>
      </c>
      <c r="L240" s="8">
        <f>IF(OR(Applicant_List!BN241="Y",Applicant_List!BK241="Y"),1,0)</f>
        <v/>
      </c>
      <c r="M240" s="8">
        <f>COUNTIF(Applicant_List!AI241:BM241,"N")+COUNTBLANK(Applicant_List!AI241:BM241)</f>
        <v/>
      </c>
      <c r="N240" s="8">
        <f>MAX(E240:J240)</f>
        <v/>
      </c>
      <c r="O240" s="8">
        <f>IF(Applicant_List!BP241="Y",100000,0)+IF(ISNUMBER(Applicant_List!BO241),50000-INT(Applicant_List!BO241),0)+IF(LEN(Applicant_List!L241)&gt;0,1000,0)</f>
        <v/>
      </c>
      <c r="P240" s="8">
        <f>IF(D240,"Terminal",IF(N240=1,"Blocked",IF(K240=1,"Determination Notice",IF(L240=1,"Board","Under Review"))))</f>
        <v/>
      </c>
      <c r="Q240" s="8">
        <f>IF(Applicant_List!L241="Closed","Closed",IF(OR(Applicant_List!L241="Withdrawn",Applicant_List!L241="Terminated"),Applicant_List!L241,IF(N240=1,"No Advancement",IF(K240=1,"Determination Notice Issued",IF(L240=1,"Board","Under Review")))))</f>
        <v/>
      </c>
    </row>
    <row r="241">
      <c r="A241" s="8">
        <f>Applicant_List!C242</f>
        <v/>
      </c>
      <c r="B241" s="8">
        <f>Applicant_List!E242</f>
        <v/>
      </c>
      <c r="C241" s="8">
        <f>Applicant_List!L242</f>
        <v/>
      </c>
      <c r="D241" s="8">
        <f>OR(Applicant_List!L242="Closed",Applicant_List!L242="Withdrawn",Applicant_List!L242="Terminated")</f>
        <v/>
      </c>
      <c r="E241" s="8">
        <f>IF(OR(Applicant_List!AI242="N",Applicant_List!AI242=""),1,0)</f>
        <v/>
      </c>
      <c r="F241" s="8">
        <f>IF(OR(Applicant_List!AK242="N",Applicant_List!AK242="",Applicant_List!AL242="N",Applicant_List!AL242=""),1,0)</f>
        <v/>
      </c>
      <c r="G241" s="8">
        <f>IF(OR(Applicant_List!AM242="N",Applicant_List!AM242=""),1,0)</f>
        <v/>
      </c>
      <c r="H241" s="8">
        <f>IF(OR(Applicant_List!AX242="Y",AND(Applicant_List!AS242="Y",Applicant_List!AV242&lt;&gt;"Y")),1,0)</f>
        <v/>
      </c>
      <c r="I241" s="8">
        <f>IF(OR(Applicant_List!AZ242="N",Applicant_List!AZ242="",Applicant_List!BA242="N",Applicant_List!BA242=""),1,0)</f>
        <v/>
      </c>
      <c r="J241" s="8">
        <f>IF(OR(Applicant_List!BB242="N",Applicant_List!BB242="",Applicant_List!BC242="N",Applicant_List!BE242="Y",Applicant_List!BL242="Y"),1,0)</f>
        <v/>
      </c>
      <c r="K241" s="8">
        <f>IF(AND(Applicant_List!BJ242="Y",Applicant_List!BM242="Y",Applicant_List!BK242&lt;&gt;"Y"),1,0)</f>
        <v/>
      </c>
      <c r="L241" s="8">
        <f>IF(OR(Applicant_List!BN242="Y",Applicant_List!BK242="Y"),1,0)</f>
        <v/>
      </c>
      <c r="M241" s="8">
        <f>COUNTIF(Applicant_List!AI242:BM242,"N")+COUNTBLANK(Applicant_List!AI242:BM242)</f>
        <v/>
      </c>
      <c r="N241" s="8">
        <f>MAX(E241:J241)</f>
        <v/>
      </c>
      <c r="O241" s="8">
        <f>IF(Applicant_List!BP242="Y",100000,0)+IF(ISNUMBER(Applicant_List!BO242),50000-INT(Applicant_List!BO242),0)+IF(LEN(Applicant_List!L242)&gt;0,1000,0)</f>
        <v/>
      </c>
      <c r="P241" s="8">
        <f>IF(D241,"Terminal",IF(N241=1,"Blocked",IF(K241=1,"Determination Notice",IF(L241=1,"Board","Under Review"))))</f>
        <v/>
      </c>
      <c r="Q241" s="8">
        <f>IF(Applicant_List!L242="Closed","Closed",IF(OR(Applicant_List!L242="Withdrawn",Applicant_List!L242="Terminated"),Applicant_List!L242,IF(N241=1,"No Advancement",IF(K241=1,"Determination Notice Issued",IF(L241=1,"Board","Under Review")))))</f>
        <v/>
      </c>
    </row>
    <row r="242">
      <c r="A242" s="8">
        <f>Applicant_List!C243</f>
        <v/>
      </c>
      <c r="B242" s="8">
        <f>Applicant_List!E243</f>
        <v/>
      </c>
      <c r="C242" s="8">
        <f>Applicant_List!L243</f>
        <v/>
      </c>
      <c r="D242" s="8">
        <f>OR(Applicant_List!L243="Closed",Applicant_List!L243="Withdrawn",Applicant_List!L243="Terminated")</f>
        <v/>
      </c>
      <c r="E242" s="8">
        <f>IF(OR(Applicant_List!AI243="N",Applicant_List!AI243=""),1,0)</f>
        <v/>
      </c>
      <c r="F242" s="8">
        <f>IF(OR(Applicant_List!AK243="N",Applicant_List!AK243="",Applicant_List!AL243="N",Applicant_List!AL243=""),1,0)</f>
        <v/>
      </c>
      <c r="G242" s="8">
        <f>IF(OR(Applicant_List!AM243="N",Applicant_List!AM243=""),1,0)</f>
        <v/>
      </c>
      <c r="H242" s="8">
        <f>IF(OR(Applicant_List!AX243="Y",AND(Applicant_List!AS243="Y",Applicant_List!AV243&lt;&gt;"Y")),1,0)</f>
        <v/>
      </c>
      <c r="I242" s="8">
        <f>IF(OR(Applicant_List!AZ243="N",Applicant_List!AZ243="",Applicant_List!BA243="N",Applicant_List!BA243=""),1,0)</f>
        <v/>
      </c>
      <c r="J242" s="8">
        <f>IF(OR(Applicant_List!BB243="N",Applicant_List!BB243="",Applicant_List!BC243="N",Applicant_List!BE243="Y",Applicant_List!BL243="Y"),1,0)</f>
        <v/>
      </c>
      <c r="K242" s="8">
        <f>IF(AND(Applicant_List!BJ243="Y",Applicant_List!BM243="Y",Applicant_List!BK243&lt;&gt;"Y"),1,0)</f>
        <v/>
      </c>
      <c r="L242" s="8">
        <f>IF(OR(Applicant_List!BN243="Y",Applicant_List!BK243="Y"),1,0)</f>
        <v/>
      </c>
      <c r="M242" s="8">
        <f>COUNTIF(Applicant_List!AI243:BM243,"N")+COUNTBLANK(Applicant_List!AI243:BM243)</f>
        <v/>
      </c>
      <c r="N242" s="8">
        <f>MAX(E242:J242)</f>
        <v/>
      </c>
      <c r="O242" s="8">
        <f>IF(Applicant_List!BP243="Y",100000,0)+IF(ISNUMBER(Applicant_List!BO243),50000-INT(Applicant_List!BO243),0)+IF(LEN(Applicant_List!L243)&gt;0,1000,0)</f>
        <v/>
      </c>
      <c r="P242" s="8">
        <f>IF(D242,"Terminal",IF(N242=1,"Blocked",IF(K242=1,"Determination Notice",IF(L242=1,"Board","Under Review"))))</f>
        <v/>
      </c>
      <c r="Q242" s="8">
        <f>IF(Applicant_List!L243="Closed","Closed",IF(OR(Applicant_List!L243="Withdrawn",Applicant_List!L243="Terminated"),Applicant_List!L243,IF(N242=1,"No Advancement",IF(K242=1,"Determination Notice Issued",IF(L242=1,"Board","Under Review")))))</f>
        <v/>
      </c>
    </row>
    <row r="243">
      <c r="A243" s="8">
        <f>Applicant_List!C244</f>
        <v/>
      </c>
      <c r="B243" s="8">
        <f>Applicant_List!E244</f>
        <v/>
      </c>
      <c r="C243" s="8">
        <f>Applicant_List!L244</f>
        <v/>
      </c>
      <c r="D243" s="8">
        <f>OR(Applicant_List!L244="Closed",Applicant_List!L244="Withdrawn",Applicant_List!L244="Terminated")</f>
        <v/>
      </c>
      <c r="E243" s="8">
        <f>IF(OR(Applicant_List!AI244="N",Applicant_List!AI244=""),1,0)</f>
        <v/>
      </c>
      <c r="F243" s="8">
        <f>IF(OR(Applicant_List!AK244="N",Applicant_List!AK244="",Applicant_List!AL244="N",Applicant_List!AL244=""),1,0)</f>
        <v/>
      </c>
      <c r="G243" s="8">
        <f>IF(OR(Applicant_List!AM244="N",Applicant_List!AM244=""),1,0)</f>
        <v/>
      </c>
      <c r="H243" s="8">
        <f>IF(OR(Applicant_List!AX244="Y",AND(Applicant_List!AS244="Y",Applicant_List!AV244&lt;&gt;"Y")),1,0)</f>
        <v/>
      </c>
      <c r="I243" s="8">
        <f>IF(OR(Applicant_List!AZ244="N",Applicant_List!AZ244="",Applicant_List!BA244="N",Applicant_List!BA244=""),1,0)</f>
        <v/>
      </c>
      <c r="J243" s="8">
        <f>IF(OR(Applicant_List!BB244="N",Applicant_List!BB244="",Applicant_List!BC244="N",Applicant_List!BE244="Y",Applicant_List!BL244="Y"),1,0)</f>
        <v/>
      </c>
      <c r="K243" s="8">
        <f>IF(AND(Applicant_List!BJ244="Y",Applicant_List!BM244="Y",Applicant_List!BK244&lt;&gt;"Y"),1,0)</f>
        <v/>
      </c>
      <c r="L243" s="8">
        <f>IF(OR(Applicant_List!BN244="Y",Applicant_List!BK244="Y"),1,0)</f>
        <v/>
      </c>
      <c r="M243" s="8">
        <f>COUNTIF(Applicant_List!AI244:BM244,"N")+COUNTBLANK(Applicant_List!AI244:BM244)</f>
        <v/>
      </c>
      <c r="N243" s="8">
        <f>MAX(E243:J243)</f>
        <v/>
      </c>
      <c r="O243" s="8">
        <f>IF(Applicant_List!BP244="Y",100000,0)+IF(ISNUMBER(Applicant_List!BO244),50000-INT(Applicant_List!BO244),0)+IF(LEN(Applicant_List!L244)&gt;0,1000,0)</f>
        <v/>
      </c>
      <c r="P243" s="8">
        <f>IF(D243,"Terminal",IF(N243=1,"Blocked",IF(K243=1,"Determination Notice",IF(L243=1,"Board","Under Review"))))</f>
        <v/>
      </c>
      <c r="Q243" s="8">
        <f>IF(Applicant_List!L244="Closed","Closed",IF(OR(Applicant_List!L244="Withdrawn",Applicant_List!L244="Terminated"),Applicant_List!L244,IF(N243=1,"No Advancement",IF(K243=1,"Determination Notice Issued",IF(L243=1,"Board","Under Review")))))</f>
        <v/>
      </c>
    </row>
    <row r="244">
      <c r="A244" s="8">
        <f>Applicant_List!C245</f>
        <v/>
      </c>
      <c r="B244" s="8">
        <f>Applicant_List!E245</f>
        <v/>
      </c>
      <c r="C244" s="8">
        <f>Applicant_List!L245</f>
        <v/>
      </c>
      <c r="D244" s="8">
        <f>OR(Applicant_List!L245="Closed",Applicant_List!L245="Withdrawn",Applicant_List!L245="Terminated")</f>
        <v/>
      </c>
      <c r="E244" s="8">
        <f>IF(OR(Applicant_List!AI245="N",Applicant_List!AI245=""),1,0)</f>
        <v/>
      </c>
      <c r="F244" s="8">
        <f>IF(OR(Applicant_List!AK245="N",Applicant_List!AK245="",Applicant_List!AL245="N",Applicant_List!AL245=""),1,0)</f>
        <v/>
      </c>
      <c r="G244" s="8">
        <f>IF(OR(Applicant_List!AM245="N",Applicant_List!AM245=""),1,0)</f>
        <v/>
      </c>
      <c r="H244" s="8">
        <f>IF(OR(Applicant_List!AX245="Y",AND(Applicant_List!AS245="Y",Applicant_List!AV245&lt;&gt;"Y")),1,0)</f>
        <v/>
      </c>
      <c r="I244" s="8">
        <f>IF(OR(Applicant_List!AZ245="N",Applicant_List!AZ245="",Applicant_List!BA245="N",Applicant_List!BA245=""),1,0)</f>
        <v/>
      </c>
      <c r="J244" s="8">
        <f>IF(OR(Applicant_List!BB245="N",Applicant_List!BB245="",Applicant_List!BC245="N",Applicant_List!BE245="Y",Applicant_List!BL245="Y"),1,0)</f>
        <v/>
      </c>
      <c r="K244" s="8">
        <f>IF(AND(Applicant_List!BJ245="Y",Applicant_List!BM245="Y",Applicant_List!BK245&lt;&gt;"Y"),1,0)</f>
        <v/>
      </c>
      <c r="L244" s="8">
        <f>IF(OR(Applicant_List!BN245="Y",Applicant_List!BK245="Y"),1,0)</f>
        <v/>
      </c>
      <c r="M244" s="8">
        <f>COUNTIF(Applicant_List!AI245:BM245,"N")+COUNTBLANK(Applicant_List!AI245:BM245)</f>
        <v/>
      </c>
      <c r="N244" s="8">
        <f>MAX(E244:J244)</f>
        <v/>
      </c>
      <c r="O244" s="8">
        <f>IF(Applicant_List!BP245="Y",100000,0)+IF(ISNUMBER(Applicant_List!BO245),50000-INT(Applicant_List!BO245),0)+IF(LEN(Applicant_List!L245)&gt;0,1000,0)</f>
        <v/>
      </c>
      <c r="P244" s="8">
        <f>IF(D244,"Terminal",IF(N244=1,"Blocked",IF(K244=1,"Determination Notice",IF(L244=1,"Board","Under Review"))))</f>
        <v/>
      </c>
      <c r="Q244" s="8">
        <f>IF(Applicant_List!L245="Closed","Closed",IF(OR(Applicant_List!L245="Withdrawn",Applicant_List!L245="Terminated"),Applicant_List!L245,IF(N244=1,"No Advancement",IF(K244=1,"Determination Notice Issued",IF(L244=1,"Board","Under Review")))))</f>
        <v/>
      </c>
    </row>
    <row r="245">
      <c r="A245" s="8">
        <f>Applicant_List!C246</f>
        <v/>
      </c>
      <c r="B245" s="8">
        <f>Applicant_List!E246</f>
        <v/>
      </c>
      <c r="C245" s="8">
        <f>Applicant_List!L246</f>
        <v/>
      </c>
      <c r="D245" s="8">
        <f>OR(Applicant_List!L246="Closed",Applicant_List!L246="Withdrawn",Applicant_List!L246="Terminated")</f>
        <v/>
      </c>
      <c r="E245" s="8">
        <f>IF(OR(Applicant_List!AI246="N",Applicant_List!AI246=""),1,0)</f>
        <v/>
      </c>
      <c r="F245" s="8">
        <f>IF(OR(Applicant_List!AK246="N",Applicant_List!AK246="",Applicant_List!AL246="N",Applicant_List!AL246=""),1,0)</f>
        <v/>
      </c>
      <c r="G245" s="8">
        <f>IF(OR(Applicant_List!AM246="N",Applicant_List!AM246=""),1,0)</f>
        <v/>
      </c>
      <c r="H245" s="8">
        <f>IF(OR(Applicant_List!AX246="Y",AND(Applicant_List!AS246="Y",Applicant_List!AV246&lt;&gt;"Y")),1,0)</f>
        <v/>
      </c>
      <c r="I245" s="8">
        <f>IF(OR(Applicant_List!AZ246="N",Applicant_List!AZ246="",Applicant_List!BA246="N",Applicant_List!BA246=""),1,0)</f>
        <v/>
      </c>
      <c r="J245" s="8">
        <f>IF(OR(Applicant_List!BB246="N",Applicant_List!BB246="",Applicant_List!BC246="N",Applicant_List!BE246="Y",Applicant_List!BL246="Y"),1,0)</f>
        <v/>
      </c>
      <c r="K245" s="8">
        <f>IF(AND(Applicant_List!BJ246="Y",Applicant_List!BM246="Y",Applicant_List!BK246&lt;&gt;"Y"),1,0)</f>
        <v/>
      </c>
      <c r="L245" s="8">
        <f>IF(OR(Applicant_List!BN246="Y",Applicant_List!BK246="Y"),1,0)</f>
        <v/>
      </c>
      <c r="M245" s="8">
        <f>COUNTIF(Applicant_List!AI246:BM246,"N")+COUNTBLANK(Applicant_List!AI246:BM246)</f>
        <v/>
      </c>
      <c r="N245" s="8">
        <f>MAX(E245:J245)</f>
        <v/>
      </c>
      <c r="O245" s="8">
        <f>IF(Applicant_List!BP246="Y",100000,0)+IF(ISNUMBER(Applicant_List!BO246),50000-INT(Applicant_List!BO246),0)+IF(LEN(Applicant_List!L246)&gt;0,1000,0)</f>
        <v/>
      </c>
      <c r="P245" s="8">
        <f>IF(D245,"Terminal",IF(N245=1,"Blocked",IF(K245=1,"Determination Notice",IF(L245=1,"Board","Under Review"))))</f>
        <v/>
      </c>
      <c r="Q245" s="8">
        <f>IF(Applicant_List!L246="Closed","Closed",IF(OR(Applicant_List!L246="Withdrawn",Applicant_List!L246="Terminated"),Applicant_List!L246,IF(N245=1,"No Advancement",IF(K245=1,"Determination Notice Issued",IF(L245=1,"Board","Under Review")))))</f>
        <v/>
      </c>
    </row>
    <row r="246">
      <c r="A246" s="8">
        <f>Applicant_List!C247</f>
        <v/>
      </c>
      <c r="B246" s="8">
        <f>Applicant_List!E247</f>
        <v/>
      </c>
      <c r="C246" s="8">
        <f>Applicant_List!L247</f>
        <v/>
      </c>
      <c r="D246" s="8">
        <f>OR(Applicant_List!L247="Closed",Applicant_List!L247="Withdrawn",Applicant_List!L247="Terminated")</f>
        <v/>
      </c>
      <c r="E246" s="8">
        <f>IF(OR(Applicant_List!AI247="N",Applicant_List!AI247=""),1,0)</f>
        <v/>
      </c>
      <c r="F246" s="8">
        <f>IF(OR(Applicant_List!AK247="N",Applicant_List!AK247="",Applicant_List!AL247="N",Applicant_List!AL247=""),1,0)</f>
        <v/>
      </c>
      <c r="G246" s="8">
        <f>IF(OR(Applicant_List!AM247="N",Applicant_List!AM247=""),1,0)</f>
        <v/>
      </c>
      <c r="H246" s="8">
        <f>IF(OR(Applicant_List!AX247="Y",AND(Applicant_List!AS247="Y",Applicant_List!AV247&lt;&gt;"Y")),1,0)</f>
        <v/>
      </c>
      <c r="I246" s="8">
        <f>IF(OR(Applicant_List!AZ247="N",Applicant_List!AZ247="",Applicant_List!BA247="N",Applicant_List!BA247=""),1,0)</f>
        <v/>
      </c>
      <c r="J246" s="8">
        <f>IF(OR(Applicant_List!BB247="N",Applicant_List!BB247="",Applicant_List!BC247="N",Applicant_List!BE247="Y",Applicant_List!BL247="Y"),1,0)</f>
        <v/>
      </c>
      <c r="K246" s="8">
        <f>IF(AND(Applicant_List!BJ247="Y",Applicant_List!BM247="Y",Applicant_List!BK247&lt;&gt;"Y"),1,0)</f>
        <v/>
      </c>
      <c r="L246" s="8">
        <f>IF(OR(Applicant_List!BN247="Y",Applicant_List!BK247="Y"),1,0)</f>
        <v/>
      </c>
      <c r="M246" s="8">
        <f>COUNTIF(Applicant_List!AI247:BM247,"N")+COUNTBLANK(Applicant_List!AI247:BM247)</f>
        <v/>
      </c>
      <c r="N246" s="8">
        <f>MAX(E246:J246)</f>
        <v/>
      </c>
      <c r="O246" s="8">
        <f>IF(Applicant_List!BP247="Y",100000,0)+IF(ISNUMBER(Applicant_List!BO247),50000-INT(Applicant_List!BO247),0)+IF(LEN(Applicant_List!L247)&gt;0,1000,0)</f>
        <v/>
      </c>
      <c r="P246" s="8">
        <f>IF(D246,"Terminal",IF(N246=1,"Blocked",IF(K246=1,"Determination Notice",IF(L246=1,"Board","Under Review"))))</f>
        <v/>
      </c>
      <c r="Q246" s="8">
        <f>IF(Applicant_List!L247="Closed","Closed",IF(OR(Applicant_List!L247="Withdrawn",Applicant_List!L247="Terminated"),Applicant_List!L247,IF(N246=1,"No Advancement",IF(K246=1,"Determination Notice Issued",IF(L246=1,"Board","Under Review")))))</f>
        <v/>
      </c>
    </row>
    <row r="247">
      <c r="A247" s="8">
        <f>Applicant_List!C248</f>
        <v/>
      </c>
      <c r="B247" s="8">
        <f>Applicant_List!E248</f>
        <v/>
      </c>
      <c r="C247" s="8">
        <f>Applicant_List!L248</f>
        <v/>
      </c>
      <c r="D247" s="8">
        <f>OR(Applicant_List!L248="Closed",Applicant_List!L248="Withdrawn",Applicant_List!L248="Terminated")</f>
        <v/>
      </c>
      <c r="E247" s="8">
        <f>IF(OR(Applicant_List!AI248="N",Applicant_List!AI248=""),1,0)</f>
        <v/>
      </c>
      <c r="F247" s="8">
        <f>IF(OR(Applicant_List!AK248="N",Applicant_List!AK248="",Applicant_List!AL248="N",Applicant_List!AL248=""),1,0)</f>
        <v/>
      </c>
      <c r="G247" s="8">
        <f>IF(OR(Applicant_List!AM248="N",Applicant_List!AM248=""),1,0)</f>
        <v/>
      </c>
      <c r="H247" s="8">
        <f>IF(OR(Applicant_List!AX248="Y",AND(Applicant_List!AS248="Y",Applicant_List!AV248&lt;&gt;"Y")),1,0)</f>
        <v/>
      </c>
      <c r="I247" s="8">
        <f>IF(OR(Applicant_List!AZ248="N",Applicant_List!AZ248="",Applicant_List!BA248="N",Applicant_List!BA248=""),1,0)</f>
        <v/>
      </c>
      <c r="J247" s="8">
        <f>IF(OR(Applicant_List!BB248="N",Applicant_List!BB248="",Applicant_List!BC248="N",Applicant_List!BE248="Y",Applicant_List!BL248="Y"),1,0)</f>
        <v/>
      </c>
      <c r="K247" s="8">
        <f>IF(AND(Applicant_List!BJ248="Y",Applicant_List!BM248="Y",Applicant_List!BK248&lt;&gt;"Y"),1,0)</f>
        <v/>
      </c>
      <c r="L247" s="8">
        <f>IF(OR(Applicant_List!BN248="Y",Applicant_List!BK248="Y"),1,0)</f>
        <v/>
      </c>
      <c r="M247" s="8">
        <f>COUNTIF(Applicant_List!AI248:BM248,"N")+COUNTBLANK(Applicant_List!AI248:BM248)</f>
        <v/>
      </c>
      <c r="N247" s="8">
        <f>MAX(E247:J247)</f>
        <v/>
      </c>
      <c r="O247" s="8">
        <f>IF(Applicant_List!BP248="Y",100000,0)+IF(ISNUMBER(Applicant_List!BO248),50000-INT(Applicant_List!BO248),0)+IF(LEN(Applicant_List!L248)&gt;0,1000,0)</f>
        <v/>
      </c>
      <c r="P247" s="8">
        <f>IF(D247,"Terminal",IF(N247=1,"Blocked",IF(K247=1,"Determination Notice",IF(L247=1,"Board","Under Review"))))</f>
        <v/>
      </c>
      <c r="Q247" s="8">
        <f>IF(Applicant_List!L248="Closed","Closed",IF(OR(Applicant_List!L248="Withdrawn",Applicant_List!L248="Terminated"),Applicant_List!L248,IF(N247=1,"No Advancement",IF(K247=1,"Determination Notice Issued",IF(L247=1,"Board","Under Review")))))</f>
        <v/>
      </c>
    </row>
    <row r="248">
      <c r="A248" s="8">
        <f>Applicant_List!C249</f>
        <v/>
      </c>
      <c r="B248" s="8">
        <f>Applicant_List!E249</f>
        <v/>
      </c>
      <c r="C248" s="8">
        <f>Applicant_List!L249</f>
        <v/>
      </c>
      <c r="D248" s="8">
        <f>OR(Applicant_List!L249="Closed",Applicant_List!L249="Withdrawn",Applicant_List!L249="Terminated")</f>
        <v/>
      </c>
      <c r="E248" s="8">
        <f>IF(OR(Applicant_List!AI249="N",Applicant_List!AI249=""),1,0)</f>
        <v/>
      </c>
      <c r="F248" s="8">
        <f>IF(OR(Applicant_List!AK249="N",Applicant_List!AK249="",Applicant_List!AL249="N",Applicant_List!AL249=""),1,0)</f>
        <v/>
      </c>
      <c r="G248" s="8">
        <f>IF(OR(Applicant_List!AM249="N",Applicant_List!AM249=""),1,0)</f>
        <v/>
      </c>
      <c r="H248" s="8">
        <f>IF(OR(Applicant_List!AX249="Y",AND(Applicant_List!AS249="Y",Applicant_List!AV249&lt;&gt;"Y")),1,0)</f>
        <v/>
      </c>
      <c r="I248" s="8">
        <f>IF(OR(Applicant_List!AZ249="N",Applicant_List!AZ249="",Applicant_List!BA249="N",Applicant_List!BA249=""),1,0)</f>
        <v/>
      </c>
      <c r="J248" s="8">
        <f>IF(OR(Applicant_List!BB249="N",Applicant_List!BB249="",Applicant_List!BC249="N",Applicant_List!BE249="Y",Applicant_List!BL249="Y"),1,0)</f>
        <v/>
      </c>
      <c r="K248" s="8">
        <f>IF(AND(Applicant_List!BJ249="Y",Applicant_List!BM249="Y",Applicant_List!BK249&lt;&gt;"Y"),1,0)</f>
        <v/>
      </c>
      <c r="L248" s="8">
        <f>IF(OR(Applicant_List!BN249="Y",Applicant_List!BK249="Y"),1,0)</f>
        <v/>
      </c>
      <c r="M248" s="8">
        <f>COUNTIF(Applicant_List!AI249:BM249,"N")+COUNTBLANK(Applicant_List!AI249:BM249)</f>
        <v/>
      </c>
      <c r="N248" s="8">
        <f>MAX(E248:J248)</f>
        <v/>
      </c>
      <c r="O248" s="8">
        <f>IF(Applicant_List!BP249="Y",100000,0)+IF(ISNUMBER(Applicant_List!BO249),50000-INT(Applicant_List!BO249),0)+IF(LEN(Applicant_List!L249)&gt;0,1000,0)</f>
        <v/>
      </c>
      <c r="P248" s="8">
        <f>IF(D248,"Terminal",IF(N248=1,"Blocked",IF(K248=1,"Determination Notice",IF(L248=1,"Board","Under Review"))))</f>
        <v/>
      </c>
      <c r="Q248" s="8">
        <f>IF(Applicant_List!L249="Closed","Closed",IF(OR(Applicant_List!L249="Withdrawn",Applicant_List!L249="Terminated"),Applicant_List!L249,IF(N248=1,"No Advancement",IF(K248=1,"Determination Notice Issued",IF(L248=1,"Board","Under Review")))))</f>
        <v/>
      </c>
    </row>
    <row r="249">
      <c r="A249" s="8">
        <f>Applicant_List!C250</f>
        <v/>
      </c>
      <c r="B249" s="8">
        <f>Applicant_List!E250</f>
        <v/>
      </c>
      <c r="C249" s="8">
        <f>Applicant_List!L250</f>
        <v/>
      </c>
      <c r="D249" s="8">
        <f>OR(Applicant_List!L250="Closed",Applicant_List!L250="Withdrawn",Applicant_List!L250="Terminated")</f>
        <v/>
      </c>
      <c r="E249" s="8">
        <f>IF(OR(Applicant_List!AI250="N",Applicant_List!AI250=""),1,0)</f>
        <v/>
      </c>
      <c r="F249" s="8">
        <f>IF(OR(Applicant_List!AK250="N",Applicant_List!AK250="",Applicant_List!AL250="N",Applicant_List!AL250=""),1,0)</f>
        <v/>
      </c>
      <c r="G249" s="8">
        <f>IF(OR(Applicant_List!AM250="N",Applicant_List!AM250=""),1,0)</f>
        <v/>
      </c>
      <c r="H249" s="8">
        <f>IF(OR(Applicant_List!AX250="Y",AND(Applicant_List!AS250="Y",Applicant_List!AV250&lt;&gt;"Y")),1,0)</f>
        <v/>
      </c>
      <c r="I249" s="8">
        <f>IF(OR(Applicant_List!AZ250="N",Applicant_List!AZ250="",Applicant_List!BA250="N",Applicant_List!BA250=""),1,0)</f>
        <v/>
      </c>
      <c r="J249" s="8">
        <f>IF(OR(Applicant_List!BB250="N",Applicant_List!BB250="",Applicant_List!BC250="N",Applicant_List!BE250="Y",Applicant_List!BL250="Y"),1,0)</f>
        <v/>
      </c>
      <c r="K249" s="8">
        <f>IF(AND(Applicant_List!BJ250="Y",Applicant_List!BM250="Y",Applicant_List!BK250&lt;&gt;"Y"),1,0)</f>
        <v/>
      </c>
      <c r="L249" s="8">
        <f>IF(OR(Applicant_List!BN250="Y",Applicant_List!BK250="Y"),1,0)</f>
        <v/>
      </c>
      <c r="M249" s="8">
        <f>COUNTIF(Applicant_List!AI250:BM250,"N")+COUNTBLANK(Applicant_List!AI250:BM250)</f>
        <v/>
      </c>
      <c r="N249" s="8">
        <f>MAX(E249:J249)</f>
        <v/>
      </c>
      <c r="O249" s="8">
        <f>IF(Applicant_List!BP250="Y",100000,0)+IF(ISNUMBER(Applicant_List!BO250),50000-INT(Applicant_List!BO250),0)+IF(LEN(Applicant_List!L250)&gt;0,1000,0)</f>
        <v/>
      </c>
      <c r="P249" s="8">
        <f>IF(D249,"Terminal",IF(N249=1,"Blocked",IF(K249=1,"Determination Notice",IF(L249=1,"Board","Under Review"))))</f>
        <v/>
      </c>
      <c r="Q249" s="8">
        <f>IF(Applicant_List!L250="Closed","Closed",IF(OR(Applicant_List!L250="Withdrawn",Applicant_List!L250="Terminated"),Applicant_List!L250,IF(N249=1,"No Advancement",IF(K249=1,"Determination Notice Issued",IF(L249=1,"Board","Under Review")))))</f>
        <v/>
      </c>
    </row>
    <row r="250">
      <c r="A250" s="8">
        <f>Applicant_List!C251</f>
        <v/>
      </c>
      <c r="B250" s="8">
        <f>Applicant_List!E251</f>
        <v/>
      </c>
      <c r="C250" s="8">
        <f>Applicant_List!L251</f>
        <v/>
      </c>
      <c r="D250" s="8">
        <f>OR(Applicant_List!L251="Closed",Applicant_List!L251="Withdrawn",Applicant_List!L251="Terminated")</f>
        <v/>
      </c>
      <c r="E250" s="8">
        <f>IF(OR(Applicant_List!AI251="N",Applicant_List!AI251=""),1,0)</f>
        <v/>
      </c>
      <c r="F250" s="8">
        <f>IF(OR(Applicant_List!AK251="N",Applicant_List!AK251="",Applicant_List!AL251="N",Applicant_List!AL251=""),1,0)</f>
        <v/>
      </c>
      <c r="G250" s="8">
        <f>IF(OR(Applicant_List!AM251="N",Applicant_List!AM251=""),1,0)</f>
        <v/>
      </c>
      <c r="H250" s="8">
        <f>IF(OR(Applicant_List!AX251="Y",AND(Applicant_List!AS251="Y",Applicant_List!AV251&lt;&gt;"Y")),1,0)</f>
        <v/>
      </c>
      <c r="I250" s="8">
        <f>IF(OR(Applicant_List!AZ251="N",Applicant_List!AZ251="",Applicant_List!BA251="N",Applicant_List!BA251=""),1,0)</f>
        <v/>
      </c>
      <c r="J250" s="8">
        <f>IF(OR(Applicant_List!BB251="N",Applicant_List!BB251="",Applicant_List!BC251="N",Applicant_List!BE251="Y",Applicant_List!BL251="Y"),1,0)</f>
        <v/>
      </c>
      <c r="K250" s="8">
        <f>IF(AND(Applicant_List!BJ251="Y",Applicant_List!BM251="Y",Applicant_List!BK251&lt;&gt;"Y"),1,0)</f>
        <v/>
      </c>
      <c r="L250" s="8">
        <f>IF(OR(Applicant_List!BN251="Y",Applicant_List!BK251="Y"),1,0)</f>
        <v/>
      </c>
      <c r="M250" s="8">
        <f>COUNTIF(Applicant_List!AI251:BM251,"N")+COUNTBLANK(Applicant_List!AI251:BM251)</f>
        <v/>
      </c>
      <c r="N250" s="8">
        <f>MAX(E250:J250)</f>
        <v/>
      </c>
      <c r="O250" s="8">
        <f>IF(Applicant_List!BP251="Y",100000,0)+IF(ISNUMBER(Applicant_List!BO251),50000-INT(Applicant_List!BO251),0)+IF(LEN(Applicant_List!L251)&gt;0,1000,0)</f>
        <v/>
      </c>
      <c r="P250" s="8">
        <f>IF(D250,"Terminal",IF(N250=1,"Blocked",IF(K250=1,"Determination Notice",IF(L250=1,"Board","Under Review"))))</f>
        <v/>
      </c>
      <c r="Q250" s="8">
        <f>IF(Applicant_List!L251="Closed","Closed",IF(OR(Applicant_List!L251="Withdrawn",Applicant_List!L251="Terminated"),Applicant_List!L251,IF(N250=1,"No Advancement",IF(K250=1,"Determination Notice Issued",IF(L250=1,"Board","Under Review")))))</f>
        <v/>
      </c>
    </row>
    <row r="251">
      <c r="A251" s="8">
        <f>Applicant_List!C252</f>
        <v/>
      </c>
      <c r="B251" s="8">
        <f>Applicant_List!E252</f>
        <v/>
      </c>
      <c r="C251" s="8">
        <f>Applicant_List!L252</f>
        <v/>
      </c>
      <c r="D251" s="8">
        <f>OR(Applicant_List!L252="Closed",Applicant_List!L252="Withdrawn",Applicant_List!L252="Terminated")</f>
        <v/>
      </c>
      <c r="E251" s="8">
        <f>IF(OR(Applicant_List!AI252="N",Applicant_List!AI252=""),1,0)</f>
        <v/>
      </c>
      <c r="F251" s="8">
        <f>IF(OR(Applicant_List!AK252="N",Applicant_List!AK252="",Applicant_List!AL252="N",Applicant_List!AL252=""),1,0)</f>
        <v/>
      </c>
      <c r="G251" s="8">
        <f>IF(OR(Applicant_List!AM252="N",Applicant_List!AM252=""),1,0)</f>
        <v/>
      </c>
      <c r="H251" s="8">
        <f>IF(OR(Applicant_List!AX252="Y",AND(Applicant_List!AS252="Y",Applicant_List!AV252&lt;&gt;"Y")),1,0)</f>
        <v/>
      </c>
      <c r="I251" s="8">
        <f>IF(OR(Applicant_List!AZ252="N",Applicant_List!AZ252="",Applicant_List!BA252="N",Applicant_List!BA252=""),1,0)</f>
        <v/>
      </c>
      <c r="J251" s="8">
        <f>IF(OR(Applicant_List!BB252="N",Applicant_List!BB252="",Applicant_List!BC252="N",Applicant_List!BE252="Y",Applicant_List!BL252="Y"),1,0)</f>
        <v/>
      </c>
      <c r="K251" s="8">
        <f>IF(AND(Applicant_List!BJ252="Y",Applicant_List!BM252="Y",Applicant_List!BK252&lt;&gt;"Y"),1,0)</f>
        <v/>
      </c>
      <c r="L251" s="8">
        <f>IF(OR(Applicant_List!BN252="Y",Applicant_List!BK252="Y"),1,0)</f>
        <v/>
      </c>
      <c r="M251" s="8">
        <f>COUNTIF(Applicant_List!AI252:BM252,"N")+COUNTBLANK(Applicant_List!AI252:BM252)</f>
        <v/>
      </c>
      <c r="N251" s="8">
        <f>MAX(E251:J251)</f>
        <v/>
      </c>
      <c r="O251" s="8">
        <f>IF(Applicant_List!BP252="Y",100000,0)+IF(ISNUMBER(Applicant_List!BO252),50000-INT(Applicant_List!BO252),0)+IF(LEN(Applicant_List!L252)&gt;0,1000,0)</f>
        <v/>
      </c>
      <c r="P251" s="8">
        <f>IF(D251,"Terminal",IF(N251=1,"Blocked",IF(K251=1,"Determination Notice",IF(L251=1,"Board","Under Review"))))</f>
        <v/>
      </c>
      <c r="Q251" s="8">
        <f>IF(Applicant_List!L252="Closed","Closed",IF(OR(Applicant_List!L252="Withdrawn",Applicant_List!L252="Terminated"),Applicant_List!L252,IF(N251=1,"No Advancement",IF(K251=1,"Determination Notice Issued",IF(L251=1,"Board","Under Review")))))</f>
        <v/>
      </c>
    </row>
    <row r="252">
      <c r="A252" s="8">
        <f>Applicant_List!C253</f>
        <v/>
      </c>
      <c r="B252" s="8">
        <f>Applicant_List!E253</f>
        <v/>
      </c>
      <c r="C252" s="8">
        <f>Applicant_List!L253</f>
        <v/>
      </c>
      <c r="D252" s="8">
        <f>OR(Applicant_List!L253="Closed",Applicant_List!L253="Withdrawn",Applicant_List!L253="Terminated")</f>
        <v/>
      </c>
      <c r="E252" s="8">
        <f>IF(OR(Applicant_List!AI253="N",Applicant_List!AI253=""),1,0)</f>
        <v/>
      </c>
      <c r="F252" s="8">
        <f>IF(OR(Applicant_List!AK253="N",Applicant_List!AK253="",Applicant_List!AL253="N",Applicant_List!AL253=""),1,0)</f>
        <v/>
      </c>
      <c r="G252" s="8">
        <f>IF(OR(Applicant_List!AM253="N",Applicant_List!AM253=""),1,0)</f>
        <v/>
      </c>
      <c r="H252" s="8">
        <f>IF(OR(Applicant_List!AX253="Y",AND(Applicant_List!AS253="Y",Applicant_List!AV253&lt;&gt;"Y")),1,0)</f>
        <v/>
      </c>
      <c r="I252" s="8">
        <f>IF(OR(Applicant_List!AZ253="N",Applicant_List!AZ253="",Applicant_List!BA253="N",Applicant_List!BA253=""),1,0)</f>
        <v/>
      </c>
      <c r="J252" s="8">
        <f>IF(OR(Applicant_List!BB253="N",Applicant_List!BB253="",Applicant_List!BC253="N",Applicant_List!BE253="Y",Applicant_List!BL253="Y"),1,0)</f>
        <v/>
      </c>
      <c r="K252" s="8">
        <f>IF(AND(Applicant_List!BJ253="Y",Applicant_List!BM253="Y",Applicant_List!BK253&lt;&gt;"Y"),1,0)</f>
        <v/>
      </c>
      <c r="L252" s="8">
        <f>IF(OR(Applicant_List!BN253="Y",Applicant_List!BK253="Y"),1,0)</f>
        <v/>
      </c>
      <c r="M252" s="8">
        <f>COUNTIF(Applicant_List!AI253:BM253,"N")+COUNTBLANK(Applicant_List!AI253:BM253)</f>
        <v/>
      </c>
      <c r="N252" s="8">
        <f>MAX(E252:J252)</f>
        <v/>
      </c>
      <c r="O252" s="8">
        <f>IF(Applicant_List!BP253="Y",100000,0)+IF(ISNUMBER(Applicant_List!BO253),50000-INT(Applicant_List!BO253),0)+IF(LEN(Applicant_List!L253)&gt;0,1000,0)</f>
        <v/>
      </c>
      <c r="P252" s="8">
        <f>IF(D252,"Terminal",IF(N252=1,"Blocked",IF(K252=1,"Determination Notice",IF(L252=1,"Board","Under Review"))))</f>
        <v/>
      </c>
      <c r="Q252" s="8">
        <f>IF(Applicant_List!L253="Closed","Closed",IF(OR(Applicant_List!L253="Withdrawn",Applicant_List!L253="Terminated"),Applicant_List!L253,IF(N252=1,"No Advancement",IF(K252=1,"Determination Notice Issued",IF(L252=1,"Board","Under Review")))))</f>
        <v/>
      </c>
    </row>
    <row r="253">
      <c r="A253" s="8">
        <f>Applicant_List!C254</f>
        <v/>
      </c>
      <c r="B253" s="8">
        <f>Applicant_List!E254</f>
        <v/>
      </c>
      <c r="C253" s="8">
        <f>Applicant_List!L254</f>
        <v/>
      </c>
      <c r="D253" s="8">
        <f>OR(Applicant_List!L254="Closed",Applicant_List!L254="Withdrawn",Applicant_List!L254="Terminated")</f>
        <v/>
      </c>
      <c r="E253" s="8">
        <f>IF(OR(Applicant_List!AI254="N",Applicant_List!AI254=""),1,0)</f>
        <v/>
      </c>
      <c r="F253" s="8">
        <f>IF(OR(Applicant_List!AK254="N",Applicant_List!AK254="",Applicant_List!AL254="N",Applicant_List!AL254=""),1,0)</f>
        <v/>
      </c>
      <c r="G253" s="8">
        <f>IF(OR(Applicant_List!AM254="N",Applicant_List!AM254=""),1,0)</f>
        <v/>
      </c>
      <c r="H253" s="8">
        <f>IF(OR(Applicant_List!AX254="Y",AND(Applicant_List!AS254="Y",Applicant_List!AV254&lt;&gt;"Y")),1,0)</f>
        <v/>
      </c>
      <c r="I253" s="8">
        <f>IF(OR(Applicant_List!AZ254="N",Applicant_List!AZ254="",Applicant_List!BA254="N",Applicant_List!BA254=""),1,0)</f>
        <v/>
      </c>
      <c r="J253" s="8">
        <f>IF(OR(Applicant_List!BB254="N",Applicant_List!BB254="",Applicant_List!BC254="N",Applicant_List!BE254="Y",Applicant_List!BL254="Y"),1,0)</f>
        <v/>
      </c>
      <c r="K253" s="8">
        <f>IF(AND(Applicant_List!BJ254="Y",Applicant_List!BM254="Y",Applicant_List!BK254&lt;&gt;"Y"),1,0)</f>
        <v/>
      </c>
      <c r="L253" s="8">
        <f>IF(OR(Applicant_List!BN254="Y",Applicant_List!BK254="Y"),1,0)</f>
        <v/>
      </c>
      <c r="M253" s="8">
        <f>COUNTIF(Applicant_List!AI254:BM254,"N")+COUNTBLANK(Applicant_List!AI254:BM254)</f>
        <v/>
      </c>
      <c r="N253" s="8">
        <f>MAX(E253:J253)</f>
        <v/>
      </c>
      <c r="O253" s="8">
        <f>IF(Applicant_List!BP254="Y",100000,0)+IF(ISNUMBER(Applicant_List!BO254),50000-INT(Applicant_List!BO254),0)+IF(LEN(Applicant_List!L254)&gt;0,1000,0)</f>
        <v/>
      </c>
      <c r="P253" s="8">
        <f>IF(D253,"Terminal",IF(N253=1,"Blocked",IF(K253=1,"Determination Notice",IF(L253=1,"Board","Under Review"))))</f>
        <v/>
      </c>
      <c r="Q253" s="8">
        <f>IF(Applicant_List!L254="Closed","Closed",IF(OR(Applicant_List!L254="Withdrawn",Applicant_List!L254="Terminated"),Applicant_List!L254,IF(N253=1,"No Advancement",IF(K253=1,"Determination Notice Issued",IF(L253=1,"Board","Under Review")))))</f>
        <v/>
      </c>
    </row>
    <row r="254">
      <c r="A254" s="8">
        <f>Applicant_List!C255</f>
        <v/>
      </c>
      <c r="B254" s="8">
        <f>Applicant_List!E255</f>
        <v/>
      </c>
      <c r="C254" s="8">
        <f>Applicant_List!L255</f>
        <v/>
      </c>
      <c r="D254" s="8">
        <f>OR(Applicant_List!L255="Closed",Applicant_List!L255="Withdrawn",Applicant_List!L255="Terminated")</f>
        <v/>
      </c>
      <c r="E254" s="8">
        <f>IF(OR(Applicant_List!AI255="N",Applicant_List!AI255=""),1,0)</f>
        <v/>
      </c>
      <c r="F254" s="8">
        <f>IF(OR(Applicant_List!AK255="N",Applicant_List!AK255="",Applicant_List!AL255="N",Applicant_List!AL255=""),1,0)</f>
        <v/>
      </c>
      <c r="G254" s="8">
        <f>IF(OR(Applicant_List!AM255="N",Applicant_List!AM255=""),1,0)</f>
        <v/>
      </c>
      <c r="H254" s="8">
        <f>IF(OR(Applicant_List!AX255="Y",AND(Applicant_List!AS255="Y",Applicant_List!AV255&lt;&gt;"Y")),1,0)</f>
        <v/>
      </c>
      <c r="I254" s="8">
        <f>IF(OR(Applicant_List!AZ255="N",Applicant_List!AZ255="",Applicant_List!BA255="N",Applicant_List!BA255=""),1,0)</f>
        <v/>
      </c>
      <c r="J254" s="8">
        <f>IF(OR(Applicant_List!BB255="N",Applicant_List!BB255="",Applicant_List!BC255="N",Applicant_List!BE255="Y",Applicant_List!BL255="Y"),1,0)</f>
        <v/>
      </c>
      <c r="K254" s="8">
        <f>IF(AND(Applicant_List!BJ255="Y",Applicant_List!BM255="Y",Applicant_List!BK255&lt;&gt;"Y"),1,0)</f>
        <v/>
      </c>
      <c r="L254" s="8">
        <f>IF(OR(Applicant_List!BN255="Y",Applicant_List!BK255="Y"),1,0)</f>
        <v/>
      </c>
      <c r="M254" s="8">
        <f>COUNTIF(Applicant_List!AI255:BM255,"N")+COUNTBLANK(Applicant_List!AI255:BM255)</f>
        <v/>
      </c>
      <c r="N254" s="8">
        <f>MAX(E254:J254)</f>
        <v/>
      </c>
      <c r="O254" s="8">
        <f>IF(Applicant_List!BP255="Y",100000,0)+IF(ISNUMBER(Applicant_List!BO255),50000-INT(Applicant_List!BO255),0)+IF(LEN(Applicant_List!L255)&gt;0,1000,0)</f>
        <v/>
      </c>
      <c r="P254" s="8">
        <f>IF(D254,"Terminal",IF(N254=1,"Blocked",IF(K254=1,"Determination Notice",IF(L254=1,"Board","Under Review"))))</f>
        <v/>
      </c>
      <c r="Q254" s="8">
        <f>IF(Applicant_List!L255="Closed","Closed",IF(OR(Applicant_List!L255="Withdrawn",Applicant_List!L255="Terminated"),Applicant_List!L255,IF(N254=1,"No Advancement",IF(K254=1,"Determination Notice Issued",IF(L254=1,"Board","Under Review")))))</f>
        <v/>
      </c>
    </row>
    <row r="255">
      <c r="A255" s="8">
        <f>Applicant_List!C256</f>
        <v/>
      </c>
      <c r="B255" s="8">
        <f>Applicant_List!E256</f>
        <v/>
      </c>
      <c r="C255" s="8">
        <f>Applicant_List!L256</f>
        <v/>
      </c>
      <c r="D255" s="8">
        <f>OR(Applicant_List!L256="Closed",Applicant_List!L256="Withdrawn",Applicant_List!L256="Terminated")</f>
        <v/>
      </c>
      <c r="E255" s="8">
        <f>IF(OR(Applicant_List!AI256="N",Applicant_List!AI256=""),1,0)</f>
        <v/>
      </c>
      <c r="F255" s="8">
        <f>IF(OR(Applicant_List!AK256="N",Applicant_List!AK256="",Applicant_List!AL256="N",Applicant_List!AL256=""),1,0)</f>
        <v/>
      </c>
      <c r="G255" s="8">
        <f>IF(OR(Applicant_List!AM256="N",Applicant_List!AM256=""),1,0)</f>
        <v/>
      </c>
      <c r="H255" s="8">
        <f>IF(OR(Applicant_List!AX256="Y",AND(Applicant_List!AS256="Y",Applicant_List!AV256&lt;&gt;"Y")),1,0)</f>
        <v/>
      </c>
      <c r="I255" s="8">
        <f>IF(OR(Applicant_List!AZ256="N",Applicant_List!AZ256="",Applicant_List!BA256="N",Applicant_List!BA256=""),1,0)</f>
        <v/>
      </c>
      <c r="J255" s="8">
        <f>IF(OR(Applicant_List!BB256="N",Applicant_List!BB256="",Applicant_List!BC256="N",Applicant_List!BE256="Y",Applicant_List!BL256="Y"),1,0)</f>
        <v/>
      </c>
      <c r="K255" s="8">
        <f>IF(AND(Applicant_List!BJ256="Y",Applicant_List!BM256="Y",Applicant_List!BK256&lt;&gt;"Y"),1,0)</f>
        <v/>
      </c>
      <c r="L255" s="8">
        <f>IF(OR(Applicant_List!BN256="Y",Applicant_List!BK256="Y"),1,0)</f>
        <v/>
      </c>
      <c r="M255" s="8">
        <f>COUNTIF(Applicant_List!AI256:BM256,"N")+COUNTBLANK(Applicant_List!AI256:BM256)</f>
        <v/>
      </c>
      <c r="N255" s="8">
        <f>MAX(E255:J255)</f>
        <v/>
      </c>
      <c r="O255" s="8">
        <f>IF(Applicant_List!BP256="Y",100000,0)+IF(ISNUMBER(Applicant_List!BO256),50000-INT(Applicant_List!BO256),0)+IF(LEN(Applicant_List!L256)&gt;0,1000,0)</f>
        <v/>
      </c>
      <c r="P255" s="8">
        <f>IF(D255,"Terminal",IF(N255=1,"Blocked",IF(K255=1,"Determination Notice",IF(L255=1,"Board","Under Review"))))</f>
        <v/>
      </c>
      <c r="Q255" s="8">
        <f>IF(Applicant_List!L256="Closed","Closed",IF(OR(Applicant_List!L256="Withdrawn",Applicant_List!L256="Terminated"),Applicant_List!L256,IF(N255=1,"No Advancement",IF(K255=1,"Determination Notice Issued",IF(L255=1,"Board","Under Review")))))</f>
        <v/>
      </c>
    </row>
    <row r="256">
      <c r="A256" s="8">
        <f>Applicant_List!C257</f>
        <v/>
      </c>
      <c r="B256" s="8">
        <f>Applicant_List!E257</f>
        <v/>
      </c>
      <c r="C256" s="8">
        <f>Applicant_List!L257</f>
        <v/>
      </c>
      <c r="D256" s="8">
        <f>OR(Applicant_List!L257="Closed",Applicant_List!L257="Withdrawn",Applicant_List!L257="Terminated")</f>
        <v/>
      </c>
      <c r="E256" s="8">
        <f>IF(OR(Applicant_List!AI257="N",Applicant_List!AI257=""),1,0)</f>
        <v/>
      </c>
      <c r="F256" s="8">
        <f>IF(OR(Applicant_List!AK257="N",Applicant_List!AK257="",Applicant_List!AL257="N",Applicant_List!AL257=""),1,0)</f>
        <v/>
      </c>
      <c r="G256" s="8">
        <f>IF(OR(Applicant_List!AM257="N",Applicant_List!AM257=""),1,0)</f>
        <v/>
      </c>
      <c r="H256" s="8">
        <f>IF(OR(Applicant_List!AX257="Y",AND(Applicant_List!AS257="Y",Applicant_List!AV257&lt;&gt;"Y")),1,0)</f>
        <v/>
      </c>
      <c r="I256" s="8">
        <f>IF(OR(Applicant_List!AZ257="N",Applicant_List!AZ257="",Applicant_List!BA257="N",Applicant_List!BA257=""),1,0)</f>
        <v/>
      </c>
      <c r="J256" s="8">
        <f>IF(OR(Applicant_List!BB257="N",Applicant_List!BB257="",Applicant_List!BC257="N",Applicant_List!BE257="Y",Applicant_List!BL257="Y"),1,0)</f>
        <v/>
      </c>
      <c r="K256" s="8">
        <f>IF(AND(Applicant_List!BJ257="Y",Applicant_List!BM257="Y",Applicant_List!BK257&lt;&gt;"Y"),1,0)</f>
        <v/>
      </c>
      <c r="L256" s="8">
        <f>IF(OR(Applicant_List!BN257="Y",Applicant_List!BK257="Y"),1,0)</f>
        <v/>
      </c>
      <c r="M256" s="8">
        <f>COUNTIF(Applicant_List!AI257:BM257,"N")+COUNTBLANK(Applicant_List!AI257:BM257)</f>
        <v/>
      </c>
      <c r="N256" s="8">
        <f>MAX(E256:J256)</f>
        <v/>
      </c>
      <c r="O256" s="8">
        <f>IF(Applicant_List!BP257="Y",100000,0)+IF(ISNUMBER(Applicant_List!BO257),50000-INT(Applicant_List!BO257),0)+IF(LEN(Applicant_List!L257)&gt;0,1000,0)</f>
        <v/>
      </c>
      <c r="P256" s="8">
        <f>IF(D256,"Terminal",IF(N256=1,"Blocked",IF(K256=1,"Determination Notice",IF(L256=1,"Board","Under Review"))))</f>
        <v/>
      </c>
      <c r="Q256" s="8">
        <f>IF(Applicant_List!L257="Closed","Closed",IF(OR(Applicant_List!L257="Withdrawn",Applicant_List!L257="Terminated"),Applicant_List!L257,IF(N256=1,"No Advancement",IF(K256=1,"Determination Notice Issued",IF(L256=1,"Board","Under Review")))))</f>
        <v/>
      </c>
    </row>
    <row r="257">
      <c r="A257" s="8">
        <f>Applicant_List!C258</f>
        <v/>
      </c>
      <c r="B257" s="8">
        <f>Applicant_List!E258</f>
        <v/>
      </c>
      <c r="C257" s="8">
        <f>Applicant_List!L258</f>
        <v/>
      </c>
      <c r="D257" s="8">
        <f>OR(Applicant_List!L258="Closed",Applicant_List!L258="Withdrawn",Applicant_List!L258="Terminated")</f>
        <v/>
      </c>
      <c r="E257" s="8">
        <f>IF(OR(Applicant_List!AI258="N",Applicant_List!AI258=""),1,0)</f>
        <v/>
      </c>
      <c r="F257" s="8">
        <f>IF(OR(Applicant_List!AK258="N",Applicant_List!AK258="",Applicant_List!AL258="N",Applicant_List!AL258=""),1,0)</f>
        <v/>
      </c>
      <c r="G257" s="8">
        <f>IF(OR(Applicant_List!AM258="N",Applicant_List!AM258=""),1,0)</f>
        <v/>
      </c>
      <c r="H257" s="8">
        <f>IF(OR(Applicant_List!AX258="Y",AND(Applicant_List!AS258="Y",Applicant_List!AV258&lt;&gt;"Y")),1,0)</f>
        <v/>
      </c>
      <c r="I257" s="8">
        <f>IF(OR(Applicant_List!AZ258="N",Applicant_List!AZ258="",Applicant_List!BA258="N",Applicant_List!BA258=""),1,0)</f>
        <v/>
      </c>
      <c r="J257" s="8">
        <f>IF(OR(Applicant_List!BB258="N",Applicant_List!BB258="",Applicant_List!BC258="N",Applicant_List!BE258="Y",Applicant_List!BL258="Y"),1,0)</f>
        <v/>
      </c>
      <c r="K257" s="8">
        <f>IF(AND(Applicant_List!BJ258="Y",Applicant_List!BM258="Y",Applicant_List!BK258&lt;&gt;"Y"),1,0)</f>
        <v/>
      </c>
      <c r="L257" s="8">
        <f>IF(OR(Applicant_List!BN258="Y",Applicant_List!BK258="Y"),1,0)</f>
        <v/>
      </c>
      <c r="M257" s="8">
        <f>COUNTIF(Applicant_List!AI258:BM258,"N")+COUNTBLANK(Applicant_List!AI258:BM258)</f>
        <v/>
      </c>
      <c r="N257" s="8">
        <f>MAX(E257:J257)</f>
        <v/>
      </c>
      <c r="O257" s="8">
        <f>IF(Applicant_List!BP258="Y",100000,0)+IF(ISNUMBER(Applicant_List!BO258),50000-INT(Applicant_List!BO258),0)+IF(LEN(Applicant_List!L258)&gt;0,1000,0)</f>
        <v/>
      </c>
      <c r="P257" s="8">
        <f>IF(D257,"Terminal",IF(N257=1,"Blocked",IF(K257=1,"Determination Notice",IF(L257=1,"Board","Under Review"))))</f>
        <v/>
      </c>
      <c r="Q257" s="8">
        <f>IF(Applicant_List!L258="Closed","Closed",IF(OR(Applicant_List!L258="Withdrawn",Applicant_List!L258="Terminated"),Applicant_List!L258,IF(N257=1,"No Advancement",IF(K257=1,"Determination Notice Issued",IF(L257=1,"Board","Under Review")))))</f>
        <v/>
      </c>
    </row>
    <row r="258">
      <c r="A258" s="8">
        <f>Applicant_List!C259</f>
        <v/>
      </c>
      <c r="B258" s="8">
        <f>Applicant_List!E259</f>
        <v/>
      </c>
      <c r="C258" s="8">
        <f>Applicant_List!L259</f>
        <v/>
      </c>
      <c r="D258" s="8">
        <f>OR(Applicant_List!L259="Closed",Applicant_List!L259="Withdrawn",Applicant_List!L259="Terminated")</f>
        <v/>
      </c>
      <c r="E258" s="8">
        <f>IF(OR(Applicant_List!AI259="N",Applicant_List!AI259=""),1,0)</f>
        <v/>
      </c>
      <c r="F258" s="8">
        <f>IF(OR(Applicant_List!AK259="N",Applicant_List!AK259="",Applicant_List!AL259="N",Applicant_List!AL259=""),1,0)</f>
        <v/>
      </c>
      <c r="G258" s="8">
        <f>IF(OR(Applicant_List!AM259="N",Applicant_List!AM259=""),1,0)</f>
        <v/>
      </c>
      <c r="H258" s="8">
        <f>IF(OR(Applicant_List!AX259="Y",AND(Applicant_List!AS259="Y",Applicant_List!AV259&lt;&gt;"Y")),1,0)</f>
        <v/>
      </c>
      <c r="I258" s="8">
        <f>IF(OR(Applicant_List!AZ259="N",Applicant_List!AZ259="",Applicant_List!BA259="N",Applicant_List!BA259=""),1,0)</f>
        <v/>
      </c>
      <c r="J258" s="8">
        <f>IF(OR(Applicant_List!BB259="N",Applicant_List!BB259="",Applicant_List!BC259="N",Applicant_List!BE259="Y",Applicant_List!BL259="Y"),1,0)</f>
        <v/>
      </c>
      <c r="K258" s="8">
        <f>IF(AND(Applicant_List!BJ259="Y",Applicant_List!BM259="Y",Applicant_List!BK259&lt;&gt;"Y"),1,0)</f>
        <v/>
      </c>
      <c r="L258" s="8">
        <f>IF(OR(Applicant_List!BN259="Y",Applicant_List!BK259="Y"),1,0)</f>
        <v/>
      </c>
      <c r="M258" s="8">
        <f>COUNTIF(Applicant_List!AI259:BM259,"N")+COUNTBLANK(Applicant_List!AI259:BM259)</f>
        <v/>
      </c>
      <c r="N258" s="8">
        <f>MAX(E258:J258)</f>
        <v/>
      </c>
      <c r="O258" s="8">
        <f>IF(Applicant_List!BP259="Y",100000,0)+IF(ISNUMBER(Applicant_List!BO259),50000-INT(Applicant_List!BO259),0)+IF(LEN(Applicant_List!L259)&gt;0,1000,0)</f>
        <v/>
      </c>
      <c r="P258" s="8">
        <f>IF(D258,"Terminal",IF(N258=1,"Blocked",IF(K258=1,"Determination Notice",IF(L258=1,"Board","Under Review"))))</f>
        <v/>
      </c>
      <c r="Q258" s="8">
        <f>IF(Applicant_List!L259="Closed","Closed",IF(OR(Applicant_List!L259="Withdrawn",Applicant_List!L259="Terminated"),Applicant_List!L259,IF(N258=1,"No Advancement",IF(K258=1,"Determination Notice Issued",IF(L258=1,"Board","Under Review")))))</f>
        <v/>
      </c>
    </row>
    <row r="259">
      <c r="A259" s="8">
        <f>Applicant_List!C260</f>
        <v/>
      </c>
      <c r="B259" s="8">
        <f>Applicant_List!E260</f>
        <v/>
      </c>
      <c r="C259" s="8">
        <f>Applicant_List!L260</f>
        <v/>
      </c>
      <c r="D259" s="8">
        <f>OR(Applicant_List!L260="Closed",Applicant_List!L260="Withdrawn",Applicant_List!L260="Terminated")</f>
        <v/>
      </c>
      <c r="E259" s="8">
        <f>IF(OR(Applicant_List!AI260="N",Applicant_List!AI260=""),1,0)</f>
        <v/>
      </c>
      <c r="F259" s="8">
        <f>IF(OR(Applicant_List!AK260="N",Applicant_List!AK260="",Applicant_List!AL260="N",Applicant_List!AL260=""),1,0)</f>
        <v/>
      </c>
      <c r="G259" s="8">
        <f>IF(OR(Applicant_List!AM260="N",Applicant_List!AM260=""),1,0)</f>
        <v/>
      </c>
      <c r="H259" s="8">
        <f>IF(OR(Applicant_List!AX260="Y",AND(Applicant_List!AS260="Y",Applicant_List!AV260&lt;&gt;"Y")),1,0)</f>
        <v/>
      </c>
      <c r="I259" s="8">
        <f>IF(OR(Applicant_List!AZ260="N",Applicant_List!AZ260="",Applicant_List!BA260="N",Applicant_List!BA260=""),1,0)</f>
        <v/>
      </c>
      <c r="J259" s="8">
        <f>IF(OR(Applicant_List!BB260="N",Applicant_List!BB260="",Applicant_List!BC260="N",Applicant_List!BE260="Y",Applicant_List!BL260="Y"),1,0)</f>
        <v/>
      </c>
      <c r="K259" s="8">
        <f>IF(AND(Applicant_List!BJ260="Y",Applicant_List!BM260="Y",Applicant_List!BK260&lt;&gt;"Y"),1,0)</f>
        <v/>
      </c>
      <c r="L259" s="8">
        <f>IF(OR(Applicant_List!BN260="Y",Applicant_List!BK260="Y"),1,0)</f>
        <v/>
      </c>
      <c r="M259" s="8">
        <f>COUNTIF(Applicant_List!AI260:BM260,"N")+COUNTBLANK(Applicant_List!AI260:BM260)</f>
        <v/>
      </c>
      <c r="N259" s="8">
        <f>MAX(E259:J259)</f>
        <v/>
      </c>
      <c r="O259" s="8">
        <f>IF(Applicant_List!BP260="Y",100000,0)+IF(ISNUMBER(Applicant_List!BO260),50000-INT(Applicant_List!BO260),0)+IF(LEN(Applicant_List!L260)&gt;0,1000,0)</f>
        <v/>
      </c>
      <c r="P259" s="8">
        <f>IF(D259,"Terminal",IF(N259=1,"Blocked",IF(K259=1,"Determination Notice",IF(L259=1,"Board","Under Review"))))</f>
        <v/>
      </c>
      <c r="Q259" s="8">
        <f>IF(Applicant_List!L260="Closed","Closed",IF(OR(Applicant_List!L260="Withdrawn",Applicant_List!L260="Terminated"),Applicant_List!L260,IF(N259=1,"No Advancement",IF(K259=1,"Determination Notice Issued",IF(L259=1,"Board","Under Review")))))</f>
        <v/>
      </c>
    </row>
    <row r="260">
      <c r="A260" s="8">
        <f>Applicant_List!C261</f>
        <v/>
      </c>
      <c r="B260" s="8">
        <f>Applicant_List!E261</f>
        <v/>
      </c>
      <c r="C260" s="8">
        <f>Applicant_List!L261</f>
        <v/>
      </c>
      <c r="D260" s="8">
        <f>OR(Applicant_List!L261="Closed",Applicant_List!L261="Withdrawn",Applicant_List!L261="Terminated")</f>
        <v/>
      </c>
      <c r="E260" s="8">
        <f>IF(OR(Applicant_List!AI261="N",Applicant_List!AI261=""),1,0)</f>
        <v/>
      </c>
      <c r="F260" s="8">
        <f>IF(OR(Applicant_List!AK261="N",Applicant_List!AK261="",Applicant_List!AL261="N",Applicant_List!AL261=""),1,0)</f>
        <v/>
      </c>
      <c r="G260" s="8">
        <f>IF(OR(Applicant_List!AM261="N",Applicant_List!AM261=""),1,0)</f>
        <v/>
      </c>
      <c r="H260" s="8">
        <f>IF(OR(Applicant_List!AX261="Y",AND(Applicant_List!AS261="Y",Applicant_List!AV261&lt;&gt;"Y")),1,0)</f>
        <v/>
      </c>
      <c r="I260" s="8">
        <f>IF(OR(Applicant_List!AZ261="N",Applicant_List!AZ261="",Applicant_List!BA261="N",Applicant_List!BA261=""),1,0)</f>
        <v/>
      </c>
      <c r="J260" s="8">
        <f>IF(OR(Applicant_List!BB261="N",Applicant_List!BB261="",Applicant_List!BC261="N",Applicant_List!BE261="Y",Applicant_List!BL261="Y"),1,0)</f>
        <v/>
      </c>
      <c r="K260" s="8">
        <f>IF(AND(Applicant_List!BJ261="Y",Applicant_List!BM261="Y",Applicant_List!BK261&lt;&gt;"Y"),1,0)</f>
        <v/>
      </c>
      <c r="L260" s="8">
        <f>IF(OR(Applicant_List!BN261="Y",Applicant_List!BK261="Y"),1,0)</f>
        <v/>
      </c>
      <c r="M260" s="8">
        <f>COUNTIF(Applicant_List!AI261:BM261,"N")+COUNTBLANK(Applicant_List!AI261:BM261)</f>
        <v/>
      </c>
      <c r="N260" s="8">
        <f>MAX(E260:J260)</f>
        <v/>
      </c>
      <c r="O260" s="8">
        <f>IF(Applicant_List!BP261="Y",100000,0)+IF(ISNUMBER(Applicant_List!BO261),50000-INT(Applicant_List!BO261),0)+IF(LEN(Applicant_List!L261)&gt;0,1000,0)</f>
        <v/>
      </c>
      <c r="P260" s="8">
        <f>IF(D260,"Terminal",IF(N260=1,"Blocked",IF(K260=1,"Determination Notice",IF(L260=1,"Board","Under Review"))))</f>
        <v/>
      </c>
      <c r="Q260" s="8">
        <f>IF(Applicant_List!L261="Closed","Closed",IF(OR(Applicant_List!L261="Withdrawn",Applicant_List!L261="Terminated"),Applicant_List!L261,IF(N260=1,"No Advancement",IF(K260=1,"Determination Notice Issued",IF(L260=1,"Board","Under Review")))))</f>
        <v/>
      </c>
    </row>
    <row r="261">
      <c r="A261" s="8">
        <f>Applicant_List!C262</f>
        <v/>
      </c>
      <c r="B261" s="8">
        <f>Applicant_List!E262</f>
        <v/>
      </c>
      <c r="C261" s="8">
        <f>Applicant_List!L262</f>
        <v/>
      </c>
      <c r="D261" s="8">
        <f>OR(Applicant_List!L262="Closed",Applicant_List!L262="Withdrawn",Applicant_List!L262="Terminated")</f>
        <v/>
      </c>
      <c r="E261" s="8">
        <f>IF(OR(Applicant_List!AI262="N",Applicant_List!AI262=""),1,0)</f>
        <v/>
      </c>
      <c r="F261" s="8">
        <f>IF(OR(Applicant_List!AK262="N",Applicant_List!AK262="",Applicant_List!AL262="N",Applicant_List!AL262=""),1,0)</f>
        <v/>
      </c>
      <c r="G261" s="8">
        <f>IF(OR(Applicant_List!AM262="N",Applicant_List!AM262=""),1,0)</f>
        <v/>
      </c>
      <c r="H261" s="8">
        <f>IF(OR(Applicant_List!AX262="Y",AND(Applicant_List!AS262="Y",Applicant_List!AV262&lt;&gt;"Y")),1,0)</f>
        <v/>
      </c>
      <c r="I261" s="8">
        <f>IF(OR(Applicant_List!AZ262="N",Applicant_List!AZ262="",Applicant_List!BA262="N",Applicant_List!BA262=""),1,0)</f>
        <v/>
      </c>
      <c r="J261" s="8">
        <f>IF(OR(Applicant_List!BB262="N",Applicant_List!BB262="",Applicant_List!BC262="N",Applicant_List!BE262="Y",Applicant_List!BL262="Y"),1,0)</f>
        <v/>
      </c>
      <c r="K261" s="8">
        <f>IF(AND(Applicant_List!BJ262="Y",Applicant_List!BM262="Y",Applicant_List!BK262&lt;&gt;"Y"),1,0)</f>
        <v/>
      </c>
      <c r="L261" s="8">
        <f>IF(OR(Applicant_List!BN262="Y",Applicant_List!BK262="Y"),1,0)</f>
        <v/>
      </c>
      <c r="M261" s="8">
        <f>COUNTIF(Applicant_List!AI262:BM262,"N")+COUNTBLANK(Applicant_List!AI262:BM262)</f>
        <v/>
      </c>
      <c r="N261" s="8">
        <f>MAX(E261:J261)</f>
        <v/>
      </c>
      <c r="O261" s="8">
        <f>IF(Applicant_List!BP262="Y",100000,0)+IF(ISNUMBER(Applicant_List!BO262),50000-INT(Applicant_List!BO262),0)+IF(LEN(Applicant_List!L262)&gt;0,1000,0)</f>
        <v/>
      </c>
      <c r="P261" s="8">
        <f>IF(D261,"Terminal",IF(N261=1,"Blocked",IF(K261=1,"Determination Notice",IF(L261=1,"Board","Under Review"))))</f>
        <v/>
      </c>
      <c r="Q261" s="8">
        <f>IF(Applicant_List!L262="Closed","Closed",IF(OR(Applicant_List!L262="Withdrawn",Applicant_List!L262="Terminated"),Applicant_List!L262,IF(N261=1,"No Advancement",IF(K261=1,"Determination Notice Issued",IF(L261=1,"Board","Under Review")))))</f>
        <v/>
      </c>
    </row>
    <row r="262">
      <c r="A262" s="8">
        <f>Applicant_List!C263</f>
        <v/>
      </c>
      <c r="B262" s="8">
        <f>Applicant_List!E263</f>
        <v/>
      </c>
      <c r="C262" s="8">
        <f>Applicant_List!L263</f>
        <v/>
      </c>
      <c r="D262" s="8">
        <f>OR(Applicant_List!L263="Closed",Applicant_List!L263="Withdrawn",Applicant_List!L263="Terminated")</f>
        <v/>
      </c>
      <c r="E262" s="8">
        <f>IF(OR(Applicant_List!AI263="N",Applicant_List!AI263=""),1,0)</f>
        <v/>
      </c>
      <c r="F262" s="8">
        <f>IF(OR(Applicant_List!AK263="N",Applicant_List!AK263="",Applicant_List!AL263="N",Applicant_List!AL263=""),1,0)</f>
        <v/>
      </c>
      <c r="G262" s="8">
        <f>IF(OR(Applicant_List!AM263="N",Applicant_List!AM263=""),1,0)</f>
        <v/>
      </c>
      <c r="H262" s="8">
        <f>IF(OR(Applicant_List!AX263="Y",AND(Applicant_List!AS263="Y",Applicant_List!AV263&lt;&gt;"Y")),1,0)</f>
        <v/>
      </c>
      <c r="I262" s="8">
        <f>IF(OR(Applicant_List!AZ263="N",Applicant_List!AZ263="",Applicant_List!BA263="N",Applicant_List!BA263=""),1,0)</f>
        <v/>
      </c>
      <c r="J262" s="8">
        <f>IF(OR(Applicant_List!BB263="N",Applicant_List!BB263="",Applicant_List!BC263="N",Applicant_List!BE263="Y",Applicant_List!BL263="Y"),1,0)</f>
        <v/>
      </c>
      <c r="K262" s="8">
        <f>IF(AND(Applicant_List!BJ263="Y",Applicant_List!BM263="Y",Applicant_List!BK263&lt;&gt;"Y"),1,0)</f>
        <v/>
      </c>
      <c r="L262" s="8">
        <f>IF(OR(Applicant_List!BN263="Y",Applicant_List!BK263="Y"),1,0)</f>
        <v/>
      </c>
      <c r="M262" s="8">
        <f>COUNTIF(Applicant_List!AI263:BM263,"N")+COUNTBLANK(Applicant_List!AI263:BM263)</f>
        <v/>
      </c>
      <c r="N262" s="8">
        <f>MAX(E262:J262)</f>
        <v/>
      </c>
      <c r="O262" s="8">
        <f>IF(Applicant_List!BP263="Y",100000,0)+IF(ISNUMBER(Applicant_List!BO263),50000-INT(Applicant_List!BO263),0)+IF(LEN(Applicant_List!L263)&gt;0,1000,0)</f>
        <v/>
      </c>
      <c r="P262" s="8">
        <f>IF(D262,"Terminal",IF(N262=1,"Blocked",IF(K262=1,"Determination Notice",IF(L262=1,"Board","Under Review"))))</f>
        <v/>
      </c>
      <c r="Q262" s="8">
        <f>IF(Applicant_List!L263="Closed","Closed",IF(OR(Applicant_List!L263="Withdrawn",Applicant_List!L263="Terminated"),Applicant_List!L263,IF(N262=1,"No Advancement",IF(K262=1,"Determination Notice Issued",IF(L262=1,"Board","Under Review")))))</f>
        <v/>
      </c>
    </row>
    <row r="263">
      <c r="A263" s="8">
        <f>Applicant_List!C264</f>
        <v/>
      </c>
      <c r="B263" s="8">
        <f>Applicant_List!E264</f>
        <v/>
      </c>
      <c r="C263" s="8">
        <f>Applicant_List!L264</f>
        <v/>
      </c>
      <c r="D263" s="8">
        <f>OR(Applicant_List!L264="Closed",Applicant_List!L264="Withdrawn",Applicant_List!L264="Terminated")</f>
        <v/>
      </c>
      <c r="E263" s="8">
        <f>IF(OR(Applicant_List!AI264="N",Applicant_List!AI264=""),1,0)</f>
        <v/>
      </c>
      <c r="F263" s="8">
        <f>IF(OR(Applicant_List!AK264="N",Applicant_List!AK264="",Applicant_List!AL264="N",Applicant_List!AL264=""),1,0)</f>
        <v/>
      </c>
      <c r="G263" s="8">
        <f>IF(OR(Applicant_List!AM264="N",Applicant_List!AM264=""),1,0)</f>
        <v/>
      </c>
      <c r="H263" s="8">
        <f>IF(OR(Applicant_List!AX264="Y",AND(Applicant_List!AS264="Y",Applicant_List!AV264&lt;&gt;"Y")),1,0)</f>
        <v/>
      </c>
      <c r="I263" s="8">
        <f>IF(OR(Applicant_List!AZ264="N",Applicant_List!AZ264="",Applicant_List!BA264="N",Applicant_List!BA264=""),1,0)</f>
        <v/>
      </c>
      <c r="J263" s="8">
        <f>IF(OR(Applicant_List!BB264="N",Applicant_List!BB264="",Applicant_List!BC264="N",Applicant_List!BE264="Y",Applicant_List!BL264="Y"),1,0)</f>
        <v/>
      </c>
      <c r="K263" s="8">
        <f>IF(AND(Applicant_List!BJ264="Y",Applicant_List!BM264="Y",Applicant_List!BK264&lt;&gt;"Y"),1,0)</f>
        <v/>
      </c>
      <c r="L263" s="8">
        <f>IF(OR(Applicant_List!BN264="Y",Applicant_List!BK264="Y"),1,0)</f>
        <v/>
      </c>
      <c r="M263" s="8">
        <f>COUNTIF(Applicant_List!AI264:BM264,"N")+COUNTBLANK(Applicant_List!AI264:BM264)</f>
        <v/>
      </c>
      <c r="N263" s="8">
        <f>MAX(E263:J263)</f>
        <v/>
      </c>
      <c r="O263" s="8">
        <f>IF(Applicant_List!BP264="Y",100000,0)+IF(ISNUMBER(Applicant_List!BO264),50000-INT(Applicant_List!BO264),0)+IF(LEN(Applicant_List!L264)&gt;0,1000,0)</f>
        <v/>
      </c>
      <c r="P263" s="8">
        <f>IF(D263,"Terminal",IF(N263=1,"Blocked",IF(K263=1,"Determination Notice",IF(L263=1,"Board","Under Review"))))</f>
        <v/>
      </c>
      <c r="Q263" s="8">
        <f>IF(Applicant_List!L264="Closed","Closed",IF(OR(Applicant_List!L264="Withdrawn",Applicant_List!L264="Terminated"),Applicant_List!L264,IF(N263=1,"No Advancement",IF(K263=1,"Determination Notice Issued",IF(L263=1,"Board","Under Review")))))</f>
        <v/>
      </c>
    </row>
    <row r="264">
      <c r="A264" s="8">
        <f>Applicant_List!C265</f>
        <v/>
      </c>
      <c r="B264" s="8">
        <f>Applicant_List!E265</f>
        <v/>
      </c>
      <c r="C264" s="8">
        <f>Applicant_List!L265</f>
        <v/>
      </c>
      <c r="D264" s="8">
        <f>OR(Applicant_List!L265="Closed",Applicant_List!L265="Withdrawn",Applicant_List!L265="Terminated")</f>
        <v/>
      </c>
      <c r="E264" s="8">
        <f>IF(OR(Applicant_List!AI265="N",Applicant_List!AI265=""),1,0)</f>
        <v/>
      </c>
      <c r="F264" s="8">
        <f>IF(OR(Applicant_List!AK265="N",Applicant_List!AK265="",Applicant_List!AL265="N",Applicant_List!AL265=""),1,0)</f>
        <v/>
      </c>
      <c r="G264" s="8">
        <f>IF(OR(Applicant_List!AM265="N",Applicant_List!AM265=""),1,0)</f>
        <v/>
      </c>
      <c r="H264" s="8">
        <f>IF(OR(Applicant_List!AX265="Y",AND(Applicant_List!AS265="Y",Applicant_List!AV265&lt;&gt;"Y")),1,0)</f>
        <v/>
      </c>
      <c r="I264" s="8">
        <f>IF(OR(Applicant_List!AZ265="N",Applicant_List!AZ265="",Applicant_List!BA265="N",Applicant_List!BA265=""),1,0)</f>
        <v/>
      </c>
      <c r="J264" s="8">
        <f>IF(OR(Applicant_List!BB265="N",Applicant_List!BB265="",Applicant_List!BC265="N",Applicant_List!BE265="Y",Applicant_List!BL265="Y"),1,0)</f>
        <v/>
      </c>
      <c r="K264" s="8">
        <f>IF(AND(Applicant_List!BJ265="Y",Applicant_List!BM265="Y",Applicant_List!BK265&lt;&gt;"Y"),1,0)</f>
        <v/>
      </c>
      <c r="L264" s="8">
        <f>IF(OR(Applicant_List!BN265="Y",Applicant_List!BK265="Y"),1,0)</f>
        <v/>
      </c>
      <c r="M264" s="8">
        <f>COUNTIF(Applicant_List!AI265:BM265,"N")+COUNTBLANK(Applicant_List!AI265:BM265)</f>
        <v/>
      </c>
      <c r="N264" s="8">
        <f>MAX(E264:J264)</f>
        <v/>
      </c>
      <c r="O264" s="8">
        <f>IF(Applicant_List!BP265="Y",100000,0)+IF(ISNUMBER(Applicant_List!BO265),50000-INT(Applicant_List!BO265),0)+IF(LEN(Applicant_List!L265)&gt;0,1000,0)</f>
        <v/>
      </c>
      <c r="P264" s="8">
        <f>IF(D264,"Terminal",IF(N264=1,"Blocked",IF(K264=1,"Determination Notice",IF(L264=1,"Board","Under Review"))))</f>
        <v/>
      </c>
      <c r="Q264" s="8">
        <f>IF(Applicant_List!L265="Closed","Closed",IF(OR(Applicant_List!L265="Withdrawn",Applicant_List!L265="Terminated"),Applicant_List!L265,IF(N264=1,"No Advancement",IF(K264=1,"Determination Notice Issued",IF(L264=1,"Board","Under Review")))))</f>
        <v/>
      </c>
    </row>
    <row r="265">
      <c r="A265" s="8">
        <f>Applicant_List!C266</f>
        <v/>
      </c>
      <c r="B265" s="8">
        <f>Applicant_List!E266</f>
        <v/>
      </c>
      <c r="C265" s="8">
        <f>Applicant_List!L266</f>
        <v/>
      </c>
      <c r="D265" s="8">
        <f>OR(Applicant_List!L266="Closed",Applicant_List!L266="Withdrawn",Applicant_List!L266="Terminated")</f>
        <v/>
      </c>
      <c r="E265" s="8">
        <f>IF(OR(Applicant_List!AI266="N",Applicant_List!AI266=""),1,0)</f>
        <v/>
      </c>
      <c r="F265" s="8">
        <f>IF(OR(Applicant_List!AK266="N",Applicant_List!AK266="",Applicant_List!AL266="N",Applicant_List!AL266=""),1,0)</f>
        <v/>
      </c>
      <c r="G265" s="8">
        <f>IF(OR(Applicant_List!AM266="N",Applicant_List!AM266=""),1,0)</f>
        <v/>
      </c>
      <c r="H265" s="8">
        <f>IF(OR(Applicant_List!AX266="Y",AND(Applicant_List!AS266="Y",Applicant_List!AV266&lt;&gt;"Y")),1,0)</f>
        <v/>
      </c>
      <c r="I265" s="8">
        <f>IF(OR(Applicant_List!AZ266="N",Applicant_List!AZ266="",Applicant_List!BA266="N",Applicant_List!BA266=""),1,0)</f>
        <v/>
      </c>
      <c r="J265" s="8">
        <f>IF(OR(Applicant_List!BB266="N",Applicant_List!BB266="",Applicant_List!BC266="N",Applicant_List!BE266="Y",Applicant_List!BL266="Y"),1,0)</f>
        <v/>
      </c>
      <c r="K265" s="8">
        <f>IF(AND(Applicant_List!BJ266="Y",Applicant_List!BM266="Y",Applicant_List!BK266&lt;&gt;"Y"),1,0)</f>
        <v/>
      </c>
      <c r="L265" s="8">
        <f>IF(OR(Applicant_List!BN266="Y",Applicant_List!BK266="Y"),1,0)</f>
        <v/>
      </c>
      <c r="M265" s="8">
        <f>COUNTIF(Applicant_List!AI266:BM266,"N")+COUNTBLANK(Applicant_List!AI266:BM266)</f>
        <v/>
      </c>
      <c r="N265" s="8">
        <f>MAX(E265:J265)</f>
        <v/>
      </c>
      <c r="O265" s="8">
        <f>IF(Applicant_List!BP266="Y",100000,0)+IF(ISNUMBER(Applicant_List!BO266),50000-INT(Applicant_List!BO266),0)+IF(LEN(Applicant_List!L266)&gt;0,1000,0)</f>
        <v/>
      </c>
      <c r="P265" s="8">
        <f>IF(D265,"Terminal",IF(N265=1,"Blocked",IF(K265=1,"Determination Notice",IF(L265=1,"Board","Under Review"))))</f>
        <v/>
      </c>
      <c r="Q265" s="8">
        <f>IF(Applicant_List!L266="Closed","Closed",IF(OR(Applicant_List!L266="Withdrawn",Applicant_List!L266="Terminated"),Applicant_List!L266,IF(N265=1,"No Advancement",IF(K265=1,"Determination Notice Issued",IF(L265=1,"Board","Under Review")))))</f>
        <v/>
      </c>
    </row>
    <row r="266">
      <c r="A266" s="8">
        <f>Applicant_List!C267</f>
        <v/>
      </c>
      <c r="B266" s="8">
        <f>Applicant_List!E267</f>
        <v/>
      </c>
      <c r="C266" s="8">
        <f>Applicant_List!L267</f>
        <v/>
      </c>
      <c r="D266" s="8">
        <f>OR(Applicant_List!L267="Closed",Applicant_List!L267="Withdrawn",Applicant_List!L267="Terminated")</f>
        <v/>
      </c>
      <c r="E266" s="8">
        <f>IF(OR(Applicant_List!AI267="N",Applicant_List!AI267=""),1,0)</f>
        <v/>
      </c>
      <c r="F266" s="8">
        <f>IF(OR(Applicant_List!AK267="N",Applicant_List!AK267="",Applicant_List!AL267="N",Applicant_List!AL267=""),1,0)</f>
        <v/>
      </c>
      <c r="G266" s="8">
        <f>IF(OR(Applicant_List!AM267="N",Applicant_List!AM267=""),1,0)</f>
        <v/>
      </c>
      <c r="H266" s="8">
        <f>IF(OR(Applicant_List!AX267="Y",AND(Applicant_List!AS267="Y",Applicant_List!AV267&lt;&gt;"Y")),1,0)</f>
        <v/>
      </c>
      <c r="I266" s="8">
        <f>IF(OR(Applicant_List!AZ267="N",Applicant_List!AZ267="",Applicant_List!BA267="N",Applicant_List!BA267=""),1,0)</f>
        <v/>
      </c>
      <c r="J266" s="8">
        <f>IF(OR(Applicant_List!BB267="N",Applicant_List!BB267="",Applicant_List!BC267="N",Applicant_List!BE267="Y",Applicant_List!BL267="Y"),1,0)</f>
        <v/>
      </c>
      <c r="K266" s="8">
        <f>IF(AND(Applicant_List!BJ267="Y",Applicant_List!BM267="Y",Applicant_List!BK267&lt;&gt;"Y"),1,0)</f>
        <v/>
      </c>
      <c r="L266" s="8">
        <f>IF(OR(Applicant_List!BN267="Y",Applicant_List!BK267="Y"),1,0)</f>
        <v/>
      </c>
      <c r="M266" s="8">
        <f>COUNTIF(Applicant_List!AI267:BM267,"N")+COUNTBLANK(Applicant_List!AI267:BM267)</f>
        <v/>
      </c>
      <c r="N266" s="8">
        <f>MAX(E266:J266)</f>
        <v/>
      </c>
      <c r="O266" s="8">
        <f>IF(Applicant_List!BP267="Y",100000,0)+IF(ISNUMBER(Applicant_List!BO267),50000-INT(Applicant_List!BO267),0)+IF(LEN(Applicant_List!L267)&gt;0,1000,0)</f>
        <v/>
      </c>
      <c r="P266" s="8">
        <f>IF(D266,"Terminal",IF(N266=1,"Blocked",IF(K266=1,"Determination Notice",IF(L266=1,"Board","Under Review"))))</f>
        <v/>
      </c>
      <c r="Q266" s="8">
        <f>IF(Applicant_List!L267="Closed","Closed",IF(OR(Applicant_List!L267="Withdrawn",Applicant_List!L267="Terminated"),Applicant_List!L267,IF(N266=1,"No Advancement",IF(K266=1,"Determination Notice Issued",IF(L266=1,"Board","Under Review")))))</f>
        <v/>
      </c>
    </row>
    <row r="267">
      <c r="A267" s="8">
        <f>Applicant_List!C268</f>
        <v/>
      </c>
      <c r="B267" s="8">
        <f>Applicant_List!E268</f>
        <v/>
      </c>
      <c r="C267" s="8">
        <f>Applicant_List!L268</f>
        <v/>
      </c>
      <c r="D267" s="8">
        <f>OR(Applicant_List!L268="Closed",Applicant_List!L268="Withdrawn",Applicant_List!L268="Terminated")</f>
        <v/>
      </c>
      <c r="E267" s="8">
        <f>IF(OR(Applicant_List!AI268="N",Applicant_List!AI268=""),1,0)</f>
        <v/>
      </c>
      <c r="F267" s="8">
        <f>IF(OR(Applicant_List!AK268="N",Applicant_List!AK268="",Applicant_List!AL268="N",Applicant_List!AL268=""),1,0)</f>
        <v/>
      </c>
      <c r="G267" s="8">
        <f>IF(OR(Applicant_List!AM268="N",Applicant_List!AM268=""),1,0)</f>
        <v/>
      </c>
      <c r="H267" s="8">
        <f>IF(OR(Applicant_List!AX268="Y",AND(Applicant_List!AS268="Y",Applicant_List!AV268&lt;&gt;"Y")),1,0)</f>
        <v/>
      </c>
      <c r="I267" s="8">
        <f>IF(OR(Applicant_List!AZ268="N",Applicant_List!AZ268="",Applicant_List!BA268="N",Applicant_List!BA268=""),1,0)</f>
        <v/>
      </c>
      <c r="J267" s="8">
        <f>IF(OR(Applicant_List!BB268="N",Applicant_List!BB268="",Applicant_List!BC268="N",Applicant_List!BE268="Y",Applicant_List!BL268="Y"),1,0)</f>
        <v/>
      </c>
      <c r="K267" s="8">
        <f>IF(AND(Applicant_List!BJ268="Y",Applicant_List!BM268="Y",Applicant_List!BK268&lt;&gt;"Y"),1,0)</f>
        <v/>
      </c>
      <c r="L267" s="8">
        <f>IF(OR(Applicant_List!BN268="Y",Applicant_List!BK268="Y"),1,0)</f>
        <v/>
      </c>
      <c r="M267" s="8">
        <f>COUNTIF(Applicant_List!AI268:BM268,"N")+COUNTBLANK(Applicant_List!AI268:BM268)</f>
        <v/>
      </c>
      <c r="N267" s="8">
        <f>MAX(E267:J267)</f>
        <v/>
      </c>
      <c r="O267" s="8">
        <f>IF(Applicant_List!BP268="Y",100000,0)+IF(ISNUMBER(Applicant_List!BO268),50000-INT(Applicant_List!BO268),0)+IF(LEN(Applicant_List!L268)&gt;0,1000,0)</f>
        <v/>
      </c>
      <c r="P267" s="8">
        <f>IF(D267,"Terminal",IF(N267=1,"Blocked",IF(K267=1,"Determination Notice",IF(L267=1,"Board","Under Review"))))</f>
        <v/>
      </c>
      <c r="Q267" s="8">
        <f>IF(Applicant_List!L268="Closed","Closed",IF(OR(Applicant_List!L268="Withdrawn",Applicant_List!L268="Terminated"),Applicant_List!L268,IF(N267=1,"No Advancement",IF(K267=1,"Determination Notice Issued",IF(L267=1,"Board","Under Review")))))</f>
        <v/>
      </c>
    </row>
    <row r="268">
      <c r="A268" s="8">
        <f>Applicant_List!C269</f>
        <v/>
      </c>
      <c r="B268" s="8">
        <f>Applicant_List!E269</f>
        <v/>
      </c>
      <c r="C268" s="8">
        <f>Applicant_List!L269</f>
        <v/>
      </c>
      <c r="D268" s="8">
        <f>OR(Applicant_List!L269="Closed",Applicant_List!L269="Withdrawn",Applicant_List!L269="Terminated")</f>
        <v/>
      </c>
      <c r="E268" s="8">
        <f>IF(OR(Applicant_List!AI269="N",Applicant_List!AI269=""),1,0)</f>
        <v/>
      </c>
      <c r="F268" s="8">
        <f>IF(OR(Applicant_List!AK269="N",Applicant_List!AK269="",Applicant_List!AL269="N",Applicant_List!AL269=""),1,0)</f>
        <v/>
      </c>
      <c r="G268" s="8">
        <f>IF(OR(Applicant_List!AM269="N",Applicant_List!AM269=""),1,0)</f>
        <v/>
      </c>
      <c r="H268" s="8">
        <f>IF(OR(Applicant_List!AX269="Y",AND(Applicant_List!AS269="Y",Applicant_List!AV269&lt;&gt;"Y")),1,0)</f>
        <v/>
      </c>
      <c r="I268" s="8">
        <f>IF(OR(Applicant_List!AZ269="N",Applicant_List!AZ269="",Applicant_List!BA269="N",Applicant_List!BA269=""),1,0)</f>
        <v/>
      </c>
      <c r="J268" s="8">
        <f>IF(OR(Applicant_List!BB269="N",Applicant_List!BB269="",Applicant_List!BC269="N",Applicant_List!BE269="Y",Applicant_List!BL269="Y"),1,0)</f>
        <v/>
      </c>
      <c r="K268" s="8">
        <f>IF(AND(Applicant_List!BJ269="Y",Applicant_List!BM269="Y",Applicant_List!BK269&lt;&gt;"Y"),1,0)</f>
        <v/>
      </c>
      <c r="L268" s="8">
        <f>IF(OR(Applicant_List!BN269="Y",Applicant_List!BK269="Y"),1,0)</f>
        <v/>
      </c>
      <c r="M268" s="8">
        <f>COUNTIF(Applicant_List!AI269:BM269,"N")+COUNTBLANK(Applicant_List!AI269:BM269)</f>
        <v/>
      </c>
      <c r="N268" s="8">
        <f>MAX(E268:J268)</f>
        <v/>
      </c>
      <c r="O268" s="8">
        <f>IF(Applicant_List!BP269="Y",100000,0)+IF(ISNUMBER(Applicant_List!BO269),50000-INT(Applicant_List!BO269),0)+IF(LEN(Applicant_List!L269)&gt;0,1000,0)</f>
        <v/>
      </c>
      <c r="P268" s="8">
        <f>IF(D268,"Terminal",IF(N268=1,"Blocked",IF(K268=1,"Determination Notice",IF(L268=1,"Board","Under Review"))))</f>
        <v/>
      </c>
      <c r="Q268" s="8">
        <f>IF(Applicant_List!L269="Closed","Closed",IF(OR(Applicant_List!L269="Withdrawn",Applicant_List!L269="Terminated"),Applicant_List!L269,IF(N268=1,"No Advancement",IF(K268=1,"Determination Notice Issued",IF(L268=1,"Board","Under Review")))))</f>
        <v/>
      </c>
    </row>
    <row r="269">
      <c r="A269" s="8">
        <f>Applicant_List!C270</f>
        <v/>
      </c>
      <c r="B269" s="8">
        <f>Applicant_List!E270</f>
        <v/>
      </c>
      <c r="C269" s="8">
        <f>Applicant_List!L270</f>
        <v/>
      </c>
      <c r="D269" s="8">
        <f>OR(Applicant_List!L270="Closed",Applicant_List!L270="Withdrawn",Applicant_List!L270="Terminated")</f>
        <v/>
      </c>
      <c r="E269" s="8">
        <f>IF(OR(Applicant_List!AI270="N",Applicant_List!AI270=""),1,0)</f>
        <v/>
      </c>
      <c r="F269" s="8">
        <f>IF(OR(Applicant_List!AK270="N",Applicant_List!AK270="",Applicant_List!AL270="N",Applicant_List!AL270=""),1,0)</f>
        <v/>
      </c>
      <c r="G269" s="8">
        <f>IF(OR(Applicant_List!AM270="N",Applicant_List!AM270=""),1,0)</f>
        <v/>
      </c>
      <c r="H269" s="8">
        <f>IF(OR(Applicant_List!AX270="Y",AND(Applicant_List!AS270="Y",Applicant_List!AV270&lt;&gt;"Y")),1,0)</f>
        <v/>
      </c>
      <c r="I269" s="8">
        <f>IF(OR(Applicant_List!AZ270="N",Applicant_List!AZ270="",Applicant_List!BA270="N",Applicant_List!BA270=""),1,0)</f>
        <v/>
      </c>
      <c r="J269" s="8">
        <f>IF(OR(Applicant_List!BB270="N",Applicant_List!BB270="",Applicant_List!BC270="N",Applicant_List!BE270="Y",Applicant_List!BL270="Y"),1,0)</f>
        <v/>
      </c>
      <c r="K269" s="8">
        <f>IF(AND(Applicant_List!BJ270="Y",Applicant_List!BM270="Y",Applicant_List!BK270&lt;&gt;"Y"),1,0)</f>
        <v/>
      </c>
      <c r="L269" s="8">
        <f>IF(OR(Applicant_List!BN270="Y",Applicant_List!BK270="Y"),1,0)</f>
        <v/>
      </c>
      <c r="M269" s="8">
        <f>COUNTIF(Applicant_List!AI270:BM270,"N")+COUNTBLANK(Applicant_List!AI270:BM270)</f>
        <v/>
      </c>
      <c r="N269" s="8">
        <f>MAX(E269:J269)</f>
        <v/>
      </c>
      <c r="O269" s="8">
        <f>IF(Applicant_List!BP270="Y",100000,0)+IF(ISNUMBER(Applicant_List!BO270),50000-INT(Applicant_List!BO270),0)+IF(LEN(Applicant_List!L270)&gt;0,1000,0)</f>
        <v/>
      </c>
      <c r="P269" s="8">
        <f>IF(D269,"Terminal",IF(N269=1,"Blocked",IF(K269=1,"Determination Notice",IF(L269=1,"Board","Under Review"))))</f>
        <v/>
      </c>
      <c r="Q269" s="8">
        <f>IF(Applicant_List!L270="Closed","Closed",IF(OR(Applicant_List!L270="Withdrawn",Applicant_List!L270="Terminated"),Applicant_List!L270,IF(N269=1,"No Advancement",IF(K269=1,"Determination Notice Issued",IF(L269=1,"Board","Under Review")))))</f>
        <v/>
      </c>
    </row>
    <row r="270">
      <c r="A270" s="8">
        <f>Applicant_List!C271</f>
        <v/>
      </c>
      <c r="B270" s="8">
        <f>Applicant_List!E271</f>
        <v/>
      </c>
      <c r="C270" s="8">
        <f>Applicant_List!L271</f>
        <v/>
      </c>
      <c r="D270" s="8">
        <f>OR(Applicant_List!L271="Closed",Applicant_List!L271="Withdrawn",Applicant_List!L271="Terminated")</f>
        <v/>
      </c>
      <c r="E270" s="8">
        <f>IF(OR(Applicant_List!AI271="N",Applicant_List!AI271=""),1,0)</f>
        <v/>
      </c>
      <c r="F270" s="8">
        <f>IF(OR(Applicant_List!AK271="N",Applicant_List!AK271="",Applicant_List!AL271="N",Applicant_List!AL271=""),1,0)</f>
        <v/>
      </c>
      <c r="G270" s="8">
        <f>IF(OR(Applicant_List!AM271="N",Applicant_List!AM271=""),1,0)</f>
        <v/>
      </c>
      <c r="H270" s="8">
        <f>IF(OR(Applicant_List!AX271="Y",AND(Applicant_List!AS271="Y",Applicant_List!AV271&lt;&gt;"Y")),1,0)</f>
        <v/>
      </c>
      <c r="I270" s="8">
        <f>IF(OR(Applicant_List!AZ271="N",Applicant_List!AZ271="",Applicant_List!BA271="N",Applicant_List!BA271=""),1,0)</f>
        <v/>
      </c>
      <c r="J270" s="8">
        <f>IF(OR(Applicant_List!BB271="N",Applicant_List!BB271="",Applicant_List!BC271="N",Applicant_List!BE271="Y",Applicant_List!BL271="Y"),1,0)</f>
        <v/>
      </c>
      <c r="K270" s="8">
        <f>IF(AND(Applicant_List!BJ271="Y",Applicant_List!BM271="Y",Applicant_List!BK271&lt;&gt;"Y"),1,0)</f>
        <v/>
      </c>
      <c r="L270" s="8">
        <f>IF(OR(Applicant_List!BN271="Y",Applicant_List!BK271="Y"),1,0)</f>
        <v/>
      </c>
      <c r="M270" s="8">
        <f>COUNTIF(Applicant_List!AI271:BM271,"N")+COUNTBLANK(Applicant_List!AI271:BM271)</f>
        <v/>
      </c>
      <c r="N270" s="8">
        <f>MAX(E270:J270)</f>
        <v/>
      </c>
      <c r="O270" s="8">
        <f>IF(Applicant_List!BP271="Y",100000,0)+IF(ISNUMBER(Applicant_List!BO271),50000-INT(Applicant_List!BO271),0)+IF(LEN(Applicant_List!L271)&gt;0,1000,0)</f>
        <v/>
      </c>
      <c r="P270" s="8">
        <f>IF(D270,"Terminal",IF(N270=1,"Blocked",IF(K270=1,"Determination Notice",IF(L270=1,"Board","Under Review"))))</f>
        <v/>
      </c>
      <c r="Q270" s="8">
        <f>IF(Applicant_List!L271="Closed","Closed",IF(OR(Applicant_List!L271="Withdrawn",Applicant_List!L271="Terminated"),Applicant_List!L271,IF(N270=1,"No Advancement",IF(K270=1,"Determination Notice Issued",IF(L270=1,"Board","Under Review")))))</f>
        <v/>
      </c>
    </row>
    <row r="271">
      <c r="A271" s="8">
        <f>Applicant_List!C272</f>
        <v/>
      </c>
      <c r="B271" s="8">
        <f>Applicant_List!E272</f>
        <v/>
      </c>
      <c r="C271" s="8">
        <f>Applicant_List!L272</f>
        <v/>
      </c>
      <c r="D271" s="8">
        <f>OR(Applicant_List!L272="Closed",Applicant_List!L272="Withdrawn",Applicant_List!L272="Terminated")</f>
        <v/>
      </c>
      <c r="E271" s="8">
        <f>IF(OR(Applicant_List!AI272="N",Applicant_List!AI272=""),1,0)</f>
        <v/>
      </c>
      <c r="F271" s="8">
        <f>IF(OR(Applicant_List!AK272="N",Applicant_List!AK272="",Applicant_List!AL272="N",Applicant_List!AL272=""),1,0)</f>
        <v/>
      </c>
      <c r="G271" s="8">
        <f>IF(OR(Applicant_List!AM272="N",Applicant_List!AM272=""),1,0)</f>
        <v/>
      </c>
      <c r="H271" s="8">
        <f>IF(OR(Applicant_List!AX272="Y",AND(Applicant_List!AS272="Y",Applicant_List!AV272&lt;&gt;"Y")),1,0)</f>
        <v/>
      </c>
      <c r="I271" s="8">
        <f>IF(OR(Applicant_List!AZ272="N",Applicant_List!AZ272="",Applicant_List!BA272="N",Applicant_List!BA272=""),1,0)</f>
        <v/>
      </c>
      <c r="J271" s="8">
        <f>IF(OR(Applicant_List!BB272="N",Applicant_List!BB272="",Applicant_List!BC272="N",Applicant_List!BE272="Y",Applicant_List!BL272="Y"),1,0)</f>
        <v/>
      </c>
      <c r="K271" s="8">
        <f>IF(AND(Applicant_List!BJ272="Y",Applicant_List!BM272="Y",Applicant_List!BK272&lt;&gt;"Y"),1,0)</f>
        <v/>
      </c>
      <c r="L271" s="8">
        <f>IF(OR(Applicant_List!BN272="Y",Applicant_List!BK272="Y"),1,0)</f>
        <v/>
      </c>
      <c r="M271" s="8">
        <f>COUNTIF(Applicant_List!AI272:BM272,"N")+COUNTBLANK(Applicant_List!AI272:BM272)</f>
        <v/>
      </c>
      <c r="N271" s="8">
        <f>MAX(E271:J271)</f>
        <v/>
      </c>
      <c r="O271" s="8">
        <f>IF(Applicant_List!BP272="Y",100000,0)+IF(ISNUMBER(Applicant_List!BO272),50000-INT(Applicant_List!BO272),0)+IF(LEN(Applicant_List!L272)&gt;0,1000,0)</f>
        <v/>
      </c>
      <c r="P271" s="8">
        <f>IF(D271,"Terminal",IF(N271=1,"Blocked",IF(K271=1,"Determination Notice",IF(L271=1,"Board","Under Review"))))</f>
        <v/>
      </c>
      <c r="Q271" s="8">
        <f>IF(Applicant_List!L272="Closed","Closed",IF(OR(Applicant_List!L272="Withdrawn",Applicant_List!L272="Terminated"),Applicant_List!L272,IF(N271=1,"No Advancement",IF(K271=1,"Determination Notice Issued",IF(L271=1,"Board","Under Review")))))</f>
        <v/>
      </c>
    </row>
    <row r="272">
      <c r="A272" s="8">
        <f>Applicant_List!C273</f>
        <v/>
      </c>
      <c r="B272" s="8">
        <f>Applicant_List!E273</f>
        <v/>
      </c>
      <c r="C272" s="8">
        <f>Applicant_List!L273</f>
        <v/>
      </c>
      <c r="D272" s="8">
        <f>OR(Applicant_List!L273="Closed",Applicant_List!L273="Withdrawn",Applicant_List!L273="Terminated")</f>
        <v/>
      </c>
      <c r="E272" s="8">
        <f>IF(OR(Applicant_List!AI273="N",Applicant_List!AI273=""),1,0)</f>
        <v/>
      </c>
      <c r="F272" s="8">
        <f>IF(OR(Applicant_List!AK273="N",Applicant_List!AK273="",Applicant_List!AL273="N",Applicant_List!AL273=""),1,0)</f>
        <v/>
      </c>
      <c r="G272" s="8">
        <f>IF(OR(Applicant_List!AM273="N",Applicant_List!AM273=""),1,0)</f>
        <v/>
      </c>
      <c r="H272" s="8">
        <f>IF(OR(Applicant_List!AX273="Y",AND(Applicant_List!AS273="Y",Applicant_List!AV273&lt;&gt;"Y")),1,0)</f>
        <v/>
      </c>
      <c r="I272" s="8">
        <f>IF(OR(Applicant_List!AZ273="N",Applicant_List!AZ273="",Applicant_List!BA273="N",Applicant_List!BA273=""),1,0)</f>
        <v/>
      </c>
      <c r="J272" s="8">
        <f>IF(OR(Applicant_List!BB273="N",Applicant_List!BB273="",Applicant_List!BC273="N",Applicant_List!BE273="Y",Applicant_List!BL273="Y"),1,0)</f>
        <v/>
      </c>
      <c r="K272" s="8">
        <f>IF(AND(Applicant_List!BJ273="Y",Applicant_List!BM273="Y",Applicant_List!BK273&lt;&gt;"Y"),1,0)</f>
        <v/>
      </c>
      <c r="L272" s="8">
        <f>IF(OR(Applicant_List!BN273="Y",Applicant_List!BK273="Y"),1,0)</f>
        <v/>
      </c>
      <c r="M272" s="8">
        <f>COUNTIF(Applicant_List!AI273:BM273,"N")+COUNTBLANK(Applicant_List!AI273:BM273)</f>
        <v/>
      </c>
      <c r="N272" s="8">
        <f>MAX(E272:J272)</f>
        <v/>
      </c>
      <c r="O272" s="8">
        <f>IF(Applicant_List!BP273="Y",100000,0)+IF(ISNUMBER(Applicant_List!BO273),50000-INT(Applicant_List!BO273),0)+IF(LEN(Applicant_List!L273)&gt;0,1000,0)</f>
        <v/>
      </c>
      <c r="P272" s="8">
        <f>IF(D272,"Terminal",IF(N272=1,"Blocked",IF(K272=1,"Determination Notice",IF(L272=1,"Board","Under Review"))))</f>
        <v/>
      </c>
      <c r="Q272" s="8">
        <f>IF(Applicant_List!L273="Closed","Closed",IF(OR(Applicant_List!L273="Withdrawn",Applicant_List!L273="Terminated"),Applicant_List!L273,IF(N272=1,"No Advancement",IF(K272=1,"Determination Notice Issued",IF(L272=1,"Board","Under Review")))))</f>
        <v/>
      </c>
    </row>
    <row r="273">
      <c r="A273" s="8">
        <f>Applicant_List!C274</f>
        <v/>
      </c>
      <c r="B273" s="8">
        <f>Applicant_List!E274</f>
        <v/>
      </c>
      <c r="C273" s="8">
        <f>Applicant_List!L274</f>
        <v/>
      </c>
      <c r="D273" s="8">
        <f>OR(Applicant_List!L274="Closed",Applicant_List!L274="Withdrawn",Applicant_List!L274="Terminated")</f>
        <v/>
      </c>
      <c r="E273" s="8">
        <f>IF(OR(Applicant_List!AI274="N",Applicant_List!AI274=""),1,0)</f>
        <v/>
      </c>
      <c r="F273" s="8">
        <f>IF(OR(Applicant_List!AK274="N",Applicant_List!AK274="",Applicant_List!AL274="N",Applicant_List!AL274=""),1,0)</f>
        <v/>
      </c>
      <c r="G273" s="8">
        <f>IF(OR(Applicant_List!AM274="N",Applicant_List!AM274=""),1,0)</f>
        <v/>
      </c>
      <c r="H273" s="8">
        <f>IF(OR(Applicant_List!AX274="Y",AND(Applicant_List!AS274="Y",Applicant_List!AV274&lt;&gt;"Y")),1,0)</f>
        <v/>
      </c>
      <c r="I273" s="8">
        <f>IF(OR(Applicant_List!AZ274="N",Applicant_List!AZ274="",Applicant_List!BA274="N",Applicant_List!BA274=""),1,0)</f>
        <v/>
      </c>
      <c r="J273" s="8">
        <f>IF(OR(Applicant_List!BB274="N",Applicant_List!BB274="",Applicant_List!BC274="N",Applicant_List!BE274="Y",Applicant_List!BL274="Y"),1,0)</f>
        <v/>
      </c>
      <c r="K273" s="8">
        <f>IF(AND(Applicant_List!BJ274="Y",Applicant_List!BM274="Y",Applicant_List!BK274&lt;&gt;"Y"),1,0)</f>
        <v/>
      </c>
      <c r="L273" s="8">
        <f>IF(OR(Applicant_List!BN274="Y",Applicant_List!BK274="Y"),1,0)</f>
        <v/>
      </c>
      <c r="M273" s="8">
        <f>COUNTIF(Applicant_List!AI274:BM274,"N")+COUNTBLANK(Applicant_List!AI274:BM274)</f>
        <v/>
      </c>
      <c r="N273" s="8">
        <f>MAX(E273:J273)</f>
        <v/>
      </c>
      <c r="O273" s="8">
        <f>IF(Applicant_List!BP274="Y",100000,0)+IF(ISNUMBER(Applicant_List!BO274),50000-INT(Applicant_List!BO274),0)+IF(LEN(Applicant_List!L274)&gt;0,1000,0)</f>
        <v/>
      </c>
      <c r="P273" s="8">
        <f>IF(D273,"Terminal",IF(N273=1,"Blocked",IF(K273=1,"Determination Notice",IF(L273=1,"Board","Under Review"))))</f>
        <v/>
      </c>
      <c r="Q273" s="8">
        <f>IF(Applicant_List!L274="Closed","Closed",IF(OR(Applicant_List!L274="Withdrawn",Applicant_List!L274="Terminated"),Applicant_List!L274,IF(N273=1,"No Advancement",IF(K273=1,"Determination Notice Issued",IF(L273=1,"Board","Under Review")))))</f>
        <v/>
      </c>
    </row>
    <row r="274">
      <c r="A274" s="8">
        <f>Applicant_List!C275</f>
        <v/>
      </c>
      <c r="B274" s="8">
        <f>Applicant_List!E275</f>
        <v/>
      </c>
      <c r="C274" s="8">
        <f>Applicant_List!L275</f>
        <v/>
      </c>
      <c r="D274" s="8">
        <f>OR(Applicant_List!L275="Closed",Applicant_List!L275="Withdrawn",Applicant_List!L275="Terminated")</f>
        <v/>
      </c>
      <c r="E274" s="8">
        <f>IF(OR(Applicant_List!AI275="N",Applicant_List!AI275=""),1,0)</f>
        <v/>
      </c>
      <c r="F274" s="8">
        <f>IF(OR(Applicant_List!AK275="N",Applicant_List!AK275="",Applicant_List!AL275="N",Applicant_List!AL275=""),1,0)</f>
        <v/>
      </c>
      <c r="G274" s="8">
        <f>IF(OR(Applicant_List!AM275="N",Applicant_List!AM275=""),1,0)</f>
        <v/>
      </c>
      <c r="H274" s="8">
        <f>IF(OR(Applicant_List!AX275="Y",AND(Applicant_List!AS275="Y",Applicant_List!AV275&lt;&gt;"Y")),1,0)</f>
        <v/>
      </c>
      <c r="I274" s="8">
        <f>IF(OR(Applicant_List!AZ275="N",Applicant_List!AZ275="",Applicant_List!BA275="N",Applicant_List!BA275=""),1,0)</f>
        <v/>
      </c>
      <c r="J274" s="8">
        <f>IF(OR(Applicant_List!BB275="N",Applicant_List!BB275="",Applicant_List!BC275="N",Applicant_List!BE275="Y",Applicant_List!BL275="Y"),1,0)</f>
        <v/>
      </c>
      <c r="K274" s="8">
        <f>IF(AND(Applicant_List!BJ275="Y",Applicant_List!BM275="Y",Applicant_List!BK275&lt;&gt;"Y"),1,0)</f>
        <v/>
      </c>
      <c r="L274" s="8">
        <f>IF(OR(Applicant_List!BN275="Y",Applicant_List!BK275="Y"),1,0)</f>
        <v/>
      </c>
      <c r="M274" s="8">
        <f>COUNTIF(Applicant_List!AI275:BM275,"N")+COUNTBLANK(Applicant_List!AI275:BM275)</f>
        <v/>
      </c>
      <c r="N274" s="8">
        <f>MAX(E274:J274)</f>
        <v/>
      </c>
      <c r="O274" s="8">
        <f>IF(Applicant_List!BP275="Y",100000,0)+IF(ISNUMBER(Applicant_List!BO275),50000-INT(Applicant_List!BO275),0)+IF(LEN(Applicant_List!L275)&gt;0,1000,0)</f>
        <v/>
      </c>
      <c r="P274" s="8">
        <f>IF(D274,"Terminal",IF(N274=1,"Blocked",IF(K274=1,"Determination Notice",IF(L274=1,"Board","Under Review"))))</f>
        <v/>
      </c>
      <c r="Q274" s="8">
        <f>IF(Applicant_List!L275="Closed","Closed",IF(OR(Applicant_List!L275="Withdrawn",Applicant_List!L275="Terminated"),Applicant_List!L275,IF(N274=1,"No Advancement",IF(K274=1,"Determination Notice Issued",IF(L274=1,"Board","Under Review")))))</f>
        <v/>
      </c>
    </row>
    <row r="275">
      <c r="A275" s="8">
        <f>Applicant_List!C276</f>
        <v/>
      </c>
      <c r="B275" s="8">
        <f>Applicant_List!E276</f>
        <v/>
      </c>
      <c r="C275" s="8">
        <f>Applicant_List!L276</f>
        <v/>
      </c>
      <c r="D275" s="8">
        <f>OR(Applicant_List!L276="Closed",Applicant_List!L276="Withdrawn",Applicant_List!L276="Terminated")</f>
        <v/>
      </c>
      <c r="E275" s="8">
        <f>IF(OR(Applicant_List!AI276="N",Applicant_List!AI276=""),1,0)</f>
        <v/>
      </c>
      <c r="F275" s="8">
        <f>IF(OR(Applicant_List!AK276="N",Applicant_List!AK276="",Applicant_List!AL276="N",Applicant_List!AL276=""),1,0)</f>
        <v/>
      </c>
      <c r="G275" s="8">
        <f>IF(OR(Applicant_List!AM276="N",Applicant_List!AM276=""),1,0)</f>
        <v/>
      </c>
      <c r="H275" s="8">
        <f>IF(OR(Applicant_List!AX276="Y",AND(Applicant_List!AS276="Y",Applicant_List!AV276&lt;&gt;"Y")),1,0)</f>
        <v/>
      </c>
      <c r="I275" s="8">
        <f>IF(OR(Applicant_List!AZ276="N",Applicant_List!AZ276="",Applicant_List!BA276="N",Applicant_List!BA276=""),1,0)</f>
        <v/>
      </c>
      <c r="J275" s="8">
        <f>IF(OR(Applicant_List!BB276="N",Applicant_List!BB276="",Applicant_List!BC276="N",Applicant_List!BE276="Y",Applicant_List!BL276="Y"),1,0)</f>
        <v/>
      </c>
      <c r="K275" s="8">
        <f>IF(AND(Applicant_List!BJ276="Y",Applicant_List!BM276="Y",Applicant_List!BK276&lt;&gt;"Y"),1,0)</f>
        <v/>
      </c>
      <c r="L275" s="8">
        <f>IF(OR(Applicant_List!BN276="Y",Applicant_List!BK276="Y"),1,0)</f>
        <v/>
      </c>
      <c r="M275" s="8">
        <f>COUNTIF(Applicant_List!AI276:BM276,"N")+COUNTBLANK(Applicant_List!AI276:BM276)</f>
        <v/>
      </c>
      <c r="N275" s="8">
        <f>MAX(E275:J275)</f>
        <v/>
      </c>
      <c r="O275" s="8">
        <f>IF(Applicant_List!BP276="Y",100000,0)+IF(ISNUMBER(Applicant_List!BO276),50000-INT(Applicant_List!BO276),0)+IF(LEN(Applicant_List!L276)&gt;0,1000,0)</f>
        <v/>
      </c>
      <c r="P275" s="8">
        <f>IF(D275,"Terminal",IF(N275=1,"Blocked",IF(K275=1,"Determination Notice",IF(L275=1,"Board","Under Review"))))</f>
        <v/>
      </c>
      <c r="Q275" s="8">
        <f>IF(Applicant_List!L276="Closed","Closed",IF(OR(Applicant_List!L276="Withdrawn",Applicant_List!L276="Terminated"),Applicant_List!L276,IF(N275=1,"No Advancement",IF(K275=1,"Determination Notice Issued",IF(L275=1,"Board","Under Review")))))</f>
        <v/>
      </c>
    </row>
    <row r="276">
      <c r="A276" s="8">
        <f>Applicant_List!C277</f>
        <v/>
      </c>
      <c r="B276" s="8">
        <f>Applicant_List!E277</f>
        <v/>
      </c>
      <c r="C276" s="8">
        <f>Applicant_List!L277</f>
        <v/>
      </c>
      <c r="D276" s="8">
        <f>OR(Applicant_List!L277="Closed",Applicant_List!L277="Withdrawn",Applicant_List!L277="Terminated")</f>
        <v/>
      </c>
      <c r="E276" s="8">
        <f>IF(OR(Applicant_List!AI277="N",Applicant_List!AI277=""),1,0)</f>
        <v/>
      </c>
      <c r="F276" s="8">
        <f>IF(OR(Applicant_List!AK277="N",Applicant_List!AK277="",Applicant_List!AL277="N",Applicant_List!AL277=""),1,0)</f>
        <v/>
      </c>
      <c r="G276" s="8">
        <f>IF(OR(Applicant_List!AM277="N",Applicant_List!AM277=""),1,0)</f>
        <v/>
      </c>
      <c r="H276" s="8">
        <f>IF(OR(Applicant_List!AX277="Y",AND(Applicant_List!AS277="Y",Applicant_List!AV277&lt;&gt;"Y")),1,0)</f>
        <v/>
      </c>
      <c r="I276" s="8">
        <f>IF(OR(Applicant_List!AZ277="N",Applicant_List!AZ277="",Applicant_List!BA277="N",Applicant_List!BA277=""),1,0)</f>
        <v/>
      </c>
      <c r="J276" s="8">
        <f>IF(OR(Applicant_List!BB277="N",Applicant_List!BB277="",Applicant_List!BC277="N",Applicant_List!BE277="Y",Applicant_List!BL277="Y"),1,0)</f>
        <v/>
      </c>
      <c r="K276" s="8">
        <f>IF(AND(Applicant_List!BJ277="Y",Applicant_List!BM277="Y",Applicant_List!BK277&lt;&gt;"Y"),1,0)</f>
        <v/>
      </c>
      <c r="L276" s="8">
        <f>IF(OR(Applicant_List!BN277="Y",Applicant_List!BK277="Y"),1,0)</f>
        <v/>
      </c>
      <c r="M276" s="8">
        <f>COUNTIF(Applicant_List!AI277:BM277,"N")+COUNTBLANK(Applicant_List!AI277:BM277)</f>
        <v/>
      </c>
      <c r="N276" s="8">
        <f>MAX(E276:J276)</f>
        <v/>
      </c>
      <c r="O276" s="8">
        <f>IF(Applicant_List!BP277="Y",100000,0)+IF(ISNUMBER(Applicant_List!BO277),50000-INT(Applicant_List!BO277),0)+IF(LEN(Applicant_List!L277)&gt;0,1000,0)</f>
        <v/>
      </c>
      <c r="P276" s="8">
        <f>IF(D276,"Terminal",IF(N276=1,"Blocked",IF(K276=1,"Determination Notice",IF(L276=1,"Board","Under Review"))))</f>
        <v/>
      </c>
      <c r="Q276" s="8">
        <f>IF(Applicant_List!L277="Closed","Closed",IF(OR(Applicant_List!L277="Withdrawn",Applicant_List!L277="Terminated"),Applicant_List!L277,IF(N276=1,"No Advancement",IF(K276=1,"Determination Notice Issued",IF(L276=1,"Board","Under Review")))))</f>
        <v/>
      </c>
    </row>
    <row r="277">
      <c r="A277" s="8">
        <f>Applicant_List!C278</f>
        <v/>
      </c>
      <c r="B277" s="8">
        <f>Applicant_List!E278</f>
        <v/>
      </c>
      <c r="C277" s="8">
        <f>Applicant_List!L278</f>
        <v/>
      </c>
      <c r="D277" s="8">
        <f>OR(Applicant_List!L278="Closed",Applicant_List!L278="Withdrawn",Applicant_List!L278="Terminated")</f>
        <v/>
      </c>
      <c r="E277" s="8">
        <f>IF(OR(Applicant_List!AI278="N",Applicant_List!AI278=""),1,0)</f>
        <v/>
      </c>
      <c r="F277" s="8">
        <f>IF(OR(Applicant_List!AK278="N",Applicant_List!AK278="",Applicant_List!AL278="N",Applicant_List!AL278=""),1,0)</f>
        <v/>
      </c>
      <c r="G277" s="8">
        <f>IF(OR(Applicant_List!AM278="N",Applicant_List!AM278=""),1,0)</f>
        <v/>
      </c>
      <c r="H277" s="8">
        <f>IF(OR(Applicant_List!AX278="Y",AND(Applicant_List!AS278="Y",Applicant_List!AV278&lt;&gt;"Y")),1,0)</f>
        <v/>
      </c>
      <c r="I277" s="8">
        <f>IF(OR(Applicant_List!AZ278="N",Applicant_List!AZ278="",Applicant_List!BA278="N",Applicant_List!BA278=""),1,0)</f>
        <v/>
      </c>
      <c r="J277" s="8">
        <f>IF(OR(Applicant_List!BB278="N",Applicant_List!BB278="",Applicant_List!BC278="N",Applicant_List!BE278="Y",Applicant_List!BL278="Y"),1,0)</f>
        <v/>
      </c>
      <c r="K277" s="8">
        <f>IF(AND(Applicant_List!BJ278="Y",Applicant_List!BM278="Y",Applicant_List!BK278&lt;&gt;"Y"),1,0)</f>
        <v/>
      </c>
      <c r="L277" s="8">
        <f>IF(OR(Applicant_List!BN278="Y",Applicant_List!BK278="Y"),1,0)</f>
        <v/>
      </c>
      <c r="M277" s="8">
        <f>COUNTIF(Applicant_List!AI278:BM278,"N")+COUNTBLANK(Applicant_List!AI278:BM278)</f>
        <v/>
      </c>
      <c r="N277" s="8">
        <f>MAX(E277:J277)</f>
        <v/>
      </c>
      <c r="O277" s="8">
        <f>IF(Applicant_List!BP278="Y",100000,0)+IF(ISNUMBER(Applicant_List!BO278),50000-INT(Applicant_List!BO278),0)+IF(LEN(Applicant_List!L278)&gt;0,1000,0)</f>
        <v/>
      </c>
      <c r="P277" s="8">
        <f>IF(D277,"Terminal",IF(N277=1,"Blocked",IF(K277=1,"Determination Notice",IF(L277=1,"Board","Under Review"))))</f>
        <v/>
      </c>
      <c r="Q277" s="8">
        <f>IF(Applicant_List!L278="Closed","Closed",IF(OR(Applicant_List!L278="Withdrawn",Applicant_List!L278="Terminated"),Applicant_List!L278,IF(N277=1,"No Advancement",IF(K277=1,"Determination Notice Issued",IF(L277=1,"Board","Under Review")))))</f>
        <v/>
      </c>
    </row>
    <row r="278">
      <c r="A278" s="8">
        <f>Applicant_List!C279</f>
        <v/>
      </c>
      <c r="B278" s="8">
        <f>Applicant_List!E279</f>
        <v/>
      </c>
      <c r="C278" s="8">
        <f>Applicant_List!L279</f>
        <v/>
      </c>
      <c r="D278" s="8">
        <f>OR(Applicant_List!L279="Closed",Applicant_List!L279="Withdrawn",Applicant_List!L279="Terminated")</f>
        <v/>
      </c>
      <c r="E278" s="8">
        <f>IF(OR(Applicant_List!AI279="N",Applicant_List!AI279=""),1,0)</f>
        <v/>
      </c>
      <c r="F278" s="8">
        <f>IF(OR(Applicant_List!AK279="N",Applicant_List!AK279="",Applicant_List!AL279="N",Applicant_List!AL279=""),1,0)</f>
        <v/>
      </c>
      <c r="G278" s="8">
        <f>IF(OR(Applicant_List!AM279="N",Applicant_List!AM279=""),1,0)</f>
        <v/>
      </c>
      <c r="H278" s="8">
        <f>IF(OR(Applicant_List!AX279="Y",AND(Applicant_List!AS279="Y",Applicant_List!AV279&lt;&gt;"Y")),1,0)</f>
        <v/>
      </c>
      <c r="I278" s="8">
        <f>IF(OR(Applicant_List!AZ279="N",Applicant_List!AZ279="",Applicant_List!BA279="N",Applicant_List!BA279=""),1,0)</f>
        <v/>
      </c>
      <c r="J278" s="8">
        <f>IF(OR(Applicant_List!BB279="N",Applicant_List!BB279="",Applicant_List!BC279="N",Applicant_List!BE279="Y",Applicant_List!BL279="Y"),1,0)</f>
        <v/>
      </c>
      <c r="K278" s="8">
        <f>IF(AND(Applicant_List!BJ279="Y",Applicant_List!BM279="Y",Applicant_List!BK279&lt;&gt;"Y"),1,0)</f>
        <v/>
      </c>
      <c r="L278" s="8">
        <f>IF(OR(Applicant_List!BN279="Y",Applicant_List!BK279="Y"),1,0)</f>
        <v/>
      </c>
      <c r="M278" s="8">
        <f>COUNTIF(Applicant_List!AI279:BM279,"N")+COUNTBLANK(Applicant_List!AI279:BM279)</f>
        <v/>
      </c>
      <c r="N278" s="8">
        <f>MAX(E278:J278)</f>
        <v/>
      </c>
      <c r="O278" s="8">
        <f>IF(Applicant_List!BP279="Y",100000,0)+IF(ISNUMBER(Applicant_List!BO279),50000-INT(Applicant_List!BO279),0)+IF(LEN(Applicant_List!L279)&gt;0,1000,0)</f>
        <v/>
      </c>
      <c r="P278" s="8">
        <f>IF(D278,"Terminal",IF(N278=1,"Blocked",IF(K278=1,"Determination Notice",IF(L278=1,"Board","Under Review"))))</f>
        <v/>
      </c>
      <c r="Q278" s="8">
        <f>IF(Applicant_List!L279="Closed","Closed",IF(OR(Applicant_List!L279="Withdrawn",Applicant_List!L279="Terminated"),Applicant_List!L279,IF(N278=1,"No Advancement",IF(K278=1,"Determination Notice Issued",IF(L278=1,"Board","Under Review")))))</f>
        <v/>
      </c>
    </row>
    <row r="279">
      <c r="A279" s="8">
        <f>Applicant_List!C280</f>
        <v/>
      </c>
      <c r="B279" s="8">
        <f>Applicant_List!E280</f>
        <v/>
      </c>
      <c r="C279" s="8">
        <f>Applicant_List!L280</f>
        <v/>
      </c>
      <c r="D279" s="8">
        <f>OR(Applicant_List!L280="Closed",Applicant_List!L280="Withdrawn",Applicant_List!L280="Terminated")</f>
        <v/>
      </c>
      <c r="E279" s="8">
        <f>IF(OR(Applicant_List!AI280="N",Applicant_List!AI280=""),1,0)</f>
        <v/>
      </c>
      <c r="F279" s="8">
        <f>IF(OR(Applicant_List!AK280="N",Applicant_List!AK280="",Applicant_List!AL280="N",Applicant_List!AL280=""),1,0)</f>
        <v/>
      </c>
      <c r="G279" s="8">
        <f>IF(OR(Applicant_List!AM280="N",Applicant_List!AM280=""),1,0)</f>
        <v/>
      </c>
      <c r="H279" s="8">
        <f>IF(OR(Applicant_List!AX280="Y",AND(Applicant_List!AS280="Y",Applicant_List!AV280&lt;&gt;"Y")),1,0)</f>
        <v/>
      </c>
      <c r="I279" s="8">
        <f>IF(OR(Applicant_List!AZ280="N",Applicant_List!AZ280="",Applicant_List!BA280="N",Applicant_List!BA280=""),1,0)</f>
        <v/>
      </c>
      <c r="J279" s="8">
        <f>IF(OR(Applicant_List!BB280="N",Applicant_List!BB280="",Applicant_List!BC280="N",Applicant_List!BE280="Y",Applicant_List!BL280="Y"),1,0)</f>
        <v/>
      </c>
      <c r="K279" s="8">
        <f>IF(AND(Applicant_List!BJ280="Y",Applicant_List!BM280="Y",Applicant_List!BK280&lt;&gt;"Y"),1,0)</f>
        <v/>
      </c>
      <c r="L279" s="8">
        <f>IF(OR(Applicant_List!BN280="Y",Applicant_List!BK280="Y"),1,0)</f>
        <v/>
      </c>
      <c r="M279" s="8">
        <f>COUNTIF(Applicant_List!AI280:BM280,"N")+COUNTBLANK(Applicant_List!AI280:BM280)</f>
        <v/>
      </c>
      <c r="N279" s="8">
        <f>MAX(E279:J279)</f>
        <v/>
      </c>
      <c r="O279" s="8">
        <f>IF(Applicant_List!BP280="Y",100000,0)+IF(ISNUMBER(Applicant_List!BO280),50000-INT(Applicant_List!BO280),0)+IF(LEN(Applicant_List!L280)&gt;0,1000,0)</f>
        <v/>
      </c>
      <c r="P279" s="8">
        <f>IF(D279,"Terminal",IF(N279=1,"Blocked",IF(K279=1,"Determination Notice",IF(L279=1,"Board","Under Review"))))</f>
        <v/>
      </c>
      <c r="Q279" s="8">
        <f>IF(Applicant_List!L280="Closed","Closed",IF(OR(Applicant_List!L280="Withdrawn",Applicant_List!L280="Terminated"),Applicant_List!L280,IF(N279=1,"No Advancement",IF(K279=1,"Determination Notice Issued",IF(L279=1,"Board","Under Review")))))</f>
        <v/>
      </c>
    </row>
    <row r="280">
      <c r="A280" s="8">
        <f>Applicant_List!C281</f>
        <v/>
      </c>
      <c r="B280" s="8">
        <f>Applicant_List!E281</f>
        <v/>
      </c>
      <c r="C280" s="8">
        <f>Applicant_List!L281</f>
        <v/>
      </c>
      <c r="D280" s="8">
        <f>OR(Applicant_List!L281="Closed",Applicant_List!L281="Withdrawn",Applicant_List!L281="Terminated")</f>
        <v/>
      </c>
      <c r="E280" s="8">
        <f>IF(OR(Applicant_List!AI281="N",Applicant_List!AI281=""),1,0)</f>
        <v/>
      </c>
      <c r="F280" s="8">
        <f>IF(OR(Applicant_List!AK281="N",Applicant_List!AK281="",Applicant_List!AL281="N",Applicant_List!AL281=""),1,0)</f>
        <v/>
      </c>
      <c r="G280" s="8">
        <f>IF(OR(Applicant_List!AM281="N",Applicant_List!AM281=""),1,0)</f>
        <v/>
      </c>
      <c r="H280" s="8">
        <f>IF(OR(Applicant_List!AX281="Y",AND(Applicant_List!AS281="Y",Applicant_List!AV281&lt;&gt;"Y")),1,0)</f>
        <v/>
      </c>
      <c r="I280" s="8">
        <f>IF(OR(Applicant_List!AZ281="N",Applicant_List!AZ281="",Applicant_List!BA281="N",Applicant_List!BA281=""),1,0)</f>
        <v/>
      </c>
      <c r="J280" s="8">
        <f>IF(OR(Applicant_List!BB281="N",Applicant_List!BB281="",Applicant_List!BC281="N",Applicant_List!BE281="Y",Applicant_List!BL281="Y"),1,0)</f>
        <v/>
      </c>
      <c r="K280" s="8">
        <f>IF(AND(Applicant_List!BJ281="Y",Applicant_List!BM281="Y",Applicant_List!BK281&lt;&gt;"Y"),1,0)</f>
        <v/>
      </c>
      <c r="L280" s="8">
        <f>IF(OR(Applicant_List!BN281="Y",Applicant_List!BK281="Y"),1,0)</f>
        <v/>
      </c>
      <c r="M280" s="8">
        <f>COUNTIF(Applicant_List!AI281:BM281,"N")+COUNTBLANK(Applicant_List!AI281:BM281)</f>
        <v/>
      </c>
      <c r="N280" s="8">
        <f>MAX(E280:J280)</f>
        <v/>
      </c>
      <c r="O280" s="8">
        <f>IF(Applicant_List!BP281="Y",100000,0)+IF(ISNUMBER(Applicant_List!BO281),50000-INT(Applicant_List!BO281),0)+IF(LEN(Applicant_List!L281)&gt;0,1000,0)</f>
        <v/>
      </c>
      <c r="P280" s="8">
        <f>IF(D280,"Terminal",IF(N280=1,"Blocked",IF(K280=1,"Determination Notice",IF(L280=1,"Board","Under Review"))))</f>
        <v/>
      </c>
      <c r="Q280" s="8">
        <f>IF(Applicant_List!L281="Closed","Closed",IF(OR(Applicant_List!L281="Withdrawn",Applicant_List!L281="Terminated"),Applicant_List!L281,IF(N280=1,"No Advancement",IF(K280=1,"Determination Notice Issued",IF(L280=1,"Board","Under Review")))))</f>
        <v/>
      </c>
    </row>
    <row r="281">
      <c r="A281" s="8">
        <f>Applicant_List!C282</f>
        <v/>
      </c>
      <c r="B281" s="8">
        <f>Applicant_List!E282</f>
        <v/>
      </c>
      <c r="C281" s="8">
        <f>Applicant_List!L282</f>
        <v/>
      </c>
      <c r="D281" s="8">
        <f>OR(Applicant_List!L282="Closed",Applicant_List!L282="Withdrawn",Applicant_List!L282="Terminated")</f>
        <v/>
      </c>
      <c r="E281" s="8">
        <f>IF(OR(Applicant_List!AI282="N",Applicant_List!AI282=""),1,0)</f>
        <v/>
      </c>
      <c r="F281" s="8">
        <f>IF(OR(Applicant_List!AK282="N",Applicant_List!AK282="",Applicant_List!AL282="N",Applicant_List!AL282=""),1,0)</f>
        <v/>
      </c>
      <c r="G281" s="8">
        <f>IF(OR(Applicant_List!AM282="N",Applicant_List!AM282=""),1,0)</f>
        <v/>
      </c>
      <c r="H281" s="8">
        <f>IF(OR(Applicant_List!AX282="Y",AND(Applicant_List!AS282="Y",Applicant_List!AV282&lt;&gt;"Y")),1,0)</f>
        <v/>
      </c>
      <c r="I281" s="8">
        <f>IF(OR(Applicant_List!AZ282="N",Applicant_List!AZ282="",Applicant_List!BA282="N",Applicant_List!BA282=""),1,0)</f>
        <v/>
      </c>
      <c r="J281" s="8">
        <f>IF(OR(Applicant_List!BB282="N",Applicant_List!BB282="",Applicant_List!BC282="N",Applicant_List!BE282="Y",Applicant_List!BL282="Y"),1,0)</f>
        <v/>
      </c>
      <c r="K281" s="8">
        <f>IF(AND(Applicant_List!BJ282="Y",Applicant_List!BM282="Y",Applicant_List!BK282&lt;&gt;"Y"),1,0)</f>
        <v/>
      </c>
      <c r="L281" s="8">
        <f>IF(OR(Applicant_List!BN282="Y",Applicant_List!BK282="Y"),1,0)</f>
        <v/>
      </c>
      <c r="M281" s="8">
        <f>COUNTIF(Applicant_List!AI282:BM282,"N")+COUNTBLANK(Applicant_List!AI282:BM282)</f>
        <v/>
      </c>
      <c r="N281" s="8">
        <f>MAX(E281:J281)</f>
        <v/>
      </c>
      <c r="O281" s="8">
        <f>IF(Applicant_List!BP282="Y",100000,0)+IF(ISNUMBER(Applicant_List!BO282),50000-INT(Applicant_List!BO282),0)+IF(LEN(Applicant_List!L282)&gt;0,1000,0)</f>
        <v/>
      </c>
      <c r="P281" s="8">
        <f>IF(D281,"Terminal",IF(N281=1,"Blocked",IF(K281=1,"Determination Notice",IF(L281=1,"Board","Under Review"))))</f>
        <v/>
      </c>
      <c r="Q281" s="8">
        <f>IF(Applicant_List!L282="Closed","Closed",IF(OR(Applicant_List!L282="Withdrawn",Applicant_List!L282="Terminated"),Applicant_List!L282,IF(N281=1,"No Advancement",IF(K281=1,"Determination Notice Issued",IF(L281=1,"Board","Under Review")))))</f>
        <v/>
      </c>
    </row>
    <row r="282">
      <c r="A282" s="8">
        <f>Applicant_List!C283</f>
        <v/>
      </c>
      <c r="B282" s="8">
        <f>Applicant_List!E283</f>
        <v/>
      </c>
      <c r="C282" s="8">
        <f>Applicant_List!L283</f>
        <v/>
      </c>
      <c r="D282" s="8">
        <f>OR(Applicant_List!L283="Closed",Applicant_List!L283="Withdrawn",Applicant_List!L283="Terminated")</f>
        <v/>
      </c>
      <c r="E282" s="8">
        <f>IF(OR(Applicant_List!AI283="N",Applicant_List!AI283=""),1,0)</f>
        <v/>
      </c>
      <c r="F282" s="8">
        <f>IF(OR(Applicant_List!AK283="N",Applicant_List!AK283="",Applicant_List!AL283="N",Applicant_List!AL283=""),1,0)</f>
        <v/>
      </c>
      <c r="G282" s="8">
        <f>IF(OR(Applicant_List!AM283="N",Applicant_List!AM283=""),1,0)</f>
        <v/>
      </c>
      <c r="H282" s="8">
        <f>IF(OR(Applicant_List!AX283="Y",AND(Applicant_List!AS283="Y",Applicant_List!AV283&lt;&gt;"Y")),1,0)</f>
        <v/>
      </c>
      <c r="I282" s="8">
        <f>IF(OR(Applicant_List!AZ283="N",Applicant_List!AZ283="",Applicant_List!BA283="N",Applicant_List!BA283=""),1,0)</f>
        <v/>
      </c>
      <c r="J282" s="8">
        <f>IF(OR(Applicant_List!BB283="N",Applicant_List!BB283="",Applicant_List!BC283="N",Applicant_List!BE283="Y",Applicant_List!BL283="Y"),1,0)</f>
        <v/>
      </c>
      <c r="K282" s="8">
        <f>IF(AND(Applicant_List!BJ283="Y",Applicant_List!BM283="Y",Applicant_List!BK283&lt;&gt;"Y"),1,0)</f>
        <v/>
      </c>
      <c r="L282" s="8">
        <f>IF(OR(Applicant_List!BN283="Y",Applicant_List!BK283="Y"),1,0)</f>
        <v/>
      </c>
      <c r="M282" s="8">
        <f>COUNTIF(Applicant_List!AI283:BM283,"N")+COUNTBLANK(Applicant_List!AI283:BM283)</f>
        <v/>
      </c>
      <c r="N282" s="8">
        <f>MAX(E282:J282)</f>
        <v/>
      </c>
      <c r="O282" s="8">
        <f>IF(Applicant_List!BP283="Y",100000,0)+IF(ISNUMBER(Applicant_List!BO283),50000-INT(Applicant_List!BO283),0)+IF(LEN(Applicant_List!L283)&gt;0,1000,0)</f>
        <v/>
      </c>
      <c r="P282" s="8">
        <f>IF(D282,"Terminal",IF(N282=1,"Blocked",IF(K282=1,"Determination Notice",IF(L282=1,"Board","Under Review"))))</f>
        <v/>
      </c>
      <c r="Q282" s="8">
        <f>IF(Applicant_List!L283="Closed","Closed",IF(OR(Applicant_List!L283="Withdrawn",Applicant_List!L283="Terminated"),Applicant_List!L283,IF(N282=1,"No Advancement",IF(K282=1,"Determination Notice Issued",IF(L282=1,"Board","Under Review")))))</f>
        <v/>
      </c>
    </row>
    <row r="283">
      <c r="A283" s="8">
        <f>Applicant_List!C284</f>
        <v/>
      </c>
      <c r="B283" s="8">
        <f>Applicant_List!E284</f>
        <v/>
      </c>
      <c r="C283" s="8">
        <f>Applicant_List!L284</f>
        <v/>
      </c>
      <c r="D283" s="8">
        <f>OR(Applicant_List!L284="Closed",Applicant_List!L284="Withdrawn",Applicant_List!L284="Terminated")</f>
        <v/>
      </c>
      <c r="E283" s="8">
        <f>IF(OR(Applicant_List!AI284="N",Applicant_List!AI284=""),1,0)</f>
        <v/>
      </c>
      <c r="F283" s="8">
        <f>IF(OR(Applicant_List!AK284="N",Applicant_List!AK284="",Applicant_List!AL284="N",Applicant_List!AL284=""),1,0)</f>
        <v/>
      </c>
      <c r="G283" s="8">
        <f>IF(OR(Applicant_List!AM284="N",Applicant_List!AM284=""),1,0)</f>
        <v/>
      </c>
      <c r="H283" s="8">
        <f>IF(OR(Applicant_List!AX284="Y",AND(Applicant_List!AS284="Y",Applicant_List!AV284&lt;&gt;"Y")),1,0)</f>
        <v/>
      </c>
      <c r="I283" s="8">
        <f>IF(OR(Applicant_List!AZ284="N",Applicant_List!AZ284="",Applicant_List!BA284="N",Applicant_List!BA284=""),1,0)</f>
        <v/>
      </c>
      <c r="J283" s="8">
        <f>IF(OR(Applicant_List!BB284="N",Applicant_List!BB284="",Applicant_List!BC284="N",Applicant_List!BE284="Y",Applicant_List!BL284="Y"),1,0)</f>
        <v/>
      </c>
      <c r="K283" s="8">
        <f>IF(AND(Applicant_List!BJ284="Y",Applicant_List!BM284="Y",Applicant_List!BK284&lt;&gt;"Y"),1,0)</f>
        <v/>
      </c>
      <c r="L283" s="8">
        <f>IF(OR(Applicant_List!BN284="Y",Applicant_List!BK284="Y"),1,0)</f>
        <v/>
      </c>
      <c r="M283" s="8">
        <f>COUNTIF(Applicant_List!AI284:BM284,"N")+COUNTBLANK(Applicant_List!AI284:BM284)</f>
        <v/>
      </c>
      <c r="N283" s="8">
        <f>MAX(E283:J283)</f>
        <v/>
      </c>
      <c r="O283" s="8">
        <f>IF(Applicant_List!BP284="Y",100000,0)+IF(ISNUMBER(Applicant_List!BO284),50000-INT(Applicant_List!BO284),0)+IF(LEN(Applicant_List!L284)&gt;0,1000,0)</f>
        <v/>
      </c>
      <c r="P283" s="8">
        <f>IF(D283,"Terminal",IF(N283=1,"Blocked",IF(K283=1,"Determination Notice",IF(L283=1,"Board","Under Review"))))</f>
        <v/>
      </c>
      <c r="Q283" s="8">
        <f>IF(Applicant_List!L284="Closed","Closed",IF(OR(Applicant_List!L284="Withdrawn",Applicant_List!L284="Terminated"),Applicant_List!L284,IF(N283=1,"No Advancement",IF(K283=1,"Determination Notice Issued",IF(L283=1,"Board","Under Review")))))</f>
        <v/>
      </c>
    </row>
    <row r="284">
      <c r="A284" s="8">
        <f>Applicant_List!C285</f>
        <v/>
      </c>
      <c r="B284" s="8">
        <f>Applicant_List!E285</f>
        <v/>
      </c>
      <c r="C284" s="8">
        <f>Applicant_List!L285</f>
        <v/>
      </c>
      <c r="D284" s="8">
        <f>OR(Applicant_List!L285="Closed",Applicant_List!L285="Withdrawn",Applicant_List!L285="Terminated")</f>
        <v/>
      </c>
      <c r="E284" s="8">
        <f>IF(OR(Applicant_List!AI285="N",Applicant_List!AI285=""),1,0)</f>
        <v/>
      </c>
      <c r="F284" s="8">
        <f>IF(OR(Applicant_List!AK285="N",Applicant_List!AK285="",Applicant_List!AL285="N",Applicant_List!AL285=""),1,0)</f>
        <v/>
      </c>
      <c r="G284" s="8">
        <f>IF(OR(Applicant_List!AM285="N",Applicant_List!AM285=""),1,0)</f>
        <v/>
      </c>
      <c r="H284" s="8">
        <f>IF(OR(Applicant_List!AX285="Y",AND(Applicant_List!AS285="Y",Applicant_List!AV285&lt;&gt;"Y")),1,0)</f>
        <v/>
      </c>
      <c r="I284" s="8">
        <f>IF(OR(Applicant_List!AZ285="N",Applicant_List!AZ285="",Applicant_List!BA285="N",Applicant_List!BA285=""),1,0)</f>
        <v/>
      </c>
      <c r="J284" s="8">
        <f>IF(OR(Applicant_List!BB285="N",Applicant_List!BB285="",Applicant_List!BC285="N",Applicant_List!BE285="Y",Applicant_List!BL285="Y"),1,0)</f>
        <v/>
      </c>
      <c r="K284" s="8">
        <f>IF(AND(Applicant_List!BJ285="Y",Applicant_List!BM285="Y",Applicant_List!BK285&lt;&gt;"Y"),1,0)</f>
        <v/>
      </c>
      <c r="L284" s="8">
        <f>IF(OR(Applicant_List!BN285="Y",Applicant_List!BK285="Y"),1,0)</f>
        <v/>
      </c>
      <c r="M284" s="8">
        <f>COUNTIF(Applicant_List!AI285:BM285,"N")+COUNTBLANK(Applicant_List!AI285:BM285)</f>
        <v/>
      </c>
      <c r="N284" s="8">
        <f>MAX(E284:J284)</f>
        <v/>
      </c>
      <c r="O284" s="8">
        <f>IF(Applicant_List!BP285="Y",100000,0)+IF(ISNUMBER(Applicant_List!BO285),50000-INT(Applicant_List!BO285),0)+IF(LEN(Applicant_List!L285)&gt;0,1000,0)</f>
        <v/>
      </c>
      <c r="P284" s="8">
        <f>IF(D284,"Terminal",IF(N284=1,"Blocked",IF(K284=1,"Determination Notice",IF(L284=1,"Board","Under Review"))))</f>
        <v/>
      </c>
      <c r="Q284" s="8">
        <f>IF(Applicant_List!L285="Closed","Closed",IF(OR(Applicant_List!L285="Withdrawn",Applicant_List!L285="Terminated"),Applicant_List!L285,IF(N284=1,"No Advancement",IF(K284=1,"Determination Notice Issued",IF(L284=1,"Board","Under Review")))))</f>
        <v/>
      </c>
    </row>
    <row r="285">
      <c r="A285" s="8">
        <f>Applicant_List!C286</f>
        <v/>
      </c>
      <c r="B285" s="8">
        <f>Applicant_List!E286</f>
        <v/>
      </c>
      <c r="C285" s="8">
        <f>Applicant_List!L286</f>
        <v/>
      </c>
      <c r="D285" s="8">
        <f>OR(Applicant_List!L286="Closed",Applicant_List!L286="Withdrawn",Applicant_List!L286="Terminated")</f>
        <v/>
      </c>
      <c r="E285" s="8">
        <f>IF(OR(Applicant_List!AI286="N",Applicant_List!AI286=""),1,0)</f>
        <v/>
      </c>
      <c r="F285" s="8">
        <f>IF(OR(Applicant_List!AK286="N",Applicant_List!AK286="",Applicant_List!AL286="N",Applicant_List!AL286=""),1,0)</f>
        <v/>
      </c>
      <c r="G285" s="8">
        <f>IF(OR(Applicant_List!AM286="N",Applicant_List!AM286=""),1,0)</f>
        <v/>
      </c>
      <c r="H285" s="8">
        <f>IF(OR(Applicant_List!AX286="Y",AND(Applicant_List!AS286="Y",Applicant_List!AV286&lt;&gt;"Y")),1,0)</f>
        <v/>
      </c>
      <c r="I285" s="8">
        <f>IF(OR(Applicant_List!AZ286="N",Applicant_List!AZ286="",Applicant_List!BA286="N",Applicant_List!BA286=""),1,0)</f>
        <v/>
      </c>
      <c r="J285" s="8">
        <f>IF(OR(Applicant_List!BB286="N",Applicant_List!BB286="",Applicant_List!BC286="N",Applicant_List!BE286="Y",Applicant_List!BL286="Y"),1,0)</f>
        <v/>
      </c>
      <c r="K285" s="8">
        <f>IF(AND(Applicant_List!BJ286="Y",Applicant_List!BM286="Y",Applicant_List!BK286&lt;&gt;"Y"),1,0)</f>
        <v/>
      </c>
      <c r="L285" s="8">
        <f>IF(OR(Applicant_List!BN286="Y",Applicant_List!BK286="Y"),1,0)</f>
        <v/>
      </c>
      <c r="M285" s="8">
        <f>COUNTIF(Applicant_List!AI286:BM286,"N")+COUNTBLANK(Applicant_List!AI286:BM286)</f>
        <v/>
      </c>
      <c r="N285" s="8">
        <f>MAX(E285:J285)</f>
        <v/>
      </c>
      <c r="O285" s="8">
        <f>IF(Applicant_List!BP286="Y",100000,0)+IF(ISNUMBER(Applicant_List!BO286),50000-INT(Applicant_List!BO286),0)+IF(LEN(Applicant_List!L286)&gt;0,1000,0)</f>
        <v/>
      </c>
      <c r="P285" s="8">
        <f>IF(D285,"Terminal",IF(N285=1,"Blocked",IF(K285=1,"Determination Notice",IF(L285=1,"Board","Under Review"))))</f>
        <v/>
      </c>
      <c r="Q285" s="8">
        <f>IF(Applicant_List!L286="Closed","Closed",IF(OR(Applicant_List!L286="Withdrawn",Applicant_List!L286="Terminated"),Applicant_List!L286,IF(N285=1,"No Advancement",IF(K285=1,"Determination Notice Issued",IF(L285=1,"Board","Under Review")))))</f>
        <v/>
      </c>
    </row>
    <row r="286">
      <c r="A286" s="8">
        <f>Applicant_List!C287</f>
        <v/>
      </c>
      <c r="B286" s="8">
        <f>Applicant_List!E287</f>
        <v/>
      </c>
      <c r="C286" s="8">
        <f>Applicant_List!L287</f>
        <v/>
      </c>
      <c r="D286" s="8">
        <f>OR(Applicant_List!L287="Closed",Applicant_List!L287="Withdrawn",Applicant_List!L287="Terminated")</f>
        <v/>
      </c>
      <c r="E286" s="8">
        <f>IF(OR(Applicant_List!AI287="N",Applicant_List!AI287=""),1,0)</f>
        <v/>
      </c>
      <c r="F286" s="8">
        <f>IF(OR(Applicant_List!AK287="N",Applicant_List!AK287="",Applicant_List!AL287="N",Applicant_List!AL287=""),1,0)</f>
        <v/>
      </c>
      <c r="G286" s="8">
        <f>IF(OR(Applicant_List!AM287="N",Applicant_List!AM287=""),1,0)</f>
        <v/>
      </c>
      <c r="H286" s="8">
        <f>IF(OR(Applicant_List!AX287="Y",AND(Applicant_List!AS287="Y",Applicant_List!AV287&lt;&gt;"Y")),1,0)</f>
        <v/>
      </c>
      <c r="I286" s="8">
        <f>IF(OR(Applicant_List!AZ287="N",Applicant_List!AZ287="",Applicant_List!BA287="N",Applicant_List!BA287=""),1,0)</f>
        <v/>
      </c>
      <c r="J286" s="8">
        <f>IF(OR(Applicant_List!BB287="N",Applicant_List!BB287="",Applicant_List!BC287="N",Applicant_List!BE287="Y",Applicant_List!BL287="Y"),1,0)</f>
        <v/>
      </c>
      <c r="K286" s="8">
        <f>IF(AND(Applicant_List!BJ287="Y",Applicant_List!BM287="Y",Applicant_List!BK287&lt;&gt;"Y"),1,0)</f>
        <v/>
      </c>
      <c r="L286" s="8">
        <f>IF(OR(Applicant_List!BN287="Y",Applicant_List!BK287="Y"),1,0)</f>
        <v/>
      </c>
      <c r="M286" s="8">
        <f>COUNTIF(Applicant_List!AI287:BM287,"N")+COUNTBLANK(Applicant_List!AI287:BM287)</f>
        <v/>
      </c>
      <c r="N286" s="8">
        <f>MAX(E286:J286)</f>
        <v/>
      </c>
      <c r="O286" s="8">
        <f>IF(Applicant_List!BP287="Y",100000,0)+IF(ISNUMBER(Applicant_List!BO287),50000-INT(Applicant_List!BO287),0)+IF(LEN(Applicant_List!L287)&gt;0,1000,0)</f>
        <v/>
      </c>
      <c r="P286" s="8">
        <f>IF(D286,"Terminal",IF(N286=1,"Blocked",IF(K286=1,"Determination Notice",IF(L286=1,"Board","Under Review"))))</f>
        <v/>
      </c>
      <c r="Q286" s="8">
        <f>IF(Applicant_List!L287="Closed","Closed",IF(OR(Applicant_List!L287="Withdrawn",Applicant_List!L287="Terminated"),Applicant_List!L287,IF(N286=1,"No Advancement",IF(K286=1,"Determination Notice Issued",IF(L286=1,"Board","Under Review")))))</f>
        <v/>
      </c>
    </row>
    <row r="287">
      <c r="A287" s="8">
        <f>Applicant_List!C288</f>
        <v/>
      </c>
      <c r="B287" s="8">
        <f>Applicant_List!E288</f>
        <v/>
      </c>
      <c r="C287" s="8">
        <f>Applicant_List!L288</f>
        <v/>
      </c>
      <c r="D287" s="8">
        <f>OR(Applicant_List!L288="Closed",Applicant_List!L288="Withdrawn",Applicant_List!L288="Terminated")</f>
        <v/>
      </c>
      <c r="E287" s="8">
        <f>IF(OR(Applicant_List!AI288="N",Applicant_List!AI288=""),1,0)</f>
        <v/>
      </c>
      <c r="F287" s="8">
        <f>IF(OR(Applicant_List!AK288="N",Applicant_List!AK288="",Applicant_List!AL288="N",Applicant_List!AL288=""),1,0)</f>
        <v/>
      </c>
      <c r="G287" s="8">
        <f>IF(OR(Applicant_List!AM288="N",Applicant_List!AM288=""),1,0)</f>
        <v/>
      </c>
      <c r="H287" s="8">
        <f>IF(OR(Applicant_List!AX288="Y",AND(Applicant_List!AS288="Y",Applicant_List!AV288&lt;&gt;"Y")),1,0)</f>
        <v/>
      </c>
      <c r="I287" s="8">
        <f>IF(OR(Applicant_List!AZ288="N",Applicant_List!AZ288="",Applicant_List!BA288="N",Applicant_List!BA288=""),1,0)</f>
        <v/>
      </c>
      <c r="J287" s="8">
        <f>IF(OR(Applicant_List!BB288="N",Applicant_List!BB288="",Applicant_List!BC288="N",Applicant_List!BE288="Y",Applicant_List!BL288="Y"),1,0)</f>
        <v/>
      </c>
      <c r="K287" s="8">
        <f>IF(AND(Applicant_List!BJ288="Y",Applicant_List!BM288="Y",Applicant_List!BK288&lt;&gt;"Y"),1,0)</f>
        <v/>
      </c>
      <c r="L287" s="8">
        <f>IF(OR(Applicant_List!BN288="Y",Applicant_List!BK288="Y"),1,0)</f>
        <v/>
      </c>
      <c r="M287" s="8">
        <f>COUNTIF(Applicant_List!AI288:BM288,"N")+COUNTBLANK(Applicant_List!AI288:BM288)</f>
        <v/>
      </c>
      <c r="N287" s="8">
        <f>MAX(E287:J287)</f>
        <v/>
      </c>
      <c r="O287" s="8">
        <f>IF(Applicant_List!BP288="Y",100000,0)+IF(ISNUMBER(Applicant_List!BO288),50000-INT(Applicant_List!BO288),0)+IF(LEN(Applicant_List!L288)&gt;0,1000,0)</f>
        <v/>
      </c>
      <c r="P287" s="8">
        <f>IF(D287,"Terminal",IF(N287=1,"Blocked",IF(K287=1,"Determination Notice",IF(L287=1,"Board","Under Review"))))</f>
        <v/>
      </c>
      <c r="Q287" s="8">
        <f>IF(Applicant_List!L288="Closed","Closed",IF(OR(Applicant_List!L288="Withdrawn",Applicant_List!L288="Terminated"),Applicant_List!L288,IF(N287=1,"No Advancement",IF(K287=1,"Determination Notice Issued",IF(L287=1,"Board","Under Review")))))</f>
        <v/>
      </c>
    </row>
    <row r="288">
      <c r="A288" s="8">
        <f>Applicant_List!C289</f>
        <v/>
      </c>
      <c r="B288" s="8">
        <f>Applicant_List!E289</f>
        <v/>
      </c>
      <c r="C288" s="8">
        <f>Applicant_List!L289</f>
        <v/>
      </c>
      <c r="D288" s="8">
        <f>OR(Applicant_List!L289="Closed",Applicant_List!L289="Withdrawn",Applicant_List!L289="Terminated")</f>
        <v/>
      </c>
      <c r="E288" s="8">
        <f>IF(OR(Applicant_List!AI289="N",Applicant_List!AI289=""),1,0)</f>
        <v/>
      </c>
      <c r="F288" s="8">
        <f>IF(OR(Applicant_List!AK289="N",Applicant_List!AK289="",Applicant_List!AL289="N",Applicant_List!AL289=""),1,0)</f>
        <v/>
      </c>
      <c r="G288" s="8">
        <f>IF(OR(Applicant_List!AM289="N",Applicant_List!AM289=""),1,0)</f>
        <v/>
      </c>
      <c r="H288" s="8">
        <f>IF(OR(Applicant_List!AX289="Y",AND(Applicant_List!AS289="Y",Applicant_List!AV289&lt;&gt;"Y")),1,0)</f>
        <v/>
      </c>
      <c r="I288" s="8">
        <f>IF(OR(Applicant_List!AZ289="N",Applicant_List!AZ289="",Applicant_List!BA289="N",Applicant_List!BA289=""),1,0)</f>
        <v/>
      </c>
      <c r="J288" s="8">
        <f>IF(OR(Applicant_List!BB289="N",Applicant_List!BB289="",Applicant_List!BC289="N",Applicant_List!BE289="Y",Applicant_List!BL289="Y"),1,0)</f>
        <v/>
      </c>
      <c r="K288" s="8">
        <f>IF(AND(Applicant_List!BJ289="Y",Applicant_List!BM289="Y",Applicant_List!BK289&lt;&gt;"Y"),1,0)</f>
        <v/>
      </c>
      <c r="L288" s="8">
        <f>IF(OR(Applicant_List!BN289="Y",Applicant_List!BK289="Y"),1,0)</f>
        <v/>
      </c>
      <c r="M288" s="8">
        <f>COUNTIF(Applicant_List!AI289:BM289,"N")+COUNTBLANK(Applicant_List!AI289:BM289)</f>
        <v/>
      </c>
      <c r="N288" s="8">
        <f>MAX(E288:J288)</f>
        <v/>
      </c>
      <c r="O288" s="8">
        <f>IF(Applicant_List!BP289="Y",100000,0)+IF(ISNUMBER(Applicant_List!BO289),50000-INT(Applicant_List!BO289),0)+IF(LEN(Applicant_List!L289)&gt;0,1000,0)</f>
        <v/>
      </c>
      <c r="P288" s="8">
        <f>IF(D288,"Terminal",IF(N288=1,"Blocked",IF(K288=1,"Determination Notice",IF(L288=1,"Board","Under Review"))))</f>
        <v/>
      </c>
      <c r="Q288" s="8">
        <f>IF(Applicant_List!L289="Closed","Closed",IF(OR(Applicant_List!L289="Withdrawn",Applicant_List!L289="Terminated"),Applicant_List!L289,IF(N288=1,"No Advancement",IF(K288=1,"Determination Notice Issued",IF(L288=1,"Board","Under Review")))))</f>
        <v/>
      </c>
    </row>
    <row r="289">
      <c r="A289" s="8">
        <f>Applicant_List!C290</f>
        <v/>
      </c>
      <c r="B289" s="8">
        <f>Applicant_List!E290</f>
        <v/>
      </c>
      <c r="C289" s="8">
        <f>Applicant_List!L290</f>
        <v/>
      </c>
      <c r="D289" s="8">
        <f>OR(Applicant_List!L290="Closed",Applicant_List!L290="Withdrawn",Applicant_List!L290="Terminated")</f>
        <v/>
      </c>
      <c r="E289" s="8">
        <f>IF(OR(Applicant_List!AI290="N",Applicant_List!AI290=""),1,0)</f>
        <v/>
      </c>
      <c r="F289" s="8">
        <f>IF(OR(Applicant_List!AK290="N",Applicant_List!AK290="",Applicant_List!AL290="N",Applicant_List!AL290=""),1,0)</f>
        <v/>
      </c>
      <c r="G289" s="8">
        <f>IF(OR(Applicant_List!AM290="N",Applicant_List!AM290=""),1,0)</f>
        <v/>
      </c>
      <c r="H289" s="8">
        <f>IF(OR(Applicant_List!AX290="Y",AND(Applicant_List!AS290="Y",Applicant_List!AV290&lt;&gt;"Y")),1,0)</f>
        <v/>
      </c>
      <c r="I289" s="8">
        <f>IF(OR(Applicant_List!AZ290="N",Applicant_List!AZ290="",Applicant_List!BA290="N",Applicant_List!BA290=""),1,0)</f>
        <v/>
      </c>
      <c r="J289" s="8">
        <f>IF(OR(Applicant_List!BB290="N",Applicant_List!BB290="",Applicant_List!BC290="N",Applicant_List!BE290="Y",Applicant_List!BL290="Y"),1,0)</f>
        <v/>
      </c>
      <c r="K289" s="8">
        <f>IF(AND(Applicant_List!BJ290="Y",Applicant_List!BM290="Y",Applicant_List!BK290&lt;&gt;"Y"),1,0)</f>
        <v/>
      </c>
      <c r="L289" s="8">
        <f>IF(OR(Applicant_List!BN290="Y",Applicant_List!BK290="Y"),1,0)</f>
        <v/>
      </c>
      <c r="M289" s="8">
        <f>COUNTIF(Applicant_List!AI290:BM290,"N")+COUNTBLANK(Applicant_List!AI290:BM290)</f>
        <v/>
      </c>
      <c r="N289" s="8">
        <f>MAX(E289:J289)</f>
        <v/>
      </c>
      <c r="O289" s="8">
        <f>IF(Applicant_List!BP290="Y",100000,0)+IF(ISNUMBER(Applicant_List!BO290),50000-INT(Applicant_List!BO290),0)+IF(LEN(Applicant_List!L290)&gt;0,1000,0)</f>
        <v/>
      </c>
      <c r="P289" s="8">
        <f>IF(D289,"Terminal",IF(N289=1,"Blocked",IF(K289=1,"Determination Notice",IF(L289=1,"Board","Under Review"))))</f>
        <v/>
      </c>
      <c r="Q289" s="8">
        <f>IF(Applicant_List!L290="Closed","Closed",IF(OR(Applicant_List!L290="Withdrawn",Applicant_List!L290="Terminated"),Applicant_List!L290,IF(N289=1,"No Advancement",IF(K289=1,"Determination Notice Issued",IF(L289=1,"Board","Under Review")))))</f>
        <v/>
      </c>
    </row>
    <row r="290">
      <c r="A290" s="8">
        <f>Applicant_List!C291</f>
        <v/>
      </c>
      <c r="B290" s="8">
        <f>Applicant_List!E291</f>
        <v/>
      </c>
      <c r="C290" s="8">
        <f>Applicant_List!L291</f>
        <v/>
      </c>
      <c r="D290" s="8">
        <f>OR(Applicant_List!L291="Closed",Applicant_List!L291="Withdrawn",Applicant_List!L291="Terminated")</f>
        <v/>
      </c>
      <c r="E290" s="8">
        <f>IF(OR(Applicant_List!AI291="N",Applicant_List!AI291=""),1,0)</f>
        <v/>
      </c>
      <c r="F290" s="8">
        <f>IF(OR(Applicant_List!AK291="N",Applicant_List!AK291="",Applicant_List!AL291="N",Applicant_List!AL291=""),1,0)</f>
        <v/>
      </c>
      <c r="G290" s="8">
        <f>IF(OR(Applicant_List!AM291="N",Applicant_List!AM291=""),1,0)</f>
        <v/>
      </c>
      <c r="H290" s="8">
        <f>IF(OR(Applicant_List!AX291="Y",AND(Applicant_List!AS291="Y",Applicant_List!AV291&lt;&gt;"Y")),1,0)</f>
        <v/>
      </c>
      <c r="I290" s="8">
        <f>IF(OR(Applicant_List!AZ291="N",Applicant_List!AZ291="",Applicant_List!BA291="N",Applicant_List!BA291=""),1,0)</f>
        <v/>
      </c>
      <c r="J290" s="8">
        <f>IF(OR(Applicant_List!BB291="N",Applicant_List!BB291="",Applicant_List!BC291="N",Applicant_List!BE291="Y",Applicant_List!BL291="Y"),1,0)</f>
        <v/>
      </c>
      <c r="K290" s="8">
        <f>IF(AND(Applicant_List!BJ291="Y",Applicant_List!BM291="Y",Applicant_List!BK291&lt;&gt;"Y"),1,0)</f>
        <v/>
      </c>
      <c r="L290" s="8">
        <f>IF(OR(Applicant_List!BN291="Y",Applicant_List!BK291="Y"),1,0)</f>
        <v/>
      </c>
      <c r="M290" s="8">
        <f>COUNTIF(Applicant_List!AI291:BM291,"N")+COUNTBLANK(Applicant_List!AI291:BM291)</f>
        <v/>
      </c>
      <c r="N290" s="8">
        <f>MAX(E290:J290)</f>
        <v/>
      </c>
      <c r="O290" s="8">
        <f>IF(Applicant_List!BP291="Y",100000,0)+IF(ISNUMBER(Applicant_List!BO291),50000-INT(Applicant_List!BO291),0)+IF(LEN(Applicant_List!L291)&gt;0,1000,0)</f>
        <v/>
      </c>
      <c r="P290" s="8">
        <f>IF(D290,"Terminal",IF(N290=1,"Blocked",IF(K290=1,"Determination Notice",IF(L290=1,"Board","Under Review"))))</f>
        <v/>
      </c>
      <c r="Q290" s="8">
        <f>IF(Applicant_List!L291="Closed","Closed",IF(OR(Applicant_List!L291="Withdrawn",Applicant_List!L291="Terminated"),Applicant_List!L291,IF(N290=1,"No Advancement",IF(K290=1,"Determination Notice Issued",IF(L290=1,"Board","Under Review")))))</f>
        <v/>
      </c>
    </row>
    <row r="291">
      <c r="A291" s="8">
        <f>Applicant_List!C292</f>
        <v/>
      </c>
      <c r="B291" s="8">
        <f>Applicant_List!E292</f>
        <v/>
      </c>
      <c r="C291" s="8">
        <f>Applicant_List!L292</f>
        <v/>
      </c>
      <c r="D291" s="8">
        <f>OR(Applicant_List!L292="Closed",Applicant_List!L292="Withdrawn",Applicant_List!L292="Terminated")</f>
        <v/>
      </c>
      <c r="E291" s="8">
        <f>IF(OR(Applicant_List!AI292="N",Applicant_List!AI292=""),1,0)</f>
        <v/>
      </c>
      <c r="F291" s="8">
        <f>IF(OR(Applicant_List!AK292="N",Applicant_List!AK292="",Applicant_List!AL292="N",Applicant_List!AL292=""),1,0)</f>
        <v/>
      </c>
      <c r="G291" s="8">
        <f>IF(OR(Applicant_List!AM292="N",Applicant_List!AM292=""),1,0)</f>
        <v/>
      </c>
      <c r="H291" s="8">
        <f>IF(OR(Applicant_List!AX292="Y",AND(Applicant_List!AS292="Y",Applicant_List!AV292&lt;&gt;"Y")),1,0)</f>
        <v/>
      </c>
      <c r="I291" s="8">
        <f>IF(OR(Applicant_List!AZ292="N",Applicant_List!AZ292="",Applicant_List!BA292="N",Applicant_List!BA292=""),1,0)</f>
        <v/>
      </c>
      <c r="J291" s="8">
        <f>IF(OR(Applicant_List!BB292="N",Applicant_List!BB292="",Applicant_List!BC292="N",Applicant_List!BE292="Y",Applicant_List!BL292="Y"),1,0)</f>
        <v/>
      </c>
      <c r="K291" s="8">
        <f>IF(AND(Applicant_List!BJ292="Y",Applicant_List!BM292="Y",Applicant_List!BK292&lt;&gt;"Y"),1,0)</f>
        <v/>
      </c>
      <c r="L291" s="8">
        <f>IF(OR(Applicant_List!BN292="Y",Applicant_List!BK292="Y"),1,0)</f>
        <v/>
      </c>
      <c r="M291" s="8">
        <f>COUNTIF(Applicant_List!AI292:BM292,"N")+COUNTBLANK(Applicant_List!AI292:BM292)</f>
        <v/>
      </c>
      <c r="N291" s="8">
        <f>MAX(E291:J291)</f>
        <v/>
      </c>
      <c r="O291" s="8">
        <f>IF(Applicant_List!BP292="Y",100000,0)+IF(ISNUMBER(Applicant_List!BO292),50000-INT(Applicant_List!BO292),0)+IF(LEN(Applicant_List!L292)&gt;0,1000,0)</f>
        <v/>
      </c>
      <c r="P291" s="8">
        <f>IF(D291,"Terminal",IF(N291=1,"Blocked",IF(K291=1,"Determination Notice",IF(L291=1,"Board","Under Review"))))</f>
        <v/>
      </c>
      <c r="Q291" s="8">
        <f>IF(Applicant_List!L292="Closed","Closed",IF(OR(Applicant_List!L292="Withdrawn",Applicant_List!L292="Terminated"),Applicant_List!L292,IF(N291=1,"No Advancement",IF(K291=1,"Determination Notice Issued",IF(L291=1,"Board","Under Review")))))</f>
        <v/>
      </c>
    </row>
    <row r="292">
      <c r="A292" s="8">
        <f>Applicant_List!C293</f>
        <v/>
      </c>
      <c r="B292" s="8">
        <f>Applicant_List!E293</f>
        <v/>
      </c>
      <c r="C292" s="8">
        <f>Applicant_List!L293</f>
        <v/>
      </c>
      <c r="D292" s="8">
        <f>OR(Applicant_List!L293="Closed",Applicant_List!L293="Withdrawn",Applicant_List!L293="Terminated")</f>
        <v/>
      </c>
      <c r="E292" s="8">
        <f>IF(OR(Applicant_List!AI293="N",Applicant_List!AI293=""),1,0)</f>
        <v/>
      </c>
      <c r="F292" s="8">
        <f>IF(OR(Applicant_List!AK293="N",Applicant_List!AK293="",Applicant_List!AL293="N",Applicant_List!AL293=""),1,0)</f>
        <v/>
      </c>
      <c r="G292" s="8">
        <f>IF(OR(Applicant_List!AM293="N",Applicant_List!AM293=""),1,0)</f>
        <v/>
      </c>
      <c r="H292" s="8">
        <f>IF(OR(Applicant_List!AX293="Y",AND(Applicant_List!AS293="Y",Applicant_List!AV293&lt;&gt;"Y")),1,0)</f>
        <v/>
      </c>
      <c r="I292" s="8">
        <f>IF(OR(Applicant_List!AZ293="N",Applicant_List!AZ293="",Applicant_List!BA293="N",Applicant_List!BA293=""),1,0)</f>
        <v/>
      </c>
      <c r="J292" s="8">
        <f>IF(OR(Applicant_List!BB293="N",Applicant_List!BB293="",Applicant_List!BC293="N",Applicant_List!BE293="Y",Applicant_List!BL293="Y"),1,0)</f>
        <v/>
      </c>
      <c r="K292" s="8">
        <f>IF(AND(Applicant_List!BJ293="Y",Applicant_List!BM293="Y",Applicant_List!BK293&lt;&gt;"Y"),1,0)</f>
        <v/>
      </c>
      <c r="L292" s="8">
        <f>IF(OR(Applicant_List!BN293="Y",Applicant_List!BK293="Y"),1,0)</f>
        <v/>
      </c>
      <c r="M292" s="8">
        <f>COUNTIF(Applicant_List!AI293:BM293,"N")+COUNTBLANK(Applicant_List!AI293:BM293)</f>
        <v/>
      </c>
      <c r="N292" s="8">
        <f>MAX(E292:J292)</f>
        <v/>
      </c>
      <c r="O292" s="8">
        <f>IF(Applicant_List!BP293="Y",100000,0)+IF(ISNUMBER(Applicant_List!BO293),50000-INT(Applicant_List!BO293),0)+IF(LEN(Applicant_List!L293)&gt;0,1000,0)</f>
        <v/>
      </c>
      <c r="P292" s="8">
        <f>IF(D292,"Terminal",IF(N292=1,"Blocked",IF(K292=1,"Determination Notice",IF(L292=1,"Board","Under Review"))))</f>
        <v/>
      </c>
      <c r="Q292" s="8">
        <f>IF(Applicant_List!L293="Closed","Closed",IF(OR(Applicant_List!L293="Withdrawn",Applicant_List!L293="Terminated"),Applicant_List!L293,IF(N292=1,"No Advancement",IF(K292=1,"Determination Notice Issued",IF(L292=1,"Board","Under Review")))))</f>
        <v/>
      </c>
    </row>
    <row r="293">
      <c r="A293" s="8">
        <f>Applicant_List!C294</f>
        <v/>
      </c>
      <c r="B293" s="8">
        <f>Applicant_List!E294</f>
        <v/>
      </c>
      <c r="C293" s="8">
        <f>Applicant_List!L294</f>
        <v/>
      </c>
      <c r="D293" s="8">
        <f>OR(Applicant_List!L294="Closed",Applicant_List!L294="Withdrawn",Applicant_List!L294="Terminated")</f>
        <v/>
      </c>
      <c r="E293" s="8">
        <f>IF(OR(Applicant_List!AI294="N",Applicant_List!AI294=""),1,0)</f>
        <v/>
      </c>
      <c r="F293" s="8">
        <f>IF(OR(Applicant_List!AK294="N",Applicant_List!AK294="",Applicant_List!AL294="N",Applicant_List!AL294=""),1,0)</f>
        <v/>
      </c>
      <c r="G293" s="8">
        <f>IF(OR(Applicant_List!AM294="N",Applicant_List!AM294=""),1,0)</f>
        <v/>
      </c>
      <c r="H293" s="8">
        <f>IF(OR(Applicant_List!AX294="Y",AND(Applicant_List!AS294="Y",Applicant_List!AV294&lt;&gt;"Y")),1,0)</f>
        <v/>
      </c>
      <c r="I293" s="8">
        <f>IF(OR(Applicant_List!AZ294="N",Applicant_List!AZ294="",Applicant_List!BA294="N",Applicant_List!BA294=""),1,0)</f>
        <v/>
      </c>
      <c r="J293" s="8">
        <f>IF(OR(Applicant_List!BB294="N",Applicant_List!BB294="",Applicant_List!BC294="N",Applicant_List!BE294="Y",Applicant_List!BL294="Y"),1,0)</f>
        <v/>
      </c>
      <c r="K293" s="8">
        <f>IF(AND(Applicant_List!BJ294="Y",Applicant_List!BM294="Y",Applicant_List!BK294&lt;&gt;"Y"),1,0)</f>
        <v/>
      </c>
      <c r="L293" s="8">
        <f>IF(OR(Applicant_List!BN294="Y",Applicant_List!BK294="Y"),1,0)</f>
        <v/>
      </c>
      <c r="M293" s="8">
        <f>COUNTIF(Applicant_List!AI294:BM294,"N")+COUNTBLANK(Applicant_List!AI294:BM294)</f>
        <v/>
      </c>
      <c r="N293" s="8">
        <f>MAX(E293:J293)</f>
        <v/>
      </c>
      <c r="O293" s="8">
        <f>IF(Applicant_List!BP294="Y",100000,0)+IF(ISNUMBER(Applicant_List!BO294),50000-INT(Applicant_List!BO294),0)+IF(LEN(Applicant_List!L294)&gt;0,1000,0)</f>
        <v/>
      </c>
      <c r="P293" s="8">
        <f>IF(D293,"Terminal",IF(N293=1,"Blocked",IF(K293=1,"Determination Notice",IF(L293=1,"Board","Under Review"))))</f>
        <v/>
      </c>
      <c r="Q293" s="8">
        <f>IF(Applicant_List!L294="Closed","Closed",IF(OR(Applicant_List!L294="Withdrawn",Applicant_List!L294="Terminated"),Applicant_List!L294,IF(N293=1,"No Advancement",IF(K293=1,"Determination Notice Issued",IF(L293=1,"Board","Under Review")))))</f>
        <v/>
      </c>
    </row>
    <row r="294">
      <c r="A294" s="8">
        <f>Applicant_List!C295</f>
        <v/>
      </c>
      <c r="B294" s="8">
        <f>Applicant_List!E295</f>
        <v/>
      </c>
      <c r="C294" s="8">
        <f>Applicant_List!L295</f>
        <v/>
      </c>
      <c r="D294" s="8">
        <f>OR(Applicant_List!L295="Closed",Applicant_List!L295="Withdrawn",Applicant_List!L295="Terminated")</f>
        <v/>
      </c>
      <c r="E294" s="8">
        <f>IF(OR(Applicant_List!AI295="N",Applicant_List!AI295=""),1,0)</f>
        <v/>
      </c>
      <c r="F294" s="8">
        <f>IF(OR(Applicant_List!AK295="N",Applicant_List!AK295="",Applicant_List!AL295="N",Applicant_List!AL295=""),1,0)</f>
        <v/>
      </c>
      <c r="G294" s="8">
        <f>IF(OR(Applicant_List!AM295="N",Applicant_List!AM295=""),1,0)</f>
        <v/>
      </c>
      <c r="H294" s="8">
        <f>IF(OR(Applicant_List!AX295="Y",AND(Applicant_List!AS295="Y",Applicant_List!AV295&lt;&gt;"Y")),1,0)</f>
        <v/>
      </c>
      <c r="I294" s="8">
        <f>IF(OR(Applicant_List!AZ295="N",Applicant_List!AZ295="",Applicant_List!BA295="N",Applicant_List!BA295=""),1,0)</f>
        <v/>
      </c>
      <c r="J294" s="8">
        <f>IF(OR(Applicant_List!BB295="N",Applicant_List!BB295="",Applicant_List!BC295="N",Applicant_List!BE295="Y",Applicant_List!BL295="Y"),1,0)</f>
        <v/>
      </c>
      <c r="K294" s="8">
        <f>IF(AND(Applicant_List!BJ295="Y",Applicant_List!BM295="Y",Applicant_List!BK295&lt;&gt;"Y"),1,0)</f>
        <v/>
      </c>
      <c r="L294" s="8">
        <f>IF(OR(Applicant_List!BN295="Y",Applicant_List!BK295="Y"),1,0)</f>
        <v/>
      </c>
      <c r="M294" s="8">
        <f>COUNTIF(Applicant_List!AI295:BM295,"N")+COUNTBLANK(Applicant_List!AI295:BM295)</f>
        <v/>
      </c>
      <c r="N294" s="8">
        <f>MAX(E294:J294)</f>
        <v/>
      </c>
      <c r="O294" s="8">
        <f>IF(Applicant_List!BP295="Y",100000,0)+IF(ISNUMBER(Applicant_List!BO295),50000-INT(Applicant_List!BO295),0)+IF(LEN(Applicant_List!L295)&gt;0,1000,0)</f>
        <v/>
      </c>
      <c r="P294" s="8">
        <f>IF(D294,"Terminal",IF(N294=1,"Blocked",IF(K294=1,"Determination Notice",IF(L294=1,"Board","Under Review"))))</f>
        <v/>
      </c>
      <c r="Q294" s="8">
        <f>IF(Applicant_List!L295="Closed","Closed",IF(OR(Applicant_List!L295="Withdrawn",Applicant_List!L295="Terminated"),Applicant_List!L295,IF(N294=1,"No Advancement",IF(K294=1,"Determination Notice Issued",IF(L294=1,"Board","Under Review")))))</f>
        <v/>
      </c>
    </row>
    <row r="295">
      <c r="A295" s="8">
        <f>Applicant_List!C296</f>
        <v/>
      </c>
      <c r="B295" s="8">
        <f>Applicant_List!E296</f>
        <v/>
      </c>
      <c r="C295" s="8">
        <f>Applicant_List!L296</f>
        <v/>
      </c>
      <c r="D295" s="8">
        <f>OR(Applicant_List!L296="Closed",Applicant_List!L296="Withdrawn",Applicant_List!L296="Terminated")</f>
        <v/>
      </c>
      <c r="E295" s="8">
        <f>IF(OR(Applicant_List!AI296="N",Applicant_List!AI296=""),1,0)</f>
        <v/>
      </c>
      <c r="F295" s="8">
        <f>IF(OR(Applicant_List!AK296="N",Applicant_List!AK296="",Applicant_List!AL296="N",Applicant_List!AL296=""),1,0)</f>
        <v/>
      </c>
      <c r="G295" s="8">
        <f>IF(OR(Applicant_List!AM296="N",Applicant_List!AM296=""),1,0)</f>
        <v/>
      </c>
      <c r="H295" s="8">
        <f>IF(OR(Applicant_List!AX296="Y",AND(Applicant_List!AS296="Y",Applicant_List!AV296&lt;&gt;"Y")),1,0)</f>
        <v/>
      </c>
      <c r="I295" s="8">
        <f>IF(OR(Applicant_List!AZ296="N",Applicant_List!AZ296="",Applicant_List!BA296="N",Applicant_List!BA296=""),1,0)</f>
        <v/>
      </c>
      <c r="J295" s="8">
        <f>IF(OR(Applicant_List!BB296="N",Applicant_List!BB296="",Applicant_List!BC296="N",Applicant_List!BE296="Y",Applicant_List!BL296="Y"),1,0)</f>
        <v/>
      </c>
      <c r="K295" s="8">
        <f>IF(AND(Applicant_List!BJ296="Y",Applicant_List!BM296="Y",Applicant_List!BK296&lt;&gt;"Y"),1,0)</f>
        <v/>
      </c>
      <c r="L295" s="8">
        <f>IF(OR(Applicant_List!BN296="Y",Applicant_List!BK296="Y"),1,0)</f>
        <v/>
      </c>
      <c r="M295" s="8">
        <f>COUNTIF(Applicant_List!AI296:BM296,"N")+COUNTBLANK(Applicant_List!AI296:BM296)</f>
        <v/>
      </c>
      <c r="N295" s="8">
        <f>MAX(E295:J295)</f>
        <v/>
      </c>
      <c r="O295" s="8">
        <f>IF(Applicant_List!BP296="Y",100000,0)+IF(ISNUMBER(Applicant_List!BO296),50000-INT(Applicant_List!BO296),0)+IF(LEN(Applicant_List!L296)&gt;0,1000,0)</f>
        <v/>
      </c>
      <c r="P295" s="8">
        <f>IF(D295,"Terminal",IF(N295=1,"Blocked",IF(K295=1,"Determination Notice",IF(L295=1,"Board","Under Review"))))</f>
        <v/>
      </c>
      <c r="Q295" s="8">
        <f>IF(Applicant_List!L296="Closed","Closed",IF(OR(Applicant_List!L296="Withdrawn",Applicant_List!L296="Terminated"),Applicant_List!L296,IF(N295=1,"No Advancement",IF(K295=1,"Determination Notice Issued",IF(L295=1,"Board","Under Review")))))</f>
        <v/>
      </c>
    </row>
    <row r="296">
      <c r="A296" s="8">
        <f>Applicant_List!C297</f>
        <v/>
      </c>
      <c r="B296" s="8">
        <f>Applicant_List!E297</f>
        <v/>
      </c>
      <c r="C296" s="8">
        <f>Applicant_List!L297</f>
        <v/>
      </c>
      <c r="D296" s="8">
        <f>OR(Applicant_List!L297="Closed",Applicant_List!L297="Withdrawn",Applicant_List!L297="Terminated")</f>
        <v/>
      </c>
      <c r="E296" s="8">
        <f>IF(OR(Applicant_List!AI297="N",Applicant_List!AI297=""),1,0)</f>
        <v/>
      </c>
      <c r="F296" s="8">
        <f>IF(OR(Applicant_List!AK297="N",Applicant_List!AK297="",Applicant_List!AL297="N",Applicant_List!AL297=""),1,0)</f>
        <v/>
      </c>
      <c r="G296" s="8">
        <f>IF(OR(Applicant_List!AM297="N",Applicant_List!AM297=""),1,0)</f>
        <v/>
      </c>
      <c r="H296" s="8">
        <f>IF(OR(Applicant_List!AX297="Y",AND(Applicant_List!AS297="Y",Applicant_List!AV297&lt;&gt;"Y")),1,0)</f>
        <v/>
      </c>
      <c r="I296" s="8">
        <f>IF(OR(Applicant_List!AZ297="N",Applicant_List!AZ297="",Applicant_List!BA297="N",Applicant_List!BA297=""),1,0)</f>
        <v/>
      </c>
      <c r="J296" s="8">
        <f>IF(OR(Applicant_List!BB297="N",Applicant_List!BB297="",Applicant_List!BC297="N",Applicant_List!BE297="Y",Applicant_List!BL297="Y"),1,0)</f>
        <v/>
      </c>
      <c r="K296" s="8">
        <f>IF(AND(Applicant_List!BJ297="Y",Applicant_List!BM297="Y",Applicant_List!BK297&lt;&gt;"Y"),1,0)</f>
        <v/>
      </c>
      <c r="L296" s="8">
        <f>IF(OR(Applicant_List!BN297="Y",Applicant_List!BK297="Y"),1,0)</f>
        <v/>
      </c>
      <c r="M296" s="8">
        <f>COUNTIF(Applicant_List!AI297:BM297,"N")+COUNTBLANK(Applicant_List!AI297:BM297)</f>
        <v/>
      </c>
      <c r="N296" s="8">
        <f>MAX(E296:J296)</f>
        <v/>
      </c>
      <c r="O296" s="8">
        <f>IF(Applicant_List!BP297="Y",100000,0)+IF(ISNUMBER(Applicant_List!BO297),50000-INT(Applicant_List!BO297),0)+IF(LEN(Applicant_List!L297)&gt;0,1000,0)</f>
        <v/>
      </c>
      <c r="P296" s="8">
        <f>IF(D296,"Terminal",IF(N296=1,"Blocked",IF(K296=1,"Determination Notice",IF(L296=1,"Board","Under Review"))))</f>
        <v/>
      </c>
      <c r="Q296" s="8">
        <f>IF(Applicant_List!L297="Closed","Closed",IF(OR(Applicant_List!L297="Withdrawn",Applicant_List!L297="Terminated"),Applicant_List!L297,IF(N296=1,"No Advancement",IF(K296=1,"Determination Notice Issued",IF(L296=1,"Board","Under Review")))))</f>
        <v/>
      </c>
    </row>
    <row r="297">
      <c r="A297" s="8">
        <f>Applicant_List!C298</f>
        <v/>
      </c>
      <c r="B297" s="8">
        <f>Applicant_List!E298</f>
        <v/>
      </c>
      <c r="C297" s="8">
        <f>Applicant_List!L298</f>
        <v/>
      </c>
      <c r="D297" s="8">
        <f>OR(Applicant_List!L298="Closed",Applicant_List!L298="Withdrawn",Applicant_List!L298="Terminated")</f>
        <v/>
      </c>
      <c r="E297" s="8">
        <f>IF(OR(Applicant_List!AI298="N",Applicant_List!AI298=""),1,0)</f>
        <v/>
      </c>
      <c r="F297" s="8">
        <f>IF(OR(Applicant_List!AK298="N",Applicant_List!AK298="",Applicant_List!AL298="N",Applicant_List!AL298=""),1,0)</f>
        <v/>
      </c>
      <c r="G297" s="8">
        <f>IF(OR(Applicant_List!AM298="N",Applicant_List!AM298=""),1,0)</f>
        <v/>
      </c>
      <c r="H297" s="8">
        <f>IF(OR(Applicant_List!AX298="Y",AND(Applicant_List!AS298="Y",Applicant_List!AV298&lt;&gt;"Y")),1,0)</f>
        <v/>
      </c>
      <c r="I297" s="8">
        <f>IF(OR(Applicant_List!AZ298="N",Applicant_List!AZ298="",Applicant_List!BA298="N",Applicant_List!BA298=""),1,0)</f>
        <v/>
      </c>
      <c r="J297" s="8">
        <f>IF(OR(Applicant_List!BB298="N",Applicant_List!BB298="",Applicant_List!BC298="N",Applicant_List!BE298="Y",Applicant_List!BL298="Y"),1,0)</f>
        <v/>
      </c>
      <c r="K297" s="8">
        <f>IF(AND(Applicant_List!BJ298="Y",Applicant_List!BM298="Y",Applicant_List!BK298&lt;&gt;"Y"),1,0)</f>
        <v/>
      </c>
      <c r="L297" s="8">
        <f>IF(OR(Applicant_List!BN298="Y",Applicant_List!BK298="Y"),1,0)</f>
        <v/>
      </c>
      <c r="M297" s="8">
        <f>COUNTIF(Applicant_List!AI298:BM298,"N")+COUNTBLANK(Applicant_List!AI298:BM298)</f>
        <v/>
      </c>
      <c r="N297" s="8">
        <f>MAX(E297:J297)</f>
        <v/>
      </c>
      <c r="O297" s="8">
        <f>IF(Applicant_List!BP298="Y",100000,0)+IF(ISNUMBER(Applicant_List!BO298),50000-INT(Applicant_List!BO298),0)+IF(LEN(Applicant_List!L298)&gt;0,1000,0)</f>
        <v/>
      </c>
      <c r="P297" s="8">
        <f>IF(D297,"Terminal",IF(N297=1,"Blocked",IF(K297=1,"Determination Notice",IF(L297=1,"Board","Under Review"))))</f>
        <v/>
      </c>
      <c r="Q297" s="8">
        <f>IF(Applicant_List!L298="Closed","Closed",IF(OR(Applicant_List!L298="Withdrawn",Applicant_List!L298="Terminated"),Applicant_List!L298,IF(N297=1,"No Advancement",IF(K297=1,"Determination Notice Issued",IF(L297=1,"Board","Under Review")))))</f>
        <v/>
      </c>
    </row>
    <row r="298">
      <c r="A298" s="8">
        <f>Applicant_List!C299</f>
        <v/>
      </c>
      <c r="B298" s="8">
        <f>Applicant_List!E299</f>
        <v/>
      </c>
      <c r="C298" s="8">
        <f>Applicant_List!L299</f>
        <v/>
      </c>
      <c r="D298" s="8">
        <f>OR(Applicant_List!L299="Closed",Applicant_List!L299="Withdrawn",Applicant_List!L299="Terminated")</f>
        <v/>
      </c>
      <c r="E298" s="8">
        <f>IF(OR(Applicant_List!AI299="N",Applicant_List!AI299=""),1,0)</f>
        <v/>
      </c>
      <c r="F298" s="8">
        <f>IF(OR(Applicant_List!AK299="N",Applicant_List!AK299="",Applicant_List!AL299="N",Applicant_List!AL299=""),1,0)</f>
        <v/>
      </c>
      <c r="G298" s="8">
        <f>IF(OR(Applicant_List!AM299="N",Applicant_List!AM299=""),1,0)</f>
        <v/>
      </c>
      <c r="H298" s="8">
        <f>IF(OR(Applicant_List!AX299="Y",AND(Applicant_List!AS299="Y",Applicant_List!AV299&lt;&gt;"Y")),1,0)</f>
        <v/>
      </c>
      <c r="I298" s="8">
        <f>IF(OR(Applicant_List!AZ299="N",Applicant_List!AZ299="",Applicant_List!BA299="N",Applicant_List!BA299=""),1,0)</f>
        <v/>
      </c>
      <c r="J298" s="8">
        <f>IF(OR(Applicant_List!BB299="N",Applicant_List!BB299="",Applicant_List!BC299="N",Applicant_List!BE299="Y",Applicant_List!BL299="Y"),1,0)</f>
        <v/>
      </c>
      <c r="K298" s="8">
        <f>IF(AND(Applicant_List!BJ299="Y",Applicant_List!BM299="Y",Applicant_List!BK299&lt;&gt;"Y"),1,0)</f>
        <v/>
      </c>
      <c r="L298" s="8">
        <f>IF(OR(Applicant_List!BN299="Y",Applicant_List!BK299="Y"),1,0)</f>
        <v/>
      </c>
      <c r="M298" s="8">
        <f>COUNTIF(Applicant_List!AI299:BM299,"N")+COUNTBLANK(Applicant_List!AI299:BM299)</f>
        <v/>
      </c>
      <c r="N298" s="8">
        <f>MAX(E298:J298)</f>
        <v/>
      </c>
      <c r="O298" s="8">
        <f>IF(Applicant_List!BP299="Y",100000,0)+IF(ISNUMBER(Applicant_List!BO299),50000-INT(Applicant_List!BO299),0)+IF(LEN(Applicant_List!L299)&gt;0,1000,0)</f>
        <v/>
      </c>
      <c r="P298" s="8">
        <f>IF(D298,"Terminal",IF(N298=1,"Blocked",IF(K298=1,"Determination Notice",IF(L298=1,"Board","Under Review"))))</f>
        <v/>
      </c>
      <c r="Q298" s="8">
        <f>IF(Applicant_List!L299="Closed","Closed",IF(OR(Applicant_List!L299="Withdrawn",Applicant_List!L299="Terminated"),Applicant_List!L299,IF(N298=1,"No Advancement",IF(K298=1,"Determination Notice Issued",IF(L298=1,"Board","Under Review")))))</f>
        <v/>
      </c>
    </row>
    <row r="299">
      <c r="A299" s="8">
        <f>Applicant_List!C300</f>
        <v/>
      </c>
      <c r="B299" s="8">
        <f>Applicant_List!E300</f>
        <v/>
      </c>
      <c r="C299" s="8">
        <f>Applicant_List!L300</f>
        <v/>
      </c>
      <c r="D299" s="8">
        <f>OR(Applicant_List!L300="Closed",Applicant_List!L300="Withdrawn",Applicant_List!L300="Terminated")</f>
        <v/>
      </c>
      <c r="E299" s="8">
        <f>IF(OR(Applicant_List!AI300="N",Applicant_List!AI300=""),1,0)</f>
        <v/>
      </c>
      <c r="F299" s="8">
        <f>IF(OR(Applicant_List!AK300="N",Applicant_List!AK300="",Applicant_List!AL300="N",Applicant_List!AL300=""),1,0)</f>
        <v/>
      </c>
      <c r="G299" s="8">
        <f>IF(OR(Applicant_List!AM300="N",Applicant_List!AM300=""),1,0)</f>
        <v/>
      </c>
      <c r="H299" s="8">
        <f>IF(OR(Applicant_List!AX300="Y",AND(Applicant_List!AS300="Y",Applicant_List!AV300&lt;&gt;"Y")),1,0)</f>
        <v/>
      </c>
      <c r="I299" s="8">
        <f>IF(OR(Applicant_List!AZ300="N",Applicant_List!AZ300="",Applicant_List!BA300="N",Applicant_List!BA300=""),1,0)</f>
        <v/>
      </c>
      <c r="J299" s="8">
        <f>IF(OR(Applicant_List!BB300="N",Applicant_List!BB300="",Applicant_List!BC300="N",Applicant_List!BE300="Y",Applicant_List!BL300="Y"),1,0)</f>
        <v/>
      </c>
      <c r="K299" s="8">
        <f>IF(AND(Applicant_List!BJ300="Y",Applicant_List!BM300="Y",Applicant_List!BK300&lt;&gt;"Y"),1,0)</f>
        <v/>
      </c>
      <c r="L299" s="8">
        <f>IF(OR(Applicant_List!BN300="Y",Applicant_List!BK300="Y"),1,0)</f>
        <v/>
      </c>
      <c r="M299" s="8">
        <f>COUNTIF(Applicant_List!AI300:BM300,"N")+COUNTBLANK(Applicant_List!AI300:BM300)</f>
        <v/>
      </c>
      <c r="N299" s="8">
        <f>MAX(E299:J299)</f>
        <v/>
      </c>
      <c r="O299" s="8">
        <f>IF(Applicant_List!BP300="Y",100000,0)+IF(ISNUMBER(Applicant_List!BO300),50000-INT(Applicant_List!BO300),0)+IF(LEN(Applicant_List!L300)&gt;0,1000,0)</f>
        <v/>
      </c>
      <c r="P299" s="8">
        <f>IF(D299,"Terminal",IF(N299=1,"Blocked",IF(K299=1,"Determination Notice",IF(L299=1,"Board","Under Review"))))</f>
        <v/>
      </c>
      <c r="Q299" s="8">
        <f>IF(Applicant_List!L300="Closed","Closed",IF(OR(Applicant_List!L300="Withdrawn",Applicant_List!L300="Terminated"),Applicant_List!L300,IF(N299=1,"No Advancement",IF(K299=1,"Determination Notice Issued",IF(L299=1,"Board","Under Review")))))</f>
        <v/>
      </c>
    </row>
    <row r="300">
      <c r="A300" s="8">
        <f>Applicant_List!C301</f>
        <v/>
      </c>
      <c r="B300" s="8">
        <f>Applicant_List!E301</f>
        <v/>
      </c>
      <c r="C300" s="8">
        <f>Applicant_List!L301</f>
        <v/>
      </c>
      <c r="D300" s="8">
        <f>OR(Applicant_List!L301="Closed",Applicant_List!L301="Withdrawn",Applicant_List!L301="Terminated")</f>
        <v/>
      </c>
      <c r="E300" s="8">
        <f>IF(OR(Applicant_List!AI301="N",Applicant_List!AI301=""),1,0)</f>
        <v/>
      </c>
      <c r="F300" s="8">
        <f>IF(OR(Applicant_List!AK301="N",Applicant_List!AK301="",Applicant_List!AL301="N",Applicant_List!AL301=""),1,0)</f>
        <v/>
      </c>
      <c r="G300" s="8">
        <f>IF(OR(Applicant_List!AM301="N",Applicant_List!AM301=""),1,0)</f>
        <v/>
      </c>
      <c r="H300" s="8">
        <f>IF(OR(Applicant_List!AX301="Y",AND(Applicant_List!AS301="Y",Applicant_List!AV301&lt;&gt;"Y")),1,0)</f>
        <v/>
      </c>
      <c r="I300" s="8">
        <f>IF(OR(Applicant_List!AZ301="N",Applicant_List!AZ301="",Applicant_List!BA301="N",Applicant_List!BA301=""),1,0)</f>
        <v/>
      </c>
      <c r="J300" s="8">
        <f>IF(OR(Applicant_List!BB301="N",Applicant_List!BB301="",Applicant_List!BC301="N",Applicant_List!BE301="Y",Applicant_List!BL301="Y"),1,0)</f>
        <v/>
      </c>
      <c r="K300" s="8">
        <f>IF(AND(Applicant_List!BJ301="Y",Applicant_List!BM301="Y",Applicant_List!BK301&lt;&gt;"Y"),1,0)</f>
        <v/>
      </c>
      <c r="L300" s="8">
        <f>IF(OR(Applicant_List!BN301="Y",Applicant_List!BK301="Y"),1,0)</f>
        <v/>
      </c>
      <c r="M300" s="8">
        <f>COUNTIF(Applicant_List!AI301:BM301,"N")+COUNTBLANK(Applicant_List!AI301:BM301)</f>
        <v/>
      </c>
      <c r="N300" s="8">
        <f>MAX(E300:J300)</f>
        <v/>
      </c>
      <c r="O300" s="8">
        <f>IF(Applicant_List!BP301="Y",100000,0)+IF(ISNUMBER(Applicant_List!BO301),50000-INT(Applicant_List!BO301),0)+IF(LEN(Applicant_List!L301)&gt;0,1000,0)</f>
        <v/>
      </c>
      <c r="P300" s="8">
        <f>IF(D300,"Terminal",IF(N300=1,"Blocked",IF(K300=1,"Determination Notice",IF(L300=1,"Board","Under Review"))))</f>
        <v/>
      </c>
      <c r="Q300" s="8">
        <f>IF(Applicant_List!L301="Closed","Closed",IF(OR(Applicant_List!L301="Withdrawn",Applicant_List!L301="Terminated"),Applicant_List!L301,IF(N300=1,"No Advancement",IF(K300=1,"Determination Notice Issued",IF(L300=1,"Board","Under Review")))))</f>
        <v/>
      </c>
    </row>
    <row r="301">
      <c r="A301" s="8">
        <f>Applicant_List!C302</f>
        <v/>
      </c>
      <c r="B301" s="8">
        <f>Applicant_List!E302</f>
        <v/>
      </c>
      <c r="C301" s="8">
        <f>Applicant_List!L302</f>
        <v/>
      </c>
      <c r="D301" s="8">
        <f>OR(Applicant_List!L302="Closed",Applicant_List!L302="Withdrawn",Applicant_List!L302="Terminated")</f>
        <v/>
      </c>
      <c r="E301" s="8">
        <f>IF(OR(Applicant_List!AI302="N",Applicant_List!AI302=""),1,0)</f>
        <v/>
      </c>
      <c r="F301" s="8">
        <f>IF(OR(Applicant_List!AK302="N",Applicant_List!AK302="",Applicant_List!AL302="N",Applicant_List!AL302=""),1,0)</f>
        <v/>
      </c>
      <c r="G301" s="8">
        <f>IF(OR(Applicant_List!AM302="N",Applicant_List!AM302=""),1,0)</f>
        <v/>
      </c>
      <c r="H301" s="8">
        <f>IF(OR(Applicant_List!AX302="Y",AND(Applicant_List!AS302="Y",Applicant_List!AV302&lt;&gt;"Y")),1,0)</f>
        <v/>
      </c>
      <c r="I301" s="8">
        <f>IF(OR(Applicant_List!AZ302="N",Applicant_List!AZ302="",Applicant_List!BA302="N",Applicant_List!BA302=""),1,0)</f>
        <v/>
      </c>
      <c r="J301" s="8">
        <f>IF(OR(Applicant_List!BB302="N",Applicant_List!BB302="",Applicant_List!BC302="N",Applicant_List!BE302="Y",Applicant_List!BL302="Y"),1,0)</f>
        <v/>
      </c>
      <c r="K301" s="8">
        <f>IF(AND(Applicant_List!BJ302="Y",Applicant_List!BM302="Y",Applicant_List!BK302&lt;&gt;"Y"),1,0)</f>
        <v/>
      </c>
      <c r="L301" s="8">
        <f>IF(OR(Applicant_List!BN302="Y",Applicant_List!BK302="Y"),1,0)</f>
        <v/>
      </c>
      <c r="M301" s="8">
        <f>COUNTIF(Applicant_List!AI302:BM302,"N")+COUNTBLANK(Applicant_List!AI302:BM302)</f>
        <v/>
      </c>
      <c r="N301" s="8">
        <f>MAX(E301:J301)</f>
        <v/>
      </c>
      <c r="O301" s="8">
        <f>IF(Applicant_List!BP302="Y",100000,0)+IF(ISNUMBER(Applicant_List!BO302),50000-INT(Applicant_List!BO302),0)+IF(LEN(Applicant_List!L302)&gt;0,1000,0)</f>
        <v/>
      </c>
      <c r="P301" s="8">
        <f>IF(D301,"Terminal",IF(N301=1,"Blocked",IF(K301=1,"Determination Notice",IF(L301=1,"Board","Under Review"))))</f>
        <v/>
      </c>
      <c r="Q301" s="8">
        <f>IF(Applicant_List!L302="Closed","Closed",IF(OR(Applicant_List!L302="Withdrawn",Applicant_List!L302="Terminated"),Applicant_List!L302,IF(N301=1,"No Advancement",IF(K301=1,"Determination Notice Issued",IF(L301=1,"Board","Under Review")))))</f>
        <v/>
      </c>
    </row>
    <row r="302">
      <c r="A302" s="8">
        <f>Applicant_List!C303</f>
        <v/>
      </c>
      <c r="B302" s="8">
        <f>Applicant_List!E303</f>
        <v/>
      </c>
      <c r="C302" s="8">
        <f>Applicant_List!L303</f>
        <v/>
      </c>
      <c r="D302" s="8">
        <f>OR(Applicant_List!L303="Closed",Applicant_List!L303="Withdrawn",Applicant_List!L303="Terminated")</f>
        <v/>
      </c>
      <c r="E302" s="8">
        <f>IF(OR(Applicant_List!AI303="N",Applicant_List!AI303=""),1,0)</f>
        <v/>
      </c>
      <c r="F302" s="8">
        <f>IF(OR(Applicant_List!AK303="N",Applicant_List!AK303="",Applicant_List!AL303="N",Applicant_List!AL303=""),1,0)</f>
        <v/>
      </c>
      <c r="G302" s="8">
        <f>IF(OR(Applicant_List!AM303="N",Applicant_List!AM303=""),1,0)</f>
        <v/>
      </c>
      <c r="H302" s="8">
        <f>IF(OR(Applicant_List!AX303="Y",AND(Applicant_List!AS303="Y",Applicant_List!AV303&lt;&gt;"Y")),1,0)</f>
        <v/>
      </c>
      <c r="I302" s="8">
        <f>IF(OR(Applicant_List!AZ303="N",Applicant_List!AZ303="",Applicant_List!BA303="N",Applicant_List!BA303=""),1,0)</f>
        <v/>
      </c>
      <c r="J302" s="8">
        <f>IF(OR(Applicant_List!BB303="N",Applicant_List!BB303="",Applicant_List!BC303="N",Applicant_List!BE303="Y",Applicant_List!BL303="Y"),1,0)</f>
        <v/>
      </c>
      <c r="K302" s="8">
        <f>IF(AND(Applicant_List!BJ303="Y",Applicant_List!BM303="Y",Applicant_List!BK303&lt;&gt;"Y"),1,0)</f>
        <v/>
      </c>
      <c r="L302" s="8">
        <f>IF(OR(Applicant_List!BN303="Y",Applicant_List!BK303="Y"),1,0)</f>
        <v/>
      </c>
      <c r="M302" s="8">
        <f>COUNTIF(Applicant_List!AI303:BM303,"N")+COUNTBLANK(Applicant_List!AI303:BM303)</f>
        <v/>
      </c>
      <c r="N302" s="8">
        <f>MAX(E302:J302)</f>
        <v/>
      </c>
      <c r="O302" s="8">
        <f>IF(Applicant_List!BP303="Y",100000,0)+IF(ISNUMBER(Applicant_List!BO303),50000-INT(Applicant_List!BO303),0)+IF(LEN(Applicant_List!L303)&gt;0,1000,0)</f>
        <v/>
      </c>
      <c r="P302" s="8">
        <f>IF(D302,"Terminal",IF(N302=1,"Blocked",IF(K302=1,"Determination Notice",IF(L302=1,"Board","Under Review"))))</f>
        <v/>
      </c>
      <c r="Q302" s="8">
        <f>IF(Applicant_List!L303="Closed","Closed",IF(OR(Applicant_List!L303="Withdrawn",Applicant_List!L303="Terminated"),Applicant_List!L303,IF(N302=1,"No Advancement",IF(K302=1,"Determination Notice Issued",IF(L302=1,"Board","Under Review")))))</f>
        <v/>
      </c>
    </row>
    <row r="303">
      <c r="A303" s="8">
        <f>Applicant_List!C304</f>
        <v/>
      </c>
      <c r="B303" s="8">
        <f>Applicant_List!E304</f>
        <v/>
      </c>
      <c r="C303" s="8">
        <f>Applicant_List!L304</f>
        <v/>
      </c>
      <c r="D303" s="8">
        <f>OR(Applicant_List!L304="Closed",Applicant_List!L304="Withdrawn",Applicant_List!L304="Terminated")</f>
        <v/>
      </c>
      <c r="E303" s="8">
        <f>IF(OR(Applicant_List!AI304="N",Applicant_List!AI304=""),1,0)</f>
        <v/>
      </c>
      <c r="F303" s="8">
        <f>IF(OR(Applicant_List!AK304="N",Applicant_List!AK304="",Applicant_List!AL304="N",Applicant_List!AL304=""),1,0)</f>
        <v/>
      </c>
      <c r="G303" s="8">
        <f>IF(OR(Applicant_List!AM304="N",Applicant_List!AM304=""),1,0)</f>
        <v/>
      </c>
      <c r="H303" s="8">
        <f>IF(OR(Applicant_List!AX304="Y",AND(Applicant_List!AS304="Y",Applicant_List!AV304&lt;&gt;"Y")),1,0)</f>
        <v/>
      </c>
      <c r="I303" s="8">
        <f>IF(OR(Applicant_List!AZ304="N",Applicant_List!AZ304="",Applicant_List!BA304="N",Applicant_List!BA304=""),1,0)</f>
        <v/>
      </c>
      <c r="J303" s="8">
        <f>IF(OR(Applicant_List!BB304="N",Applicant_List!BB304="",Applicant_List!BC304="N",Applicant_List!BE304="Y",Applicant_List!BL304="Y"),1,0)</f>
        <v/>
      </c>
      <c r="K303" s="8">
        <f>IF(AND(Applicant_List!BJ304="Y",Applicant_List!BM304="Y",Applicant_List!BK304&lt;&gt;"Y"),1,0)</f>
        <v/>
      </c>
      <c r="L303" s="8">
        <f>IF(OR(Applicant_List!BN304="Y",Applicant_List!BK304="Y"),1,0)</f>
        <v/>
      </c>
      <c r="M303" s="8">
        <f>COUNTIF(Applicant_List!AI304:BM304,"N")+COUNTBLANK(Applicant_List!AI304:BM304)</f>
        <v/>
      </c>
      <c r="N303" s="8">
        <f>MAX(E303:J303)</f>
        <v/>
      </c>
      <c r="O303" s="8">
        <f>IF(Applicant_List!BP304="Y",100000,0)+IF(ISNUMBER(Applicant_List!BO304),50000-INT(Applicant_List!BO304),0)+IF(LEN(Applicant_List!L304)&gt;0,1000,0)</f>
        <v/>
      </c>
      <c r="P303" s="8">
        <f>IF(D303,"Terminal",IF(N303=1,"Blocked",IF(K303=1,"Determination Notice",IF(L303=1,"Board","Under Review"))))</f>
        <v/>
      </c>
      <c r="Q303" s="8">
        <f>IF(Applicant_List!L304="Closed","Closed",IF(OR(Applicant_List!L304="Withdrawn",Applicant_List!L304="Terminated"),Applicant_List!L304,IF(N303=1,"No Advancement",IF(K303=1,"Determination Notice Issued",IF(L303=1,"Board","Under Review")))))</f>
        <v/>
      </c>
    </row>
    <row r="304">
      <c r="A304" s="8">
        <f>Applicant_List!C305</f>
        <v/>
      </c>
      <c r="B304" s="8">
        <f>Applicant_List!E305</f>
        <v/>
      </c>
      <c r="C304" s="8">
        <f>Applicant_List!L305</f>
        <v/>
      </c>
      <c r="D304" s="8">
        <f>OR(Applicant_List!L305="Closed",Applicant_List!L305="Withdrawn",Applicant_List!L305="Terminated")</f>
        <v/>
      </c>
      <c r="E304" s="8">
        <f>IF(OR(Applicant_List!AI305="N",Applicant_List!AI305=""),1,0)</f>
        <v/>
      </c>
      <c r="F304" s="8">
        <f>IF(OR(Applicant_List!AK305="N",Applicant_List!AK305="",Applicant_List!AL305="N",Applicant_List!AL305=""),1,0)</f>
        <v/>
      </c>
      <c r="G304" s="8">
        <f>IF(OR(Applicant_List!AM305="N",Applicant_List!AM305=""),1,0)</f>
        <v/>
      </c>
      <c r="H304" s="8">
        <f>IF(OR(Applicant_List!AX305="Y",AND(Applicant_List!AS305="Y",Applicant_List!AV305&lt;&gt;"Y")),1,0)</f>
        <v/>
      </c>
      <c r="I304" s="8">
        <f>IF(OR(Applicant_List!AZ305="N",Applicant_List!AZ305="",Applicant_List!BA305="N",Applicant_List!BA305=""),1,0)</f>
        <v/>
      </c>
      <c r="J304" s="8">
        <f>IF(OR(Applicant_List!BB305="N",Applicant_List!BB305="",Applicant_List!BC305="N",Applicant_List!BE305="Y",Applicant_List!BL305="Y"),1,0)</f>
        <v/>
      </c>
      <c r="K304" s="8">
        <f>IF(AND(Applicant_List!BJ305="Y",Applicant_List!BM305="Y",Applicant_List!BK305&lt;&gt;"Y"),1,0)</f>
        <v/>
      </c>
      <c r="L304" s="8">
        <f>IF(OR(Applicant_List!BN305="Y",Applicant_List!BK305="Y"),1,0)</f>
        <v/>
      </c>
      <c r="M304" s="8">
        <f>COUNTIF(Applicant_List!AI305:BM305,"N")+COUNTBLANK(Applicant_List!AI305:BM305)</f>
        <v/>
      </c>
      <c r="N304" s="8">
        <f>MAX(E304:J304)</f>
        <v/>
      </c>
      <c r="O304" s="8">
        <f>IF(Applicant_List!BP305="Y",100000,0)+IF(ISNUMBER(Applicant_List!BO305),50000-INT(Applicant_List!BO305),0)+IF(LEN(Applicant_List!L305)&gt;0,1000,0)</f>
        <v/>
      </c>
      <c r="P304" s="8">
        <f>IF(D304,"Terminal",IF(N304=1,"Blocked",IF(K304=1,"Determination Notice",IF(L304=1,"Board","Under Review"))))</f>
        <v/>
      </c>
      <c r="Q304" s="8">
        <f>IF(Applicant_List!L305="Closed","Closed",IF(OR(Applicant_List!L305="Withdrawn",Applicant_List!L305="Terminated"),Applicant_List!L305,IF(N304=1,"No Advancement",IF(K304=1,"Determination Notice Issued",IF(L304=1,"Board","Under Review")))))</f>
        <v/>
      </c>
    </row>
    <row r="305">
      <c r="A305" s="8">
        <f>Applicant_List!C306</f>
        <v/>
      </c>
      <c r="B305" s="8">
        <f>Applicant_List!E306</f>
        <v/>
      </c>
      <c r="C305" s="8">
        <f>Applicant_List!L306</f>
        <v/>
      </c>
      <c r="D305" s="8">
        <f>OR(Applicant_List!L306="Closed",Applicant_List!L306="Withdrawn",Applicant_List!L306="Terminated")</f>
        <v/>
      </c>
      <c r="E305" s="8">
        <f>IF(OR(Applicant_List!AI306="N",Applicant_List!AI306=""),1,0)</f>
        <v/>
      </c>
      <c r="F305" s="8">
        <f>IF(OR(Applicant_List!AK306="N",Applicant_List!AK306="",Applicant_List!AL306="N",Applicant_List!AL306=""),1,0)</f>
        <v/>
      </c>
      <c r="G305" s="8">
        <f>IF(OR(Applicant_List!AM306="N",Applicant_List!AM306=""),1,0)</f>
        <v/>
      </c>
      <c r="H305" s="8">
        <f>IF(OR(Applicant_List!AX306="Y",AND(Applicant_List!AS306="Y",Applicant_List!AV306&lt;&gt;"Y")),1,0)</f>
        <v/>
      </c>
      <c r="I305" s="8">
        <f>IF(OR(Applicant_List!AZ306="N",Applicant_List!AZ306="",Applicant_List!BA306="N",Applicant_List!BA306=""),1,0)</f>
        <v/>
      </c>
      <c r="J305" s="8">
        <f>IF(OR(Applicant_List!BB306="N",Applicant_List!BB306="",Applicant_List!BC306="N",Applicant_List!BE306="Y",Applicant_List!BL306="Y"),1,0)</f>
        <v/>
      </c>
      <c r="K305" s="8">
        <f>IF(AND(Applicant_List!BJ306="Y",Applicant_List!BM306="Y",Applicant_List!BK306&lt;&gt;"Y"),1,0)</f>
        <v/>
      </c>
      <c r="L305" s="8">
        <f>IF(OR(Applicant_List!BN306="Y",Applicant_List!BK306="Y"),1,0)</f>
        <v/>
      </c>
      <c r="M305" s="8">
        <f>COUNTIF(Applicant_List!AI306:BM306,"N")+COUNTBLANK(Applicant_List!AI306:BM306)</f>
        <v/>
      </c>
      <c r="N305" s="8">
        <f>MAX(E305:J305)</f>
        <v/>
      </c>
      <c r="O305" s="8">
        <f>IF(Applicant_List!BP306="Y",100000,0)+IF(ISNUMBER(Applicant_List!BO306),50000-INT(Applicant_List!BO306),0)+IF(LEN(Applicant_List!L306)&gt;0,1000,0)</f>
        <v/>
      </c>
      <c r="P305" s="8">
        <f>IF(D305,"Terminal",IF(N305=1,"Blocked",IF(K305=1,"Determination Notice",IF(L305=1,"Board","Under Review"))))</f>
        <v/>
      </c>
      <c r="Q305" s="8">
        <f>IF(Applicant_List!L306="Closed","Closed",IF(OR(Applicant_List!L306="Withdrawn",Applicant_List!L306="Terminated"),Applicant_List!L306,IF(N305=1,"No Advancement",IF(K305=1,"Determination Notice Issued",IF(L305=1,"Board","Under Review")))))</f>
        <v/>
      </c>
    </row>
    <row r="306">
      <c r="A306" s="8">
        <f>Applicant_List!C307</f>
        <v/>
      </c>
      <c r="B306" s="8">
        <f>Applicant_List!E307</f>
        <v/>
      </c>
      <c r="C306" s="8">
        <f>Applicant_List!L307</f>
        <v/>
      </c>
      <c r="D306" s="8">
        <f>OR(Applicant_List!L307="Closed",Applicant_List!L307="Withdrawn",Applicant_List!L307="Terminated")</f>
        <v/>
      </c>
      <c r="E306" s="8">
        <f>IF(OR(Applicant_List!AI307="N",Applicant_List!AI307=""),1,0)</f>
        <v/>
      </c>
      <c r="F306" s="8">
        <f>IF(OR(Applicant_List!AK307="N",Applicant_List!AK307="",Applicant_List!AL307="N",Applicant_List!AL307=""),1,0)</f>
        <v/>
      </c>
      <c r="G306" s="8">
        <f>IF(OR(Applicant_List!AM307="N",Applicant_List!AM307=""),1,0)</f>
        <v/>
      </c>
      <c r="H306" s="8">
        <f>IF(OR(Applicant_List!AX307="Y",AND(Applicant_List!AS307="Y",Applicant_List!AV307&lt;&gt;"Y")),1,0)</f>
        <v/>
      </c>
      <c r="I306" s="8">
        <f>IF(OR(Applicant_List!AZ307="N",Applicant_List!AZ307="",Applicant_List!BA307="N",Applicant_List!BA307=""),1,0)</f>
        <v/>
      </c>
      <c r="J306" s="8">
        <f>IF(OR(Applicant_List!BB307="N",Applicant_List!BB307="",Applicant_List!BC307="N",Applicant_List!BE307="Y",Applicant_List!BL307="Y"),1,0)</f>
        <v/>
      </c>
      <c r="K306" s="8">
        <f>IF(AND(Applicant_List!BJ307="Y",Applicant_List!BM307="Y",Applicant_List!BK307&lt;&gt;"Y"),1,0)</f>
        <v/>
      </c>
      <c r="L306" s="8">
        <f>IF(OR(Applicant_List!BN307="Y",Applicant_List!BK307="Y"),1,0)</f>
        <v/>
      </c>
      <c r="M306" s="8">
        <f>COUNTIF(Applicant_List!AI307:BM307,"N")+COUNTBLANK(Applicant_List!AI307:BM307)</f>
        <v/>
      </c>
      <c r="N306" s="8">
        <f>MAX(E306:J306)</f>
        <v/>
      </c>
      <c r="O306" s="8">
        <f>IF(Applicant_List!BP307="Y",100000,0)+IF(ISNUMBER(Applicant_List!BO307),50000-INT(Applicant_List!BO307),0)+IF(LEN(Applicant_List!L307)&gt;0,1000,0)</f>
        <v/>
      </c>
      <c r="P306" s="8">
        <f>IF(D306,"Terminal",IF(N306=1,"Blocked",IF(K306=1,"Determination Notice",IF(L306=1,"Board","Under Review"))))</f>
        <v/>
      </c>
      <c r="Q306" s="8">
        <f>IF(Applicant_List!L307="Closed","Closed",IF(OR(Applicant_List!L307="Withdrawn",Applicant_List!L307="Terminated"),Applicant_List!L307,IF(N306=1,"No Advancement",IF(K306=1,"Determination Notice Issued",IF(L306=1,"Board","Under Review")))))</f>
        <v/>
      </c>
    </row>
    <row r="307">
      <c r="A307" s="8">
        <f>Applicant_List!C308</f>
        <v/>
      </c>
      <c r="B307" s="8">
        <f>Applicant_List!E308</f>
        <v/>
      </c>
      <c r="C307" s="8">
        <f>Applicant_List!L308</f>
        <v/>
      </c>
      <c r="D307" s="8">
        <f>OR(Applicant_List!L308="Closed",Applicant_List!L308="Withdrawn",Applicant_List!L308="Terminated")</f>
        <v/>
      </c>
      <c r="E307" s="8">
        <f>IF(OR(Applicant_List!AI308="N",Applicant_List!AI308=""),1,0)</f>
        <v/>
      </c>
      <c r="F307" s="8">
        <f>IF(OR(Applicant_List!AK308="N",Applicant_List!AK308="",Applicant_List!AL308="N",Applicant_List!AL308=""),1,0)</f>
        <v/>
      </c>
      <c r="G307" s="8">
        <f>IF(OR(Applicant_List!AM308="N",Applicant_List!AM308=""),1,0)</f>
        <v/>
      </c>
      <c r="H307" s="8">
        <f>IF(OR(Applicant_List!AX308="Y",AND(Applicant_List!AS308="Y",Applicant_List!AV308&lt;&gt;"Y")),1,0)</f>
        <v/>
      </c>
      <c r="I307" s="8">
        <f>IF(OR(Applicant_List!AZ308="N",Applicant_List!AZ308="",Applicant_List!BA308="N",Applicant_List!BA308=""),1,0)</f>
        <v/>
      </c>
      <c r="J307" s="8">
        <f>IF(OR(Applicant_List!BB308="N",Applicant_List!BB308="",Applicant_List!BC308="N",Applicant_List!BE308="Y",Applicant_List!BL308="Y"),1,0)</f>
        <v/>
      </c>
      <c r="K307" s="8">
        <f>IF(AND(Applicant_List!BJ308="Y",Applicant_List!BM308="Y",Applicant_List!BK308&lt;&gt;"Y"),1,0)</f>
        <v/>
      </c>
      <c r="L307" s="8">
        <f>IF(OR(Applicant_List!BN308="Y",Applicant_List!BK308="Y"),1,0)</f>
        <v/>
      </c>
      <c r="M307" s="8">
        <f>COUNTIF(Applicant_List!AI308:BM308,"N")+COUNTBLANK(Applicant_List!AI308:BM308)</f>
        <v/>
      </c>
      <c r="N307" s="8">
        <f>MAX(E307:J307)</f>
        <v/>
      </c>
      <c r="O307" s="8">
        <f>IF(Applicant_List!BP308="Y",100000,0)+IF(ISNUMBER(Applicant_List!BO308),50000-INT(Applicant_List!BO308),0)+IF(LEN(Applicant_List!L308)&gt;0,1000,0)</f>
        <v/>
      </c>
      <c r="P307" s="8">
        <f>IF(D307,"Terminal",IF(N307=1,"Blocked",IF(K307=1,"Determination Notice",IF(L307=1,"Board","Under Review"))))</f>
        <v/>
      </c>
      <c r="Q307" s="8">
        <f>IF(Applicant_List!L308="Closed","Closed",IF(OR(Applicant_List!L308="Withdrawn",Applicant_List!L308="Terminated"),Applicant_List!L308,IF(N307=1,"No Advancement",IF(K307=1,"Determination Notice Issued",IF(L307=1,"Board","Under Review")))))</f>
        <v/>
      </c>
    </row>
    <row r="308">
      <c r="A308" s="8">
        <f>Applicant_List!C309</f>
        <v/>
      </c>
      <c r="B308" s="8">
        <f>Applicant_List!E309</f>
        <v/>
      </c>
      <c r="C308" s="8">
        <f>Applicant_List!L309</f>
        <v/>
      </c>
      <c r="D308" s="8">
        <f>OR(Applicant_List!L309="Closed",Applicant_List!L309="Withdrawn",Applicant_List!L309="Terminated")</f>
        <v/>
      </c>
      <c r="E308" s="8">
        <f>IF(OR(Applicant_List!AI309="N",Applicant_List!AI309=""),1,0)</f>
        <v/>
      </c>
      <c r="F308" s="8">
        <f>IF(OR(Applicant_List!AK309="N",Applicant_List!AK309="",Applicant_List!AL309="N",Applicant_List!AL309=""),1,0)</f>
        <v/>
      </c>
      <c r="G308" s="8">
        <f>IF(OR(Applicant_List!AM309="N",Applicant_List!AM309=""),1,0)</f>
        <v/>
      </c>
      <c r="H308" s="8">
        <f>IF(OR(Applicant_List!AX309="Y",AND(Applicant_List!AS309="Y",Applicant_List!AV309&lt;&gt;"Y")),1,0)</f>
        <v/>
      </c>
      <c r="I308" s="8">
        <f>IF(OR(Applicant_List!AZ309="N",Applicant_List!AZ309="",Applicant_List!BA309="N",Applicant_List!BA309=""),1,0)</f>
        <v/>
      </c>
      <c r="J308" s="8">
        <f>IF(OR(Applicant_List!BB309="N",Applicant_List!BB309="",Applicant_List!BC309="N",Applicant_List!BE309="Y",Applicant_List!BL309="Y"),1,0)</f>
        <v/>
      </c>
      <c r="K308" s="8">
        <f>IF(AND(Applicant_List!BJ309="Y",Applicant_List!BM309="Y",Applicant_List!BK309&lt;&gt;"Y"),1,0)</f>
        <v/>
      </c>
      <c r="L308" s="8">
        <f>IF(OR(Applicant_List!BN309="Y",Applicant_List!BK309="Y"),1,0)</f>
        <v/>
      </c>
      <c r="M308" s="8">
        <f>COUNTIF(Applicant_List!AI309:BM309,"N")+COUNTBLANK(Applicant_List!AI309:BM309)</f>
        <v/>
      </c>
      <c r="N308" s="8">
        <f>MAX(E308:J308)</f>
        <v/>
      </c>
      <c r="O308" s="8">
        <f>IF(Applicant_List!BP309="Y",100000,0)+IF(ISNUMBER(Applicant_List!BO309),50000-INT(Applicant_List!BO309),0)+IF(LEN(Applicant_List!L309)&gt;0,1000,0)</f>
        <v/>
      </c>
      <c r="P308" s="8">
        <f>IF(D308,"Terminal",IF(N308=1,"Blocked",IF(K308=1,"Determination Notice",IF(L308=1,"Board","Under Review"))))</f>
        <v/>
      </c>
      <c r="Q308" s="8">
        <f>IF(Applicant_List!L309="Closed","Closed",IF(OR(Applicant_List!L309="Withdrawn",Applicant_List!L309="Terminated"),Applicant_List!L309,IF(N308=1,"No Advancement",IF(K308=1,"Determination Notice Issued",IF(L308=1,"Board","Under Review")))))</f>
        <v/>
      </c>
    </row>
    <row r="309">
      <c r="A309" s="8">
        <f>Applicant_List!C310</f>
        <v/>
      </c>
      <c r="B309" s="8">
        <f>Applicant_List!E310</f>
        <v/>
      </c>
      <c r="C309" s="8">
        <f>Applicant_List!L310</f>
        <v/>
      </c>
      <c r="D309" s="8">
        <f>OR(Applicant_List!L310="Closed",Applicant_List!L310="Withdrawn",Applicant_List!L310="Terminated")</f>
        <v/>
      </c>
      <c r="E309" s="8">
        <f>IF(OR(Applicant_List!AI310="N",Applicant_List!AI310=""),1,0)</f>
        <v/>
      </c>
      <c r="F309" s="8">
        <f>IF(OR(Applicant_List!AK310="N",Applicant_List!AK310="",Applicant_List!AL310="N",Applicant_List!AL310=""),1,0)</f>
        <v/>
      </c>
      <c r="G309" s="8">
        <f>IF(OR(Applicant_List!AM310="N",Applicant_List!AM310=""),1,0)</f>
        <v/>
      </c>
      <c r="H309" s="8">
        <f>IF(OR(Applicant_List!AX310="Y",AND(Applicant_List!AS310="Y",Applicant_List!AV310&lt;&gt;"Y")),1,0)</f>
        <v/>
      </c>
      <c r="I309" s="8">
        <f>IF(OR(Applicant_List!AZ310="N",Applicant_List!AZ310="",Applicant_List!BA310="N",Applicant_List!BA310=""),1,0)</f>
        <v/>
      </c>
      <c r="J309" s="8">
        <f>IF(OR(Applicant_List!BB310="N",Applicant_List!BB310="",Applicant_List!BC310="N",Applicant_List!BE310="Y",Applicant_List!BL310="Y"),1,0)</f>
        <v/>
      </c>
      <c r="K309" s="8">
        <f>IF(AND(Applicant_List!BJ310="Y",Applicant_List!BM310="Y",Applicant_List!BK310&lt;&gt;"Y"),1,0)</f>
        <v/>
      </c>
      <c r="L309" s="8">
        <f>IF(OR(Applicant_List!BN310="Y",Applicant_List!BK310="Y"),1,0)</f>
        <v/>
      </c>
      <c r="M309" s="8">
        <f>COUNTIF(Applicant_List!AI310:BM310,"N")+COUNTBLANK(Applicant_List!AI310:BM310)</f>
        <v/>
      </c>
      <c r="N309" s="8">
        <f>MAX(E309:J309)</f>
        <v/>
      </c>
      <c r="O309" s="8">
        <f>IF(Applicant_List!BP310="Y",100000,0)+IF(ISNUMBER(Applicant_List!BO310),50000-INT(Applicant_List!BO310),0)+IF(LEN(Applicant_List!L310)&gt;0,1000,0)</f>
        <v/>
      </c>
      <c r="P309" s="8">
        <f>IF(D309,"Terminal",IF(N309=1,"Blocked",IF(K309=1,"Determination Notice",IF(L309=1,"Board","Under Review"))))</f>
        <v/>
      </c>
      <c r="Q309" s="8">
        <f>IF(Applicant_List!L310="Closed","Closed",IF(OR(Applicant_List!L310="Withdrawn",Applicant_List!L310="Terminated"),Applicant_List!L310,IF(N309=1,"No Advancement",IF(K309=1,"Determination Notice Issued",IF(L309=1,"Board","Under Review")))))</f>
        <v/>
      </c>
    </row>
    <row r="310">
      <c r="A310" s="8">
        <f>Applicant_List!C311</f>
        <v/>
      </c>
      <c r="B310" s="8">
        <f>Applicant_List!E311</f>
        <v/>
      </c>
      <c r="C310" s="8">
        <f>Applicant_List!L311</f>
        <v/>
      </c>
      <c r="D310" s="8">
        <f>OR(Applicant_List!L311="Closed",Applicant_List!L311="Withdrawn",Applicant_List!L311="Terminated")</f>
        <v/>
      </c>
      <c r="E310" s="8">
        <f>IF(OR(Applicant_List!AI311="N",Applicant_List!AI311=""),1,0)</f>
        <v/>
      </c>
      <c r="F310" s="8">
        <f>IF(OR(Applicant_List!AK311="N",Applicant_List!AK311="",Applicant_List!AL311="N",Applicant_List!AL311=""),1,0)</f>
        <v/>
      </c>
      <c r="G310" s="8">
        <f>IF(OR(Applicant_List!AM311="N",Applicant_List!AM311=""),1,0)</f>
        <v/>
      </c>
      <c r="H310" s="8">
        <f>IF(OR(Applicant_List!AX311="Y",AND(Applicant_List!AS311="Y",Applicant_List!AV311&lt;&gt;"Y")),1,0)</f>
        <v/>
      </c>
      <c r="I310" s="8">
        <f>IF(OR(Applicant_List!AZ311="N",Applicant_List!AZ311="",Applicant_List!BA311="N",Applicant_List!BA311=""),1,0)</f>
        <v/>
      </c>
      <c r="J310" s="8">
        <f>IF(OR(Applicant_List!BB311="N",Applicant_List!BB311="",Applicant_List!BC311="N",Applicant_List!BE311="Y",Applicant_List!BL311="Y"),1,0)</f>
        <v/>
      </c>
      <c r="K310" s="8">
        <f>IF(AND(Applicant_List!BJ311="Y",Applicant_List!BM311="Y",Applicant_List!BK311&lt;&gt;"Y"),1,0)</f>
        <v/>
      </c>
      <c r="L310" s="8">
        <f>IF(OR(Applicant_List!BN311="Y",Applicant_List!BK311="Y"),1,0)</f>
        <v/>
      </c>
      <c r="M310" s="8">
        <f>COUNTIF(Applicant_List!AI311:BM311,"N")+COUNTBLANK(Applicant_List!AI311:BM311)</f>
        <v/>
      </c>
      <c r="N310" s="8">
        <f>MAX(E310:J310)</f>
        <v/>
      </c>
      <c r="O310" s="8">
        <f>IF(Applicant_List!BP311="Y",100000,0)+IF(ISNUMBER(Applicant_List!BO311),50000-INT(Applicant_List!BO311),0)+IF(LEN(Applicant_List!L311)&gt;0,1000,0)</f>
        <v/>
      </c>
      <c r="P310" s="8">
        <f>IF(D310,"Terminal",IF(N310=1,"Blocked",IF(K310=1,"Determination Notice",IF(L310=1,"Board","Under Review"))))</f>
        <v/>
      </c>
      <c r="Q310" s="8">
        <f>IF(Applicant_List!L311="Closed","Closed",IF(OR(Applicant_List!L311="Withdrawn",Applicant_List!L311="Terminated"),Applicant_List!L311,IF(N310=1,"No Advancement",IF(K310=1,"Determination Notice Issued",IF(L310=1,"Board","Under Review")))))</f>
        <v/>
      </c>
    </row>
    <row r="311">
      <c r="A311" s="8">
        <f>Applicant_List!C312</f>
        <v/>
      </c>
      <c r="B311" s="8">
        <f>Applicant_List!E312</f>
        <v/>
      </c>
      <c r="C311" s="8">
        <f>Applicant_List!L312</f>
        <v/>
      </c>
      <c r="D311" s="8">
        <f>OR(Applicant_List!L312="Closed",Applicant_List!L312="Withdrawn",Applicant_List!L312="Terminated")</f>
        <v/>
      </c>
      <c r="E311" s="8">
        <f>IF(OR(Applicant_List!AI312="N",Applicant_List!AI312=""),1,0)</f>
        <v/>
      </c>
      <c r="F311" s="8">
        <f>IF(OR(Applicant_List!AK312="N",Applicant_List!AK312="",Applicant_List!AL312="N",Applicant_List!AL312=""),1,0)</f>
        <v/>
      </c>
      <c r="G311" s="8">
        <f>IF(OR(Applicant_List!AM312="N",Applicant_List!AM312=""),1,0)</f>
        <v/>
      </c>
      <c r="H311" s="8">
        <f>IF(OR(Applicant_List!AX312="Y",AND(Applicant_List!AS312="Y",Applicant_List!AV312&lt;&gt;"Y")),1,0)</f>
        <v/>
      </c>
      <c r="I311" s="8">
        <f>IF(OR(Applicant_List!AZ312="N",Applicant_List!AZ312="",Applicant_List!BA312="N",Applicant_List!BA312=""),1,0)</f>
        <v/>
      </c>
      <c r="J311" s="8">
        <f>IF(OR(Applicant_List!BB312="N",Applicant_List!BB312="",Applicant_List!BC312="N",Applicant_List!BE312="Y",Applicant_List!BL312="Y"),1,0)</f>
        <v/>
      </c>
      <c r="K311" s="8">
        <f>IF(AND(Applicant_List!BJ312="Y",Applicant_List!BM312="Y",Applicant_List!BK312&lt;&gt;"Y"),1,0)</f>
        <v/>
      </c>
      <c r="L311" s="8">
        <f>IF(OR(Applicant_List!BN312="Y",Applicant_List!BK312="Y"),1,0)</f>
        <v/>
      </c>
      <c r="M311" s="8">
        <f>COUNTIF(Applicant_List!AI312:BM312,"N")+COUNTBLANK(Applicant_List!AI312:BM312)</f>
        <v/>
      </c>
      <c r="N311" s="8">
        <f>MAX(E311:J311)</f>
        <v/>
      </c>
      <c r="O311" s="8">
        <f>IF(Applicant_List!BP312="Y",100000,0)+IF(ISNUMBER(Applicant_List!BO312),50000-INT(Applicant_List!BO312),0)+IF(LEN(Applicant_List!L312)&gt;0,1000,0)</f>
        <v/>
      </c>
      <c r="P311" s="8">
        <f>IF(D311,"Terminal",IF(N311=1,"Blocked",IF(K311=1,"Determination Notice",IF(L311=1,"Board","Under Review"))))</f>
        <v/>
      </c>
      <c r="Q311" s="8">
        <f>IF(Applicant_List!L312="Closed","Closed",IF(OR(Applicant_List!L312="Withdrawn",Applicant_List!L312="Terminated"),Applicant_List!L312,IF(N311=1,"No Advancement",IF(K311=1,"Determination Notice Issued",IF(L311=1,"Board","Under Review")))))</f>
        <v/>
      </c>
    </row>
    <row r="312">
      <c r="A312" s="8">
        <f>Applicant_List!C313</f>
        <v/>
      </c>
      <c r="B312" s="8">
        <f>Applicant_List!E313</f>
        <v/>
      </c>
      <c r="C312" s="8">
        <f>Applicant_List!L313</f>
        <v/>
      </c>
      <c r="D312" s="8">
        <f>OR(Applicant_List!L313="Closed",Applicant_List!L313="Withdrawn",Applicant_List!L313="Terminated")</f>
        <v/>
      </c>
      <c r="E312" s="8">
        <f>IF(OR(Applicant_List!AI313="N",Applicant_List!AI313=""),1,0)</f>
        <v/>
      </c>
      <c r="F312" s="8">
        <f>IF(OR(Applicant_List!AK313="N",Applicant_List!AK313="",Applicant_List!AL313="N",Applicant_List!AL313=""),1,0)</f>
        <v/>
      </c>
      <c r="G312" s="8">
        <f>IF(OR(Applicant_List!AM313="N",Applicant_List!AM313=""),1,0)</f>
        <v/>
      </c>
      <c r="H312" s="8">
        <f>IF(OR(Applicant_List!AX313="Y",AND(Applicant_List!AS313="Y",Applicant_List!AV313&lt;&gt;"Y")),1,0)</f>
        <v/>
      </c>
      <c r="I312" s="8">
        <f>IF(OR(Applicant_List!AZ313="N",Applicant_List!AZ313="",Applicant_List!BA313="N",Applicant_List!BA313=""),1,0)</f>
        <v/>
      </c>
      <c r="J312" s="8">
        <f>IF(OR(Applicant_List!BB313="N",Applicant_List!BB313="",Applicant_List!BC313="N",Applicant_List!BE313="Y",Applicant_List!BL313="Y"),1,0)</f>
        <v/>
      </c>
      <c r="K312" s="8">
        <f>IF(AND(Applicant_List!BJ313="Y",Applicant_List!BM313="Y",Applicant_List!BK313&lt;&gt;"Y"),1,0)</f>
        <v/>
      </c>
      <c r="L312" s="8">
        <f>IF(OR(Applicant_List!BN313="Y",Applicant_List!BK313="Y"),1,0)</f>
        <v/>
      </c>
      <c r="M312" s="8">
        <f>COUNTIF(Applicant_List!AI313:BM313,"N")+COUNTBLANK(Applicant_List!AI313:BM313)</f>
        <v/>
      </c>
      <c r="N312" s="8">
        <f>MAX(E312:J312)</f>
        <v/>
      </c>
      <c r="O312" s="8">
        <f>IF(Applicant_List!BP313="Y",100000,0)+IF(ISNUMBER(Applicant_List!BO313),50000-INT(Applicant_List!BO313),0)+IF(LEN(Applicant_List!L313)&gt;0,1000,0)</f>
        <v/>
      </c>
      <c r="P312" s="8">
        <f>IF(D312,"Terminal",IF(N312=1,"Blocked",IF(K312=1,"Determination Notice",IF(L312=1,"Board","Under Review"))))</f>
        <v/>
      </c>
      <c r="Q312" s="8">
        <f>IF(Applicant_List!L313="Closed","Closed",IF(OR(Applicant_List!L313="Withdrawn",Applicant_List!L313="Terminated"),Applicant_List!L313,IF(N312=1,"No Advancement",IF(K312=1,"Determination Notice Issued",IF(L312=1,"Board","Under Review")))))</f>
        <v/>
      </c>
    </row>
    <row r="313">
      <c r="A313" s="8">
        <f>Applicant_List!C314</f>
        <v/>
      </c>
      <c r="B313" s="8">
        <f>Applicant_List!E314</f>
        <v/>
      </c>
      <c r="C313" s="8">
        <f>Applicant_List!L314</f>
        <v/>
      </c>
      <c r="D313" s="8">
        <f>OR(Applicant_List!L314="Closed",Applicant_List!L314="Withdrawn",Applicant_List!L314="Terminated")</f>
        <v/>
      </c>
      <c r="E313" s="8">
        <f>IF(OR(Applicant_List!AI314="N",Applicant_List!AI314=""),1,0)</f>
        <v/>
      </c>
      <c r="F313" s="8">
        <f>IF(OR(Applicant_List!AK314="N",Applicant_List!AK314="",Applicant_List!AL314="N",Applicant_List!AL314=""),1,0)</f>
        <v/>
      </c>
      <c r="G313" s="8">
        <f>IF(OR(Applicant_List!AM314="N",Applicant_List!AM314=""),1,0)</f>
        <v/>
      </c>
      <c r="H313" s="8">
        <f>IF(OR(Applicant_List!AX314="Y",AND(Applicant_List!AS314="Y",Applicant_List!AV314&lt;&gt;"Y")),1,0)</f>
        <v/>
      </c>
      <c r="I313" s="8">
        <f>IF(OR(Applicant_List!AZ314="N",Applicant_List!AZ314="",Applicant_List!BA314="N",Applicant_List!BA314=""),1,0)</f>
        <v/>
      </c>
      <c r="J313" s="8">
        <f>IF(OR(Applicant_List!BB314="N",Applicant_List!BB314="",Applicant_List!BC314="N",Applicant_List!BE314="Y",Applicant_List!BL314="Y"),1,0)</f>
        <v/>
      </c>
      <c r="K313" s="8">
        <f>IF(AND(Applicant_List!BJ314="Y",Applicant_List!BM314="Y",Applicant_List!BK314&lt;&gt;"Y"),1,0)</f>
        <v/>
      </c>
      <c r="L313" s="8">
        <f>IF(OR(Applicant_List!BN314="Y",Applicant_List!BK314="Y"),1,0)</f>
        <v/>
      </c>
      <c r="M313" s="8">
        <f>COUNTIF(Applicant_List!AI314:BM314,"N")+COUNTBLANK(Applicant_List!AI314:BM314)</f>
        <v/>
      </c>
      <c r="N313" s="8">
        <f>MAX(E313:J313)</f>
        <v/>
      </c>
      <c r="O313" s="8">
        <f>IF(Applicant_List!BP314="Y",100000,0)+IF(ISNUMBER(Applicant_List!BO314),50000-INT(Applicant_List!BO314),0)+IF(LEN(Applicant_List!L314)&gt;0,1000,0)</f>
        <v/>
      </c>
      <c r="P313" s="8">
        <f>IF(D313,"Terminal",IF(N313=1,"Blocked",IF(K313=1,"Determination Notice",IF(L313=1,"Board","Under Review"))))</f>
        <v/>
      </c>
      <c r="Q313" s="8">
        <f>IF(Applicant_List!L314="Closed","Closed",IF(OR(Applicant_List!L314="Withdrawn",Applicant_List!L314="Terminated"),Applicant_List!L314,IF(N313=1,"No Advancement",IF(K313=1,"Determination Notice Issued",IF(L313=1,"Board","Under Review")))))</f>
        <v/>
      </c>
    </row>
    <row r="314">
      <c r="A314" s="8">
        <f>Applicant_List!C315</f>
        <v/>
      </c>
      <c r="B314" s="8">
        <f>Applicant_List!E315</f>
        <v/>
      </c>
      <c r="C314" s="8">
        <f>Applicant_List!L315</f>
        <v/>
      </c>
      <c r="D314" s="8">
        <f>OR(Applicant_List!L315="Closed",Applicant_List!L315="Withdrawn",Applicant_List!L315="Terminated")</f>
        <v/>
      </c>
      <c r="E314" s="8">
        <f>IF(OR(Applicant_List!AI315="N",Applicant_List!AI315=""),1,0)</f>
        <v/>
      </c>
      <c r="F314" s="8">
        <f>IF(OR(Applicant_List!AK315="N",Applicant_List!AK315="",Applicant_List!AL315="N",Applicant_List!AL315=""),1,0)</f>
        <v/>
      </c>
      <c r="G314" s="8">
        <f>IF(OR(Applicant_List!AM315="N",Applicant_List!AM315=""),1,0)</f>
        <v/>
      </c>
      <c r="H314" s="8">
        <f>IF(OR(Applicant_List!AX315="Y",AND(Applicant_List!AS315="Y",Applicant_List!AV315&lt;&gt;"Y")),1,0)</f>
        <v/>
      </c>
      <c r="I314" s="8">
        <f>IF(OR(Applicant_List!AZ315="N",Applicant_List!AZ315="",Applicant_List!BA315="N",Applicant_List!BA315=""),1,0)</f>
        <v/>
      </c>
      <c r="J314" s="8">
        <f>IF(OR(Applicant_List!BB315="N",Applicant_List!BB315="",Applicant_List!BC315="N",Applicant_List!BE315="Y",Applicant_List!BL315="Y"),1,0)</f>
        <v/>
      </c>
      <c r="K314" s="8">
        <f>IF(AND(Applicant_List!BJ315="Y",Applicant_List!BM315="Y",Applicant_List!BK315&lt;&gt;"Y"),1,0)</f>
        <v/>
      </c>
      <c r="L314" s="8">
        <f>IF(OR(Applicant_List!BN315="Y",Applicant_List!BK315="Y"),1,0)</f>
        <v/>
      </c>
      <c r="M314" s="8">
        <f>COUNTIF(Applicant_List!AI315:BM315,"N")+COUNTBLANK(Applicant_List!AI315:BM315)</f>
        <v/>
      </c>
      <c r="N314" s="8">
        <f>MAX(E314:J314)</f>
        <v/>
      </c>
      <c r="O314" s="8">
        <f>IF(Applicant_List!BP315="Y",100000,0)+IF(ISNUMBER(Applicant_List!BO315),50000-INT(Applicant_List!BO315),0)+IF(LEN(Applicant_List!L315)&gt;0,1000,0)</f>
        <v/>
      </c>
      <c r="P314" s="8">
        <f>IF(D314,"Terminal",IF(N314=1,"Blocked",IF(K314=1,"Determination Notice",IF(L314=1,"Board","Under Review"))))</f>
        <v/>
      </c>
      <c r="Q314" s="8">
        <f>IF(Applicant_List!L315="Closed","Closed",IF(OR(Applicant_List!L315="Withdrawn",Applicant_List!L315="Terminated"),Applicant_List!L315,IF(N314=1,"No Advancement",IF(K314=1,"Determination Notice Issued",IF(L314=1,"Board","Under Review")))))</f>
        <v/>
      </c>
    </row>
    <row r="315">
      <c r="A315" s="8">
        <f>Applicant_List!C316</f>
        <v/>
      </c>
      <c r="B315" s="8">
        <f>Applicant_List!E316</f>
        <v/>
      </c>
      <c r="C315" s="8">
        <f>Applicant_List!L316</f>
        <v/>
      </c>
      <c r="D315" s="8">
        <f>OR(Applicant_List!L316="Closed",Applicant_List!L316="Withdrawn",Applicant_List!L316="Terminated")</f>
        <v/>
      </c>
      <c r="E315" s="8">
        <f>IF(OR(Applicant_List!AI316="N",Applicant_List!AI316=""),1,0)</f>
        <v/>
      </c>
      <c r="F315" s="8">
        <f>IF(OR(Applicant_List!AK316="N",Applicant_List!AK316="",Applicant_List!AL316="N",Applicant_List!AL316=""),1,0)</f>
        <v/>
      </c>
      <c r="G315" s="8">
        <f>IF(OR(Applicant_List!AM316="N",Applicant_List!AM316=""),1,0)</f>
        <v/>
      </c>
      <c r="H315" s="8">
        <f>IF(OR(Applicant_List!AX316="Y",AND(Applicant_List!AS316="Y",Applicant_List!AV316&lt;&gt;"Y")),1,0)</f>
        <v/>
      </c>
      <c r="I315" s="8">
        <f>IF(OR(Applicant_List!AZ316="N",Applicant_List!AZ316="",Applicant_List!BA316="N",Applicant_List!BA316=""),1,0)</f>
        <v/>
      </c>
      <c r="J315" s="8">
        <f>IF(OR(Applicant_List!BB316="N",Applicant_List!BB316="",Applicant_List!BC316="N",Applicant_List!BE316="Y",Applicant_List!BL316="Y"),1,0)</f>
        <v/>
      </c>
      <c r="K315" s="8">
        <f>IF(AND(Applicant_List!BJ316="Y",Applicant_List!BM316="Y",Applicant_List!BK316&lt;&gt;"Y"),1,0)</f>
        <v/>
      </c>
      <c r="L315" s="8">
        <f>IF(OR(Applicant_List!BN316="Y",Applicant_List!BK316="Y"),1,0)</f>
        <v/>
      </c>
      <c r="M315" s="8">
        <f>COUNTIF(Applicant_List!AI316:BM316,"N")+COUNTBLANK(Applicant_List!AI316:BM316)</f>
        <v/>
      </c>
      <c r="N315" s="8">
        <f>MAX(E315:J315)</f>
        <v/>
      </c>
      <c r="O315" s="8">
        <f>IF(Applicant_List!BP316="Y",100000,0)+IF(ISNUMBER(Applicant_List!BO316),50000-INT(Applicant_List!BO316),0)+IF(LEN(Applicant_List!L316)&gt;0,1000,0)</f>
        <v/>
      </c>
      <c r="P315" s="8">
        <f>IF(D315,"Terminal",IF(N315=1,"Blocked",IF(K315=1,"Determination Notice",IF(L315=1,"Board","Under Review"))))</f>
        <v/>
      </c>
      <c r="Q315" s="8">
        <f>IF(Applicant_List!L316="Closed","Closed",IF(OR(Applicant_List!L316="Withdrawn",Applicant_List!L316="Terminated"),Applicant_List!L316,IF(N315=1,"No Advancement",IF(K315=1,"Determination Notice Issued",IF(L315=1,"Board","Under Review")))))</f>
        <v/>
      </c>
    </row>
    <row r="316">
      <c r="A316" s="8">
        <f>Applicant_List!C317</f>
        <v/>
      </c>
      <c r="B316" s="8">
        <f>Applicant_List!E317</f>
        <v/>
      </c>
      <c r="C316" s="8">
        <f>Applicant_List!L317</f>
        <v/>
      </c>
      <c r="D316" s="8">
        <f>OR(Applicant_List!L317="Closed",Applicant_List!L317="Withdrawn",Applicant_List!L317="Terminated")</f>
        <v/>
      </c>
      <c r="E316" s="8">
        <f>IF(OR(Applicant_List!AI317="N",Applicant_List!AI317=""),1,0)</f>
        <v/>
      </c>
      <c r="F316" s="8">
        <f>IF(OR(Applicant_List!AK317="N",Applicant_List!AK317="",Applicant_List!AL317="N",Applicant_List!AL317=""),1,0)</f>
        <v/>
      </c>
      <c r="G316" s="8">
        <f>IF(OR(Applicant_List!AM317="N",Applicant_List!AM317=""),1,0)</f>
        <v/>
      </c>
      <c r="H316" s="8">
        <f>IF(OR(Applicant_List!AX317="Y",AND(Applicant_List!AS317="Y",Applicant_List!AV317&lt;&gt;"Y")),1,0)</f>
        <v/>
      </c>
      <c r="I316" s="8">
        <f>IF(OR(Applicant_List!AZ317="N",Applicant_List!AZ317="",Applicant_List!BA317="N",Applicant_List!BA317=""),1,0)</f>
        <v/>
      </c>
      <c r="J316" s="8">
        <f>IF(OR(Applicant_List!BB317="N",Applicant_List!BB317="",Applicant_List!BC317="N",Applicant_List!BE317="Y",Applicant_List!BL317="Y"),1,0)</f>
        <v/>
      </c>
      <c r="K316" s="8">
        <f>IF(AND(Applicant_List!BJ317="Y",Applicant_List!BM317="Y",Applicant_List!BK317&lt;&gt;"Y"),1,0)</f>
        <v/>
      </c>
      <c r="L316" s="8">
        <f>IF(OR(Applicant_List!BN317="Y",Applicant_List!BK317="Y"),1,0)</f>
        <v/>
      </c>
      <c r="M316" s="8">
        <f>COUNTIF(Applicant_List!AI317:BM317,"N")+COUNTBLANK(Applicant_List!AI317:BM317)</f>
        <v/>
      </c>
      <c r="N316" s="8">
        <f>MAX(E316:J316)</f>
        <v/>
      </c>
      <c r="O316" s="8">
        <f>IF(Applicant_List!BP317="Y",100000,0)+IF(ISNUMBER(Applicant_List!BO317),50000-INT(Applicant_List!BO317),0)+IF(LEN(Applicant_List!L317)&gt;0,1000,0)</f>
        <v/>
      </c>
      <c r="P316" s="8">
        <f>IF(D316,"Terminal",IF(N316=1,"Blocked",IF(K316=1,"Determination Notice",IF(L316=1,"Board","Under Review"))))</f>
        <v/>
      </c>
      <c r="Q316" s="8">
        <f>IF(Applicant_List!L317="Closed","Closed",IF(OR(Applicant_List!L317="Withdrawn",Applicant_List!L317="Terminated"),Applicant_List!L317,IF(N316=1,"No Advancement",IF(K316=1,"Determination Notice Issued",IF(L316=1,"Board","Under Review")))))</f>
        <v/>
      </c>
    </row>
    <row r="317">
      <c r="A317" s="8">
        <f>Applicant_List!C318</f>
        <v/>
      </c>
      <c r="B317" s="8">
        <f>Applicant_List!E318</f>
        <v/>
      </c>
      <c r="C317" s="8">
        <f>Applicant_List!L318</f>
        <v/>
      </c>
      <c r="D317" s="8">
        <f>OR(Applicant_List!L318="Closed",Applicant_List!L318="Withdrawn",Applicant_List!L318="Terminated")</f>
        <v/>
      </c>
      <c r="E317" s="8">
        <f>IF(OR(Applicant_List!AI318="N",Applicant_List!AI318=""),1,0)</f>
        <v/>
      </c>
      <c r="F317" s="8">
        <f>IF(OR(Applicant_List!AK318="N",Applicant_List!AK318="",Applicant_List!AL318="N",Applicant_List!AL318=""),1,0)</f>
        <v/>
      </c>
      <c r="G317" s="8">
        <f>IF(OR(Applicant_List!AM318="N",Applicant_List!AM318=""),1,0)</f>
        <v/>
      </c>
      <c r="H317" s="8">
        <f>IF(OR(Applicant_List!AX318="Y",AND(Applicant_List!AS318="Y",Applicant_List!AV318&lt;&gt;"Y")),1,0)</f>
        <v/>
      </c>
      <c r="I317" s="8">
        <f>IF(OR(Applicant_List!AZ318="N",Applicant_List!AZ318="",Applicant_List!BA318="N",Applicant_List!BA318=""),1,0)</f>
        <v/>
      </c>
      <c r="J317" s="8">
        <f>IF(OR(Applicant_List!BB318="N",Applicant_List!BB318="",Applicant_List!BC318="N",Applicant_List!BE318="Y",Applicant_List!BL318="Y"),1,0)</f>
        <v/>
      </c>
      <c r="K317" s="8">
        <f>IF(AND(Applicant_List!BJ318="Y",Applicant_List!BM318="Y",Applicant_List!BK318&lt;&gt;"Y"),1,0)</f>
        <v/>
      </c>
      <c r="L317" s="8">
        <f>IF(OR(Applicant_List!BN318="Y",Applicant_List!BK318="Y"),1,0)</f>
        <v/>
      </c>
      <c r="M317" s="8">
        <f>COUNTIF(Applicant_List!AI318:BM318,"N")+COUNTBLANK(Applicant_List!AI318:BM318)</f>
        <v/>
      </c>
      <c r="N317" s="8">
        <f>MAX(E317:J317)</f>
        <v/>
      </c>
      <c r="O317" s="8">
        <f>IF(Applicant_List!BP318="Y",100000,0)+IF(ISNUMBER(Applicant_List!BO318),50000-INT(Applicant_List!BO318),0)+IF(LEN(Applicant_List!L318)&gt;0,1000,0)</f>
        <v/>
      </c>
      <c r="P317" s="8">
        <f>IF(D317,"Terminal",IF(N317=1,"Blocked",IF(K317=1,"Determination Notice",IF(L317=1,"Board","Under Review"))))</f>
        <v/>
      </c>
      <c r="Q317" s="8">
        <f>IF(Applicant_List!L318="Closed","Closed",IF(OR(Applicant_List!L318="Withdrawn",Applicant_List!L318="Terminated"),Applicant_List!L318,IF(N317=1,"No Advancement",IF(K317=1,"Determination Notice Issued",IF(L317=1,"Board","Under Review")))))</f>
        <v/>
      </c>
    </row>
    <row r="318">
      <c r="A318" s="8">
        <f>Applicant_List!C319</f>
        <v/>
      </c>
      <c r="B318" s="8">
        <f>Applicant_List!E319</f>
        <v/>
      </c>
      <c r="C318" s="8">
        <f>Applicant_List!L319</f>
        <v/>
      </c>
      <c r="D318" s="8">
        <f>OR(Applicant_List!L319="Closed",Applicant_List!L319="Withdrawn",Applicant_List!L319="Terminated")</f>
        <v/>
      </c>
      <c r="E318" s="8">
        <f>IF(OR(Applicant_List!AI319="N",Applicant_List!AI319=""),1,0)</f>
        <v/>
      </c>
      <c r="F318" s="8">
        <f>IF(OR(Applicant_List!AK319="N",Applicant_List!AK319="",Applicant_List!AL319="N",Applicant_List!AL319=""),1,0)</f>
        <v/>
      </c>
      <c r="G318" s="8">
        <f>IF(OR(Applicant_List!AM319="N",Applicant_List!AM319=""),1,0)</f>
        <v/>
      </c>
      <c r="H318" s="8">
        <f>IF(OR(Applicant_List!AX319="Y",AND(Applicant_List!AS319="Y",Applicant_List!AV319&lt;&gt;"Y")),1,0)</f>
        <v/>
      </c>
      <c r="I318" s="8">
        <f>IF(OR(Applicant_List!AZ319="N",Applicant_List!AZ319="",Applicant_List!BA319="N",Applicant_List!BA319=""),1,0)</f>
        <v/>
      </c>
      <c r="J318" s="8">
        <f>IF(OR(Applicant_List!BB319="N",Applicant_List!BB319="",Applicant_List!BC319="N",Applicant_List!BE319="Y",Applicant_List!BL319="Y"),1,0)</f>
        <v/>
      </c>
      <c r="K318" s="8">
        <f>IF(AND(Applicant_List!BJ319="Y",Applicant_List!BM319="Y",Applicant_List!BK319&lt;&gt;"Y"),1,0)</f>
        <v/>
      </c>
      <c r="L318" s="8">
        <f>IF(OR(Applicant_List!BN319="Y",Applicant_List!BK319="Y"),1,0)</f>
        <v/>
      </c>
      <c r="M318" s="8">
        <f>COUNTIF(Applicant_List!AI319:BM319,"N")+COUNTBLANK(Applicant_List!AI319:BM319)</f>
        <v/>
      </c>
      <c r="N318" s="8">
        <f>MAX(E318:J318)</f>
        <v/>
      </c>
      <c r="O318" s="8">
        <f>IF(Applicant_List!BP319="Y",100000,0)+IF(ISNUMBER(Applicant_List!BO319),50000-INT(Applicant_List!BO319),0)+IF(LEN(Applicant_List!L319)&gt;0,1000,0)</f>
        <v/>
      </c>
      <c r="P318" s="8">
        <f>IF(D318,"Terminal",IF(N318=1,"Blocked",IF(K318=1,"Determination Notice",IF(L318=1,"Board","Under Review"))))</f>
        <v/>
      </c>
      <c r="Q318" s="8">
        <f>IF(Applicant_List!L319="Closed","Closed",IF(OR(Applicant_List!L319="Withdrawn",Applicant_List!L319="Terminated"),Applicant_List!L319,IF(N318=1,"No Advancement",IF(K318=1,"Determination Notice Issued",IF(L318=1,"Board","Under Review")))))</f>
        <v/>
      </c>
    </row>
    <row r="319">
      <c r="A319" s="8">
        <f>Applicant_List!C320</f>
        <v/>
      </c>
      <c r="B319" s="8">
        <f>Applicant_List!E320</f>
        <v/>
      </c>
      <c r="C319" s="8">
        <f>Applicant_List!L320</f>
        <v/>
      </c>
      <c r="D319" s="8">
        <f>OR(Applicant_List!L320="Closed",Applicant_List!L320="Withdrawn",Applicant_List!L320="Terminated")</f>
        <v/>
      </c>
      <c r="E319" s="8">
        <f>IF(OR(Applicant_List!AI320="N",Applicant_List!AI320=""),1,0)</f>
        <v/>
      </c>
      <c r="F319" s="8">
        <f>IF(OR(Applicant_List!AK320="N",Applicant_List!AK320="",Applicant_List!AL320="N",Applicant_List!AL320=""),1,0)</f>
        <v/>
      </c>
      <c r="G319" s="8">
        <f>IF(OR(Applicant_List!AM320="N",Applicant_List!AM320=""),1,0)</f>
        <v/>
      </c>
      <c r="H319" s="8">
        <f>IF(OR(Applicant_List!AX320="Y",AND(Applicant_List!AS320="Y",Applicant_List!AV320&lt;&gt;"Y")),1,0)</f>
        <v/>
      </c>
      <c r="I319" s="8">
        <f>IF(OR(Applicant_List!AZ320="N",Applicant_List!AZ320="",Applicant_List!BA320="N",Applicant_List!BA320=""),1,0)</f>
        <v/>
      </c>
      <c r="J319" s="8">
        <f>IF(OR(Applicant_List!BB320="N",Applicant_List!BB320="",Applicant_List!BC320="N",Applicant_List!BE320="Y",Applicant_List!BL320="Y"),1,0)</f>
        <v/>
      </c>
      <c r="K319" s="8">
        <f>IF(AND(Applicant_List!BJ320="Y",Applicant_List!BM320="Y",Applicant_List!BK320&lt;&gt;"Y"),1,0)</f>
        <v/>
      </c>
      <c r="L319" s="8">
        <f>IF(OR(Applicant_List!BN320="Y",Applicant_List!BK320="Y"),1,0)</f>
        <v/>
      </c>
      <c r="M319" s="8">
        <f>COUNTIF(Applicant_List!AI320:BM320,"N")+COUNTBLANK(Applicant_List!AI320:BM320)</f>
        <v/>
      </c>
      <c r="N319" s="8">
        <f>MAX(E319:J319)</f>
        <v/>
      </c>
      <c r="O319" s="8">
        <f>IF(Applicant_List!BP320="Y",100000,0)+IF(ISNUMBER(Applicant_List!BO320),50000-INT(Applicant_List!BO320),0)+IF(LEN(Applicant_List!L320)&gt;0,1000,0)</f>
        <v/>
      </c>
      <c r="P319" s="8">
        <f>IF(D319,"Terminal",IF(N319=1,"Blocked",IF(K319=1,"Determination Notice",IF(L319=1,"Board","Under Review"))))</f>
        <v/>
      </c>
      <c r="Q319" s="8">
        <f>IF(Applicant_List!L320="Closed","Closed",IF(OR(Applicant_List!L320="Withdrawn",Applicant_List!L320="Terminated"),Applicant_List!L320,IF(N319=1,"No Advancement",IF(K319=1,"Determination Notice Issued",IF(L319=1,"Board","Under Review")))))</f>
        <v/>
      </c>
    </row>
    <row r="320">
      <c r="A320" s="8">
        <f>Applicant_List!C321</f>
        <v/>
      </c>
      <c r="B320" s="8">
        <f>Applicant_List!E321</f>
        <v/>
      </c>
      <c r="C320" s="8">
        <f>Applicant_List!L321</f>
        <v/>
      </c>
      <c r="D320" s="8">
        <f>OR(Applicant_List!L321="Closed",Applicant_List!L321="Withdrawn",Applicant_List!L321="Terminated")</f>
        <v/>
      </c>
      <c r="E320" s="8">
        <f>IF(OR(Applicant_List!AI321="N",Applicant_List!AI321=""),1,0)</f>
        <v/>
      </c>
      <c r="F320" s="8">
        <f>IF(OR(Applicant_List!AK321="N",Applicant_List!AK321="",Applicant_List!AL321="N",Applicant_List!AL321=""),1,0)</f>
        <v/>
      </c>
      <c r="G320" s="8">
        <f>IF(OR(Applicant_List!AM321="N",Applicant_List!AM321=""),1,0)</f>
        <v/>
      </c>
      <c r="H320" s="8">
        <f>IF(OR(Applicant_List!AX321="Y",AND(Applicant_List!AS321="Y",Applicant_List!AV321&lt;&gt;"Y")),1,0)</f>
        <v/>
      </c>
      <c r="I320" s="8">
        <f>IF(OR(Applicant_List!AZ321="N",Applicant_List!AZ321="",Applicant_List!BA321="N",Applicant_List!BA321=""),1,0)</f>
        <v/>
      </c>
      <c r="J320" s="8">
        <f>IF(OR(Applicant_List!BB321="N",Applicant_List!BB321="",Applicant_List!BC321="N",Applicant_List!BE321="Y",Applicant_List!BL321="Y"),1,0)</f>
        <v/>
      </c>
      <c r="K320" s="8">
        <f>IF(AND(Applicant_List!BJ321="Y",Applicant_List!BM321="Y",Applicant_List!BK321&lt;&gt;"Y"),1,0)</f>
        <v/>
      </c>
      <c r="L320" s="8">
        <f>IF(OR(Applicant_List!BN321="Y",Applicant_List!BK321="Y"),1,0)</f>
        <v/>
      </c>
      <c r="M320" s="8">
        <f>COUNTIF(Applicant_List!AI321:BM321,"N")+COUNTBLANK(Applicant_List!AI321:BM321)</f>
        <v/>
      </c>
      <c r="N320" s="8">
        <f>MAX(E320:J320)</f>
        <v/>
      </c>
      <c r="O320" s="8">
        <f>IF(Applicant_List!BP321="Y",100000,0)+IF(ISNUMBER(Applicant_List!BO321),50000-INT(Applicant_List!BO321),0)+IF(LEN(Applicant_List!L321)&gt;0,1000,0)</f>
        <v/>
      </c>
      <c r="P320" s="8">
        <f>IF(D320,"Terminal",IF(N320=1,"Blocked",IF(K320=1,"Determination Notice",IF(L320=1,"Board","Under Review"))))</f>
        <v/>
      </c>
      <c r="Q320" s="8">
        <f>IF(Applicant_List!L321="Closed","Closed",IF(OR(Applicant_List!L321="Withdrawn",Applicant_List!L321="Terminated"),Applicant_List!L321,IF(N320=1,"No Advancement",IF(K320=1,"Determination Notice Issued",IF(L320=1,"Board","Under Review")))))</f>
        <v/>
      </c>
    </row>
    <row r="321">
      <c r="A321" s="8">
        <f>Applicant_List!C322</f>
        <v/>
      </c>
      <c r="B321" s="8">
        <f>Applicant_List!E322</f>
        <v/>
      </c>
      <c r="C321" s="8">
        <f>Applicant_List!L322</f>
        <v/>
      </c>
      <c r="D321" s="8">
        <f>OR(Applicant_List!L322="Closed",Applicant_List!L322="Withdrawn",Applicant_List!L322="Terminated")</f>
        <v/>
      </c>
      <c r="E321" s="8">
        <f>IF(OR(Applicant_List!AI322="N",Applicant_List!AI322=""),1,0)</f>
        <v/>
      </c>
      <c r="F321" s="8">
        <f>IF(OR(Applicant_List!AK322="N",Applicant_List!AK322="",Applicant_List!AL322="N",Applicant_List!AL322=""),1,0)</f>
        <v/>
      </c>
      <c r="G321" s="8">
        <f>IF(OR(Applicant_List!AM322="N",Applicant_List!AM322=""),1,0)</f>
        <v/>
      </c>
      <c r="H321" s="8">
        <f>IF(OR(Applicant_List!AX322="Y",AND(Applicant_List!AS322="Y",Applicant_List!AV322&lt;&gt;"Y")),1,0)</f>
        <v/>
      </c>
      <c r="I321" s="8">
        <f>IF(OR(Applicant_List!AZ322="N",Applicant_List!AZ322="",Applicant_List!BA322="N",Applicant_List!BA322=""),1,0)</f>
        <v/>
      </c>
      <c r="J321" s="8">
        <f>IF(OR(Applicant_List!BB322="N",Applicant_List!BB322="",Applicant_List!BC322="N",Applicant_List!BE322="Y",Applicant_List!BL322="Y"),1,0)</f>
        <v/>
      </c>
      <c r="K321" s="8">
        <f>IF(AND(Applicant_List!BJ322="Y",Applicant_List!BM322="Y",Applicant_List!BK322&lt;&gt;"Y"),1,0)</f>
        <v/>
      </c>
      <c r="L321" s="8">
        <f>IF(OR(Applicant_List!BN322="Y",Applicant_List!BK322="Y"),1,0)</f>
        <v/>
      </c>
      <c r="M321" s="8">
        <f>COUNTIF(Applicant_List!AI322:BM322,"N")+COUNTBLANK(Applicant_List!AI322:BM322)</f>
        <v/>
      </c>
      <c r="N321" s="8">
        <f>MAX(E321:J321)</f>
        <v/>
      </c>
      <c r="O321" s="8">
        <f>IF(Applicant_List!BP322="Y",100000,0)+IF(ISNUMBER(Applicant_List!BO322),50000-INT(Applicant_List!BO322),0)+IF(LEN(Applicant_List!L322)&gt;0,1000,0)</f>
        <v/>
      </c>
      <c r="P321" s="8">
        <f>IF(D321,"Terminal",IF(N321=1,"Blocked",IF(K321=1,"Determination Notice",IF(L321=1,"Board","Under Review"))))</f>
        <v/>
      </c>
      <c r="Q321" s="8">
        <f>IF(Applicant_List!L322="Closed","Closed",IF(OR(Applicant_List!L322="Withdrawn",Applicant_List!L322="Terminated"),Applicant_List!L322,IF(N321=1,"No Advancement",IF(K321=1,"Determination Notice Issued",IF(L321=1,"Board","Under Review")))))</f>
        <v/>
      </c>
    </row>
    <row r="322">
      <c r="A322" s="8">
        <f>Applicant_List!C323</f>
        <v/>
      </c>
      <c r="B322" s="8">
        <f>Applicant_List!E323</f>
        <v/>
      </c>
      <c r="C322" s="8">
        <f>Applicant_List!L323</f>
        <v/>
      </c>
      <c r="D322" s="8">
        <f>OR(Applicant_List!L323="Closed",Applicant_List!L323="Withdrawn",Applicant_List!L323="Terminated")</f>
        <v/>
      </c>
      <c r="E322" s="8">
        <f>IF(OR(Applicant_List!AI323="N",Applicant_List!AI323=""),1,0)</f>
        <v/>
      </c>
      <c r="F322" s="8">
        <f>IF(OR(Applicant_List!AK323="N",Applicant_List!AK323="",Applicant_List!AL323="N",Applicant_List!AL323=""),1,0)</f>
        <v/>
      </c>
      <c r="G322" s="8">
        <f>IF(OR(Applicant_List!AM323="N",Applicant_List!AM323=""),1,0)</f>
        <v/>
      </c>
      <c r="H322" s="8">
        <f>IF(OR(Applicant_List!AX323="Y",AND(Applicant_List!AS323="Y",Applicant_List!AV323&lt;&gt;"Y")),1,0)</f>
        <v/>
      </c>
      <c r="I322" s="8">
        <f>IF(OR(Applicant_List!AZ323="N",Applicant_List!AZ323="",Applicant_List!BA323="N",Applicant_List!BA323=""),1,0)</f>
        <v/>
      </c>
      <c r="J322" s="8">
        <f>IF(OR(Applicant_List!BB323="N",Applicant_List!BB323="",Applicant_List!BC323="N",Applicant_List!BE323="Y",Applicant_List!BL323="Y"),1,0)</f>
        <v/>
      </c>
      <c r="K322" s="8">
        <f>IF(AND(Applicant_List!BJ323="Y",Applicant_List!BM323="Y",Applicant_List!BK323&lt;&gt;"Y"),1,0)</f>
        <v/>
      </c>
      <c r="L322" s="8">
        <f>IF(OR(Applicant_List!BN323="Y",Applicant_List!BK323="Y"),1,0)</f>
        <v/>
      </c>
      <c r="M322" s="8">
        <f>COUNTIF(Applicant_List!AI323:BM323,"N")+COUNTBLANK(Applicant_List!AI323:BM323)</f>
        <v/>
      </c>
      <c r="N322" s="8">
        <f>MAX(E322:J322)</f>
        <v/>
      </c>
      <c r="O322" s="8">
        <f>IF(Applicant_List!BP323="Y",100000,0)+IF(ISNUMBER(Applicant_List!BO323),50000-INT(Applicant_List!BO323),0)+IF(LEN(Applicant_List!L323)&gt;0,1000,0)</f>
        <v/>
      </c>
      <c r="P322" s="8">
        <f>IF(D322,"Terminal",IF(N322=1,"Blocked",IF(K322=1,"Determination Notice",IF(L322=1,"Board","Under Review"))))</f>
        <v/>
      </c>
      <c r="Q322" s="8">
        <f>IF(Applicant_List!L323="Closed","Closed",IF(OR(Applicant_List!L323="Withdrawn",Applicant_List!L323="Terminated"),Applicant_List!L323,IF(N322=1,"No Advancement",IF(K322=1,"Determination Notice Issued",IF(L322=1,"Board","Under Review")))))</f>
        <v/>
      </c>
    </row>
    <row r="323">
      <c r="A323" s="8">
        <f>Applicant_List!C324</f>
        <v/>
      </c>
      <c r="B323" s="8">
        <f>Applicant_List!E324</f>
        <v/>
      </c>
      <c r="C323" s="8">
        <f>Applicant_List!L324</f>
        <v/>
      </c>
      <c r="D323" s="8">
        <f>OR(Applicant_List!L324="Closed",Applicant_List!L324="Withdrawn",Applicant_List!L324="Terminated")</f>
        <v/>
      </c>
      <c r="E323" s="8">
        <f>IF(OR(Applicant_List!AI324="N",Applicant_List!AI324=""),1,0)</f>
        <v/>
      </c>
      <c r="F323" s="8">
        <f>IF(OR(Applicant_List!AK324="N",Applicant_List!AK324="",Applicant_List!AL324="N",Applicant_List!AL324=""),1,0)</f>
        <v/>
      </c>
      <c r="G323" s="8">
        <f>IF(OR(Applicant_List!AM324="N",Applicant_List!AM324=""),1,0)</f>
        <v/>
      </c>
      <c r="H323" s="8">
        <f>IF(OR(Applicant_List!AX324="Y",AND(Applicant_List!AS324="Y",Applicant_List!AV324&lt;&gt;"Y")),1,0)</f>
        <v/>
      </c>
      <c r="I323" s="8">
        <f>IF(OR(Applicant_List!AZ324="N",Applicant_List!AZ324="",Applicant_List!BA324="N",Applicant_List!BA324=""),1,0)</f>
        <v/>
      </c>
      <c r="J323" s="8">
        <f>IF(OR(Applicant_List!BB324="N",Applicant_List!BB324="",Applicant_List!BC324="N",Applicant_List!BE324="Y",Applicant_List!BL324="Y"),1,0)</f>
        <v/>
      </c>
      <c r="K323" s="8">
        <f>IF(AND(Applicant_List!BJ324="Y",Applicant_List!BM324="Y",Applicant_List!BK324&lt;&gt;"Y"),1,0)</f>
        <v/>
      </c>
      <c r="L323" s="8">
        <f>IF(OR(Applicant_List!BN324="Y",Applicant_List!BK324="Y"),1,0)</f>
        <v/>
      </c>
      <c r="M323" s="8">
        <f>COUNTIF(Applicant_List!AI324:BM324,"N")+COUNTBLANK(Applicant_List!AI324:BM324)</f>
        <v/>
      </c>
      <c r="N323" s="8">
        <f>MAX(E323:J323)</f>
        <v/>
      </c>
      <c r="O323" s="8">
        <f>IF(Applicant_List!BP324="Y",100000,0)+IF(ISNUMBER(Applicant_List!BO324),50000-INT(Applicant_List!BO324),0)+IF(LEN(Applicant_List!L324)&gt;0,1000,0)</f>
        <v/>
      </c>
      <c r="P323" s="8">
        <f>IF(D323,"Terminal",IF(N323=1,"Blocked",IF(K323=1,"Determination Notice",IF(L323=1,"Board","Under Review"))))</f>
        <v/>
      </c>
      <c r="Q323" s="8">
        <f>IF(Applicant_List!L324="Closed","Closed",IF(OR(Applicant_List!L324="Withdrawn",Applicant_List!L324="Terminated"),Applicant_List!L324,IF(N323=1,"No Advancement",IF(K323=1,"Determination Notice Issued",IF(L323=1,"Board","Under Review")))))</f>
        <v/>
      </c>
    </row>
    <row r="324">
      <c r="A324" s="8">
        <f>Applicant_List!C325</f>
        <v/>
      </c>
      <c r="B324" s="8">
        <f>Applicant_List!E325</f>
        <v/>
      </c>
      <c r="C324" s="8">
        <f>Applicant_List!L325</f>
        <v/>
      </c>
      <c r="D324" s="8">
        <f>OR(Applicant_List!L325="Closed",Applicant_List!L325="Withdrawn",Applicant_List!L325="Terminated")</f>
        <v/>
      </c>
      <c r="E324" s="8">
        <f>IF(OR(Applicant_List!AI325="N",Applicant_List!AI325=""),1,0)</f>
        <v/>
      </c>
      <c r="F324" s="8">
        <f>IF(OR(Applicant_List!AK325="N",Applicant_List!AK325="",Applicant_List!AL325="N",Applicant_List!AL325=""),1,0)</f>
        <v/>
      </c>
      <c r="G324" s="8">
        <f>IF(OR(Applicant_List!AM325="N",Applicant_List!AM325=""),1,0)</f>
        <v/>
      </c>
      <c r="H324" s="8">
        <f>IF(OR(Applicant_List!AX325="Y",AND(Applicant_List!AS325="Y",Applicant_List!AV325&lt;&gt;"Y")),1,0)</f>
        <v/>
      </c>
      <c r="I324" s="8">
        <f>IF(OR(Applicant_List!AZ325="N",Applicant_List!AZ325="",Applicant_List!BA325="N",Applicant_List!BA325=""),1,0)</f>
        <v/>
      </c>
      <c r="J324" s="8">
        <f>IF(OR(Applicant_List!BB325="N",Applicant_List!BB325="",Applicant_List!BC325="N",Applicant_List!BE325="Y",Applicant_List!BL325="Y"),1,0)</f>
        <v/>
      </c>
      <c r="K324" s="8">
        <f>IF(AND(Applicant_List!BJ325="Y",Applicant_List!BM325="Y",Applicant_List!BK325&lt;&gt;"Y"),1,0)</f>
        <v/>
      </c>
      <c r="L324" s="8">
        <f>IF(OR(Applicant_List!BN325="Y",Applicant_List!BK325="Y"),1,0)</f>
        <v/>
      </c>
      <c r="M324" s="8">
        <f>COUNTIF(Applicant_List!AI325:BM325,"N")+COUNTBLANK(Applicant_List!AI325:BM325)</f>
        <v/>
      </c>
      <c r="N324" s="8">
        <f>MAX(E324:J324)</f>
        <v/>
      </c>
      <c r="O324" s="8">
        <f>IF(Applicant_List!BP325="Y",100000,0)+IF(ISNUMBER(Applicant_List!BO325),50000-INT(Applicant_List!BO325),0)+IF(LEN(Applicant_List!L325)&gt;0,1000,0)</f>
        <v/>
      </c>
      <c r="P324" s="8">
        <f>IF(D324,"Terminal",IF(N324=1,"Blocked",IF(K324=1,"Determination Notice",IF(L324=1,"Board","Under Review"))))</f>
        <v/>
      </c>
      <c r="Q324" s="8">
        <f>IF(Applicant_List!L325="Closed","Closed",IF(OR(Applicant_List!L325="Withdrawn",Applicant_List!L325="Terminated"),Applicant_List!L325,IF(N324=1,"No Advancement",IF(K324=1,"Determination Notice Issued",IF(L324=1,"Board","Under Review")))))</f>
        <v/>
      </c>
    </row>
    <row r="325">
      <c r="A325" s="8">
        <f>Applicant_List!C326</f>
        <v/>
      </c>
      <c r="B325" s="8">
        <f>Applicant_List!E326</f>
        <v/>
      </c>
      <c r="C325" s="8">
        <f>Applicant_List!L326</f>
        <v/>
      </c>
      <c r="D325" s="8">
        <f>OR(Applicant_List!L326="Closed",Applicant_List!L326="Withdrawn",Applicant_List!L326="Terminated")</f>
        <v/>
      </c>
      <c r="E325" s="8">
        <f>IF(OR(Applicant_List!AI326="N",Applicant_List!AI326=""),1,0)</f>
        <v/>
      </c>
      <c r="F325" s="8">
        <f>IF(OR(Applicant_List!AK326="N",Applicant_List!AK326="",Applicant_List!AL326="N",Applicant_List!AL326=""),1,0)</f>
        <v/>
      </c>
      <c r="G325" s="8">
        <f>IF(OR(Applicant_List!AM326="N",Applicant_List!AM326=""),1,0)</f>
        <v/>
      </c>
      <c r="H325" s="8">
        <f>IF(OR(Applicant_List!AX326="Y",AND(Applicant_List!AS326="Y",Applicant_List!AV326&lt;&gt;"Y")),1,0)</f>
        <v/>
      </c>
      <c r="I325" s="8">
        <f>IF(OR(Applicant_List!AZ326="N",Applicant_List!AZ326="",Applicant_List!BA326="N",Applicant_List!BA326=""),1,0)</f>
        <v/>
      </c>
      <c r="J325" s="8">
        <f>IF(OR(Applicant_List!BB326="N",Applicant_List!BB326="",Applicant_List!BC326="N",Applicant_List!BE326="Y",Applicant_List!BL326="Y"),1,0)</f>
        <v/>
      </c>
      <c r="K325" s="8">
        <f>IF(AND(Applicant_List!BJ326="Y",Applicant_List!BM326="Y",Applicant_List!BK326&lt;&gt;"Y"),1,0)</f>
        <v/>
      </c>
      <c r="L325" s="8">
        <f>IF(OR(Applicant_List!BN326="Y",Applicant_List!BK326="Y"),1,0)</f>
        <v/>
      </c>
      <c r="M325" s="8">
        <f>COUNTIF(Applicant_List!AI326:BM326,"N")+COUNTBLANK(Applicant_List!AI326:BM326)</f>
        <v/>
      </c>
      <c r="N325" s="8">
        <f>MAX(E325:J325)</f>
        <v/>
      </c>
      <c r="O325" s="8">
        <f>IF(Applicant_List!BP326="Y",100000,0)+IF(ISNUMBER(Applicant_List!BO326),50000-INT(Applicant_List!BO326),0)+IF(LEN(Applicant_List!L326)&gt;0,1000,0)</f>
        <v/>
      </c>
      <c r="P325" s="8">
        <f>IF(D325,"Terminal",IF(N325=1,"Blocked",IF(K325=1,"Determination Notice",IF(L325=1,"Board","Under Review"))))</f>
        <v/>
      </c>
      <c r="Q325" s="8">
        <f>IF(Applicant_List!L326="Closed","Closed",IF(OR(Applicant_List!L326="Withdrawn",Applicant_List!L326="Terminated"),Applicant_List!L326,IF(N325=1,"No Advancement",IF(K325=1,"Determination Notice Issued",IF(L325=1,"Board","Under Review")))))</f>
        <v/>
      </c>
    </row>
    <row r="326">
      <c r="A326" s="8">
        <f>Applicant_List!C327</f>
        <v/>
      </c>
      <c r="B326" s="8">
        <f>Applicant_List!E327</f>
        <v/>
      </c>
      <c r="C326" s="8">
        <f>Applicant_List!L327</f>
        <v/>
      </c>
      <c r="D326" s="8">
        <f>OR(Applicant_List!L327="Closed",Applicant_List!L327="Withdrawn",Applicant_List!L327="Terminated")</f>
        <v/>
      </c>
      <c r="E326" s="8">
        <f>IF(OR(Applicant_List!AI327="N",Applicant_List!AI327=""),1,0)</f>
        <v/>
      </c>
      <c r="F326" s="8">
        <f>IF(OR(Applicant_List!AK327="N",Applicant_List!AK327="",Applicant_List!AL327="N",Applicant_List!AL327=""),1,0)</f>
        <v/>
      </c>
      <c r="G326" s="8">
        <f>IF(OR(Applicant_List!AM327="N",Applicant_List!AM327=""),1,0)</f>
        <v/>
      </c>
      <c r="H326" s="8">
        <f>IF(OR(Applicant_List!AX327="Y",AND(Applicant_List!AS327="Y",Applicant_List!AV327&lt;&gt;"Y")),1,0)</f>
        <v/>
      </c>
      <c r="I326" s="8">
        <f>IF(OR(Applicant_List!AZ327="N",Applicant_List!AZ327="",Applicant_List!BA327="N",Applicant_List!BA327=""),1,0)</f>
        <v/>
      </c>
      <c r="J326" s="8">
        <f>IF(OR(Applicant_List!BB327="N",Applicant_List!BB327="",Applicant_List!BC327="N",Applicant_List!BE327="Y",Applicant_List!BL327="Y"),1,0)</f>
        <v/>
      </c>
      <c r="K326" s="8">
        <f>IF(AND(Applicant_List!BJ327="Y",Applicant_List!BM327="Y",Applicant_List!BK327&lt;&gt;"Y"),1,0)</f>
        <v/>
      </c>
      <c r="L326" s="8">
        <f>IF(OR(Applicant_List!BN327="Y",Applicant_List!BK327="Y"),1,0)</f>
        <v/>
      </c>
      <c r="M326" s="8">
        <f>COUNTIF(Applicant_List!AI327:BM327,"N")+COUNTBLANK(Applicant_List!AI327:BM327)</f>
        <v/>
      </c>
      <c r="N326" s="8">
        <f>MAX(E326:J326)</f>
        <v/>
      </c>
      <c r="O326" s="8">
        <f>IF(Applicant_List!BP327="Y",100000,0)+IF(ISNUMBER(Applicant_List!BO327),50000-INT(Applicant_List!BO327),0)+IF(LEN(Applicant_List!L327)&gt;0,1000,0)</f>
        <v/>
      </c>
      <c r="P326" s="8">
        <f>IF(D326,"Terminal",IF(N326=1,"Blocked",IF(K326=1,"Determination Notice",IF(L326=1,"Board","Under Review"))))</f>
        <v/>
      </c>
      <c r="Q326" s="8">
        <f>IF(Applicant_List!L327="Closed","Closed",IF(OR(Applicant_List!L327="Withdrawn",Applicant_List!L327="Terminated"),Applicant_List!L327,IF(N326=1,"No Advancement",IF(K326=1,"Determination Notice Issued",IF(L326=1,"Board","Under Review")))))</f>
        <v/>
      </c>
    </row>
    <row r="327">
      <c r="A327" s="8">
        <f>Applicant_List!C328</f>
        <v/>
      </c>
      <c r="B327" s="8">
        <f>Applicant_List!E328</f>
        <v/>
      </c>
      <c r="C327" s="8">
        <f>Applicant_List!L328</f>
        <v/>
      </c>
      <c r="D327" s="8">
        <f>OR(Applicant_List!L328="Closed",Applicant_List!L328="Withdrawn",Applicant_List!L328="Terminated")</f>
        <v/>
      </c>
      <c r="E327" s="8">
        <f>IF(OR(Applicant_List!AI328="N",Applicant_List!AI328=""),1,0)</f>
        <v/>
      </c>
      <c r="F327" s="8">
        <f>IF(OR(Applicant_List!AK328="N",Applicant_List!AK328="",Applicant_List!AL328="N",Applicant_List!AL328=""),1,0)</f>
        <v/>
      </c>
      <c r="G327" s="8">
        <f>IF(OR(Applicant_List!AM328="N",Applicant_List!AM328=""),1,0)</f>
        <v/>
      </c>
      <c r="H327" s="8">
        <f>IF(OR(Applicant_List!AX328="Y",AND(Applicant_List!AS328="Y",Applicant_List!AV328&lt;&gt;"Y")),1,0)</f>
        <v/>
      </c>
      <c r="I327" s="8">
        <f>IF(OR(Applicant_List!AZ328="N",Applicant_List!AZ328="",Applicant_List!BA328="N",Applicant_List!BA328=""),1,0)</f>
        <v/>
      </c>
      <c r="J327" s="8">
        <f>IF(OR(Applicant_List!BB328="N",Applicant_List!BB328="",Applicant_List!BC328="N",Applicant_List!BE328="Y",Applicant_List!BL328="Y"),1,0)</f>
        <v/>
      </c>
      <c r="K327" s="8">
        <f>IF(AND(Applicant_List!BJ328="Y",Applicant_List!BM328="Y",Applicant_List!BK328&lt;&gt;"Y"),1,0)</f>
        <v/>
      </c>
      <c r="L327" s="8">
        <f>IF(OR(Applicant_List!BN328="Y",Applicant_List!BK328="Y"),1,0)</f>
        <v/>
      </c>
      <c r="M327" s="8">
        <f>COUNTIF(Applicant_List!AI328:BM328,"N")+COUNTBLANK(Applicant_List!AI328:BM328)</f>
        <v/>
      </c>
      <c r="N327" s="8">
        <f>MAX(E327:J327)</f>
        <v/>
      </c>
      <c r="O327" s="8">
        <f>IF(Applicant_List!BP328="Y",100000,0)+IF(ISNUMBER(Applicant_List!BO328),50000-INT(Applicant_List!BO328),0)+IF(LEN(Applicant_List!L328)&gt;0,1000,0)</f>
        <v/>
      </c>
      <c r="P327" s="8">
        <f>IF(D327,"Terminal",IF(N327=1,"Blocked",IF(K327=1,"Determination Notice",IF(L327=1,"Board","Under Review"))))</f>
        <v/>
      </c>
      <c r="Q327" s="8">
        <f>IF(Applicant_List!L328="Closed","Closed",IF(OR(Applicant_List!L328="Withdrawn",Applicant_List!L328="Terminated"),Applicant_List!L328,IF(N327=1,"No Advancement",IF(K327=1,"Determination Notice Issued",IF(L327=1,"Board","Under Review")))))</f>
        <v/>
      </c>
    </row>
    <row r="328">
      <c r="A328" s="8">
        <f>Applicant_List!C329</f>
        <v/>
      </c>
      <c r="B328" s="8">
        <f>Applicant_List!E329</f>
        <v/>
      </c>
      <c r="C328" s="8">
        <f>Applicant_List!L329</f>
        <v/>
      </c>
      <c r="D328" s="8">
        <f>OR(Applicant_List!L329="Closed",Applicant_List!L329="Withdrawn",Applicant_List!L329="Terminated")</f>
        <v/>
      </c>
      <c r="E328" s="8">
        <f>IF(OR(Applicant_List!AI329="N",Applicant_List!AI329=""),1,0)</f>
        <v/>
      </c>
      <c r="F328" s="8">
        <f>IF(OR(Applicant_List!AK329="N",Applicant_List!AK329="",Applicant_List!AL329="N",Applicant_List!AL329=""),1,0)</f>
        <v/>
      </c>
      <c r="G328" s="8">
        <f>IF(OR(Applicant_List!AM329="N",Applicant_List!AM329=""),1,0)</f>
        <v/>
      </c>
      <c r="H328" s="8">
        <f>IF(OR(Applicant_List!AX329="Y",AND(Applicant_List!AS329="Y",Applicant_List!AV329&lt;&gt;"Y")),1,0)</f>
        <v/>
      </c>
      <c r="I328" s="8">
        <f>IF(OR(Applicant_List!AZ329="N",Applicant_List!AZ329="",Applicant_List!BA329="N",Applicant_List!BA329=""),1,0)</f>
        <v/>
      </c>
      <c r="J328" s="8">
        <f>IF(OR(Applicant_List!BB329="N",Applicant_List!BB329="",Applicant_List!BC329="N",Applicant_List!BE329="Y",Applicant_List!BL329="Y"),1,0)</f>
        <v/>
      </c>
      <c r="K328" s="8">
        <f>IF(AND(Applicant_List!BJ329="Y",Applicant_List!BM329="Y",Applicant_List!BK329&lt;&gt;"Y"),1,0)</f>
        <v/>
      </c>
      <c r="L328" s="8">
        <f>IF(OR(Applicant_List!BN329="Y",Applicant_List!BK329="Y"),1,0)</f>
        <v/>
      </c>
      <c r="M328" s="8">
        <f>COUNTIF(Applicant_List!AI329:BM329,"N")+COUNTBLANK(Applicant_List!AI329:BM329)</f>
        <v/>
      </c>
      <c r="N328" s="8">
        <f>MAX(E328:J328)</f>
        <v/>
      </c>
      <c r="O328" s="8">
        <f>IF(Applicant_List!BP329="Y",100000,0)+IF(ISNUMBER(Applicant_List!BO329),50000-INT(Applicant_List!BO329),0)+IF(LEN(Applicant_List!L329)&gt;0,1000,0)</f>
        <v/>
      </c>
      <c r="P328" s="8">
        <f>IF(D328,"Terminal",IF(N328=1,"Blocked",IF(K328=1,"Determination Notice",IF(L328=1,"Board","Under Review"))))</f>
        <v/>
      </c>
      <c r="Q328" s="8">
        <f>IF(Applicant_List!L329="Closed","Closed",IF(OR(Applicant_List!L329="Withdrawn",Applicant_List!L329="Terminated"),Applicant_List!L329,IF(N328=1,"No Advancement",IF(K328=1,"Determination Notice Issued",IF(L328=1,"Board","Under Review")))))</f>
        <v/>
      </c>
    </row>
    <row r="329">
      <c r="A329" s="8">
        <f>Applicant_List!C330</f>
        <v/>
      </c>
      <c r="B329" s="8">
        <f>Applicant_List!E330</f>
        <v/>
      </c>
      <c r="C329" s="8">
        <f>Applicant_List!L330</f>
        <v/>
      </c>
      <c r="D329" s="8">
        <f>OR(Applicant_List!L330="Closed",Applicant_List!L330="Withdrawn",Applicant_List!L330="Terminated")</f>
        <v/>
      </c>
      <c r="E329" s="8">
        <f>IF(OR(Applicant_List!AI330="N",Applicant_List!AI330=""),1,0)</f>
        <v/>
      </c>
      <c r="F329" s="8">
        <f>IF(OR(Applicant_List!AK330="N",Applicant_List!AK330="",Applicant_List!AL330="N",Applicant_List!AL330=""),1,0)</f>
        <v/>
      </c>
      <c r="G329" s="8">
        <f>IF(OR(Applicant_List!AM330="N",Applicant_List!AM330=""),1,0)</f>
        <v/>
      </c>
      <c r="H329" s="8">
        <f>IF(OR(Applicant_List!AX330="Y",AND(Applicant_List!AS330="Y",Applicant_List!AV330&lt;&gt;"Y")),1,0)</f>
        <v/>
      </c>
      <c r="I329" s="8">
        <f>IF(OR(Applicant_List!AZ330="N",Applicant_List!AZ330="",Applicant_List!BA330="N",Applicant_List!BA330=""),1,0)</f>
        <v/>
      </c>
      <c r="J329" s="8">
        <f>IF(OR(Applicant_List!BB330="N",Applicant_List!BB330="",Applicant_List!BC330="N",Applicant_List!BE330="Y",Applicant_List!BL330="Y"),1,0)</f>
        <v/>
      </c>
      <c r="K329" s="8">
        <f>IF(AND(Applicant_List!BJ330="Y",Applicant_List!BM330="Y",Applicant_List!BK330&lt;&gt;"Y"),1,0)</f>
        <v/>
      </c>
      <c r="L329" s="8">
        <f>IF(OR(Applicant_List!BN330="Y",Applicant_List!BK330="Y"),1,0)</f>
        <v/>
      </c>
      <c r="M329" s="8">
        <f>COUNTIF(Applicant_List!AI330:BM330,"N")+COUNTBLANK(Applicant_List!AI330:BM330)</f>
        <v/>
      </c>
      <c r="N329" s="8">
        <f>MAX(E329:J329)</f>
        <v/>
      </c>
      <c r="O329" s="8">
        <f>IF(Applicant_List!BP330="Y",100000,0)+IF(ISNUMBER(Applicant_List!BO330),50000-INT(Applicant_List!BO330),0)+IF(LEN(Applicant_List!L330)&gt;0,1000,0)</f>
        <v/>
      </c>
      <c r="P329" s="8">
        <f>IF(D329,"Terminal",IF(N329=1,"Blocked",IF(K329=1,"Determination Notice",IF(L329=1,"Board","Under Review"))))</f>
        <v/>
      </c>
      <c r="Q329" s="8">
        <f>IF(Applicant_List!L330="Closed","Closed",IF(OR(Applicant_List!L330="Withdrawn",Applicant_List!L330="Terminated"),Applicant_List!L330,IF(N329=1,"No Advancement",IF(K329=1,"Determination Notice Issued",IF(L329=1,"Board","Under Review")))))</f>
        <v/>
      </c>
    </row>
    <row r="330">
      <c r="A330" s="8">
        <f>Applicant_List!C331</f>
        <v/>
      </c>
      <c r="B330" s="8">
        <f>Applicant_List!E331</f>
        <v/>
      </c>
      <c r="C330" s="8">
        <f>Applicant_List!L331</f>
        <v/>
      </c>
      <c r="D330" s="8">
        <f>OR(Applicant_List!L331="Closed",Applicant_List!L331="Withdrawn",Applicant_List!L331="Terminated")</f>
        <v/>
      </c>
      <c r="E330" s="8">
        <f>IF(OR(Applicant_List!AI331="N",Applicant_List!AI331=""),1,0)</f>
        <v/>
      </c>
      <c r="F330" s="8">
        <f>IF(OR(Applicant_List!AK331="N",Applicant_List!AK331="",Applicant_List!AL331="N",Applicant_List!AL331=""),1,0)</f>
        <v/>
      </c>
      <c r="G330" s="8">
        <f>IF(OR(Applicant_List!AM331="N",Applicant_List!AM331=""),1,0)</f>
        <v/>
      </c>
      <c r="H330" s="8">
        <f>IF(OR(Applicant_List!AX331="Y",AND(Applicant_List!AS331="Y",Applicant_List!AV331&lt;&gt;"Y")),1,0)</f>
        <v/>
      </c>
      <c r="I330" s="8">
        <f>IF(OR(Applicant_List!AZ331="N",Applicant_List!AZ331="",Applicant_List!BA331="N",Applicant_List!BA331=""),1,0)</f>
        <v/>
      </c>
      <c r="J330" s="8">
        <f>IF(OR(Applicant_List!BB331="N",Applicant_List!BB331="",Applicant_List!BC331="N",Applicant_List!BE331="Y",Applicant_List!BL331="Y"),1,0)</f>
        <v/>
      </c>
      <c r="K330" s="8">
        <f>IF(AND(Applicant_List!BJ331="Y",Applicant_List!BM331="Y",Applicant_List!BK331&lt;&gt;"Y"),1,0)</f>
        <v/>
      </c>
      <c r="L330" s="8">
        <f>IF(OR(Applicant_List!BN331="Y",Applicant_List!BK331="Y"),1,0)</f>
        <v/>
      </c>
      <c r="M330" s="8">
        <f>COUNTIF(Applicant_List!AI331:BM331,"N")+COUNTBLANK(Applicant_List!AI331:BM331)</f>
        <v/>
      </c>
      <c r="N330" s="8">
        <f>MAX(E330:J330)</f>
        <v/>
      </c>
      <c r="O330" s="8">
        <f>IF(Applicant_List!BP331="Y",100000,0)+IF(ISNUMBER(Applicant_List!BO331),50000-INT(Applicant_List!BO331),0)+IF(LEN(Applicant_List!L331)&gt;0,1000,0)</f>
        <v/>
      </c>
      <c r="P330" s="8">
        <f>IF(D330,"Terminal",IF(N330=1,"Blocked",IF(K330=1,"Determination Notice",IF(L330=1,"Board","Under Review"))))</f>
        <v/>
      </c>
      <c r="Q330" s="8">
        <f>IF(Applicant_List!L331="Closed","Closed",IF(OR(Applicant_List!L331="Withdrawn",Applicant_List!L331="Terminated"),Applicant_List!L331,IF(N330=1,"No Advancement",IF(K330=1,"Determination Notice Issued",IF(L330=1,"Board","Under Review")))))</f>
        <v/>
      </c>
    </row>
    <row r="331">
      <c r="A331" s="8">
        <f>Applicant_List!C332</f>
        <v/>
      </c>
      <c r="B331" s="8">
        <f>Applicant_List!E332</f>
        <v/>
      </c>
      <c r="C331" s="8">
        <f>Applicant_List!L332</f>
        <v/>
      </c>
      <c r="D331" s="8">
        <f>OR(Applicant_List!L332="Closed",Applicant_List!L332="Withdrawn",Applicant_List!L332="Terminated")</f>
        <v/>
      </c>
      <c r="E331" s="8">
        <f>IF(OR(Applicant_List!AI332="N",Applicant_List!AI332=""),1,0)</f>
        <v/>
      </c>
      <c r="F331" s="8">
        <f>IF(OR(Applicant_List!AK332="N",Applicant_List!AK332="",Applicant_List!AL332="N",Applicant_List!AL332=""),1,0)</f>
        <v/>
      </c>
      <c r="G331" s="8">
        <f>IF(OR(Applicant_List!AM332="N",Applicant_List!AM332=""),1,0)</f>
        <v/>
      </c>
      <c r="H331" s="8">
        <f>IF(OR(Applicant_List!AX332="Y",AND(Applicant_List!AS332="Y",Applicant_List!AV332&lt;&gt;"Y")),1,0)</f>
        <v/>
      </c>
      <c r="I331" s="8">
        <f>IF(OR(Applicant_List!AZ332="N",Applicant_List!AZ332="",Applicant_List!BA332="N",Applicant_List!BA332=""),1,0)</f>
        <v/>
      </c>
      <c r="J331" s="8">
        <f>IF(OR(Applicant_List!BB332="N",Applicant_List!BB332="",Applicant_List!BC332="N",Applicant_List!BE332="Y",Applicant_List!BL332="Y"),1,0)</f>
        <v/>
      </c>
      <c r="K331" s="8">
        <f>IF(AND(Applicant_List!BJ332="Y",Applicant_List!BM332="Y",Applicant_List!BK332&lt;&gt;"Y"),1,0)</f>
        <v/>
      </c>
      <c r="L331" s="8">
        <f>IF(OR(Applicant_List!BN332="Y",Applicant_List!BK332="Y"),1,0)</f>
        <v/>
      </c>
      <c r="M331" s="8">
        <f>COUNTIF(Applicant_List!AI332:BM332,"N")+COUNTBLANK(Applicant_List!AI332:BM332)</f>
        <v/>
      </c>
      <c r="N331" s="8">
        <f>MAX(E331:J331)</f>
        <v/>
      </c>
      <c r="O331" s="8">
        <f>IF(Applicant_List!BP332="Y",100000,0)+IF(ISNUMBER(Applicant_List!BO332),50000-INT(Applicant_List!BO332),0)+IF(LEN(Applicant_List!L332)&gt;0,1000,0)</f>
        <v/>
      </c>
      <c r="P331" s="8">
        <f>IF(D331,"Terminal",IF(N331=1,"Blocked",IF(K331=1,"Determination Notice",IF(L331=1,"Board","Under Review"))))</f>
        <v/>
      </c>
      <c r="Q331" s="8">
        <f>IF(Applicant_List!L332="Closed","Closed",IF(OR(Applicant_List!L332="Withdrawn",Applicant_List!L332="Terminated"),Applicant_List!L332,IF(N331=1,"No Advancement",IF(K331=1,"Determination Notice Issued",IF(L331=1,"Board","Under Review")))))</f>
        <v/>
      </c>
    </row>
    <row r="332">
      <c r="A332" s="8">
        <f>Applicant_List!C333</f>
        <v/>
      </c>
      <c r="B332" s="8">
        <f>Applicant_List!E333</f>
        <v/>
      </c>
      <c r="C332" s="8">
        <f>Applicant_List!L333</f>
        <v/>
      </c>
      <c r="D332" s="8">
        <f>OR(Applicant_List!L333="Closed",Applicant_List!L333="Withdrawn",Applicant_List!L333="Terminated")</f>
        <v/>
      </c>
      <c r="E332" s="8">
        <f>IF(OR(Applicant_List!AI333="N",Applicant_List!AI333=""),1,0)</f>
        <v/>
      </c>
      <c r="F332" s="8">
        <f>IF(OR(Applicant_List!AK333="N",Applicant_List!AK333="",Applicant_List!AL333="N",Applicant_List!AL333=""),1,0)</f>
        <v/>
      </c>
      <c r="G332" s="8">
        <f>IF(OR(Applicant_List!AM333="N",Applicant_List!AM333=""),1,0)</f>
        <v/>
      </c>
      <c r="H332" s="8">
        <f>IF(OR(Applicant_List!AX333="Y",AND(Applicant_List!AS333="Y",Applicant_List!AV333&lt;&gt;"Y")),1,0)</f>
        <v/>
      </c>
      <c r="I332" s="8">
        <f>IF(OR(Applicant_List!AZ333="N",Applicant_List!AZ333="",Applicant_List!BA333="N",Applicant_List!BA333=""),1,0)</f>
        <v/>
      </c>
      <c r="J332" s="8">
        <f>IF(OR(Applicant_List!BB333="N",Applicant_List!BB333="",Applicant_List!BC333="N",Applicant_List!BE333="Y",Applicant_List!BL333="Y"),1,0)</f>
        <v/>
      </c>
      <c r="K332" s="8">
        <f>IF(AND(Applicant_List!BJ333="Y",Applicant_List!BM333="Y",Applicant_List!BK333&lt;&gt;"Y"),1,0)</f>
        <v/>
      </c>
      <c r="L332" s="8">
        <f>IF(OR(Applicant_List!BN333="Y",Applicant_List!BK333="Y"),1,0)</f>
        <v/>
      </c>
      <c r="M332" s="8">
        <f>COUNTIF(Applicant_List!AI333:BM333,"N")+COUNTBLANK(Applicant_List!AI333:BM333)</f>
        <v/>
      </c>
      <c r="N332" s="8">
        <f>MAX(E332:J332)</f>
        <v/>
      </c>
      <c r="O332" s="8">
        <f>IF(Applicant_List!BP333="Y",100000,0)+IF(ISNUMBER(Applicant_List!BO333),50000-INT(Applicant_List!BO333),0)+IF(LEN(Applicant_List!L333)&gt;0,1000,0)</f>
        <v/>
      </c>
      <c r="P332" s="8">
        <f>IF(D332,"Terminal",IF(N332=1,"Blocked",IF(K332=1,"Determination Notice",IF(L332=1,"Board","Under Review"))))</f>
        <v/>
      </c>
      <c r="Q332" s="8">
        <f>IF(Applicant_List!L333="Closed","Closed",IF(OR(Applicant_List!L333="Withdrawn",Applicant_List!L333="Terminated"),Applicant_List!L333,IF(N332=1,"No Advancement",IF(K332=1,"Determination Notice Issued",IF(L332=1,"Board","Under Review")))))</f>
        <v/>
      </c>
    </row>
    <row r="333">
      <c r="A333" s="8">
        <f>Applicant_List!C334</f>
        <v/>
      </c>
      <c r="B333" s="8">
        <f>Applicant_List!E334</f>
        <v/>
      </c>
      <c r="C333" s="8">
        <f>Applicant_List!L334</f>
        <v/>
      </c>
      <c r="D333" s="8">
        <f>OR(Applicant_List!L334="Closed",Applicant_List!L334="Withdrawn",Applicant_List!L334="Terminated")</f>
        <v/>
      </c>
      <c r="E333" s="8">
        <f>IF(OR(Applicant_List!AI334="N",Applicant_List!AI334=""),1,0)</f>
        <v/>
      </c>
      <c r="F333" s="8">
        <f>IF(OR(Applicant_List!AK334="N",Applicant_List!AK334="",Applicant_List!AL334="N",Applicant_List!AL334=""),1,0)</f>
        <v/>
      </c>
      <c r="G333" s="8">
        <f>IF(OR(Applicant_List!AM334="N",Applicant_List!AM334=""),1,0)</f>
        <v/>
      </c>
      <c r="H333" s="8">
        <f>IF(OR(Applicant_List!AX334="Y",AND(Applicant_List!AS334="Y",Applicant_List!AV334&lt;&gt;"Y")),1,0)</f>
        <v/>
      </c>
      <c r="I333" s="8">
        <f>IF(OR(Applicant_List!AZ334="N",Applicant_List!AZ334="",Applicant_List!BA334="N",Applicant_List!BA334=""),1,0)</f>
        <v/>
      </c>
      <c r="J333" s="8">
        <f>IF(OR(Applicant_List!BB334="N",Applicant_List!BB334="",Applicant_List!BC334="N",Applicant_List!BE334="Y",Applicant_List!BL334="Y"),1,0)</f>
        <v/>
      </c>
      <c r="K333" s="8">
        <f>IF(AND(Applicant_List!BJ334="Y",Applicant_List!BM334="Y",Applicant_List!BK334&lt;&gt;"Y"),1,0)</f>
        <v/>
      </c>
      <c r="L333" s="8">
        <f>IF(OR(Applicant_List!BN334="Y",Applicant_List!BK334="Y"),1,0)</f>
        <v/>
      </c>
      <c r="M333" s="8">
        <f>COUNTIF(Applicant_List!AI334:BM334,"N")+COUNTBLANK(Applicant_List!AI334:BM334)</f>
        <v/>
      </c>
      <c r="N333" s="8">
        <f>MAX(E333:J333)</f>
        <v/>
      </c>
      <c r="O333" s="8">
        <f>IF(Applicant_List!BP334="Y",100000,0)+IF(ISNUMBER(Applicant_List!BO334),50000-INT(Applicant_List!BO334),0)+IF(LEN(Applicant_List!L334)&gt;0,1000,0)</f>
        <v/>
      </c>
      <c r="P333" s="8">
        <f>IF(D333,"Terminal",IF(N333=1,"Blocked",IF(K333=1,"Determination Notice",IF(L333=1,"Board","Under Review"))))</f>
        <v/>
      </c>
      <c r="Q333" s="8">
        <f>IF(Applicant_List!L334="Closed","Closed",IF(OR(Applicant_List!L334="Withdrawn",Applicant_List!L334="Terminated"),Applicant_List!L334,IF(N333=1,"No Advancement",IF(K333=1,"Determination Notice Issued",IF(L333=1,"Board","Under Review")))))</f>
        <v/>
      </c>
    </row>
    <row r="334">
      <c r="A334" s="8">
        <f>Applicant_List!C335</f>
        <v/>
      </c>
      <c r="B334" s="8">
        <f>Applicant_List!E335</f>
        <v/>
      </c>
      <c r="C334" s="8">
        <f>Applicant_List!L335</f>
        <v/>
      </c>
      <c r="D334" s="8">
        <f>OR(Applicant_List!L335="Closed",Applicant_List!L335="Withdrawn",Applicant_List!L335="Terminated")</f>
        <v/>
      </c>
      <c r="E334" s="8">
        <f>IF(OR(Applicant_List!AI335="N",Applicant_List!AI335=""),1,0)</f>
        <v/>
      </c>
      <c r="F334" s="8">
        <f>IF(OR(Applicant_List!AK335="N",Applicant_List!AK335="",Applicant_List!AL335="N",Applicant_List!AL335=""),1,0)</f>
        <v/>
      </c>
      <c r="G334" s="8">
        <f>IF(OR(Applicant_List!AM335="N",Applicant_List!AM335=""),1,0)</f>
        <v/>
      </c>
      <c r="H334" s="8">
        <f>IF(OR(Applicant_List!AX335="Y",AND(Applicant_List!AS335="Y",Applicant_List!AV335&lt;&gt;"Y")),1,0)</f>
        <v/>
      </c>
      <c r="I334" s="8">
        <f>IF(OR(Applicant_List!AZ335="N",Applicant_List!AZ335="",Applicant_List!BA335="N",Applicant_List!BA335=""),1,0)</f>
        <v/>
      </c>
      <c r="J334" s="8">
        <f>IF(OR(Applicant_List!BB335="N",Applicant_List!BB335="",Applicant_List!BC335="N",Applicant_List!BE335="Y",Applicant_List!BL335="Y"),1,0)</f>
        <v/>
      </c>
      <c r="K334" s="8">
        <f>IF(AND(Applicant_List!BJ335="Y",Applicant_List!BM335="Y",Applicant_List!BK335&lt;&gt;"Y"),1,0)</f>
        <v/>
      </c>
      <c r="L334" s="8">
        <f>IF(OR(Applicant_List!BN335="Y",Applicant_List!BK335="Y"),1,0)</f>
        <v/>
      </c>
      <c r="M334" s="8">
        <f>COUNTIF(Applicant_List!AI335:BM335,"N")+COUNTBLANK(Applicant_List!AI335:BM335)</f>
        <v/>
      </c>
      <c r="N334" s="8">
        <f>MAX(E334:J334)</f>
        <v/>
      </c>
      <c r="O334" s="8">
        <f>IF(Applicant_List!BP335="Y",100000,0)+IF(ISNUMBER(Applicant_List!BO335),50000-INT(Applicant_List!BO335),0)+IF(LEN(Applicant_List!L335)&gt;0,1000,0)</f>
        <v/>
      </c>
      <c r="P334" s="8">
        <f>IF(D334,"Terminal",IF(N334=1,"Blocked",IF(K334=1,"Determination Notice",IF(L334=1,"Board","Under Review"))))</f>
        <v/>
      </c>
      <c r="Q334" s="8">
        <f>IF(Applicant_List!L335="Closed","Closed",IF(OR(Applicant_List!L335="Withdrawn",Applicant_List!L335="Terminated"),Applicant_List!L335,IF(N334=1,"No Advancement",IF(K334=1,"Determination Notice Issued",IF(L334=1,"Board","Under Review")))))</f>
        <v/>
      </c>
    </row>
    <row r="335">
      <c r="A335" s="8">
        <f>Applicant_List!C336</f>
        <v/>
      </c>
      <c r="B335" s="8">
        <f>Applicant_List!E336</f>
        <v/>
      </c>
      <c r="C335" s="8">
        <f>Applicant_List!L336</f>
        <v/>
      </c>
      <c r="D335" s="8">
        <f>OR(Applicant_List!L336="Closed",Applicant_List!L336="Withdrawn",Applicant_List!L336="Terminated")</f>
        <v/>
      </c>
      <c r="E335" s="8">
        <f>IF(OR(Applicant_List!AI336="N",Applicant_List!AI336=""),1,0)</f>
        <v/>
      </c>
      <c r="F335" s="8">
        <f>IF(OR(Applicant_List!AK336="N",Applicant_List!AK336="",Applicant_List!AL336="N",Applicant_List!AL336=""),1,0)</f>
        <v/>
      </c>
      <c r="G335" s="8">
        <f>IF(OR(Applicant_List!AM336="N",Applicant_List!AM336=""),1,0)</f>
        <v/>
      </c>
      <c r="H335" s="8">
        <f>IF(OR(Applicant_List!AX336="Y",AND(Applicant_List!AS336="Y",Applicant_List!AV336&lt;&gt;"Y")),1,0)</f>
        <v/>
      </c>
      <c r="I335" s="8">
        <f>IF(OR(Applicant_List!AZ336="N",Applicant_List!AZ336="",Applicant_List!BA336="N",Applicant_List!BA336=""),1,0)</f>
        <v/>
      </c>
      <c r="J335" s="8">
        <f>IF(OR(Applicant_List!BB336="N",Applicant_List!BB336="",Applicant_List!BC336="N",Applicant_List!BE336="Y",Applicant_List!BL336="Y"),1,0)</f>
        <v/>
      </c>
      <c r="K335" s="8">
        <f>IF(AND(Applicant_List!BJ336="Y",Applicant_List!BM336="Y",Applicant_List!BK336&lt;&gt;"Y"),1,0)</f>
        <v/>
      </c>
      <c r="L335" s="8">
        <f>IF(OR(Applicant_List!BN336="Y",Applicant_List!BK336="Y"),1,0)</f>
        <v/>
      </c>
      <c r="M335" s="8">
        <f>COUNTIF(Applicant_List!AI336:BM336,"N")+COUNTBLANK(Applicant_List!AI336:BM336)</f>
        <v/>
      </c>
      <c r="N335" s="8">
        <f>MAX(E335:J335)</f>
        <v/>
      </c>
      <c r="O335" s="8">
        <f>IF(Applicant_List!BP336="Y",100000,0)+IF(ISNUMBER(Applicant_List!BO336),50000-INT(Applicant_List!BO336),0)+IF(LEN(Applicant_List!L336)&gt;0,1000,0)</f>
        <v/>
      </c>
      <c r="P335" s="8">
        <f>IF(D335,"Terminal",IF(N335=1,"Blocked",IF(K335=1,"Determination Notice",IF(L335=1,"Board","Under Review"))))</f>
        <v/>
      </c>
      <c r="Q335" s="8">
        <f>IF(Applicant_List!L336="Closed","Closed",IF(OR(Applicant_List!L336="Withdrawn",Applicant_List!L336="Terminated"),Applicant_List!L336,IF(N335=1,"No Advancement",IF(K335=1,"Determination Notice Issued",IF(L335=1,"Board","Under Review")))))</f>
        <v/>
      </c>
    </row>
    <row r="336">
      <c r="A336" s="8">
        <f>Applicant_List!C337</f>
        <v/>
      </c>
      <c r="B336" s="8">
        <f>Applicant_List!E337</f>
        <v/>
      </c>
      <c r="C336" s="8">
        <f>Applicant_List!L337</f>
        <v/>
      </c>
      <c r="D336" s="8">
        <f>OR(Applicant_List!L337="Closed",Applicant_List!L337="Withdrawn",Applicant_List!L337="Terminated")</f>
        <v/>
      </c>
      <c r="E336" s="8">
        <f>IF(OR(Applicant_List!AI337="N",Applicant_List!AI337=""),1,0)</f>
        <v/>
      </c>
      <c r="F336" s="8">
        <f>IF(OR(Applicant_List!AK337="N",Applicant_List!AK337="",Applicant_List!AL337="N",Applicant_List!AL337=""),1,0)</f>
        <v/>
      </c>
      <c r="G336" s="8">
        <f>IF(OR(Applicant_List!AM337="N",Applicant_List!AM337=""),1,0)</f>
        <v/>
      </c>
      <c r="H336" s="8">
        <f>IF(OR(Applicant_List!AX337="Y",AND(Applicant_List!AS337="Y",Applicant_List!AV337&lt;&gt;"Y")),1,0)</f>
        <v/>
      </c>
      <c r="I336" s="8">
        <f>IF(OR(Applicant_List!AZ337="N",Applicant_List!AZ337="",Applicant_List!BA337="N",Applicant_List!BA337=""),1,0)</f>
        <v/>
      </c>
      <c r="J336" s="8">
        <f>IF(OR(Applicant_List!BB337="N",Applicant_List!BB337="",Applicant_List!BC337="N",Applicant_List!BE337="Y",Applicant_List!BL337="Y"),1,0)</f>
        <v/>
      </c>
      <c r="K336" s="8">
        <f>IF(AND(Applicant_List!BJ337="Y",Applicant_List!BM337="Y",Applicant_List!BK337&lt;&gt;"Y"),1,0)</f>
        <v/>
      </c>
      <c r="L336" s="8">
        <f>IF(OR(Applicant_List!BN337="Y",Applicant_List!BK337="Y"),1,0)</f>
        <v/>
      </c>
      <c r="M336" s="8">
        <f>COUNTIF(Applicant_List!AI337:BM337,"N")+COUNTBLANK(Applicant_List!AI337:BM337)</f>
        <v/>
      </c>
      <c r="N336" s="8">
        <f>MAX(E336:J336)</f>
        <v/>
      </c>
      <c r="O336" s="8">
        <f>IF(Applicant_List!BP337="Y",100000,0)+IF(ISNUMBER(Applicant_List!BO337),50000-INT(Applicant_List!BO337),0)+IF(LEN(Applicant_List!L337)&gt;0,1000,0)</f>
        <v/>
      </c>
      <c r="P336" s="8">
        <f>IF(D336,"Terminal",IF(N336=1,"Blocked",IF(K336=1,"Determination Notice",IF(L336=1,"Board","Under Review"))))</f>
        <v/>
      </c>
      <c r="Q336" s="8">
        <f>IF(Applicant_List!L337="Closed","Closed",IF(OR(Applicant_List!L337="Withdrawn",Applicant_List!L337="Terminated"),Applicant_List!L337,IF(N336=1,"No Advancement",IF(K336=1,"Determination Notice Issued",IF(L336=1,"Board","Under Review")))))</f>
        <v/>
      </c>
    </row>
    <row r="337">
      <c r="A337" s="8">
        <f>Applicant_List!C338</f>
        <v/>
      </c>
      <c r="B337" s="8">
        <f>Applicant_List!E338</f>
        <v/>
      </c>
      <c r="C337" s="8">
        <f>Applicant_List!L338</f>
        <v/>
      </c>
      <c r="D337" s="8">
        <f>OR(Applicant_List!L338="Closed",Applicant_List!L338="Withdrawn",Applicant_List!L338="Terminated")</f>
        <v/>
      </c>
      <c r="E337" s="8">
        <f>IF(OR(Applicant_List!AI338="N",Applicant_List!AI338=""),1,0)</f>
        <v/>
      </c>
      <c r="F337" s="8">
        <f>IF(OR(Applicant_List!AK338="N",Applicant_List!AK338="",Applicant_List!AL338="N",Applicant_List!AL338=""),1,0)</f>
        <v/>
      </c>
      <c r="G337" s="8">
        <f>IF(OR(Applicant_List!AM338="N",Applicant_List!AM338=""),1,0)</f>
        <v/>
      </c>
      <c r="H337" s="8">
        <f>IF(OR(Applicant_List!AX338="Y",AND(Applicant_List!AS338="Y",Applicant_List!AV338&lt;&gt;"Y")),1,0)</f>
        <v/>
      </c>
      <c r="I337" s="8">
        <f>IF(OR(Applicant_List!AZ338="N",Applicant_List!AZ338="",Applicant_List!BA338="N",Applicant_List!BA338=""),1,0)</f>
        <v/>
      </c>
      <c r="J337" s="8">
        <f>IF(OR(Applicant_List!BB338="N",Applicant_List!BB338="",Applicant_List!BC338="N",Applicant_List!BE338="Y",Applicant_List!BL338="Y"),1,0)</f>
        <v/>
      </c>
      <c r="K337" s="8">
        <f>IF(AND(Applicant_List!BJ338="Y",Applicant_List!BM338="Y",Applicant_List!BK338&lt;&gt;"Y"),1,0)</f>
        <v/>
      </c>
      <c r="L337" s="8">
        <f>IF(OR(Applicant_List!BN338="Y",Applicant_List!BK338="Y"),1,0)</f>
        <v/>
      </c>
      <c r="M337" s="8">
        <f>COUNTIF(Applicant_List!AI338:BM338,"N")+COUNTBLANK(Applicant_List!AI338:BM338)</f>
        <v/>
      </c>
      <c r="N337" s="8">
        <f>MAX(E337:J337)</f>
        <v/>
      </c>
      <c r="O337" s="8">
        <f>IF(Applicant_List!BP338="Y",100000,0)+IF(ISNUMBER(Applicant_List!BO338),50000-INT(Applicant_List!BO338),0)+IF(LEN(Applicant_List!L338)&gt;0,1000,0)</f>
        <v/>
      </c>
      <c r="P337" s="8">
        <f>IF(D337,"Terminal",IF(N337=1,"Blocked",IF(K337=1,"Determination Notice",IF(L337=1,"Board","Under Review"))))</f>
        <v/>
      </c>
      <c r="Q337" s="8">
        <f>IF(Applicant_List!L338="Closed","Closed",IF(OR(Applicant_List!L338="Withdrawn",Applicant_List!L338="Terminated"),Applicant_List!L338,IF(N337=1,"No Advancement",IF(K337=1,"Determination Notice Issued",IF(L337=1,"Board","Under Review")))))</f>
        <v/>
      </c>
    </row>
    <row r="338">
      <c r="A338" s="8">
        <f>Applicant_List!C339</f>
        <v/>
      </c>
      <c r="B338" s="8">
        <f>Applicant_List!E339</f>
        <v/>
      </c>
      <c r="C338" s="8">
        <f>Applicant_List!L339</f>
        <v/>
      </c>
      <c r="D338" s="8">
        <f>OR(Applicant_List!L339="Closed",Applicant_List!L339="Withdrawn",Applicant_List!L339="Terminated")</f>
        <v/>
      </c>
      <c r="E338" s="8">
        <f>IF(OR(Applicant_List!AI339="N",Applicant_List!AI339=""),1,0)</f>
        <v/>
      </c>
      <c r="F338" s="8">
        <f>IF(OR(Applicant_List!AK339="N",Applicant_List!AK339="",Applicant_List!AL339="N",Applicant_List!AL339=""),1,0)</f>
        <v/>
      </c>
      <c r="G338" s="8">
        <f>IF(OR(Applicant_List!AM339="N",Applicant_List!AM339=""),1,0)</f>
        <v/>
      </c>
      <c r="H338" s="8">
        <f>IF(OR(Applicant_List!AX339="Y",AND(Applicant_List!AS339="Y",Applicant_List!AV339&lt;&gt;"Y")),1,0)</f>
        <v/>
      </c>
      <c r="I338" s="8">
        <f>IF(OR(Applicant_List!AZ339="N",Applicant_List!AZ339="",Applicant_List!BA339="N",Applicant_List!BA339=""),1,0)</f>
        <v/>
      </c>
      <c r="J338" s="8">
        <f>IF(OR(Applicant_List!BB339="N",Applicant_List!BB339="",Applicant_List!BC339="N",Applicant_List!BE339="Y",Applicant_List!BL339="Y"),1,0)</f>
        <v/>
      </c>
      <c r="K338" s="8">
        <f>IF(AND(Applicant_List!BJ339="Y",Applicant_List!BM339="Y",Applicant_List!BK339&lt;&gt;"Y"),1,0)</f>
        <v/>
      </c>
      <c r="L338" s="8">
        <f>IF(OR(Applicant_List!BN339="Y",Applicant_List!BK339="Y"),1,0)</f>
        <v/>
      </c>
      <c r="M338" s="8">
        <f>COUNTIF(Applicant_List!AI339:BM339,"N")+COUNTBLANK(Applicant_List!AI339:BM339)</f>
        <v/>
      </c>
      <c r="N338" s="8">
        <f>MAX(E338:J338)</f>
        <v/>
      </c>
      <c r="O338" s="8">
        <f>IF(Applicant_List!BP339="Y",100000,0)+IF(ISNUMBER(Applicant_List!BO339),50000-INT(Applicant_List!BO339),0)+IF(LEN(Applicant_List!L339)&gt;0,1000,0)</f>
        <v/>
      </c>
      <c r="P338" s="8">
        <f>IF(D338,"Terminal",IF(N338=1,"Blocked",IF(K338=1,"Determination Notice",IF(L338=1,"Board","Under Review"))))</f>
        <v/>
      </c>
      <c r="Q338" s="8">
        <f>IF(Applicant_List!L339="Closed","Closed",IF(OR(Applicant_List!L339="Withdrawn",Applicant_List!L339="Terminated"),Applicant_List!L339,IF(N338=1,"No Advancement",IF(K338=1,"Determination Notice Issued",IF(L338=1,"Board","Under Review")))))</f>
        <v/>
      </c>
    </row>
    <row r="339">
      <c r="A339" s="8">
        <f>Applicant_List!C340</f>
        <v/>
      </c>
      <c r="B339" s="8">
        <f>Applicant_List!E340</f>
        <v/>
      </c>
      <c r="C339" s="8">
        <f>Applicant_List!L340</f>
        <v/>
      </c>
      <c r="D339" s="8">
        <f>OR(Applicant_List!L340="Closed",Applicant_List!L340="Withdrawn",Applicant_List!L340="Terminated")</f>
        <v/>
      </c>
      <c r="E339" s="8">
        <f>IF(OR(Applicant_List!AI340="N",Applicant_List!AI340=""),1,0)</f>
        <v/>
      </c>
      <c r="F339" s="8">
        <f>IF(OR(Applicant_List!AK340="N",Applicant_List!AK340="",Applicant_List!AL340="N",Applicant_List!AL340=""),1,0)</f>
        <v/>
      </c>
      <c r="G339" s="8">
        <f>IF(OR(Applicant_List!AM340="N",Applicant_List!AM340=""),1,0)</f>
        <v/>
      </c>
      <c r="H339" s="8">
        <f>IF(OR(Applicant_List!AX340="Y",AND(Applicant_List!AS340="Y",Applicant_List!AV340&lt;&gt;"Y")),1,0)</f>
        <v/>
      </c>
      <c r="I339" s="8">
        <f>IF(OR(Applicant_List!AZ340="N",Applicant_List!AZ340="",Applicant_List!BA340="N",Applicant_List!BA340=""),1,0)</f>
        <v/>
      </c>
      <c r="J339" s="8">
        <f>IF(OR(Applicant_List!BB340="N",Applicant_List!BB340="",Applicant_List!BC340="N",Applicant_List!BE340="Y",Applicant_List!BL340="Y"),1,0)</f>
        <v/>
      </c>
      <c r="K339" s="8">
        <f>IF(AND(Applicant_List!BJ340="Y",Applicant_List!BM340="Y",Applicant_List!BK340&lt;&gt;"Y"),1,0)</f>
        <v/>
      </c>
      <c r="L339" s="8">
        <f>IF(OR(Applicant_List!BN340="Y",Applicant_List!BK340="Y"),1,0)</f>
        <v/>
      </c>
      <c r="M339" s="8">
        <f>COUNTIF(Applicant_List!AI340:BM340,"N")+COUNTBLANK(Applicant_List!AI340:BM340)</f>
        <v/>
      </c>
      <c r="N339" s="8">
        <f>MAX(E339:J339)</f>
        <v/>
      </c>
      <c r="O339" s="8">
        <f>IF(Applicant_List!BP340="Y",100000,0)+IF(ISNUMBER(Applicant_List!BO340),50000-INT(Applicant_List!BO340),0)+IF(LEN(Applicant_List!L340)&gt;0,1000,0)</f>
        <v/>
      </c>
      <c r="P339" s="8">
        <f>IF(D339,"Terminal",IF(N339=1,"Blocked",IF(K339=1,"Determination Notice",IF(L339=1,"Board","Under Review"))))</f>
        <v/>
      </c>
      <c r="Q339" s="8">
        <f>IF(Applicant_List!L340="Closed","Closed",IF(OR(Applicant_List!L340="Withdrawn",Applicant_List!L340="Terminated"),Applicant_List!L340,IF(N339=1,"No Advancement",IF(K339=1,"Determination Notice Issued",IF(L339=1,"Board","Under Review")))))</f>
        <v/>
      </c>
    </row>
    <row r="340">
      <c r="A340" s="8">
        <f>Applicant_List!C341</f>
        <v/>
      </c>
      <c r="B340" s="8">
        <f>Applicant_List!E341</f>
        <v/>
      </c>
      <c r="C340" s="8">
        <f>Applicant_List!L341</f>
        <v/>
      </c>
      <c r="D340" s="8">
        <f>OR(Applicant_List!L341="Closed",Applicant_List!L341="Withdrawn",Applicant_List!L341="Terminated")</f>
        <v/>
      </c>
      <c r="E340" s="8">
        <f>IF(OR(Applicant_List!AI341="N",Applicant_List!AI341=""),1,0)</f>
        <v/>
      </c>
      <c r="F340" s="8">
        <f>IF(OR(Applicant_List!AK341="N",Applicant_List!AK341="",Applicant_List!AL341="N",Applicant_List!AL341=""),1,0)</f>
        <v/>
      </c>
      <c r="G340" s="8">
        <f>IF(OR(Applicant_List!AM341="N",Applicant_List!AM341=""),1,0)</f>
        <v/>
      </c>
      <c r="H340" s="8">
        <f>IF(OR(Applicant_List!AX341="Y",AND(Applicant_List!AS341="Y",Applicant_List!AV341&lt;&gt;"Y")),1,0)</f>
        <v/>
      </c>
      <c r="I340" s="8">
        <f>IF(OR(Applicant_List!AZ341="N",Applicant_List!AZ341="",Applicant_List!BA341="N",Applicant_List!BA341=""),1,0)</f>
        <v/>
      </c>
      <c r="J340" s="8">
        <f>IF(OR(Applicant_List!BB341="N",Applicant_List!BB341="",Applicant_List!BC341="N",Applicant_List!BE341="Y",Applicant_List!BL341="Y"),1,0)</f>
        <v/>
      </c>
      <c r="K340" s="8">
        <f>IF(AND(Applicant_List!BJ341="Y",Applicant_List!BM341="Y",Applicant_List!BK341&lt;&gt;"Y"),1,0)</f>
        <v/>
      </c>
      <c r="L340" s="8">
        <f>IF(OR(Applicant_List!BN341="Y",Applicant_List!BK341="Y"),1,0)</f>
        <v/>
      </c>
      <c r="M340" s="8">
        <f>COUNTIF(Applicant_List!AI341:BM341,"N")+COUNTBLANK(Applicant_List!AI341:BM341)</f>
        <v/>
      </c>
      <c r="N340" s="8">
        <f>MAX(E340:J340)</f>
        <v/>
      </c>
      <c r="O340" s="8">
        <f>IF(Applicant_List!BP341="Y",100000,0)+IF(ISNUMBER(Applicant_List!BO341),50000-INT(Applicant_List!BO341),0)+IF(LEN(Applicant_List!L341)&gt;0,1000,0)</f>
        <v/>
      </c>
      <c r="P340" s="8">
        <f>IF(D340,"Terminal",IF(N340=1,"Blocked",IF(K340=1,"Determination Notice",IF(L340=1,"Board","Under Review"))))</f>
        <v/>
      </c>
      <c r="Q340" s="8">
        <f>IF(Applicant_List!L341="Closed","Closed",IF(OR(Applicant_List!L341="Withdrawn",Applicant_List!L341="Terminated"),Applicant_List!L341,IF(N340=1,"No Advancement",IF(K340=1,"Determination Notice Issued",IF(L340=1,"Board","Under Review")))))</f>
        <v/>
      </c>
    </row>
    <row r="341">
      <c r="A341" s="8">
        <f>Applicant_List!C342</f>
        <v/>
      </c>
      <c r="B341" s="8">
        <f>Applicant_List!E342</f>
        <v/>
      </c>
      <c r="C341" s="8">
        <f>Applicant_List!L342</f>
        <v/>
      </c>
      <c r="D341" s="8">
        <f>OR(Applicant_List!L342="Closed",Applicant_List!L342="Withdrawn",Applicant_List!L342="Terminated")</f>
        <v/>
      </c>
      <c r="E341" s="8">
        <f>IF(OR(Applicant_List!AI342="N",Applicant_List!AI342=""),1,0)</f>
        <v/>
      </c>
      <c r="F341" s="8">
        <f>IF(OR(Applicant_List!AK342="N",Applicant_List!AK342="",Applicant_List!AL342="N",Applicant_List!AL342=""),1,0)</f>
        <v/>
      </c>
      <c r="G341" s="8">
        <f>IF(OR(Applicant_List!AM342="N",Applicant_List!AM342=""),1,0)</f>
        <v/>
      </c>
      <c r="H341" s="8">
        <f>IF(OR(Applicant_List!AX342="Y",AND(Applicant_List!AS342="Y",Applicant_List!AV342&lt;&gt;"Y")),1,0)</f>
        <v/>
      </c>
      <c r="I341" s="8">
        <f>IF(OR(Applicant_List!AZ342="N",Applicant_List!AZ342="",Applicant_List!BA342="N",Applicant_List!BA342=""),1,0)</f>
        <v/>
      </c>
      <c r="J341" s="8">
        <f>IF(OR(Applicant_List!BB342="N",Applicant_List!BB342="",Applicant_List!BC342="N",Applicant_List!BE342="Y",Applicant_List!BL342="Y"),1,0)</f>
        <v/>
      </c>
      <c r="K341" s="8">
        <f>IF(AND(Applicant_List!BJ342="Y",Applicant_List!BM342="Y",Applicant_List!BK342&lt;&gt;"Y"),1,0)</f>
        <v/>
      </c>
      <c r="L341" s="8">
        <f>IF(OR(Applicant_List!BN342="Y",Applicant_List!BK342="Y"),1,0)</f>
        <v/>
      </c>
      <c r="M341" s="8">
        <f>COUNTIF(Applicant_List!AI342:BM342,"N")+COUNTBLANK(Applicant_List!AI342:BM342)</f>
        <v/>
      </c>
      <c r="N341" s="8">
        <f>MAX(E341:J341)</f>
        <v/>
      </c>
      <c r="O341" s="8">
        <f>IF(Applicant_List!BP342="Y",100000,0)+IF(ISNUMBER(Applicant_List!BO342),50000-INT(Applicant_List!BO342),0)+IF(LEN(Applicant_List!L342)&gt;0,1000,0)</f>
        <v/>
      </c>
      <c r="P341" s="8">
        <f>IF(D341,"Terminal",IF(N341=1,"Blocked",IF(K341=1,"Determination Notice",IF(L341=1,"Board","Under Review"))))</f>
        <v/>
      </c>
      <c r="Q341" s="8">
        <f>IF(Applicant_List!L342="Closed","Closed",IF(OR(Applicant_List!L342="Withdrawn",Applicant_List!L342="Terminated"),Applicant_List!L342,IF(N341=1,"No Advancement",IF(K341=1,"Determination Notice Issued",IF(L341=1,"Board","Under Review")))))</f>
        <v/>
      </c>
    </row>
    <row r="342">
      <c r="A342" s="8">
        <f>Applicant_List!C343</f>
        <v/>
      </c>
      <c r="B342" s="8">
        <f>Applicant_List!E343</f>
        <v/>
      </c>
      <c r="C342" s="8">
        <f>Applicant_List!L343</f>
        <v/>
      </c>
      <c r="D342" s="8">
        <f>OR(Applicant_List!L343="Closed",Applicant_List!L343="Withdrawn",Applicant_List!L343="Terminated")</f>
        <v/>
      </c>
      <c r="E342" s="8">
        <f>IF(OR(Applicant_List!AI343="N",Applicant_List!AI343=""),1,0)</f>
        <v/>
      </c>
      <c r="F342" s="8">
        <f>IF(OR(Applicant_List!AK343="N",Applicant_List!AK343="",Applicant_List!AL343="N",Applicant_List!AL343=""),1,0)</f>
        <v/>
      </c>
      <c r="G342" s="8">
        <f>IF(OR(Applicant_List!AM343="N",Applicant_List!AM343=""),1,0)</f>
        <v/>
      </c>
      <c r="H342" s="8">
        <f>IF(OR(Applicant_List!AX343="Y",AND(Applicant_List!AS343="Y",Applicant_List!AV343&lt;&gt;"Y")),1,0)</f>
        <v/>
      </c>
      <c r="I342" s="8">
        <f>IF(OR(Applicant_List!AZ343="N",Applicant_List!AZ343="",Applicant_List!BA343="N",Applicant_List!BA343=""),1,0)</f>
        <v/>
      </c>
      <c r="J342" s="8">
        <f>IF(OR(Applicant_List!BB343="N",Applicant_List!BB343="",Applicant_List!BC343="N",Applicant_List!BE343="Y",Applicant_List!BL343="Y"),1,0)</f>
        <v/>
      </c>
      <c r="K342" s="8">
        <f>IF(AND(Applicant_List!BJ343="Y",Applicant_List!BM343="Y",Applicant_List!BK343&lt;&gt;"Y"),1,0)</f>
        <v/>
      </c>
      <c r="L342" s="8">
        <f>IF(OR(Applicant_List!BN343="Y",Applicant_List!BK343="Y"),1,0)</f>
        <v/>
      </c>
      <c r="M342" s="8">
        <f>COUNTIF(Applicant_List!AI343:BM343,"N")+COUNTBLANK(Applicant_List!AI343:BM343)</f>
        <v/>
      </c>
      <c r="N342" s="8">
        <f>MAX(E342:J342)</f>
        <v/>
      </c>
      <c r="O342" s="8">
        <f>IF(Applicant_List!BP343="Y",100000,0)+IF(ISNUMBER(Applicant_List!BO343),50000-INT(Applicant_List!BO343),0)+IF(LEN(Applicant_List!L343)&gt;0,1000,0)</f>
        <v/>
      </c>
      <c r="P342" s="8">
        <f>IF(D342,"Terminal",IF(N342=1,"Blocked",IF(K342=1,"Determination Notice",IF(L342=1,"Board","Under Review"))))</f>
        <v/>
      </c>
      <c r="Q342" s="8">
        <f>IF(Applicant_List!L343="Closed","Closed",IF(OR(Applicant_List!L343="Withdrawn",Applicant_List!L343="Terminated"),Applicant_List!L343,IF(N342=1,"No Advancement",IF(K342=1,"Determination Notice Issued",IF(L342=1,"Board","Under Review")))))</f>
        <v/>
      </c>
    </row>
    <row r="343">
      <c r="A343" s="8">
        <f>Applicant_List!C344</f>
        <v/>
      </c>
      <c r="B343" s="8">
        <f>Applicant_List!E344</f>
        <v/>
      </c>
      <c r="C343" s="8">
        <f>Applicant_List!L344</f>
        <v/>
      </c>
      <c r="D343" s="8">
        <f>OR(Applicant_List!L344="Closed",Applicant_List!L344="Withdrawn",Applicant_List!L344="Terminated")</f>
        <v/>
      </c>
      <c r="E343" s="8">
        <f>IF(OR(Applicant_List!AI344="N",Applicant_List!AI344=""),1,0)</f>
        <v/>
      </c>
      <c r="F343" s="8">
        <f>IF(OR(Applicant_List!AK344="N",Applicant_List!AK344="",Applicant_List!AL344="N",Applicant_List!AL344=""),1,0)</f>
        <v/>
      </c>
      <c r="G343" s="8">
        <f>IF(OR(Applicant_List!AM344="N",Applicant_List!AM344=""),1,0)</f>
        <v/>
      </c>
      <c r="H343" s="8">
        <f>IF(OR(Applicant_List!AX344="Y",AND(Applicant_List!AS344="Y",Applicant_List!AV344&lt;&gt;"Y")),1,0)</f>
        <v/>
      </c>
      <c r="I343" s="8">
        <f>IF(OR(Applicant_List!AZ344="N",Applicant_List!AZ344="",Applicant_List!BA344="N",Applicant_List!BA344=""),1,0)</f>
        <v/>
      </c>
      <c r="J343" s="8">
        <f>IF(OR(Applicant_List!BB344="N",Applicant_List!BB344="",Applicant_List!BC344="N",Applicant_List!BE344="Y",Applicant_List!BL344="Y"),1,0)</f>
        <v/>
      </c>
      <c r="K343" s="8">
        <f>IF(AND(Applicant_List!BJ344="Y",Applicant_List!BM344="Y",Applicant_List!BK344&lt;&gt;"Y"),1,0)</f>
        <v/>
      </c>
      <c r="L343" s="8">
        <f>IF(OR(Applicant_List!BN344="Y",Applicant_List!BK344="Y"),1,0)</f>
        <v/>
      </c>
      <c r="M343" s="8">
        <f>COUNTIF(Applicant_List!AI344:BM344,"N")+COUNTBLANK(Applicant_List!AI344:BM344)</f>
        <v/>
      </c>
      <c r="N343" s="8">
        <f>MAX(E343:J343)</f>
        <v/>
      </c>
      <c r="O343" s="8">
        <f>IF(Applicant_List!BP344="Y",100000,0)+IF(ISNUMBER(Applicant_List!BO344),50000-INT(Applicant_List!BO344),0)+IF(LEN(Applicant_List!L344)&gt;0,1000,0)</f>
        <v/>
      </c>
      <c r="P343" s="8">
        <f>IF(D343,"Terminal",IF(N343=1,"Blocked",IF(K343=1,"Determination Notice",IF(L343=1,"Board","Under Review"))))</f>
        <v/>
      </c>
      <c r="Q343" s="8">
        <f>IF(Applicant_List!L344="Closed","Closed",IF(OR(Applicant_List!L344="Withdrawn",Applicant_List!L344="Terminated"),Applicant_List!L344,IF(N343=1,"No Advancement",IF(K343=1,"Determination Notice Issued",IF(L343=1,"Board","Under Review")))))</f>
        <v/>
      </c>
    </row>
    <row r="344">
      <c r="A344" s="8">
        <f>Applicant_List!C345</f>
        <v/>
      </c>
      <c r="B344" s="8">
        <f>Applicant_List!E345</f>
        <v/>
      </c>
      <c r="C344" s="8">
        <f>Applicant_List!L345</f>
        <v/>
      </c>
      <c r="D344" s="8">
        <f>OR(Applicant_List!L345="Closed",Applicant_List!L345="Withdrawn",Applicant_List!L345="Terminated")</f>
        <v/>
      </c>
      <c r="E344" s="8">
        <f>IF(OR(Applicant_List!AI345="N",Applicant_List!AI345=""),1,0)</f>
        <v/>
      </c>
      <c r="F344" s="8">
        <f>IF(OR(Applicant_List!AK345="N",Applicant_List!AK345="",Applicant_List!AL345="N",Applicant_List!AL345=""),1,0)</f>
        <v/>
      </c>
      <c r="G344" s="8">
        <f>IF(OR(Applicant_List!AM345="N",Applicant_List!AM345=""),1,0)</f>
        <v/>
      </c>
      <c r="H344" s="8">
        <f>IF(OR(Applicant_List!AX345="Y",AND(Applicant_List!AS345="Y",Applicant_List!AV345&lt;&gt;"Y")),1,0)</f>
        <v/>
      </c>
      <c r="I344" s="8">
        <f>IF(OR(Applicant_List!AZ345="N",Applicant_List!AZ345="",Applicant_List!BA345="N",Applicant_List!BA345=""),1,0)</f>
        <v/>
      </c>
      <c r="J344" s="8">
        <f>IF(OR(Applicant_List!BB345="N",Applicant_List!BB345="",Applicant_List!BC345="N",Applicant_List!BE345="Y",Applicant_List!BL345="Y"),1,0)</f>
        <v/>
      </c>
      <c r="K344" s="8">
        <f>IF(AND(Applicant_List!BJ345="Y",Applicant_List!BM345="Y",Applicant_List!BK345&lt;&gt;"Y"),1,0)</f>
        <v/>
      </c>
      <c r="L344" s="8">
        <f>IF(OR(Applicant_List!BN345="Y",Applicant_List!BK345="Y"),1,0)</f>
        <v/>
      </c>
      <c r="M344" s="8">
        <f>COUNTIF(Applicant_List!AI345:BM345,"N")+COUNTBLANK(Applicant_List!AI345:BM345)</f>
        <v/>
      </c>
      <c r="N344" s="8">
        <f>MAX(E344:J344)</f>
        <v/>
      </c>
      <c r="O344" s="8">
        <f>IF(Applicant_List!BP345="Y",100000,0)+IF(ISNUMBER(Applicant_List!BO345),50000-INT(Applicant_List!BO345),0)+IF(LEN(Applicant_List!L345)&gt;0,1000,0)</f>
        <v/>
      </c>
      <c r="P344" s="8">
        <f>IF(D344,"Terminal",IF(N344=1,"Blocked",IF(K344=1,"Determination Notice",IF(L344=1,"Board","Under Review"))))</f>
        <v/>
      </c>
      <c r="Q344" s="8">
        <f>IF(Applicant_List!L345="Closed","Closed",IF(OR(Applicant_List!L345="Withdrawn",Applicant_List!L345="Terminated"),Applicant_List!L345,IF(N344=1,"No Advancement",IF(K344=1,"Determination Notice Issued",IF(L344=1,"Board","Under Review")))))</f>
        <v/>
      </c>
    </row>
    <row r="345">
      <c r="A345" s="8">
        <f>Applicant_List!C346</f>
        <v/>
      </c>
      <c r="B345" s="8">
        <f>Applicant_List!E346</f>
        <v/>
      </c>
      <c r="C345" s="8">
        <f>Applicant_List!L346</f>
        <v/>
      </c>
      <c r="D345" s="8">
        <f>OR(Applicant_List!L346="Closed",Applicant_List!L346="Withdrawn",Applicant_List!L346="Terminated")</f>
        <v/>
      </c>
      <c r="E345" s="8">
        <f>IF(OR(Applicant_List!AI346="N",Applicant_List!AI346=""),1,0)</f>
        <v/>
      </c>
      <c r="F345" s="8">
        <f>IF(OR(Applicant_List!AK346="N",Applicant_List!AK346="",Applicant_List!AL346="N",Applicant_List!AL346=""),1,0)</f>
        <v/>
      </c>
      <c r="G345" s="8">
        <f>IF(OR(Applicant_List!AM346="N",Applicant_List!AM346=""),1,0)</f>
        <v/>
      </c>
      <c r="H345" s="8">
        <f>IF(OR(Applicant_List!AX346="Y",AND(Applicant_List!AS346="Y",Applicant_List!AV346&lt;&gt;"Y")),1,0)</f>
        <v/>
      </c>
      <c r="I345" s="8">
        <f>IF(OR(Applicant_List!AZ346="N",Applicant_List!AZ346="",Applicant_List!BA346="N",Applicant_List!BA346=""),1,0)</f>
        <v/>
      </c>
      <c r="J345" s="8">
        <f>IF(OR(Applicant_List!BB346="N",Applicant_List!BB346="",Applicant_List!BC346="N",Applicant_List!BE346="Y",Applicant_List!BL346="Y"),1,0)</f>
        <v/>
      </c>
      <c r="K345" s="8">
        <f>IF(AND(Applicant_List!BJ346="Y",Applicant_List!BM346="Y",Applicant_List!BK346&lt;&gt;"Y"),1,0)</f>
        <v/>
      </c>
      <c r="L345" s="8">
        <f>IF(OR(Applicant_List!BN346="Y",Applicant_List!BK346="Y"),1,0)</f>
        <v/>
      </c>
      <c r="M345" s="8">
        <f>COUNTIF(Applicant_List!AI346:BM346,"N")+COUNTBLANK(Applicant_List!AI346:BM346)</f>
        <v/>
      </c>
      <c r="N345" s="8">
        <f>MAX(E345:J345)</f>
        <v/>
      </c>
      <c r="O345" s="8">
        <f>IF(Applicant_List!BP346="Y",100000,0)+IF(ISNUMBER(Applicant_List!BO346),50000-INT(Applicant_List!BO346),0)+IF(LEN(Applicant_List!L346)&gt;0,1000,0)</f>
        <v/>
      </c>
      <c r="P345" s="8">
        <f>IF(D345,"Terminal",IF(N345=1,"Blocked",IF(K345=1,"Determination Notice",IF(L345=1,"Board","Under Review"))))</f>
        <v/>
      </c>
      <c r="Q345" s="8">
        <f>IF(Applicant_List!L346="Closed","Closed",IF(OR(Applicant_List!L346="Withdrawn",Applicant_List!L346="Terminated"),Applicant_List!L346,IF(N345=1,"No Advancement",IF(K345=1,"Determination Notice Issued",IF(L345=1,"Board","Under Review")))))</f>
        <v/>
      </c>
    </row>
    <row r="346">
      <c r="A346" s="8">
        <f>Applicant_List!C347</f>
        <v/>
      </c>
      <c r="B346" s="8">
        <f>Applicant_List!E347</f>
        <v/>
      </c>
      <c r="C346" s="8">
        <f>Applicant_List!L347</f>
        <v/>
      </c>
      <c r="D346" s="8">
        <f>OR(Applicant_List!L347="Closed",Applicant_List!L347="Withdrawn",Applicant_List!L347="Terminated")</f>
        <v/>
      </c>
      <c r="E346" s="8">
        <f>IF(OR(Applicant_List!AI347="N",Applicant_List!AI347=""),1,0)</f>
        <v/>
      </c>
      <c r="F346" s="8">
        <f>IF(OR(Applicant_List!AK347="N",Applicant_List!AK347="",Applicant_List!AL347="N",Applicant_List!AL347=""),1,0)</f>
        <v/>
      </c>
      <c r="G346" s="8">
        <f>IF(OR(Applicant_List!AM347="N",Applicant_List!AM347=""),1,0)</f>
        <v/>
      </c>
      <c r="H346" s="8">
        <f>IF(OR(Applicant_List!AX347="Y",AND(Applicant_List!AS347="Y",Applicant_List!AV347&lt;&gt;"Y")),1,0)</f>
        <v/>
      </c>
      <c r="I346" s="8">
        <f>IF(OR(Applicant_List!AZ347="N",Applicant_List!AZ347="",Applicant_List!BA347="N",Applicant_List!BA347=""),1,0)</f>
        <v/>
      </c>
      <c r="J346" s="8">
        <f>IF(OR(Applicant_List!BB347="N",Applicant_List!BB347="",Applicant_List!BC347="N",Applicant_List!BE347="Y",Applicant_List!BL347="Y"),1,0)</f>
        <v/>
      </c>
      <c r="K346" s="8">
        <f>IF(AND(Applicant_List!BJ347="Y",Applicant_List!BM347="Y",Applicant_List!BK347&lt;&gt;"Y"),1,0)</f>
        <v/>
      </c>
      <c r="L346" s="8">
        <f>IF(OR(Applicant_List!BN347="Y",Applicant_List!BK347="Y"),1,0)</f>
        <v/>
      </c>
      <c r="M346" s="8">
        <f>COUNTIF(Applicant_List!AI347:BM347,"N")+COUNTBLANK(Applicant_List!AI347:BM347)</f>
        <v/>
      </c>
      <c r="N346" s="8">
        <f>MAX(E346:J346)</f>
        <v/>
      </c>
      <c r="O346" s="8">
        <f>IF(Applicant_List!BP347="Y",100000,0)+IF(ISNUMBER(Applicant_List!BO347),50000-INT(Applicant_List!BO347),0)+IF(LEN(Applicant_List!L347)&gt;0,1000,0)</f>
        <v/>
      </c>
      <c r="P346" s="8">
        <f>IF(D346,"Terminal",IF(N346=1,"Blocked",IF(K346=1,"Determination Notice",IF(L346=1,"Board","Under Review"))))</f>
        <v/>
      </c>
      <c r="Q346" s="8">
        <f>IF(Applicant_List!L347="Closed","Closed",IF(OR(Applicant_List!L347="Withdrawn",Applicant_List!L347="Terminated"),Applicant_List!L347,IF(N346=1,"No Advancement",IF(K346=1,"Determination Notice Issued",IF(L346=1,"Board","Under Review")))))</f>
        <v/>
      </c>
    </row>
    <row r="347">
      <c r="A347" s="8">
        <f>Applicant_List!C348</f>
        <v/>
      </c>
      <c r="B347" s="8">
        <f>Applicant_List!E348</f>
        <v/>
      </c>
      <c r="C347" s="8">
        <f>Applicant_List!L348</f>
        <v/>
      </c>
      <c r="D347" s="8">
        <f>OR(Applicant_List!L348="Closed",Applicant_List!L348="Withdrawn",Applicant_List!L348="Terminated")</f>
        <v/>
      </c>
      <c r="E347" s="8">
        <f>IF(OR(Applicant_List!AI348="N",Applicant_List!AI348=""),1,0)</f>
        <v/>
      </c>
      <c r="F347" s="8">
        <f>IF(OR(Applicant_List!AK348="N",Applicant_List!AK348="",Applicant_List!AL348="N",Applicant_List!AL348=""),1,0)</f>
        <v/>
      </c>
      <c r="G347" s="8">
        <f>IF(OR(Applicant_List!AM348="N",Applicant_List!AM348=""),1,0)</f>
        <v/>
      </c>
      <c r="H347" s="8">
        <f>IF(OR(Applicant_List!AX348="Y",AND(Applicant_List!AS348="Y",Applicant_List!AV348&lt;&gt;"Y")),1,0)</f>
        <v/>
      </c>
      <c r="I347" s="8">
        <f>IF(OR(Applicant_List!AZ348="N",Applicant_List!AZ348="",Applicant_List!BA348="N",Applicant_List!BA348=""),1,0)</f>
        <v/>
      </c>
      <c r="J347" s="8">
        <f>IF(OR(Applicant_List!BB348="N",Applicant_List!BB348="",Applicant_List!BC348="N",Applicant_List!BE348="Y",Applicant_List!BL348="Y"),1,0)</f>
        <v/>
      </c>
      <c r="K347" s="8">
        <f>IF(AND(Applicant_List!BJ348="Y",Applicant_List!BM348="Y",Applicant_List!BK348&lt;&gt;"Y"),1,0)</f>
        <v/>
      </c>
      <c r="L347" s="8">
        <f>IF(OR(Applicant_List!BN348="Y",Applicant_List!BK348="Y"),1,0)</f>
        <v/>
      </c>
      <c r="M347" s="8">
        <f>COUNTIF(Applicant_List!AI348:BM348,"N")+COUNTBLANK(Applicant_List!AI348:BM348)</f>
        <v/>
      </c>
      <c r="N347" s="8">
        <f>MAX(E347:J347)</f>
        <v/>
      </c>
      <c r="O347" s="8">
        <f>IF(Applicant_List!BP348="Y",100000,0)+IF(ISNUMBER(Applicant_List!BO348),50000-INT(Applicant_List!BO348),0)+IF(LEN(Applicant_List!L348)&gt;0,1000,0)</f>
        <v/>
      </c>
      <c r="P347" s="8">
        <f>IF(D347,"Terminal",IF(N347=1,"Blocked",IF(K347=1,"Determination Notice",IF(L347=1,"Board","Under Review"))))</f>
        <v/>
      </c>
      <c r="Q347" s="8">
        <f>IF(Applicant_List!L348="Closed","Closed",IF(OR(Applicant_List!L348="Withdrawn",Applicant_List!L348="Terminated"),Applicant_List!L348,IF(N347=1,"No Advancement",IF(K347=1,"Determination Notice Issued",IF(L347=1,"Board","Under Review")))))</f>
        <v/>
      </c>
    </row>
    <row r="348">
      <c r="A348" s="8">
        <f>Applicant_List!C349</f>
        <v/>
      </c>
      <c r="B348" s="8">
        <f>Applicant_List!E349</f>
        <v/>
      </c>
      <c r="C348" s="8">
        <f>Applicant_List!L349</f>
        <v/>
      </c>
      <c r="D348" s="8">
        <f>OR(Applicant_List!L349="Closed",Applicant_List!L349="Withdrawn",Applicant_List!L349="Terminated")</f>
        <v/>
      </c>
      <c r="E348" s="8">
        <f>IF(OR(Applicant_List!AI349="N",Applicant_List!AI349=""),1,0)</f>
        <v/>
      </c>
      <c r="F348" s="8">
        <f>IF(OR(Applicant_List!AK349="N",Applicant_List!AK349="",Applicant_List!AL349="N",Applicant_List!AL349=""),1,0)</f>
        <v/>
      </c>
      <c r="G348" s="8">
        <f>IF(OR(Applicant_List!AM349="N",Applicant_List!AM349=""),1,0)</f>
        <v/>
      </c>
      <c r="H348" s="8">
        <f>IF(OR(Applicant_List!AX349="Y",AND(Applicant_List!AS349="Y",Applicant_List!AV349&lt;&gt;"Y")),1,0)</f>
        <v/>
      </c>
      <c r="I348" s="8">
        <f>IF(OR(Applicant_List!AZ349="N",Applicant_List!AZ349="",Applicant_List!BA349="N",Applicant_List!BA349=""),1,0)</f>
        <v/>
      </c>
      <c r="J348" s="8">
        <f>IF(OR(Applicant_List!BB349="N",Applicant_List!BB349="",Applicant_List!BC349="N",Applicant_List!BE349="Y",Applicant_List!BL349="Y"),1,0)</f>
        <v/>
      </c>
      <c r="K348" s="8">
        <f>IF(AND(Applicant_List!BJ349="Y",Applicant_List!BM349="Y",Applicant_List!BK349&lt;&gt;"Y"),1,0)</f>
        <v/>
      </c>
      <c r="L348" s="8">
        <f>IF(OR(Applicant_List!BN349="Y",Applicant_List!BK349="Y"),1,0)</f>
        <v/>
      </c>
      <c r="M348" s="8">
        <f>COUNTIF(Applicant_List!AI349:BM349,"N")+COUNTBLANK(Applicant_List!AI349:BM349)</f>
        <v/>
      </c>
      <c r="N348" s="8">
        <f>MAX(E348:J348)</f>
        <v/>
      </c>
      <c r="O348" s="8">
        <f>IF(Applicant_List!BP349="Y",100000,0)+IF(ISNUMBER(Applicant_List!BO349),50000-INT(Applicant_List!BO349),0)+IF(LEN(Applicant_List!L349)&gt;0,1000,0)</f>
        <v/>
      </c>
      <c r="P348" s="8">
        <f>IF(D348,"Terminal",IF(N348=1,"Blocked",IF(K348=1,"Determination Notice",IF(L348=1,"Board","Under Review"))))</f>
        <v/>
      </c>
      <c r="Q348" s="8">
        <f>IF(Applicant_List!L349="Closed","Closed",IF(OR(Applicant_List!L349="Withdrawn",Applicant_List!L349="Terminated"),Applicant_List!L349,IF(N348=1,"No Advancement",IF(K348=1,"Determination Notice Issued",IF(L348=1,"Board","Under Review")))))</f>
        <v/>
      </c>
    </row>
    <row r="349">
      <c r="A349" s="8">
        <f>Applicant_List!C350</f>
        <v/>
      </c>
      <c r="B349" s="8">
        <f>Applicant_List!E350</f>
        <v/>
      </c>
      <c r="C349" s="8">
        <f>Applicant_List!L350</f>
        <v/>
      </c>
      <c r="D349" s="8">
        <f>OR(Applicant_List!L350="Closed",Applicant_List!L350="Withdrawn",Applicant_List!L350="Terminated")</f>
        <v/>
      </c>
      <c r="E349" s="8">
        <f>IF(OR(Applicant_List!AI350="N",Applicant_List!AI350=""),1,0)</f>
        <v/>
      </c>
      <c r="F349" s="8">
        <f>IF(OR(Applicant_List!AK350="N",Applicant_List!AK350="",Applicant_List!AL350="N",Applicant_List!AL350=""),1,0)</f>
        <v/>
      </c>
      <c r="G349" s="8">
        <f>IF(OR(Applicant_List!AM350="N",Applicant_List!AM350=""),1,0)</f>
        <v/>
      </c>
      <c r="H349" s="8">
        <f>IF(OR(Applicant_List!AX350="Y",AND(Applicant_List!AS350="Y",Applicant_List!AV350&lt;&gt;"Y")),1,0)</f>
        <v/>
      </c>
      <c r="I349" s="8">
        <f>IF(OR(Applicant_List!AZ350="N",Applicant_List!AZ350="",Applicant_List!BA350="N",Applicant_List!BA350=""),1,0)</f>
        <v/>
      </c>
      <c r="J349" s="8">
        <f>IF(OR(Applicant_List!BB350="N",Applicant_List!BB350="",Applicant_List!BC350="N",Applicant_List!BE350="Y",Applicant_List!BL350="Y"),1,0)</f>
        <v/>
      </c>
      <c r="K349" s="8">
        <f>IF(AND(Applicant_List!BJ350="Y",Applicant_List!BM350="Y",Applicant_List!BK350&lt;&gt;"Y"),1,0)</f>
        <v/>
      </c>
      <c r="L349" s="8">
        <f>IF(OR(Applicant_List!BN350="Y",Applicant_List!BK350="Y"),1,0)</f>
        <v/>
      </c>
      <c r="M349" s="8">
        <f>COUNTIF(Applicant_List!AI350:BM350,"N")+COUNTBLANK(Applicant_List!AI350:BM350)</f>
        <v/>
      </c>
      <c r="N349" s="8">
        <f>MAX(E349:J349)</f>
        <v/>
      </c>
      <c r="O349" s="8">
        <f>IF(Applicant_List!BP350="Y",100000,0)+IF(ISNUMBER(Applicant_List!BO350),50000-INT(Applicant_List!BO350),0)+IF(LEN(Applicant_List!L350)&gt;0,1000,0)</f>
        <v/>
      </c>
      <c r="P349" s="8">
        <f>IF(D349,"Terminal",IF(N349=1,"Blocked",IF(K349=1,"Determination Notice",IF(L349=1,"Board","Under Review"))))</f>
        <v/>
      </c>
      <c r="Q349" s="8">
        <f>IF(Applicant_List!L350="Closed","Closed",IF(OR(Applicant_List!L350="Withdrawn",Applicant_List!L350="Terminated"),Applicant_List!L350,IF(N349=1,"No Advancement",IF(K349=1,"Determination Notice Issued",IF(L349=1,"Board","Under Review")))))</f>
        <v/>
      </c>
    </row>
    <row r="350">
      <c r="A350" s="8">
        <f>Applicant_List!C351</f>
        <v/>
      </c>
      <c r="B350" s="8">
        <f>Applicant_List!E351</f>
        <v/>
      </c>
      <c r="C350" s="8">
        <f>Applicant_List!L351</f>
        <v/>
      </c>
      <c r="D350" s="8">
        <f>OR(Applicant_List!L351="Closed",Applicant_List!L351="Withdrawn",Applicant_List!L351="Terminated")</f>
        <v/>
      </c>
      <c r="E350" s="8">
        <f>IF(OR(Applicant_List!AI351="N",Applicant_List!AI351=""),1,0)</f>
        <v/>
      </c>
      <c r="F350" s="8">
        <f>IF(OR(Applicant_List!AK351="N",Applicant_List!AK351="",Applicant_List!AL351="N",Applicant_List!AL351=""),1,0)</f>
        <v/>
      </c>
      <c r="G350" s="8">
        <f>IF(OR(Applicant_List!AM351="N",Applicant_List!AM351=""),1,0)</f>
        <v/>
      </c>
      <c r="H350" s="8">
        <f>IF(OR(Applicant_List!AX351="Y",AND(Applicant_List!AS351="Y",Applicant_List!AV351&lt;&gt;"Y")),1,0)</f>
        <v/>
      </c>
      <c r="I350" s="8">
        <f>IF(OR(Applicant_List!AZ351="N",Applicant_List!AZ351="",Applicant_List!BA351="N",Applicant_List!BA351=""),1,0)</f>
        <v/>
      </c>
      <c r="J350" s="8">
        <f>IF(OR(Applicant_List!BB351="N",Applicant_List!BB351="",Applicant_List!BC351="N",Applicant_List!BE351="Y",Applicant_List!BL351="Y"),1,0)</f>
        <v/>
      </c>
      <c r="K350" s="8">
        <f>IF(AND(Applicant_List!BJ351="Y",Applicant_List!BM351="Y",Applicant_List!BK351&lt;&gt;"Y"),1,0)</f>
        <v/>
      </c>
      <c r="L350" s="8">
        <f>IF(OR(Applicant_List!BN351="Y",Applicant_List!BK351="Y"),1,0)</f>
        <v/>
      </c>
      <c r="M350" s="8">
        <f>COUNTIF(Applicant_List!AI351:BM351,"N")+COUNTBLANK(Applicant_List!AI351:BM351)</f>
        <v/>
      </c>
      <c r="N350" s="8">
        <f>MAX(E350:J350)</f>
        <v/>
      </c>
      <c r="O350" s="8">
        <f>IF(Applicant_List!BP351="Y",100000,0)+IF(ISNUMBER(Applicant_List!BO351),50000-INT(Applicant_List!BO351),0)+IF(LEN(Applicant_List!L351)&gt;0,1000,0)</f>
        <v/>
      </c>
      <c r="P350" s="8">
        <f>IF(D350,"Terminal",IF(N350=1,"Blocked",IF(K350=1,"Determination Notice",IF(L350=1,"Board","Under Review"))))</f>
        <v/>
      </c>
      <c r="Q350" s="8">
        <f>IF(Applicant_List!L351="Closed","Closed",IF(OR(Applicant_List!L351="Withdrawn",Applicant_List!L351="Terminated"),Applicant_List!L351,IF(N350=1,"No Advancement",IF(K350=1,"Determination Notice Issued",IF(L350=1,"Board","Under Review")))))</f>
        <v/>
      </c>
    </row>
    <row r="351">
      <c r="A351" s="8">
        <f>Applicant_List!C352</f>
        <v/>
      </c>
      <c r="B351" s="8">
        <f>Applicant_List!E352</f>
        <v/>
      </c>
      <c r="C351" s="8">
        <f>Applicant_List!L352</f>
        <v/>
      </c>
      <c r="D351" s="8">
        <f>OR(Applicant_List!L352="Closed",Applicant_List!L352="Withdrawn",Applicant_List!L352="Terminated")</f>
        <v/>
      </c>
      <c r="E351" s="8">
        <f>IF(OR(Applicant_List!AI352="N",Applicant_List!AI352=""),1,0)</f>
        <v/>
      </c>
      <c r="F351" s="8">
        <f>IF(OR(Applicant_List!AK352="N",Applicant_List!AK352="",Applicant_List!AL352="N",Applicant_List!AL352=""),1,0)</f>
        <v/>
      </c>
      <c r="G351" s="8">
        <f>IF(OR(Applicant_List!AM352="N",Applicant_List!AM352=""),1,0)</f>
        <v/>
      </c>
      <c r="H351" s="8">
        <f>IF(OR(Applicant_List!AX352="Y",AND(Applicant_List!AS352="Y",Applicant_List!AV352&lt;&gt;"Y")),1,0)</f>
        <v/>
      </c>
      <c r="I351" s="8">
        <f>IF(OR(Applicant_List!AZ352="N",Applicant_List!AZ352="",Applicant_List!BA352="N",Applicant_List!BA352=""),1,0)</f>
        <v/>
      </c>
      <c r="J351" s="8">
        <f>IF(OR(Applicant_List!BB352="N",Applicant_List!BB352="",Applicant_List!BC352="N",Applicant_List!BE352="Y",Applicant_List!BL352="Y"),1,0)</f>
        <v/>
      </c>
      <c r="K351" s="8">
        <f>IF(AND(Applicant_List!BJ352="Y",Applicant_List!BM352="Y",Applicant_List!BK352&lt;&gt;"Y"),1,0)</f>
        <v/>
      </c>
      <c r="L351" s="8">
        <f>IF(OR(Applicant_List!BN352="Y",Applicant_List!BK352="Y"),1,0)</f>
        <v/>
      </c>
      <c r="M351" s="8">
        <f>COUNTIF(Applicant_List!AI352:BM352,"N")+COUNTBLANK(Applicant_List!AI352:BM352)</f>
        <v/>
      </c>
      <c r="N351" s="8">
        <f>MAX(E351:J351)</f>
        <v/>
      </c>
      <c r="O351" s="8">
        <f>IF(Applicant_List!BP352="Y",100000,0)+IF(ISNUMBER(Applicant_List!BO352),50000-INT(Applicant_List!BO352),0)+IF(LEN(Applicant_List!L352)&gt;0,1000,0)</f>
        <v/>
      </c>
      <c r="P351" s="8">
        <f>IF(D351,"Terminal",IF(N351=1,"Blocked",IF(K351=1,"Determination Notice",IF(L351=1,"Board","Under Review"))))</f>
        <v/>
      </c>
      <c r="Q351" s="8">
        <f>IF(Applicant_List!L352="Closed","Closed",IF(OR(Applicant_List!L352="Withdrawn",Applicant_List!L352="Terminated"),Applicant_List!L352,IF(N351=1,"No Advancement",IF(K351=1,"Determination Notice Issued",IF(L351=1,"Board","Under Review")))))</f>
        <v/>
      </c>
    </row>
    <row r="352">
      <c r="A352" s="8">
        <f>Applicant_List!C353</f>
        <v/>
      </c>
      <c r="B352" s="8">
        <f>Applicant_List!E353</f>
        <v/>
      </c>
      <c r="C352" s="8">
        <f>Applicant_List!L353</f>
        <v/>
      </c>
      <c r="D352" s="8">
        <f>OR(Applicant_List!L353="Closed",Applicant_List!L353="Withdrawn",Applicant_List!L353="Terminated")</f>
        <v/>
      </c>
      <c r="E352" s="8">
        <f>IF(OR(Applicant_List!AI353="N",Applicant_List!AI353=""),1,0)</f>
        <v/>
      </c>
      <c r="F352" s="8">
        <f>IF(OR(Applicant_List!AK353="N",Applicant_List!AK353="",Applicant_List!AL353="N",Applicant_List!AL353=""),1,0)</f>
        <v/>
      </c>
      <c r="G352" s="8">
        <f>IF(OR(Applicant_List!AM353="N",Applicant_List!AM353=""),1,0)</f>
        <v/>
      </c>
      <c r="H352" s="8">
        <f>IF(OR(Applicant_List!AX353="Y",AND(Applicant_List!AS353="Y",Applicant_List!AV353&lt;&gt;"Y")),1,0)</f>
        <v/>
      </c>
      <c r="I352" s="8">
        <f>IF(OR(Applicant_List!AZ353="N",Applicant_List!AZ353="",Applicant_List!BA353="N",Applicant_List!BA353=""),1,0)</f>
        <v/>
      </c>
      <c r="J352" s="8">
        <f>IF(OR(Applicant_List!BB353="N",Applicant_List!BB353="",Applicant_List!BC353="N",Applicant_List!BE353="Y",Applicant_List!BL353="Y"),1,0)</f>
        <v/>
      </c>
      <c r="K352" s="8">
        <f>IF(AND(Applicant_List!BJ353="Y",Applicant_List!BM353="Y",Applicant_List!BK353&lt;&gt;"Y"),1,0)</f>
        <v/>
      </c>
      <c r="L352" s="8">
        <f>IF(OR(Applicant_List!BN353="Y",Applicant_List!BK353="Y"),1,0)</f>
        <v/>
      </c>
      <c r="M352" s="8">
        <f>COUNTIF(Applicant_List!AI353:BM353,"N")+COUNTBLANK(Applicant_List!AI353:BM353)</f>
        <v/>
      </c>
      <c r="N352" s="8">
        <f>MAX(E352:J352)</f>
        <v/>
      </c>
      <c r="O352" s="8">
        <f>IF(Applicant_List!BP353="Y",100000,0)+IF(ISNUMBER(Applicant_List!BO353),50000-INT(Applicant_List!BO353),0)+IF(LEN(Applicant_List!L353)&gt;0,1000,0)</f>
        <v/>
      </c>
      <c r="P352" s="8">
        <f>IF(D352,"Terminal",IF(N352=1,"Blocked",IF(K352=1,"Determination Notice",IF(L352=1,"Board","Under Review"))))</f>
        <v/>
      </c>
      <c r="Q352" s="8">
        <f>IF(Applicant_List!L353="Closed","Closed",IF(OR(Applicant_List!L353="Withdrawn",Applicant_List!L353="Terminated"),Applicant_List!L353,IF(N352=1,"No Advancement",IF(K352=1,"Determination Notice Issued",IF(L352=1,"Board","Under Review")))))</f>
        <v/>
      </c>
    </row>
    <row r="353">
      <c r="A353" s="8">
        <f>Applicant_List!C354</f>
        <v/>
      </c>
      <c r="B353" s="8">
        <f>Applicant_List!E354</f>
        <v/>
      </c>
      <c r="C353" s="8">
        <f>Applicant_List!L354</f>
        <v/>
      </c>
      <c r="D353" s="8">
        <f>OR(Applicant_List!L354="Closed",Applicant_List!L354="Withdrawn",Applicant_List!L354="Terminated")</f>
        <v/>
      </c>
      <c r="E353" s="8">
        <f>IF(OR(Applicant_List!AI354="N",Applicant_List!AI354=""),1,0)</f>
        <v/>
      </c>
      <c r="F353" s="8">
        <f>IF(OR(Applicant_List!AK354="N",Applicant_List!AK354="",Applicant_List!AL354="N",Applicant_List!AL354=""),1,0)</f>
        <v/>
      </c>
      <c r="G353" s="8">
        <f>IF(OR(Applicant_List!AM354="N",Applicant_List!AM354=""),1,0)</f>
        <v/>
      </c>
      <c r="H353" s="8">
        <f>IF(OR(Applicant_List!AX354="Y",AND(Applicant_List!AS354="Y",Applicant_List!AV354&lt;&gt;"Y")),1,0)</f>
        <v/>
      </c>
      <c r="I353" s="8">
        <f>IF(OR(Applicant_List!AZ354="N",Applicant_List!AZ354="",Applicant_List!BA354="N",Applicant_List!BA354=""),1,0)</f>
        <v/>
      </c>
      <c r="J353" s="8">
        <f>IF(OR(Applicant_List!BB354="N",Applicant_List!BB354="",Applicant_List!BC354="N",Applicant_List!BE354="Y",Applicant_List!BL354="Y"),1,0)</f>
        <v/>
      </c>
      <c r="K353" s="8">
        <f>IF(AND(Applicant_List!BJ354="Y",Applicant_List!BM354="Y",Applicant_List!BK354&lt;&gt;"Y"),1,0)</f>
        <v/>
      </c>
      <c r="L353" s="8">
        <f>IF(OR(Applicant_List!BN354="Y",Applicant_List!BK354="Y"),1,0)</f>
        <v/>
      </c>
      <c r="M353" s="8">
        <f>COUNTIF(Applicant_List!AI354:BM354,"N")+COUNTBLANK(Applicant_List!AI354:BM354)</f>
        <v/>
      </c>
      <c r="N353" s="8">
        <f>MAX(E353:J353)</f>
        <v/>
      </c>
      <c r="O353" s="8">
        <f>IF(Applicant_List!BP354="Y",100000,0)+IF(ISNUMBER(Applicant_List!BO354),50000-INT(Applicant_List!BO354),0)+IF(LEN(Applicant_List!L354)&gt;0,1000,0)</f>
        <v/>
      </c>
      <c r="P353" s="8">
        <f>IF(D353,"Terminal",IF(N353=1,"Blocked",IF(K353=1,"Determination Notice",IF(L353=1,"Board","Under Review"))))</f>
        <v/>
      </c>
      <c r="Q353" s="8">
        <f>IF(Applicant_List!L354="Closed","Closed",IF(OR(Applicant_List!L354="Withdrawn",Applicant_List!L354="Terminated"),Applicant_List!L354,IF(N353=1,"No Advancement",IF(K353=1,"Determination Notice Issued",IF(L353=1,"Board","Under Review")))))</f>
        <v/>
      </c>
    </row>
    <row r="354">
      <c r="A354" s="8">
        <f>Applicant_List!C355</f>
        <v/>
      </c>
      <c r="B354" s="8">
        <f>Applicant_List!E355</f>
        <v/>
      </c>
      <c r="C354" s="8">
        <f>Applicant_List!L355</f>
        <v/>
      </c>
      <c r="D354" s="8">
        <f>OR(Applicant_List!L355="Closed",Applicant_List!L355="Withdrawn",Applicant_List!L355="Terminated")</f>
        <v/>
      </c>
      <c r="E354" s="8">
        <f>IF(OR(Applicant_List!AI355="N",Applicant_List!AI355=""),1,0)</f>
        <v/>
      </c>
      <c r="F354" s="8">
        <f>IF(OR(Applicant_List!AK355="N",Applicant_List!AK355="",Applicant_List!AL355="N",Applicant_List!AL355=""),1,0)</f>
        <v/>
      </c>
      <c r="G354" s="8">
        <f>IF(OR(Applicant_List!AM355="N",Applicant_List!AM355=""),1,0)</f>
        <v/>
      </c>
      <c r="H354" s="8">
        <f>IF(OR(Applicant_List!AX355="Y",AND(Applicant_List!AS355="Y",Applicant_List!AV355&lt;&gt;"Y")),1,0)</f>
        <v/>
      </c>
      <c r="I354" s="8">
        <f>IF(OR(Applicant_List!AZ355="N",Applicant_List!AZ355="",Applicant_List!BA355="N",Applicant_List!BA355=""),1,0)</f>
        <v/>
      </c>
      <c r="J354" s="8">
        <f>IF(OR(Applicant_List!BB355="N",Applicant_List!BB355="",Applicant_List!BC355="N",Applicant_List!BE355="Y",Applicant_List!BL355="Y"),1,0)</f>
        <v/>
      </c>
      <c r="K354" s="8">
        <f>IF(AND(Applicant_List!BJ355="Y",Applicant_List!BM355="Y",Applicant_List!BK355&lt;&gt;"Y"),1,0)</f>
        <v/>
      </c>
      <c r="L354" s="8">
        <f>IF(OR(Applicant_List!BN355="Y",Applicant_List!BK355="Y"),1,0)</f>
        <v/>
      </c>
      <c r="M354" s="8">
        <f>COUNTIF(Applicant_List!AI355:BM355,"N")+COUNTBLANK(Applicant_List!AI355:BM355)</f>
        <v/>
      </c>
      <c r="N354" s="8">
        <f>MAX(E354:J354)</f>
        <v/>
      </c>
      <c r="O354" s="8">
        <f>IF(Applicant_List!BP355="Y",100000,0)+IF(ISNUMBER(Applicant_List!BO355),50000-INT(Applicant_List!BO355),0)+IF(LEN(Applicant_List!L355)&gt;0,1000,0)</f>
        <v/>
      </c>
      <c r="P354" s="8">
        <f>IF(D354,"Terminal",IF(N354=1,"Blocked",IF(K354=1,"Determination Notice",IF(L354=1,"Board","Under Review"))))</f>
        <v/>
      </c>
      <c r="Q354" s="8">
        <f>IF(Applicant_List!L355="Closed","Closed",IF(OR(Applicant_List!L355="Withdrawn",Applicant_List!L355="Terminated"),Applicant_List!L355,IF(N354=1,"No Advancement",IF(K354=1,"Determination Notice Issued",IF(L354=1,"Board","Under Review")))))</f>
        <v/>
      </c>
    </row>
    <row r="355">
      <c r="A355" s="8">
        <f>Applicant_List!C356</f>
        <v/>
      </c>
      <c r="B355" s="8">
        <f>Applicant_List!E356</f>
        <v/>
      </c>
      <c r="C355" s="8">
        <f>Applicant_List!L356</f>
        <v/>
      </c>
      <c r="D355" s="8">
        <f>OR(Applicant_List!L356="Closed",Applicant_List!L356="Withdrawn",Applicant_List!L356="Terminated")</f>
        <v/>
      </c>
      <c r="E355" s="8">
        <f>IF(OR(Applicant_List!AI356="N",Applicant_List!AI356=""),1,0)</f>
        <v/>
      </c>
      <c r="F355" s="8">
        <f>IF(OR(Applicant_List!AK356="N",Applicant_List!AK356="",Applicant_List!AL356="N",Applicant_List!AL356=""),1,0)</f>
        <v/>
      </c>
      <c r="G355" s="8">
        <f>IF(OR(Applicant_List!AM356="N",Applicant_List!AM356=""),1,0)</f>
        <v/>
      </c>
      <c r="H355" s="8">
        <f>IF(OR(Applicant_List!AX356="Y",AND(Applicant_List!AS356="Y",Applicant_List!AV356&lt;&gt;"Y")),1,0)</f>
        <v/>
      </c>
      <c r="I355" s="8">
        <f>IF(OR(Applicant_List!AZ356="N",Applicant_List!AZ356="",Applicant_List!BA356="N",Applicant_List!BA356=""),1,0)</f>
        <v/>
      </c>
      <c r="J355" s="8">
        <f>IF(OR(Applicant_List!BB356="N",Applicant_List!BB356="",Applicant_List!BC356="N",Applicant_List!BE356="Y",Applicant_List!BL356="Y"),1,0)</f>
        <v/>
      </c>
      <c r="K355" s="8">
        <f>IF(AND(Applicant_List!BJ356="Y",Applicant_List!BM356="Y",Applicant_List!BK356&lt;&gt;"Y"),1,0)</f>
        <v/>
      </c>
      <c r="L355" s="8">
        <f>IF(OR(Applicant_List!BN356="Y",Applicant_List!BK356="Y"),1,0)</f>
        <v/>
      </c>
      <c r="M355" s="8">
        <f>COUNTIF(Applicant_List!AI356:BM356,"N")+COUNTBLANK(Applicant_List!AI356:BM356)</f>
        <v/>
      </c>
      <c r="N355" s="8">
        <f>MAX(E355:J355)</f>
        <v/>
      </c>
      <c r="O355" s="8">
        <f>IF(Applicant_List!BP356="Y",100000,0)+IF(ISNUMBER(Applicant_List!BO356),50000-INT(Applicant_List!BO356),0)+IF(LEN(Applicant_List!L356)&gt;0,1000,0)</f>
        <v/>
      </c>
      <c r="P355" s="8">
        <f>IF(D355,"Terminal",IF(N355=1,"Blocked",IF(K355=1,"Determination Notice",IF(L355=1,"Board","Under Review"))))</f>
        <v/>
      </c>
      <c r="Q355" s="8">
        <f>IF(Applicant_List!L356="Closed","Closed",IF(OR(Applicant_List!L356="Withdrawn",Applicant_List!L356="Terminated"),Applicant_List!L356,IF(N355=1,"No Advancement",IF(K355=1,"Determination Notice Issued",IF(L355=1,"Board","Under Review")))))</f>
        <v/>
      </c>
    </row>
    <row r="356">
      <c r="A356" s="8">
        <f>Applicant_List!C357</f>
        <v/>
      </c>
      <c r="B356" s="8">
        <f>Applicant_List!E357</f>
        <v/>
      </c>
      <c r="C356" s="8">
        <f>Applicant_List!L357</f>
        <v/>
      </c>
      <c r="D356" s="8">
        <f>OR(Applicant_List!L357="Closed",Applicant_List!L357="Withdrawn",Applicant_List!L357="Terminated")</f>
        <v/>
      </c>
      <c r="E356" s="8">
        <f>IF(OR(Applicant_List!AI357="N",Applicant_List!AI357=""),1,0)</f>
        <v/>
      </c>
      <c r="F356" s="8">
        <f>IF(OR(Applicant_List!AK357="N",Applicant_List!AK357="",Applicant_List!AL357="N",Applicant_List!AL357=""),1,0)</f>
        <v/>
      </c>
      <c r="G356" s="8">
        <f>IF(OR(Applicant_List!AM357="N",Applicant_List!AM357=""),1,0)</f>
        <v/>
      </c>
      <c r="H356" s="8">
        <f>IF(OR(Applicant_List!AX357="Y",AND(Applicant_List!AS357="Y",Applicant_List!AV357&lt;&gt;"Y")),1,0)</f>
        <v/>
      </c>
      <c r="I356" s="8">
        <f>IF(OR(Applicant_List!AZ357="N",Applicant_List!AZ357="",Applicant_List!BA357="N",Applicant_List!BA357=""),1,0)</f>
        <v/>
      </c>
      <c r="J356" s="8">
        <f>IF(OR(Applicant_List!BB357="N",Applicant_List!BB357="",Applicant_List!BC357="N",Applicant_List!BE357="Y",Applicant_List!BL357="Y"),1,0)</f>
        <v/>
      </c>
      <c r="K356" s="8">
        <f>IF(AND(Applicant_List!BJ357="Y",Applicant_List!BM357="Y",Applicant_List!BK357&lt;&gt;"Y"),1,0)</f>
        <v/>
      </c>
      <c r="L356" s="8">
        <f>IF(OR(Applicant_List!BN357="Y",Applicant_List!BK357="Y"),1,0)</f>
        <v/>
      </c>
      <c r="M356" s="8">
        <f>COUNTIF(Applicant_List!AI357:BM357,"N")+COUNTBLANK(Applicant_List!AI357:BM357)</f>
        <v/>
      </c>
      <c r="N356" s="8">
        <f>MAX(E356:J356)</f>
        <v/>
      </c>
      <c r="O356" s="8">
        <f>IF(Applicant_List!BP357="Y",100000,0)+IF(ISNUMBER(Applicant_List!BO357),50000-INT(Applicant_List!BO357),0)+IF(LEN(Applicant_List!L357)&gt;0,1000,0)</f>
        <v/>
      </c>
      <c r="P356" s="8">
        <f>IF(D356,"Terminal",IF(N356=1,"Blocked",IF(K356=1,"Determination Notice",IF(L356=1,"Board","Under Review"))))</f>
        <v/>
      </c>
      <c r="Q356" s="8">
        <f>IF(Applicant_List!L357="Closed","Closed",IF(OR(Applicant_List!L357="Withdrawn",Applicant_List!L357="Terminated"),Applicant_List!L357,IF(N356=1,"No Advancement",IF(K356=1,"Determination Notice Issued",IF(L356=1,"Board","Under Review")))))</f>
        <v/>
      </c>
    </row>
    <row r="357">
      <c r="A357" s="8">
        <f>Applicant_List!C358</f>
        <v/>
      </c>
      <c r="B357" s="8">
        <f>Applicant_List!E358</f>
        <v/>
      </c>
      <c r="C357" s="8">
        <f>Applicant_List!L358</f>
        <v/>
      </c>
      <c r="D357" s="8">
        <f>OR(Applicant_List!L358="Closed",Applicant_List!L358="Withdrawn",Applicant_List!L358="Terminated")</f>
        <v/>
      </c>
      <c r="E357" s="8">
        <f>IF(OR(Applicant_List!AI358="N",Applicant_List!AI358=""),1,0)</f>
        <v/>
      </c>
      <c r="F357" s="8">
        <f>IF(OR(Applicant_List!AK358="N",Applicant_List!AK358="",Applicant_List!AL358="N",Applicant_List!AL358=""),1,0)</f>
        <v/>
      </c>
      <c r="G357" s="8">
        <f>IF(OR(Applicant_List!AM358="N",Applicant_List!AM358=""),1,0)</f>
        <v/>
      </c>
      <c r="H357" s="8">
        <f>IF(OR(Applicant_List!AX358="Y",AND(Applicant_List!AS358="Y",Applicant_List!AV358&lt;&gt;"Y")),1,0)</f>
        <v/>
      </c>
      <c r="I357" s="8">
        <f>IF(OR(Applicant_List!AZ358="N",Applicant_List!AZ358="",Applicant_List!BA358="N",Applicant_List!BA358=""),1,0)</f>
        <v/>
      </c>
      <c r="J357" s="8">
        <f>IF(OR(Applicant_List!BB358="N",Applicant_List!BB358="",Applicant_List!BC358="N",Applicant_List!BE358="Y",Applicant_List!BL358="Y"),1,0)</f>
        <v/>
      </c>
      <c r="K357" s="8">
        <f>IF(AND(Applicant_List!BJ358="Y",Applicant_List!BM358="Y",Applicant_List!BK358&lt;&gt;"Y"),1,0)</f>
        <v/>
      </c>
      <c r="L357" s="8">
        <f>IF(OR(Applicant_List!BN358="Y",Applicant_List!BK358="Y"),1,0)</f>
        <v/>
      </c>
      <c r="M357" s="8">
        <f>COUNTIF(Applicant_List!AI358:BM358,"N")+COUNTBLANK(Applicant_List!AI358:BM358)</f>
        <v/>
      </c>
      <c r="N357" s="8">
        <f>MAX(E357:J357)</f>
        <v/>
      </c>
      <c r="O357" s="8">
        <f>IF(Applicant_List!BP358="Y",100000,0)+IF(ISNUMBER(Applicant_List!BO358),50000-INT(Applicant_List!BO358),0)+IF(LEN(Applicant_List!L358)&gt;0,1000,0)</f>
        <v/>
      </c>
      <c r="P357" s="8">
        <f>IF(D357,"Terminal",IF(N357=1,"Blocked",IF(K357=1,"Determination Notice",IF(L357=1,"Board","Under Review"))))</f>
        <v/>
      </c>
      <c r="Q357" s="8">
        <f>IF(Applicant_List!L358="Closed","Closed",IF(OR(Applicant_List!L358="Withdrawn",Applicant_List!L358="Terminated"),Applicant_List!L358,IF(N357=1,"No Advancement",IF(K357=1,"Determination Notice Issued",IF(L357=1,"Board","Under Review")))))</f>
        <v/>
      </c>
    </row>
    <row r="358">
      <c r="A358" s="8">
        <f>Applicant_List!C359</f>
        <v/>
      </c>
      <c r="B358" s="8">
        <f>Applicant_List!E359</f>
        <v/>
      </c>
      <c r="C358" s="8">
        <f>Applicant_List!L359</f>
        <v/>
      </c>
      <c r="D358" s="8">
        <f>OR(Applicant_List!L359="Closed",Applicant_List!L359="Withdrawn",Applicant_List!L359="Terminated")</f>
        <v/>
      </c>
      <c r="E358" s="8">
        <f>IF(OR(Applicant_List!AI359="N",Applicant_List!AI359=""),1,0)</f>
        <v/>
      </c>
      <c r="F358" s="8">
        <f>IF(OR(Applicant_List!AK359="N",Applicant_List!AK359="",Applicant_List!AL359="N",Applicant_List!AL359=""),1,0)</f>
        <v/>
      </c>
      <c r="G358" s="8">
        <f>IF(OR(Applicant_List!AM359="N",Applicant_List!AM359=""),1,0)</f>
        <v/>
      </c>
      <c r="H358" s="8">
        <f>IF(OR(Applicant_List!AX359="Y",AND(Applicant_List!AS359="Y",Applicant_List!AV359&lt;&gt;"Y")),1,0)</f>
        <v/>
      </c>
      <c r="I358" s="8">
        <f>IF(OR(Applicant_List!AZ359="N",Applicant_List!AZ359="",Applicant_List!BA359="N",Applicant_List!BA359=""),1,0)</f>
        <v/>
      </c>
      <c r="J358" s="8">
        <f>IF(OR(Applicant_List!BB359="N",Applicant_List!BB359="",Applicant_List!BC359="N",Applicant_List!BE359="Y",Applicant_List!BL359="Y"),1,0)</f>
        <v/>
      </c>
      <c r="K358" s="8">
        <f>IF(AND(Applicant_List!BJ359="Y",Applicant_List!BM359="Y",Applicant_List!BK359&lt;&gt;"Y"),1,0)</f>
        <v/>
      </c>
      <c r="L358" s="8">
        <f>IF(OR(Applicant_List!BN359="Y",Applicant_List!BK359="Y"),1,0)</f>
        <v/>
      </c>
      <c r="M358" s="8">
        <f>COUNTIF(Applicant_List!AI359:BM359,"N")+COUNTBLANK(Applicant_List!AI359:BM359)</f>
        <v/>
      </c>
      <c r="N358" s="8">
        <f>MAX(E358:J358)</f>
        <v/>
      </c>
      <c r="O358" s="8">
        <f>IF(Applicant_List!BP359="Y",100000,0)+IF(ISNUMBER(Applicant_List!BO359),50000-INT(Applicant_List!BO359),0)+IF(LEN(Applicant_List!L359)&gt;0,1000,0)</f>
        <v/>
      </c>
      <c r="P358" s="8">
        <f>IF(D358,"Terminal",IF(N358=1,"Blocked",IF(K358=1,"Determination Notice",IF(L358=1,"Board","Under Review"))))</f>
        <v/>
      </c>
      <c r="Q358" s="8">
        <f>IF(Applicant_List!L359="Closed","Closed",IF(OR(Applicant_List!L359="Withdrawn",Applicant_List!L359="Terminated"),Applicant_List!L359,IF(N358=1,"No Advancement",IF(K358=1,"Determination Notice Issued",IF(L358=1,"Board","Under Review")))))</f>
        <v/>
      </c>
    </row>
    <row r="359">
      <c r="A359" s="8">
        <f>Applicant_List!C360</f>
        <v/>
      </c>
      <c r="B359" s="8">
        <f>Applicant_List!E360</f>
        <v/>
      </c>
      <c r="C359" s="8">
        <f>Applicant_List!L360</f>
        <v/>
      </c>
      <c r="D359" s="8">
        <f>OR(Applicant_List!L360="Closed",Applicant_List!L360="Withdrawn",Applicant_List!L360="Terminated")</f>
        <v/>
      </c>
      <c r="E359" s="8">
        <f>IF(OR(Applicant_List!AI360="N",Applicant_List!AI360=""),1,0)</f>
        <v/>
      </c>
      <c r="F359" s="8">
        <f>IF(OR(Applicant_List!AK360="N",Applicant_List!AK360="",Applicant_List!AL360="N",Applicant_List!AL360=""),1,0)</f>
        <v/>
      </c>
      <c r="G359" s="8">
        <f>IF(OR(Applicant_List!AM360="N",Applicant_List!AM360=""),1,0)</f>
        <v/>
      </c>
      <c r="H359" s="8">
        <f>IF(OR(Applicant_List!AX360="Y",AND(Applicant_List!AS360="Y",Applicant_List!AV360&lt;&gt;"Y")),1,0)</f>
        <v/>
      </c>
      <c r="I359" s="8">
        <f>IF(OR(Applicant_List!AZ360="N",Applicant_List!AZ360="",Applicant_List!BA360="N",Applicant_List!BA360=""),1,0)</f>
        <v/>
      </c>
      <c r="J359" s="8">
        <f>IF(OR(Applicant_List!BB360="N",Applicant_List!BB360="",Applicant_List!BC360="N",Applicant_List!BE360="Y",Applicant_List!BL360="Y"),1,0)</f>
        <v/>
      </c>
      <c r="K359" s="8">
        <f>IF(AND(Applicant_List!BJ360="Y",Applicant_List!BM360="Y",Applicant_List!BK360&lt;&gt;"Y"),1,0)</f>
        <v/>
      </c>
      <c r="L359" s="8">
        <f>IF(OR(Applicant_List!BN360="Y",Applicant_List!BK360="Y"),1,0)</f>
        <v/>
      </c>
      <c r="M359" s="8">
        <f>COUNTIF(Applicant_List!AI360:BM360,"N")+COUNTBLANK(Applicant_List!AI360:BM360)</f>
        <v/>
      </c>
      <c r="N359" s="8">
        <f>MAX(E359:J359)</f>
        <v/>
      </c>
      <c r="O359" s="8">
        <f>IF(Applicant_List!BP360="Y",100000,0)+IF(ISNUMBER(Applicant_List!BO360),50000-INT(Applicant_List!BO360),0)+IF(LEN(Applicant_List!L360)&gt;0,1000,0)</f>
        <v/>
      </c>
      <c r="P359" s="8">
        <f>IF(D359,"Terminal",IF(N359=1,"Blocked",IF(K359=1,"Determination Notice",IF(L359=1,"Board","Under Review"))))</f>
        <v/>
      </c>
      <c r="Q359" s="8">
        <f>IF(Applicant_List!L360="Closed","Closed",IF(OR(Applicant_List!L360="Withdrawn",Applicant_List!L360="Terminated"),Applicant_List!L360,IF(N359=1,"No Advancement",IF(K359=1,"Determination Notice Issued",IF(L359=1,"Board","Under Review")))))</f>
        <v/>
      </c>
    </row>
    <row r="360">
      <c r="A360" s="8">
        <f>Applicant_List!C361</f>
        <v/>
      </c>
      <c r="B360" s="8">
        <f>Applicant_List!E361</f>
        <v/>
      </c>
      <c r="C360" s="8">
        <f>Applicant_List!L361</f>
        <v/>
      </c>
      <c r="D360" s="8">
        <f>OR(Applicant_List!L361="Closed",Applicant_List!L361="Withdrawn",Applicant_List!L361="Terminated")</f>
        <v/>
      </c>
      <c r="E360" s="8">
        <f>IF(OR(Applicant_List!AI361="N",Applicant_List!AI361=""),1,0)</f>
        <v/>
      </c>
      <c r="F360" s="8">
        <f>IF(OR(Applicant_List!AK361="N",Applicant_List!AK361="",Applicant_List!AL361="N",Applicant_List!AL361=""),1,0)</f>
        <v/>
      </c>
      <c r="G360" s="8">
        <f>IF(OR(Applicant_List!AM361="N",Applicant_List!AM361=""),1,0)</f>
        <v/>
      </c>
      <c r="H360" s="8">
        <f>IF(OR(Applicant_List!AX361="Y",AND(Applicant_List!AS361="Y",Applicant_List!AV361&lt;&gt;"Y")),1,0)</f>
        <v/>
      </c>
      <c r="I360" s="8">
        <f>IF(OR(Applicant_List!AZ361="N",Applicant_List!AZ361="",Applicant_List!BA361="N",Applicant_List!BA361=""),1,0)</f>
        <v/>
      </c>
      <c r="J360" s="8">
        <f>IF(OR(Applicant_List!BB361="N",Applicant_List!BB361="",Applicant_List!BC361="N",Applicant_List!BE361="Y",Applicant_List!BL361="Y"),1,0)</f>
        <v/>
      </c>
      <c r="K360" s="8">
        <f>IF(AND(Applicant_List!BJ361="Y",Applicant_List!BM361="Y",Applicant_List!BK361&lt;&gt;"Y"),1,0)</f>
        <v/>
      </c>
      <c r="L360" s="8">
        <f>IF(OR(Applicant_List!BN361="Y",Applicant_List!BK361="Y"),1,0)</f>
        <v/>
      </c>
      <c r="M360" s="8">
        <f>COUNTIF(Applicant_List!AI361:BM361,"N")+COUNTBLANK(Applicant_List!AI361:BM361)</f>
        <v/>
      </c>
      <c r="N360" s="8">
        <f>MAX(E360:J360)</f>
        <v/>
      </c>
      <c r="O360" s="8">
        <f>IF(Applicant_List!BP361="Y",100000,0)+IF(ISNUMBER(Applicant_List!BO361),50000-INT(Applicant_List!BO361),0)+IF(LEN(Applicant_List!L361)&gt;0,1000,0)</f>
        <v/>
      </c>
      <c r="P360" s="8">
        <f>IF(D360,"Terminal",IF(N360=1,"Blocked",IF(K360=1,"Determination Notice",IF(L360=1,"Board","Under Review"))))</f>
        <v/>
      </c>
      <c r="Q360" s="8">
        <f>IF(Applicant_List!L361="Closed","Closed",IF(OR(Applicant_List!L361="Withdrawn",Applicant_List!L361="Terminated"),Applicant_List!L361,IF(N360=1,"No Advancement",IF(K360=1,"Determination Notice Issued",IF(L360=1,"Board","Under Review")))))</f>
        <v/>
      </c>
    </row>
    <row r="361">
      <c r="A361" s="8">
        <f>Applicant_List!C362</f>
        <v/>
      </c>
      <c r="B361" s="8">
        <f>Applicant_List!E362</f>
        <v/>
      </c>
      <c r="C361" s="8">
        <f>Applicant_List!L362</f>
        <v/>
      </c>
      <c r="D361" s="8">
        <f>OR(Applicant_List!L362="Closed",Applicant_List!L362="Withdrawn",Applicant_List!L362="Terminated")</f>
        <v/>
      </c>
      <c r="E361" s="8">
        <f>IF(OR(Applicant_List!AI362="N",Applicant_List!AI362=""),1,0)</f>
        <v/>
      </c>
      <c r="F361" s="8">
        <f>IF(OR(Applicant_List!AK362="N",Applicant_List!AK362="",Applicant_List!AL362="N",Applicant_List!AL362=""),1,0)</f>
        <v/>
      </c>
      <c r="G361" s="8">
        <f>IF(OR(Applicant_List!AM362="N",Applicant_List!AM362=""),1,0)</f>
        <v/>
      </c>
      <c r="H361" s="8">
        <f>IF(OR(Applicant_List!AX362="Y",AND(Applicant_List!AS362="Y",Applicant_List!AV362&lt;&gt;"Y")),1,0)</f>
        <v/>
      </c>
      <c r="I361" s="8">
        <f>IF(OR(Applicant_List!AZ362="N",Applicant_List!AZ362="",Applicant_List!BA362="N",Applicant_List!BA362=""),1,0)</f>
        <v/>
      </c>
      <c r="J361" s="8">
        <f>IF(OR(Applicant_List!BB362="N",Applicant_List!BB362="",Applicant_List!BC362="N",Applicant_List!BE362="Y",Applicant_List!BL362="Y"),1,0)</f>
        <v/>
      </c>
      <c r="K361" s="8">
        <f>IF(AND(Applicant_List!BJ362="Y",Applicant_List!BM362="Y",Applicant_List!BK362&lt;&gt;"Y"),1,0)</f>
        <v/>
      </c>
      <c r="L361" s="8">
        <f>IF(OR(Applicant_List!BN362="Y",Applicant_List!BK362="Y"),1,0)</f>
        <v/>
      </c>
      <c r="M361" s="8">
        <f>COUNTIF(Applicant_List!AI362:BM362,"N")+COUNTBLANK(Applicant_List!AI362:BM362)</f>
        <v/>
      </c>
      <c r="N361" s="8">
        <f>MAX(E361:J361)</f>
        <v/>
      </c>
      <c r="O361" s="8">
        <f>IF(Applicant_List!BP362="Y",100000,0)+IF(ISNUMBER(Applicant_List!BO362),50000-INT(Applicant_List!BO362),0)+IF(LEN(Applicant_List!L362)&gt;0,1000,0)</f>
        <v/>
      </c>
      <c r="P361" s="8">
        <f>IF(D361,"Terminal",IF(N361=1,"Blocked",IF(K361=1,"Determination Notice",IF(L361=1,"Board","Under Review"))))</f>
        <v/>
      </c>
      <c r="Q361" s="8">
        <f>IF(Applicant_List!L362="Closed","Closed",IF(OR(Applicant_List!L362="Withdrawn",Applicant_List!L362="Terminated"),Applicant_List!L362,IF(N361=1,"No Advancement",IF(K361=1,"Determination Notice Issued",IF(L361=1,"Board","Under Review")))))</f>
        <v/>
      </c>
    </row>
    <row r="362">
      <c r="A362" s="8">
        <f>Applicant_List!C363</f>
        <v/>
      </c>
      <c r="B362" s="8">
        <f>Applicant_List!E363</f>
        <v/>
      </c>
      <c r="C362" s="8">
        <f>Applicant_List!L363</f>
        <v/>
      </c>
      <c r="D362" s="8">
        <f>OR(Applicant_List!L363="Closed",Applicant_List!L363="Withdrawn",Applicant_List!L363="Terminated")</f>
        <v/>
      </c>
      <c r="E362" s="8">
        <f>IF(OR(Applicant_List!AI363="N",Applicant_List!AI363=""),1,0)</f>
        <v/>
      </c>
      <c r="F362" s="8">
        <f>IF(OR(Applicant_List!AK363="N",Applicant_List!AK363="",Applicant_List!AL363="N",Applicant_List!AL363=""),1,0)</f>
        <v/>
      </c>
      <c r="G362" s="8">
        <f>IF(OR(Applicant_List!AM363="N",Applicant_List!AM363=""),1,0)</f>
        <v/>
      </c>
      <c r="H362" s="8">
        <f>IF(OR(Applicant_List!AX363="Y",AND(Applicant_List!AS363="Y",Applicant_List!AV363&lt;&gt;"Y")),1,0)</f>
        <v/>
      </c>
      <c r="I362" s="8">
        <f>IF(OR(Applicant_List!AZ363="N",Applicant_List!AZ363="",Applicant_List!BA363="N",Applicant_List!BA363=""),1,0)</f>
        <v/>
      </c>
      <c r="J362" s="8">
        <f>IF(OR(Applicant_List!BB363="N",Applicant_List!BB363="",Applicant_List!BC363="N",Applicant_List!BE363="Y",Applicant_List!BL363="Y"),1,0)</f>
        <v/>
      </c>
      <c r="K362" s="8">
        <f>IF(AND(Applicant_List!BJ363="Y",Applicant_List!BM363="Y",Applicant_List!BK363&lt;&gt;"Y"),1,0)</f>
        <v/>
      </c>
      <c r="L362" s="8">
        <f>IF(OR(Applicant_List!BN363="Y",Applicant_List!BK363="Y"),1,0)</f>
        <v/>
      </c>
      <c r="M362" s="8">
        <f>COUNTIF(Applicant_List!AI363:BM363,"N")+COUNTBLANK(Applicant_List!AI363:BM363)</f>
        <v/>
      </c>
      <c r="N362" s="8">
        <f>MAX(E362:J362)</f>
        <v/>
      </c>
      <c r="O362" s="8">
        <f>IF(Applicant_List!BP363="Y",100000,0)+IF(ISNUMBER(Applicant_List!BO363),50000-INT(Applicant_List!BO363),0)+IF(LEN(Applicant_List!L363)&gt;0,1000,0)</f>
        <v/>
      </c>
      <c r="P362" s="8">
        <f>IF(D362,"Terminal",IF(N362=1,"Blocked",IF(K362=1,"Determination Notice",IF(L362=1,"Board","Under Review"))))</f>
        <v/>
      </c>
      <c r="Q362" s="8">
        <f>IF(Applicant_List!L363="Closed","Closed",IF(OR(Applicant_List!L363="Withdrawn",Applicant_List!L363="Terminated"),Applicant_List!L363,IF(N362=1,"No Advancement",IF(K362=1,"Determination Notice Issued",IF(L362=1,"Board","Under Review")))))</f>
        <v/>
      </c>
    </row>
    <row r="363">
      <c r="A363" s="8">
        <f>Applicant_List!C364</f>
        <v/>
      </c>
      <c r="B363" s="8">
        <f>Applicant_List!E364</f>
        <v/>
      </c>
      <c r="C363" s="8">
        <f>Applicant_List!L364</f>
        <v/>
      </c>
      <c r="D363" s="8">
        <f>OR(Applicant_List!L364="Closed",Applicant_List!L364="Withdrawn",Applicant_List!L364="Terminated")</f>
        <v/>
      </c>
      <c r="E363" s="8">
        <f>IF(OR(Applicant_List!AI364="N",Applicant_List!AI364=""),1,0)</f>
        <v/>
      </c>
      <c r="F363" s="8">
        <f>IF(OR(Applicant_List!AK364="N",Applicant_List!AK364="",Applicant_List!AL364="N",Applicant_List!AL364=""),1,0)</f>
        <v/>
      </c>
      <c r="G363" s="8">
        <f>IF(OR(Applicant_List!AM364="N",Applicant_List!AM364=""),1,0)</f>
        <v/>
      </c>
      <c r="H363" s="8">
        <f>IF(OR(Applicant_List!AX364="Y",AND(Applicant_List!AS364="Y",Applicant_List!AV364&lt;&gt;"Y")),1,0)</f>
        <v/>
      </c>
      <c r="I363" s="8">
        <f>IF(OR(Applicant_List!AZ364="N",Applicant_List!AZ364="",Applicant_List!BA364="N",Applicant_List!BA364=""),1,0)</f>
        <v/>
      </c>
      <c r="J363" s="8">
        <f>IF(OR(Applicant_List!BB364="N",Applicant_List!BB364="",Applicant_List!BC364="N",Applicant_List!BE364="Y",Applicant_List!BL364="Y"),1,0)</f>
        <v/>
      </c>
      <c r="K363" s="8">
        <f>IF(AND(Applicant_List!BJ364="Y",Applicant_List!BM364="Y",Applicant_List!BK364&lt;&gt;"Y"),1,0)</f>
        <v/>
      </c>
      <c r="L363" s="8">
        <f>IF(OR(Applicant_List!BN364="Y",Applicant_List!BK364="Y"),1,0)</f>
        <v/>
      </c>
      <c r="M363" s="8">
        <f>COUNTIF(Applicant_List!AI364:BM364,"N")+COUNTBLANK(Applicant_List!AI364:BM364)</f>
        <v/>
      </c>
      <c r="N363" s="8">
        <f>MAX(E363:J363)</f>
        <v/>
      </c>
      <c r="O363" s="8">
        <f>IF(Applicant_List!BP364="Y",100000,0)+IF(ISNUMBER(Applicant_List!BO364),50000-INT(Applicant_List!BO364),0)+IF(LEN(Applicant_List!L364)&gt;0,1000,0)</f>
        <v/>
      </c>
      <c r="P363" s="8">
        <f>IF(D363,"Terminal",IF(N363=1,"Blocked",IF(K363=1,"Determination Notice",IF(L363=1,"Board","Under Review"))))</f>
        <v/>
      </c>
      <c r="Q363" s="8">
        <f>IF(Applicant_List!L364="Closed","Closed",IF(OR(Applicant_List!L364="Withdrawn",Applicant_List!L364="Terminated"),Applicant_List!L364,IF(N363=1,"No Advancement",IF(K363=1,"Determination Notice Issued",IF(L363=1,"Board","Under Review")))))</f>
        <v/>
      </c>
    </row>
    <row r="364">
      <c r="A364" s="8">
        <f>Applicant_List!C365</f>
        <v/>
      </c>
      <c r="B364" s="8">
        <f>Applicant_List!E365</f>
        <v/>
      </c>
      <c r="C364" s="8">
        <f>Applicant_List!L365</f>
        <v/>
      </c>
      <c r="D364" s="8">
        <f>OR(Applicant_List!L365="Closed",Applicant_List!L365="Withdrawn",Applicant_List!L365="Terminated")</f>
        <v/>
      </c>
      <c r="E364" s="8">
        <f>IF(OR(Applicant_List!AI365="N",Applicant_List!AI365=""),1,0)</f>
        <v/>
      </c>
      <c r="F364" s="8">
        <f>IF(OR(Applicant_List!AK365="N",Applicant_List!AK365="",Applicant_List!AL365="N",Applicant_List!AL365=""),1,0)</f>
        <v/>
      </c>
      <c r="G364" s="8">
        <f>IF(OR(Applicant_List!AM365="N",Applicant_List!AM365=""),1,0)</f>
        <v/>
      </c>
      <c r="H364" s="8">
        <f>IF(OR(Applicant_List!AX365="Y",AND(Applicant_List!AS365="Y",Applicant_List!AV365&lt;&gt;"Y")),1,0)</f>
        <v/>
      </c>
      <c r="I364" s="8">
        <f>IF(OR(Applicant_List!AZ365="N",Applicant_List!AZ365="",Applicant_List!BA365="N",Applicant_List!BA365=""),1,0)</f>
        <v/>
      </c>
      <c r="J364" s="8">
        <f>IF(OR(Applicant_List!BB365="N",Applicant_List!BB365="",Applicant_List!BC365="N",Applicant_List!BE365="Y",Applicant_List!BL365="Y"),1,0)</f>
        <v/>
      </c>
      <c r="K364" s="8">
        <f>IF(AND(Applicant_List!BJ365="Y",Applicant_List!BM365="Y",Applicant_List!BK365&lt;&gt;"Y"),1,0)</f>
        <v/>
      </c>
      <c r="L364" s="8">
        <f>IF(OR(Applicant_List!BN365="Y",Applicant_List!BK365="Y"),1,0)</f>
        <v/>
      </c>
      <c r="M364" s="8">
        <f>COUNTIF(Applicant_List!AI365:BM365,"N")+COUNTBLANK(Applicant_List!AI365:BM365)</f>
        <v/>
      </c>
      <c r="N364" s="8">
        <f>MAX(E364:J364)</f>
        <v/>
      </c>
      <c r="O364" s="8">
        <f>IF(Applicant_List!BP365="Y",100000,0)+IF(ISNUMBER(Applicant_List!BO365),50000-INT(Applicant_List!BO365),0)+IF(LEN(Applicant_List!L365)&gt;0,1000,0)</f>
        <v/>
      </c>
      <c r="P364" s="8">
        <f>IF(D364,"Terminal",IF(N364=1,"Blocked",IF(K364=1,"Determination Notice",IF(L364=1,"Board","Under Review"))))</f>
        <v/>
      </c>
      <c r="Q364" s="8">
        <f>IF(Applicant_List!L365="Closed","Closed",IF(OR(Applicant_List!L365="Withdrawn",Applicant_List!L365="Terminated"),Applicant_List!L365,IF(N364=1,"No Advancement",IF(K364=1,"Determination Notice Issued",IF(L364=1,"Board","Under Review")))))</f>
        <v/>
      </c>
    </row>
    <row r="365">
      <c r="A365" s="8">
        <f>Applicant_List!C366</f>
        <v/>
      </c>
      <c r="B365" s="8">
        <f>Applicant_List!E366</f>
        <v/>
      </c>
      <c r="C365" s="8">
        <f>Applicant_List!L366</f>
        <v/>
      </c>
      <c r="D365" s="8">
        <f>OR(Applicant_List!L366="Closed",Applicant_List!L366="Withdrawn",Applicant_List!L366="Terminated")</f>
        <v/>
      </c>
      <c r="E365" s="8">
        <f>IF(OR(Applicant_List!AI366="N",Applicant_List!AI366=""),1,0)</f>
        <v/>
      </c>
      <c r="F365" s="8">
        <f>IF(OR(Applicant_List!AK366="N",Applicant_List!AK366="",Applicant_List!AL366="N",Applicant_List!AL366=""),1,0)</f>
        <v/>
      </c>
      <c r="G365" s="8">
        <f>IF(OR(Applicant_List!AM366="N",Applicant_List!AM366=""),1,0)</f>
        <v/>
      </c>
      <c r="H365" s="8">
        <f>IF(OR(Applicant_List!AX366="Y",AND(Applicant_List!AS366="Y",Applicant_List!AV366&lt;&gt;"Y")),1,0)</f>
        <v/>
      </c>
      <c r="I365" s="8">
        <f>IF(OR(Applicant_List!AZ366="N",Applicant_List!AZ366="",Applicant_List!BA366="N",Applicant_List!BA366=""),1,0)</f>
        <v/>
      </c>
      <c r="J365" s="8">
        <f>IF(OR(Applicant_List!BB366="N",Applicant_List!BB366="",Applicant_List!BC366="N",Applicant_List!BE366="Y",Applicant_List!BL366="Y"),1,0)</f>
        <v/>
      </c>
      <c r="K365" s="8">
        <f>IF(AND(Applicant_List!BJ366="Y",Applicant_List!BM366="Y",Applicant_List!BK366&lt;&gt;"Y"),1,0)</f>
        <v/>
      </c>
      <c r="L365" s="8">
        <f>IF(OR(Applicant_List!BN366="Y",Applicant_List!BK366="Y"),1,0)</f>
        <v/>
      </c>
      <c r="M365" s="8">
        <f>COUNTIF(Applicant_List!AI366:BM366,"N")+COUNTBLANK(Applicant_List!AI366:BM366)</f>
        <v/>
      </c>
      <c r="N365" s="8">
        <f>MAX(E365:J365)</f>
        <v/>
      </c>
      <c r="O365" s="8">
        <f>IF(Applicant_List!BP366="Y",100000,0)+IF(ISNUMBER(Applicant_List!BO366),50000-INT(Applicant_List!BO366),0)+IF(LEN(Applicant_List!L366)&gt;0,1000,0)</f>
        <v/>
      </c>
      <c r="P365" s="8">
        <f>IF(D365,"Terminal",IF(N365=1,"Blocked",IF(K365=1,"Determination Notice",IF(L365=1,"Board","Under Review"))))</f>
        <v/>
      </c>
      <c r="Q365" s="8">
        <f>IF(Applicant_List!L366="Closed","Closed",IF(OR(Applicant_List!L366="Withdrawn",Applicant_List!L366="Terminated"),Applicant_List!L366,IF(N365=1,"No Advancement",IF(K365=1,"Determination Notice Issued",IF(L365=1,"Board","Under Review")))))</f>
        <v/>
      </c>
    </row>
    <row r="366">
      <c r="A366" s="8">
        <f>Applicant_List!C367</f>
        <v/>
      </c>
      <c r="B366" s="8">
        <f>Applicant_List!E367</f>
        <v/>
      </c>
      <c r="C366" s="8">
        <f>Applicant_List!L367</f>
        <v/>
      </c>
      <c r="D366" s="8">
        <f>OR(Applicant_List!L367="Closed",Applicant_List!L367="Withdrawn",Applicant_List!L367="Terminated")</f>
        <v/>
      </c>
      <c r="E366" s="8">
        <f>IF(OR(Applicant_List!AI367="N",Applicant_List!AI367=""),1,0)</f>
        <v/>
      </c>
      <c r="F366" s="8">
        <f>IF(OR(Applicant_List!AK367="N",Applicant_List!AK367="",Applicant_List!AL367="N",Applicant_List!AL367=""),1,0)</f>
        <v/>
      </c>
      <c r="G366" s="8">
        <f>IF(OR(Applicant_List!AM367="N",Applicant_List!AM367=""),1,0)</f>
        <v/>
      </c>
      <c r="H366" s="8">
        <f>IF(OR(Applicant_List!AX367="Y",AND(Applicant_List!AS367="Y",Applicant_List!AV367&lt;&gt;"Y")),1,0)</f>
        <v/>
      </c>
      <c r="I366" s="8">
        <f>IF(OR(Applicant_List!AZ367="N",Applicant_List!AZ367="",Applicant_List!BA367="N",Applicant_List!BA367=""),1,0)</f>
        <v/>
      </c>
      <c r="J366" s="8">
        <f>IF(OR(Applicant_List!BB367="N",Applicant_List!BB367="",Applicant_List!BC367="N",Applicant_List!BE367="Y",Applicant_List!BL367="Y"),1,0)</f>
        <v/>
      </c>
      <c r="K366" s="8">
        <f>IF(AND(Applicant_List!BJ367="Y",Applicant_List!BM367="Y",Applicant_List!BK367&lt;&gt;"Y"),1,0)</f>
        <v/>
      </c>
      <c r="L366" s="8">
        <f>IF(OR(Applicant_List!BN367="Y",Applicant_List!BK367="Y"),1,0)</f>
        <v/>
      </c>
      <c r="M366" s="8">
        <f>COUNTIF(Applicant_List!AI367:BM367,"N")+COUNTBLANK(Applicant_List!AI367:BM367)</f>
        <v/>
      </c>
      <c r="N366" s="8">
        <f>MAX(E366:J366)</f>
        <v/>
      </c>
      <c r="O366" s="8">
        <f>IF(Applicant_List!BP367="Y",100000,0)+IF(ISNUMBER(Applicant_List!BO367),50000-INT(Applicant_List!BO367),0)+IF(LEN(Applicant_List!L367)&gt;0,1000,0)</f>
        <v/>
      </c>
      <c r="P366" s="8">
        <f>IF(D366,"Terminal",IF(N366=1,"Blocked",IF(K366=1,"Determination Notice",IF(L366=1,"Board","Under Review"))))</f>
        <v/>
      </c>
      <c r="Q366" s="8">
        <f>IF(Applicant_List!L367="Closed","Closed",IF(OR(Applicant_List!L367="Withdrawn",Applicant_List!L367="Terminated"),Applicant_List!L367,IF(N366=1,"No Advancement",IF(K366=1,"Determination Notice Issued",IF(L366=1,"Board","Under Review")))))</f>
        <v/>
      </c>
    </row>
    <row r="367">
      <c r="A367" s="8">
        <f>Applicant_List!C368</f>
        <v/>
      </c>
      <c r="B367" s="8">
        <f>Applicant_List!E368</f>
        <v/>
      </c>
      <c r="C367" s="8">
        <f>Applicant_List!L368</f>
        <v/>
      </c>
      <c r="D367" s="8">
        <f>OR(Applicant_List!L368="Closed",Applicant_List!L368="Withdrawn",Applicant_List!L368="Terminated")</f>
        <v/>
      </c>
      <c r="E367" s="8">
        <f>IF(OR(Applicant_List!AI368="N",Applicant_List!AI368=""),1,0)</f>
        <v/>
      </c>
      <c r="F367" s="8">
        <f>IF(OR(Applicant_List!AK368="N",Applicant_List!AK368="",Applicant_List!AL368="N",Applicant_List!AL368=""),1,0)</f>
        <v/>
      </c>
      <c r="G367" s="8">
        <f>IF(OR(Applicant_List!AM368="N",Applicant_List!AM368=""),1,0)</f>
        <v/>
      </c>
      <c r="H367" s="8">
        <f>IF(OR(Applicant_List!AX368="Y",AND(Applicant_List!AS368="Y",Applicant_List!AV368&lt;&gt;"Y")),1,0)</f>
        <v/>
      </c>
      <c r="I367" s="8">
        <f>IF(OR(Applicant_List!AZ368="N",Applicant_List!AZ368="",Applicant_List!BA368="N",Applicant_List!BA368=""),1,0)</f>
        <v/>
      </c>
      <c r="J367" s="8">
        <f>IF(OR(Applicant_List!BB368="N",Applicant_List!BB368="",Applicant_List!BC368="N",Applicant_List!BE368="Y",Applicant_List!BL368="Y"),1,0)</f>
        <v/>
      </c>
      <c r="K367" s="8">
        <f>IF(AND(Applicant_List!BJ368="Y",Applicant_List!BM368="Y",Applicant_List!BK368&lt;&gt;"Y"),1,0)</f>
        <v/>
      </c>
      <c r="L367" s="8">
        <f>IF(OR(Applicant_List!BN368="Y",Applicant_List!BK368="Y"),1,0)</f>
        <v/>
      </c>
      <c r="M367" s="8">
        <f>COUNTIF(Applicant_List!AI368:BM368,"N")+COUNTBLANK(Applicant_List!AI368:BM368)</f>
        <v/>
      </c>
      <c r="N367" s="8">
        <f>MAX(E367:J367)</f>
        <v/>
      </c>
      <c r="O367" s="8">
        <f>IF(Applicant_List!BP368="Y",100000,0)+IF(ISNUMBER(Applicant_List!BO368),50000-INT(Applicant_List!BO368),0)+IF(LEN(Applicant_List!L368)&gt;0,1000,0)</f>
        <v/>
      </c>
      <c r="P367" s="8">
        <f>IF(D367,"Terminal",IF(N367=1,"Blocked",IF(K367=1,"Determination Notice",IF(L367=1,"Board","Under Review"))))</f>
        <v/>
      </c>
      <c r="Q367" s="8">
        <f>IF(Applicant_List!L368="Closed","Closed",IF(OR(Applicant_List!L368="Withdrawn",Applicant_List!L368="Terminated"),Applicant_List!L368,IF(N367=1,"No Advancement",IF(K367=1,"Determination Notice Issued",IF(L367=1,"Board","Under Review")))))</f>
        <v/>
      </c>
    </row>
    <row r="368">
      <c r="A368" s="8">
        <f>Applicant_List!C369</f>
        <v/>
      </c>
      <c r="B368" s="8">
        <f>Applicant_List!E369</f>
        <v/>
      </c>
      <c r="C368" s="8">
        <f>Applicant_List!L369</f>
        <v/>
      </c>
      <c r="D368" s="8">
        <f>OR(Applicant_List!L369="Closed",Applicant_List!L369="Withdrawn",Applicant_List!L369="Terminated")</f>
        <v/>
      </c>
      <c r="E368" s="8">
        <f>IF(OR(Applicant_List!AI369="N",Applicant_List!AI369=""),1,0)</f>
        <v/>
      </c>
      <c r="F368" s="8">
        <f>IF(OR(Applicant_List!AK369="N",Applicant_List!AK369="",Applicant_List!AL369="N",Applicant_List!AL369=""),1,0)</f>
        <v/>
      </c>
      <c r="G368" s="8">
        <f>IF(OR(Applicant_List!AM369="N",Applicant_List!AM369=""),1,0)</f>
        <v/>
      </c>
      <c r="H368" s="8">
        <f>IF(OR(Applicant_List!AX369="Y",AND(Applicant_List!AS369="Y",Applicant_List!AV369&lt;&gt;"Y")),1,0)</f>
        <v/>
      </c>
      <c r="I368" s="8">
        <f>IF(OR(Applicant_List!AZ369="N",Applicant_List!AZ369="",Applicant_List!BA369="N",Applicant_List!BA369=""),1,0)</f>
        <v/>
      </c>
      <c r="J368" s="8">
        <f>IF(OR(Applicant_List!BB369="N",Applicant_List!BB369="",Applicant_List!BC369="N",Applicant_List!BE369="Y",Applicant_List!BL369="Y"),1,0)</f>
        <v/>
      </c>
      <c r="K368" s="8">
        <f>IF(AND(Applicant_List!BJ369="Y",Applicant_List!BM369="Y",Applicant_List!BK369&lt;&gt;"Y"),1,0)</f>
        <v/>
      </c>
      <c r="L368" s="8">
        <f>IF(OR(Applicant_List!BN369="Y",Applicant_List!BK369="Y"),1,0)</f>
        <v/>
      </c>
      <c r="M368" s="8">
        <f>COUNTIF(Applicant_List!AI369:BM369,"N")+COUNTBLANK(Applicant_List!AI369:BM369)</f>
        <v/>
      </c>
      <c r="N368" s="8">
        <f>MAX(E368:J368)</f>
        <v/>
      </c>
      <c r="O368" s="8">
        <f>IF(Applicant_List!BP369="Y",100000,0)+IF(ISNUMBER(Applicant_List!BO369),50000-INT(Applicant_List!BO369),0)+IF(LEN(Applicant_List!L369)&gt;0,1000,0)</f>
        <v/>
      </c>
      <c r="P368" s="8">
        <f>IF(D368,"Terminal",IF(N368=1,"Blocked",IF(K368=1,"Determination Notice",IF(L368=1,"Board","Under Review"))))</f>
        <v/>
      </c>
      <c r="Q368" s="8">
        <f>IF(Applicant_List!L369="Closed","Closed",IF(OR(Applicant_List!L369="Withdrawn",Applicant_List!L369="Terminated"),Applicant_List!L369,IF(N368=1,"No Advancement",IF(K368=1,"Determination Notice Issued",IF(L368=1,"Board","Under Review")))))</f>
        <v/>
      </c>
    </row>
    <row r="369">
      <c r="A369" s="8">
        <f>Applicant_List!C370</f>
        <v/>
      </c>
      <c r="B369" s="8">
        <f>Applicant_List!E370</f>
        <v/>
      </c>
      <c r="C369" s="8">
        <f>Applicant_List!L370</f>
        <v/>
      </c>
      <c r="D369" s="8">
        <f>OR(Applicant_List!L370="Closed",Applicant_List!L370="Withdrawn",Applicant_List!L370="Terminated")</f>
        <v/>
      </c>
      <c r="E369" s="8">
        <f>IF(OR(Applicant_List!AI370="N",Applicant_List!AI370=""),1,0)</f>
        <v/>
      </c>
      <c r="F369" s="8">
        <f>IF(OR(Applicant_List!AK370="N",Applicant_List!AK370="",Applicant_List!AL370="N",Applicant_List!AL370=""),1,0)</f>
        <v/>
      </c>
      <c r="G369" s="8">
        <f>IF(OR(Applicant_List!AM370="N",Applicant_List!AM370=""),1,0)</f>
        <v/>
      </c>
      <c r="H369" s="8">
        <f>IF(OR(Applicant_List!AX370="Y",AND(Applicant_List!AS370="Y",Applicant_List!AV370&lt;&gt;"Y")),1,0)</f>
        <v/>
      </c>
      <c r="I369" s="8">
        <f>IF(OR(Applicant_List!AZ370="N",Applicant_List!AZ370="",Applicant_List!BA370="N",Applicant_List!BA370=""),1,0)</f>
        <v/>
      </c>
      <c r="J369" s="8">
        <f>IF(OR(Applicant_List!BB370="N",Applicant_List!BB370="",Applicant_List!BC370="N",Applicant_List!BE370="Y",Applicant_List!BL370="Y"),1,0)</f>
        <v/>
      </c>
      <c r="K369" s="8">
        <f>IF(AND(Applicant_List!BJ370="Y",Applicant_List!BM370="Y",Applicant_List!BK370&lt;&gt;"Y"),1,0)</f>
        <v/>
      </c>
      <c r="L369" s="8">
        <f>IF(OR(Applicant_List!BN370="Y",Applicant_List!BK370="Y"),1,0)</f>
        <v/>
      </c>
      <c r="M369" s="8">
        <f>COUNTIF(Applicant_List!AI370:BM370,"N")+COUNTBLANK(Applicant_List!AI370:BM370)</f>
        <v/>
      </c>
      <c r="N369" s="8">
        <f>MAX(E369:J369)</f>
        <v/>
      </c>
      <c r="O369" s="8">
        <f>IF(Applicant_List!BP370="Y",100000,0)+IF(ISNUMBER(Applicant_List!BO370),50000-INT(Applicant_List!BO370),0)+IF(LEN(Applicant_List!L370)&gt;0,1000,0)</f>
        <v/>
      </c>
      <c r="P369" s="8">
        <f>IF(D369,"Terminal",IF(N369=1,"Blocked",IF(K369=1,"Determination Notice",IF(L369=1,"Board","Under Review"))))</f>
        <v/>
      </c>
      <c r="Q369" s="8">
        <f>IF(Applicant_List!L370="Closed","Closed",IF(OR(Applicant_List!L370="Withdrawn",Applicant_List!L370="Terminated"),Applicant_List!L370,IF(N369=1,"No Advancement",IF(K369=1,"Determination Notice Issued",IF(L369=1,"Board","Under Review")))))</f>
        <v/>
      </c>
    </row>
    <row r="370">
      <c r="A370" s="8">
        <f>Applicant_List!C371</f>
        <v/>
      </c>
      <c r="B370" s="8">
        <f>Applicant_List!E371</f>
        <v/>
      </c>
      <c r="C370" s="8">
        <f>Applicant_List!L371</f>
        <v/>
      </c>
      <c r="D370" s="8">
        <f>OR(Applicant_List!L371="Closed",Applicant_List!L371="Withdrawn",Applicant_List!L371="Terminated")</f>
        <v/>
      </c>
      <c r="E370" s="8">
        <f>IF(OR(Applicant_List!AI371="N",Applicant_List!AI371=""),1,0)</f>
        <v/>
      </c>
      <c r="F370" s="8">
        <f>IF(OR(Applicant_List!AK371="N",Applicant_List!AK371="",Applicant_List!AL371="N",Applicant_List!AL371=""),1,0)</f>
        <v/>
      </c>
      <c r="G370" s="8">
        <f>IF(OR(Applicant_List!AM371="N",Applicant_List!AM371=""),1,0)</f>
        <v/>
      </c>
      <c r="H370" s="8">
        <f>IF(OR(Applicant_List!AX371="Y",AND(Applicant_List!AS371="Y",Applicant_List!AV371&lt;&gt;"Y")),1,0)</f>
        <v/>
      </c>
      <c r="I370" s="8">
        <f>IF(OR(Applicant_List!AZ371="N",Applicant_List!AZ371="",Applicant_List!BA371="N",Applicant_List!BA371=""),1,0)</f>
        <v/>
      </c>
      <c r="J370" s="8">
        <f>IF(OR(Applicant_List!BB371="N",Applicant_List!BB371="",Applicant_List!BC371="N",Applicant_List!BE371="Y",Applicant_List!BL371="Y"),1,0)</f>
        <v/>
      </c>
      <c r="K370" s="8">
        <f>IF(AND(Applicant_List!BJ371="Y",Applicant_List!BM371="Y",Applicant_List!BK371&lt;&gt;"Y"),1,0)</f>
        <v/>
      </c>
      <c r="L370" s="8">
        <f>IF(OR(Applicant_List!BN371="Y",Applicant_List!BK371="Y"),1,0)</f>
        <v/>
      </c>
      <c r="M370" s="8">
        <f>COUNTIF(Applicant_List!AI371:BM371,"N")+COUNTBLANK(Applicant_List!AI371:BM371)</f>
        <v/>
      </c>
      <c r="N370" s="8">
        <f>MAX(E370:J370)</f>
        <v/>
      </c>
      <c r="O370" s="8">
        <f>IF(Applicant_List!BP371="Y",100000,0)+IF(ISNUMBER(Applicant_List!BO371),50000-INT(Applicant_List!BO371),0)+IF(LEN(Applicant_List!L371)&gt;0,1000,0)</f>
        <v/>
      </c>
      <c r="P370" s="8">
        <f>IF(D370,"Terminal",IF(N370=1,"Blocked",IF(K370=1,"Determination Notice",IF(L370=1,"Board","Under Review"))))</f>
        <v/>
      </c>
      <c r="Q370" s="8">
        <f>IF(Applicant_List!L371="Closed","Closed",IF(OR(Applicant_List!L371="Withdrawn",Applicant_List!L371="Terminated"),Applicant_List!L371,IF(N370=1,"No Advancement",IF(K370=1,"Determination Notice Issued",IF(L370=1,"Board","Under Review")))))</f>
        <v/>
      </c>
    </row>
    <row r="371">
      <c r="A371" s="8">
        <f>Applicant_List!C372</f>
        <v/>
      </c>
      <c r="B371" s="8">
        <f>Applicant_List!E372</f>
        <v/>
      </c>
      <c r="C371" s="8">
        <f>Applicant_List!L372</f>
        <v/>
      </c>
      <c r="D371" s="8">
        <f>OR(Applicant_List!L372="Closed",Applicant_List!L372="Withdrawn",Applicant_List!L372="Terminated")</f>
        <v/>
      </c>
      <c r="E371" s="8">
        <f>IF(OR(Applicant_List!AI372="N",Applicant_List!AI372=""),1,0)</f>
        <v/>
      </c>
      <c r="F371" s="8">
        <f>IF(OR(Applicant_List!AK372="N",Applicant_List!AK372="",Applicant_List!AL372="N",Applicant_List!AL372=""),1,0)</f>
        <v/>
      </c>
      <c r="G371" s="8">
        <f>IF(OR(Applicant_List!AM372="N",Applicant_List!AM372=""),1,0)</f>
        <v/>
      </c>
      <c r="H371" s="8">
        <f>IF(OR(Applicant_List!AX372="Y",AND(Applicant_List!AS372="Y",Applicant_List!AV372&lt;&gt;"Y")),1,0)</f>
        <v/>
      </c>
      <c r="I371" s="8">
        <f>IF(OR(Applicant_List!AZ372="N",Applicant_List!AZ372="",Applicant_List!BA372="N",Applicant_List!BA372=""),1,0)</f>
        <v/>
      </c>
      <c r="J371" s="8">
        <f>IF(OR(Applicant_List!BB372="N",Applicant_List!BB372="",Applicant_List!BC372="N",Applicant_List!BE372="Y",Applicant_List!BL372="Y"),1,0)</f>
        <v/>
      </c>
      <c r="K371" s="8">
        <f>IF(AND(Applicant_List!BJ372="Y",Applicant_List!BM372="Y",Applicant_List!BK372&lt;&gt;"Y"),1,0)</f>
        <v/>
      </c>
      <c r="L371" s="8">
        <f>IF(OR(Applicant_List!BN372="Y",Applicant_List!BK372="Y"),1,0)</f>
        <v/>
      </c>
      <c r="M371" s="8">
        <f>COUNTIF(Applicant_List!AI372:BM372,"N")+COUNTBLANK(Applicant_List!AI372:BM372)</f>
        <v/>
      </c>
      <c r="N371" s="8">
        <f>MAX(E371:J371)</f>
        <v/>
      </c>
      <c r="O371" s="8">
        <f>IF(Applicant_List!BP372="Y",100000,0)+IF(ISNUMBER(Applicant_List!BO372),50000-INT(Applicant_List!BO372),0)+IF(LEN(Applicant_List!L372)&gt;0,1000,0)</f>
        <v/>
      </c>
      <c r="P371" s="8">
        <f>IF(D371,"Terminal",IF(N371=1,"Blocked",IF(K371=1,"Determination Notice",IF(L371=1,"Board","Under Review"))))</f>
        <v/>
      </c>
      <c r="Q371" s="8">
        <f>IF(Applicant_List!L372="Closed","Closed",IF(OR(Applicant_List!L372="Withdrawn",Applicant_List!L372="Terminated"),Applicant_List!L372,IF(N371=1,"No Advancement",IF(K371=1,"Determination Notice Issued",IF(L371=1,"Board","Under Review")))))</f>
        <v/>
      </c>
    </row>
    <row r="372">
      <c r="A372" s="8">
        <f>Applicant_List!C373</f>
        <v/>
      </c>
      <c r="B372" s="8">
        <f>Applicant_List!E373</f>
        <v/>
      </c>
      <c r="C372" s="8">
        <f>Applicant_List!L373</f>
        <v/>
      </c>
      <c r="D372" s="8">
        <f>OR(Applicant_List!L373="Closed",Applicant_List!L373="Withdrawn",Applicant_List!L373="Terminated")</f>
        <v/>
      </c>
      <c r="E372" s="8">
        <f>IF(OR(Applicant_List!AI373="N",Applicant_List!AI373=""),1,0)</f>
        <v/>
      </c>
      <c r="F372" s="8">
        <f>IF(OR(Applicant_List!AK373="N",Applicant_List!AK373="",Applicant_List!AL373="N",Applicant_List!AL373=""),1,0)</f>
        <v/>
      </c>
      <c r="G372" s="8">
        <f>IF(OR(Applicant_List!AM373="N",Applicant_List!AM373=""),1,0)</f>
        <v/>
      </c>
      <c r="H372" s="8">
        <f>IF(OR(Applicant_List!AX373="Y",AND(Applicant_List!AS373="Y",Applicant_List!AV373&lt;&gt;"Y")),1,0)</f>
        <v/>
      </c>
      <c r="I372" s="8">
        <f>IF(OR(Applicant_List!AZ373="N",Applicant_List!AZ373="",Applicant_List!BA373="N",Applicant_List!BA373=""),1,0)</f>
        <v/>
      </c>
      <c r="J372" s="8">
        <f>IF(OR(Applicant_List!BB373="N",Applicant_List!BB373="",Applicant_List!BC373="N",Applicant_List!BE373="Y",Applicant_List!BL373="Y"),1,0)</f>
        <v/>
      </c>
      <c r="K372" s="8">
        <f>IF(AND(Applicant_List!BJ373="Y",Applicant_List!BM373="Y",Applicant_List!BK373&lt;&gt;"Y"),1,0)</f>
        <v/>
      </c>
      <c r="L372" s="8">
        <f>IF(OR(Applicant_List!BN373="Y",Applicant_List!BK373="Y"),1,0)</f>
        <v/>
      </c>
      <c r="M372" s="8">
        <f>COUNTIF(Applicant_List!AI373:BM373,"N")+COUNTBLANK(Applicant_List!AI373:BM373)</f>
        <v/>
      </c>
      <c r="N372" s="8">
        <f>MAX(E372:J372)</f>
        <v/>
      </c>
      <c r="O372" s="8">
        <f>IF(Applicant_List!BP373="Y",100000,0)+IF(ISNUMBER(Applicant_List!BO373),50000-INT(Applicant_List!BO373),0)+IF(LEN(Applicant_List!L373)&gt;0,1000,0)</f>
        <v/>
      </c>
      <c r="P372" s="8">
        <f>IF(D372,"Terminal",IF(N372=1,"Blocked",IF(K372=1,"Determination Notice",IF(L372=1,"Board","Under Review"))))</f>
        <v/>
      </c>
      <c r="Q372" s="8">
        <f>IF(Applicant_List!L373="Closed","Closed",IF(OR(Applicant_List!L373="Withdrawn",Applicant_List!L373="Terminated"),Applicant_List!L373,IF(N372=1,"No Advancement",IF(K372=1,"Determination Notice Issued",IF(L372=1,"Board","Under Review")))))</f>
        <v/>
      </c>
    </row>
    <row r="373">
      <c r="A373" s="8">
        <f>Applicant_List!C374</f>
        <v/>
      </c>
      <c r="B373" s="8">
        <f>Applicant_List!E374</f>
        <v/>
      </c>
      <c r="C373" s="8">
        <f>Applicant_List!L374</f>
        <v/>
      </c>
      <c r="D373" s="8">
        <f>OR(Applicant_List!L374="Closed",Applicant_List!L374="Withdrawn",Applicant_List!L374="Terminated")</f>
        <v/>
      </c>
      <c r="E373" s="8">
        <f>IF(OR(Applicant_List!AI374="N",Applicant_List!AI374=""),1,0)</f>
        <v/>
      </c>
      <c r="F373" s="8">
        <f>IF(OR(Applicant_List!AK374="N",Applicant_List!AK374="",Applicant_List!AL374="N",Applicant_List!AL374=""),1,0)</f>
        <v/>
      </c>
      <c r="G373" s="8">
        <f>IF(OR(Applicant_List!AM374="N",Applicant_List!AM374=""),1,0)</f>
        <v/>
      </c>
      <c r="H373" s="8">
        <f>IF(OR(Applicant_List!AX374="Y",AND(Applicant_List!AS374="Y",Applicant_List!AV374&lt;&gt;"Y")),1,0)</f>
        <v/>
      </c>
      <c r="I373" s="8">
        <f>IF(OR(Applicant_List!AZ374="N",Applicant_List!AZ374="",Applicant_List!BA374="N",Applicant_List!BA374=""),1,0)</f>
        <v/>
      </c>
      <c r="J373" s="8">
        <f>IF(OR(Applicant_List!BB374="N",Applicant_List!BB374="",Applicant_List!BC374="N",Applicant_List!BE374="Y",Applicant_List!BL374="Y"),1,0)</f>
        <v/>
      </c>
      <c r="K373" s="8">
        <f>IF(AND(Applicant_List!BJ374="Y",Applicant_List!BM374="Y",Applicant_List!BK374&lt;&gt;"Y"),1,0)</f>
        <v/>
      </c>
      <c r="L373" s="8">
        <f>IF(OR(Applicant_List!BN374="Y",Applicant_List!BK374="Y"),1,0)</f>
        <v/>
      </c>
      <c r="M373" s="8">
        <f>COUNTIF(Applicant_List!AI374:BM374,"N")+COUNTBLANK(Applicant_List!AI374:BM374)</f>
        <v/>
      </c>
      <c r="N373" s="8">
        <f>MAX(E373:J373)</f>
        <v/>
      </c>
      <c r="O373" s="8">
        <f>IF(Applicant_List!BP374="Y",100000,0)+IF(ISNUMBER(Applicant_List!BO374),50000-INT(Applicant_List!BO374),0)+IF(LEN(Applicant_List!L374)&gt;0,1000,0)</f>
        <v/>
      </c>
      <c r="P373" s="8">
        <f>IF(D373,"Terminal",IF(N373=1,"Blocked",IF(K373=1,"Determination Notice",IF(L373=1,"Board","Under Review"))))</f>
        <v/>
      </c>
      <c r="Q373" s="8">
        <f>IF(Applicant_List!L374="Closed","Closed",IF(OR(Applicant_List!L374="Withdrawn",Applicant_List!L374="Terminated"),Applicant_List!L374,IF(N373=1,"No Advancement",IF(K373=1,"Determination Notice Issued",IF(L373=1,"Board","Under Review")))))</f>
        <v/>
      </c>
    </row>
    <row r="374">
      <c r="A374" s="8">
        <f>Applicant_List!C375</f>
        <v/>
      </c>
      <c r="B374" s="8">
        <f>Applicant_List!E375</f>
        <v/>
      </c>
      <c r="C374" s="8">
        <f>Applicant_List!L375</f>
        <v/>
      </c>
      <c r="D374" s="8">
        <f>OR(Applicant_List!L375="Closed",Applicant_List!L375="Withdrawn",Applicant_List!L375="Terminated")</f>
        <v/>
      </c>
      <c r="E374" s="8">
        <f>IF(OR(Applicant_List!AI375="N",Applicant_List!AI375=""),1,0)</f>
        <v/>
      </c>
      <c r="F374" s="8">
        <f>IF(OR(Applicant_List!AK375="N",Applicant_List!AK375="",Applicant_List!AL375="N",Applicant_List!AL375=""),1,0)</f>
        <v/>
      </c>
      <c r="G374" s="8">
        <f>IF(OR(Applicant_List!AM375="N",Applicant_List!AM375=""),1,0)</f>
        <v/>
      </c>
      <c r="H374" s="8">
        <f>IF(OR(Applicant_List!AX375="Y",AND(Applicant_List!AS375="Y",Applicant_List!AV375&lt;&gt;"Y")),1,0)</f>
        <v/>
      </c>
      <c r="I374" s="8">
        <f>IF(OR(Applicant_List!AZ375="N",Applicant_List!AZ375="",Applicant_List!BA375="N",Applicant_List!BA375=""),1,0)</f>
        <v/>
      </c>
      <c r="J374" s="8">
        <f>IF(OR(Applicant_List!BB375="N",Applicant_List!BB375="",Applicant_List!BC375="N",Applicant_List!BE375="Y",Applicant_List!BL375="Y"),1,0)</f>
        <v/>
      </c>
      <c r="K374" s="8">
        <f>IF(AND(Applicant_List!BJ375="Y",Applicant_List!BM375="Y",Applicant_List!BK375&lt;&gt;"Y"),1,0)</f>
        <v/>
      </c>
      <c r="L374" s="8">
        <f>IF(OR(Applicant_List!BN375="Y",Applicant_List!BK375="Y"),1,0)</f>
        <v/>
      </c>
      <c r="M374" s="8">
        <f>COUNTIF(Applicant_List!AI375:BM375,"N")+COUNTBLANK(Applicant_List!AI375:BM375)</f>
        <v/>
      </c>
      <c r="N374" s="8">
        <f>MAX(E374:J374)</f>
        <v/>
      </c>
      <c r="O374" s="8">
        <f>IF(Applicant_List!BP375="Y",100000,0)+IF(ISNUMBER(Applicant_List!BO375),50000-INT(Applicant_List!BO375),0)+IF(LEN(Applicant_List!L375)&gt;0,1000,0)</f>
        <v/>
      </c>
      <c r="P374" s="8">
        <f>IF(D374,"Terminal",IF(N374=1,"Blocked",IF(K374=1,"Determination Notice",IF(L374=1,"Board","Under Review"))))</f>
        <v/>
      </c>
      <c r="Q374" s="8">
        <f>IF(Applicant_List!L375="Closed","Closed",IF(OR(Applicant_List!L375="Withdrawn",Applicant_List!L375="Terminated"),Applicant_List!L375,IF(N374=1,"No Advancement",IF(K374=1,"Determination Notice Issued",IF(L374=1,"Board","Under Review")))))</f>
        <v/>
      </c>
    </row>
    <row r="375">
      <c r="A375" s="8">
        <f>Applicant_List!C376</f>
        <v/>
      </c>
      <c r="B375" s="8">
        <f>Applicant_List!E376</f>
        <v/>
      </c>
      <c r="C375" s="8">
        <f>Applicant_List!L376</f>
        <v/>
      </c>
      <c r="D375" s="8">
        <f>OR(Applicant_List!L376="Closed",Applicant_List!L376="Withdrawn",Applicant_List!L376="Terminated")</f>
        <v/>
      </c>
      <c r="E375" s="8">
        <f>IF(OR(Applicant_List!AI376="N",Applicant_List!AI376=""),1,0)</f>
        <v/>
      </c>
      <c r="F375" s="8">
        <f>IF(OR(Applicant_List!AK376="N",Applicant_List!AK376="",Applicant_List!AL376="N",Applicant_List!AL376=""),1,0)</f>
        <v/>
      </c>
      <c r="G375" s="8">
        <f>IF(OR(Applicant_List!AM376="N",Applicant_List!AM376=""),1,0)</f>
        <v/>
      </c>
      <c r="H375" s="8">
        <f>IF(OR(Applicant_List!AX376="Y",AND(Applicant_List!AS376="Y",Applicant_List!AV376&lt;&gt;"Y")),1,0)</f>
        <v/>
      </c>
      <c r="I375" s="8">
        <f>IF(OR(Applicant_List!AZ376="N",Applicant_List!AZ376="",Applicant_List!BA376="N",Applicant_List!BA376=""),1,0)</f>
        <v/>
      </c>
      <c r="J375" s="8">
        <f>IF(OR(Applicant_List!BB376="N",Applicant_List!BB376="",Applicant_List!BC376="N",Applicant_List!BE376="Y",Applicant_List!BL376="Y"),1,0)</f>
        <v/>
      </c>
      <c r="K375" s="8">
        <f>IF(AND(Applicant_List!BJ376="Y",Applicant_List!BM376="Y",Applicant_List!BK376&lt;&gt;"Y"),1,0)</f>
        <v/>
      </c>
      <c r="L375" s="8">
        <f>IF(OR(Applicant_List!BN376="Y",Applicant_List!BK376="Y"),1,0)</f>
        <v/>
      </c>
      <c r="M375" s="8">
        <f>COUNTIF(Applicant_List!AI376:BM376,"N")+COUNTBLANK(Applicant_List!AI376:BM376)</f>
        <v/>
      </c>
      <c r="N375" s="8">
        <f>MAX(E375:J375)</f>
        <v/>
      </c>
      <c r="O375" s="8">
        <f>IF(Applicant_List!BP376="Y",100000,0)+IF(ISNUMBER(Applicant_List!BO376),50000-INT(Applicant_List!BO376),0)+IF(LEN(Applicant_List!L376)&gt;0,1000,0)</f>
        <v/>
      </c>
      <c r="P375" s="8">
        <f>IF(D375,"Terminal",IF(N375=1,"Blocked",IF(K375=1,"Determination Notice",IF(L375=1,"Board","Under Review"))))</f>
        <v/>
      </c>
      <c r="Q375" s="8">
        <f>IF(Applicant_List!L376="Closed","Closed",IF(OR(Applicant_List!L376="Withdrawn",Applicant_List!L376="Terminated"),Applicant_List!L376,IF(N375=1,"No Advancement",IF(K375=1,"Determination Notice Issued",IF(L375=1,"Board","Under Review")))))</f>
        <v/>
      </c>
    </row>
    <row r="376">
      <c r="A376" s="8">
        <f>Applicant_List!C377</f>
        <v/>
      </c>
      <c r="B376" s="8">
        <f>Applicant_List!E377</f>
        <v/>
      </c>
      <c r="C376" s="8">
        <f>Applicant_List!L377</f>
        <v/>
      </c>
      <c r="D376" s="8">
        <f>OR(Applicant_List!L377="Closed",Applicant_List!L377="Withdrawn",Applicant_List!L377="Terminated")</f>
        <v/>
      </c>
      <c r="E376" s="8">
        <f>IF(OR(Applicant_List!AI377="N",Applicant_List!AI377=""),1,0)</f>
        <v/>
      </c>
      <c r="F376" s="8">
        <f>IF(OR(Applicant_List!AK377="N",Applicant_List!AK377="",Applicant_List!AL377="N",Applicant_List!AL377=""),1,0)</f>
        <v/>
      </c>
      <c r="G376" s="8">
        <f>IF(OR(Applicant_List!AM377="N",Applicant_List!AM377=""),1,0)</f>
        <v/>
      </c>
      <c r="H376" s="8">
        <f>IF(OR(Applicant_List!AX377="Y",AND(Applicant_List!AS377="Y",Applicant_List!AV377&lt;&gt;"Y")),1,0)</f>
        <v/>
      </c>
      <c r="I376" s="8">
        <f>IF(OR(Applicant_List!AZ377="N",Applicant_List!AZ377="",Applicant_List!BA377="N",Applicant_List!BA377=""),1,0)</f>
        <v/>
      </c>
      <c r="J376" s="8">
        <f>IF(OR(Applicant_List!BB377="N",Applicant_List!BB377="",Applicant_List!BC377="N",Applicant_List!BE377="Y",Applicant_List!BL377="Y"),1,0)</f>
        <v/>
      </c>
      <c r="K376" s="8">
        <f>IF(AND(Applicant_List!BJ377="Y",Applicant_List!BM377="Y",Applicant_List!BK377&lt;&gt;"Y"),1,0)</f>
        <v/>
      </c>
      <c r="L376" s="8">
        <f>IF(OR(Applicant_List!BN377="Y",Applicant_List!BK377="Y"),1,0)</f>
        <v/>
      </c>
      <c r="M376" s="8">
        <f>COUNTIF(Applicant_List!AI377:BM377,"N")+COUNTBLANK(Applicant_List!AI377:BM377)</f>
        <v/>
      </c>
      <c r="N376" s="8">
        <f>MAX(E376:J376)</f>
        <v/>
      </c>
      <c r="O376" s="8">
        <f>IF(Applicant_List!BP377="Y",100000,0)+IF(ISNUMBER(Applicant_List!BO377),50000-INT(Applicant_List!BO377),0)+IF(LEN(Applicant_List!L377)&gt;0,1000,0)</f>
        <v/>
      </c>
      <c r="P376" s="8">
        <f>IF(D376,"Terminal",IF(N376=1,"Blocked",IF(K376=1,"Determination Notice",IF(L376=1,"Board","Under Review"))))</f>
        <v/>
      </c>
      <c r="Q376" s="8">
        <f>IF(Applicant_List!L377="Closed","Closed",IF(OR(Applicant_List!L377="Withdrawn",Applicant_List!L377="Terminated"),Applicant_List!L377,IF(N376=1,"No Advancement",IF(K376=1,"Determination Notice Issued",IF(L376=1,"Board","Under Review")))))</f>
        <v/>
      </c>
    </row>
    <row r="377">
      <c r="A377" s="8">
        <f>Applicant_List!C378</f>
        <v/>
      </c>
      <c r="B377" s="8">
        <f>Applicant_List!E378</f>
        <v/>
      </c>
      <c r="C377" s="8">
        <f>Applicant_List!L378</f>
        <v/>
      </c>
      <c r="D377" s="8">
        <f>OR(Applicant_List!L378="Closed",Applicant_List!L378="Withdrawn",Applicant_List!L378="Terminated")</f>
        <v/>
      </c>
      <c r="E377" s="8">
        <f>IF(OR(Applicant_List!AI378="N",Applicant_List!AI378=""),1,0)</f>
        <v/>
      </c>
      <c r="F377" s="8">
        <f>IF(OR(Applicant_List!AK378="N",Applicant_List!AK378="",Applicant_List!AL378="N",Applicant_List!AL378=""),1,0)</f>
        <v/>
      </c>
      <c r="G377" s="8">
        <f>IF(OR(Applicant_List!AM378="N",Applicant_List!AM378=""),1,0)</f>
        <v/>
      </c>
      <c r="H377" s="8">
        <f>IF(OR(Applicant_List!AX378="Y",AND(Applicant_List!AS378="Y",Applicant_List!AV378&lt;&gt;"Y")),1,0)</f>
        <v/>
      </c>
      <c r="I377" s="8">
        <f>IF(OR(Applicant_List!AZ378="N",Applicant_List!AZ378="",Applicant_List!BA378="N",Applicant_List!BA378=""),1,0)</f>
        <v/>
      </c>
      <c r="J377" s="8">
        <f>IF(OR(Applicant_List!BB378="N",Applicant_List!BB378="",Applicant_List!BC378="N",Applicant_List!BE378="Y",Applicant_List!BL378="Y"),1,0)</f>
        <v/>
      </c>
      <c r="K377" s="8">
        <f>IF(AND(Applicant_List!BJ378="Y",Applicant_List!BM378="Y",Applicant_List!BK378&lt;&gt;"Y"),1,0)</f>
        <v/>
      </c>
      <c r="L377" s="8">
        <f>IF(OR(Applicant_List!BN378="Y",Applicant_List!BK378="Y"),1,0)</f>
        <v/>
      </c>
      <c r="M377" s="8">
        <f>COUNTIF(Applicant_List!AI378:BM378,"N")+COUNTBLANK(Applicant_List!AI378:BM378)</f>
        <v/>
      </c>
      <c r="N377" s="8">
        <f>MAX(E377:J377)</f>
        <v/>
      </c>
      <c r="O377" s="8">
        <f>IF(Applicant_List!BP378="Y",100000,0)+IF(ISNUMBER(Applicant_List!BO378),50000-INT(Applicant_List!BO378),0)+IF(LEN(Applicant_List!L378)&gt;0,1000,0)</f>
        <v/>
      </c>
      <c r="P377" s="8">
        <f>IF(D377,"Terminal",IF(N377=1,"Blocked",IF(K377=1,"Determination Notice",IF(L377=1,"Board","Under Review"))))</f>
        <v/>
      </c>
      <c r="Q377" s="8">
        <f>IF(Applicant_List!L378="Closed","Closed",IF(OR(Applicant_List!L378="Withdrawn",Applicant_List!L378="Terminated"),Applicant_List!L378,IF(N377=1,"No Advancement",IF(K377=1,"Determination Notice Issued",IF(L377=1,"Board","Under Review")))))</f>
        <v/>
      </c>
    </row>
    <row r="378">
      <c r="A378" s="8">
        <f>Applicant_List!C379</f>
        <v/>
      </c>
      <c r="B378" s="8">
        <f>Applicant_List!E379</f>
        <v/>
      </c>
      <c r="C378" s="8">
        <f>Applicant_List!L379</f>
        <v/>
      </c>
      <c r="D378" s="8">
        <f>OR(Applicant_List!L379="Closed",Applicant_List!L379="Withdrawn",Applicant_List!L379="Terminated")</f>
        <v/>
      </c>
      <c r="E378" s="8">
        <f>IF(OR(Applicant_List!AI379="N",Applicant_List!AI379=""),1,0)</f>
        <v/>
      </c>
      <c r="F378" s="8">
        <f>IF(OR(Applicant_List!AK379="N",Applicant_List!AK379="",Applicant_List!AL379="N",Applicant_List!AL379=""),1,0)</f>
        <v/>
      </c>
      <c r="G378" s="8">
        <f>IF(OR(Applicant_List!AM379="N",Applicant_List!AM379=""),1,0)</f>
        <v/>
      </c>
      <c r="H378" s="8">
        <f>IF(OR(Applicant_List!AX379="Y",AND(Applicant_List!AS379="Y",Applicant_List!AV379&lt;&gt;"Y")),1,0)</f>
        <v/>
      </c>
      <c r="I378" s="8">
        <f>IF(OR(Applicant_List!AZ379="N",Applicant_List!AZ379="",Applicant_List!BA379="N",Applicant_List!BA379=""),1,0)</f>
        <v/>
      </c>
      <c r="J378" s="8">
        <f>IF(OR(Applicant_List!BB379="N",Applicant_List!BB379="",Applicant_List!BC379="N",Applicant_List!BE379="Y",Applicant_List!BL379="Y"),1,0)</f>
        <v/>
      </c>
      <c r="K378" s="8">
        <f>IF(AND(Applicant_List!BJ379="Y",Applicant_List!BM379="Y",Applicant_List!BK379&lt;&gt;"Y"),1,0)</f>
        <v/>
      </c>
      <c r="L378" s="8">
        <f>IF(OR(Applicant_List!BN379="Y",Applicant_List!BK379="Y"),1,0)</f>
        <v/>
      </c>
      <c r="M378" s="8">
        <f>COUNTIF(Applicant_List!AI379:BM379,"N")+COUNTBLANK(Applicant_List!AI379:BM379)</f>
        <v/>
      </c>
      <c r="N378" s="8">
        <f>MAX(E378:J378)</f>
        <v/>
      </c>
      <c r="O378" s="8">
        <f>IF(Applicant_List!BP379="Y",100000,0)+IF(ISNUMBER(Applicant_List!BO379),50000-INT(Applicant_List!BO379),0)+IF(LEN(Applicant_List!L379)&gt;0,1000,0)</f>
        <v/>
      </c>
      <c r="P378" s="8">
        <f>IF(D378,"Terminal",IF(N378=1,"Blocked",IF(K378=1,"Determination Notice",IF(L378=1,"Board","Under Review"))))</f>
        <v/>
      </c>
      <c r="Q378" s="8">
        <f>IF(Applicant_List!L379="Closed","Closed",IF(OR(Applicant_List!L379="Withdrawn",Applicant_List!L379="Terminated"),Applicant_List!L379,IF(N378=1,"No Advancement",IF(K378=1,"Determination Notice Issued",IF(L378=1,"Board","Under Review")))))</f>
        <v/>
      </c>
    </row>
    <row r="379">
      <c r="A379" s="8">
        <f>Applicant_List!C380</f>
        <v/>
      </c>
      <c r="B379" s="8">
        <f>Applicant_List!E380</f>
        <v/>
      </c>
      <c r="C379" s="8">
        <f>Applicant_List!L380</f>
        <v/>
      </c>
      <c r="D379" s="8">
        <f>OR(Applicant_List!L380="Closed",Applicant_List!L380="Withdrawn",Applicant_List!L380="Terminated")</f>
        <v/>
      </c>
      <c r="E379" s="8">
        <f>IF(OR(Applicant_List!AI380="N",Applicant_List!AI380=""),1,0)</f>
        <v/>
      </c>
      <c r="F379" s="8">
        <f>IF(OR(Applicant_List!AK380="N",Applicant_List!AK380="",Applicant_List!AL380="N",Applicant_List!AL380=""),1,0)</f>
        <v/>
      </c>
      <c r="G379" s="8">
        <f>IF(OR(Applicant_List!AM380="N",Applicant_List!AM380=""),1,0)</f>
        <v/>
      </c>
      <c r="H379" s="8">
        <f>IF(OR(Applicant_List!AX380="Y",AND(Applicant_List!AS380="Y",Applicant_List!AV380&lt;&gt;"Y")),1,0)</f>
        <v/>
      </c>
      <c r="I379" s="8">
        <f>IF(OR(Applicant_List!AZ380="N",Applicant_List!AZ380="",Applicant_List!BA380="N",Applicant_List!BA380=""),1,0)</f>
        <v/>
      </c>
      <c r="J379" s="8">
        <f>IF(OR(Applicant_List!BB380="N",Applicant_List!BB380="",Applicant_List!BC380="N",Applicant_List!BE380="Y",Applicant_List!BL380="Y"),1,0)</f>
        <v/>
      </c>
      <c r="K379" s="8">
        <f>IF(AND(Applicant_List!BJ380="Y",Applicant_List!BM380="Y",Applicant_List!BK380&lt;&gt;"Y"),1,0)</f>
        <v/>
      </c>
      <c r="L379" s="8">
        <f>IF(OR(Applicant_List!BN380="Y",Applicant_List!BK380="Y"),1,0)</f>
        <v/>
      </c>
      <c r="M379" s="8">
        <f>COUNTIF(Applicant_List!AI380:BM380,"N")+COUNTBLANK(Applicant_List!AI380:BM380)</f>
        <v/>
      </c>
      <c r="N379" s="8">
        <f>MAX(E379:J379)</f>
        <v/>
      </c>
      <c r="O379" s="8">
        <f>IF(Applicant_List!BP380="Y",100000,0)+IF(ISNUMBER(Applicant_List!BO380),50000-INT(Applicant_List!BO380),0)+IF(LEN(Applicant_List!L380)&gt;0,1000,0)</f>
        <v/>
      </c>
      <c r="P379" s="8">
        <f>IF(D379,"Terminal",IF(N379=1,"Blocked",IF(K379=1,"Determination Notice",IF(L379=1,"Board","Under Review"))))</f>
        <v/>
      </c>
      <c r="Q379" s="8">
        <f>IF(Applicant_List!L380="Closed","Closed",IF(OR(Applicant_List!L380="Withdrawn",Applicant_List!L380="Terminated"),Applicant_List!L380,IF(N379=1,"No Advancement",IF(K379=1,"Determination Notice Issued",IF(L379=1,"Board","Under Review")))))</f>
        <v/>
      </c>
    </row>
    <row r="380">
      <c r="A380" s="8">
        <f>Applicant_List!C381</f>
        <v/>
      </c>
      <c r="B380" s="8">
        <f>Applicant_List!E381</f>
        <v/>
      </c>
      <c r="C380" s="8">
        <f>Applicant_List!L381</f>
        <v/>
      </c>
      <c r="D380" s="8">
        <f>OR(Applicant_List!L381="Closed",Applicant_List!L381="Withdrawn",Applicant_List!L381="Terminated")</f>
        <v/>
      </c>
      <c r="E380" s="8">
        <f>IF(OR(Applicant_List!AI381="N",Applicant_List!AI381=""),1,0)</f>
        <v/>
      </c>
      <c r="F380" s="8">
        <f>IF(OR(Applicant_List!AK381="N",Applicant_List!AK381="",Applicant_List!AL381="N",Applicant_List!AL381=""),1,0)</f>
        <v/>
      </c>
      <c r="G380" s="8">
        <f>IF(OR(Applicant_List!AM381="N",Applicant_List!AM381=""),1,0)</f>
        <v/>
      </c>
      <c r="H380" s="8">
        <f>IF(OR(Applicant_List!AX381="Y",AND(Applicant_List!AS381="Y",Applicant_List!AV381&lt;&gt;"Y")),1,0)</f>
        <v/>
      </c>
      <c r="I380" s="8">
        <f>IF(OR(Applicant_List!AZ381="N",Applicant_List!AZ381="",Applicant_List!BA381="N",Applicant_List!BA381=""),1,0)</f>
        <v/>
      </c>
      <c r="J380" s="8">
        <f>IF(OR(Applicant_List!BB381="N",Applicant_List!BB381="",Applicant_List!BC381="N",Applicant_List!BE381="Y",Applicant_List!BL381="Y"),1,0)</f>
        <v/>
      </c>
      <c r="K380" s="8">
        <f>IF(AND(Applicant_List!BJ381="Y",Applicant_List!BM381="Y",Applicant_List!BK381&lt;&gt;"Y"),1,0)</f>
        <v/>
      </c>
      <c r="L380" s="8">
        <f>IF(OR(Applicant_List!BN381="Y",Applicant_List!BK381="Y"),1,0)</f>
        <v/>
      </c>
      <c r="M380" s="8">
        <f>COUNTIF(Applicant_List!AI381:BM381,"N")+COUNTBLANK(Applicant_List!AI381:BM381)</f>
        <v/>
      </c>
      <c r="N380" s="8">
        <f>MAX(E380:J380)</f>
        <v/>
      </c>
      <c r="O380" s="8">
        <f>IF(Applicant_List!BP381="Y",100000,0)+IF(ISNUMBER(Applicant_List!BO381),50000-INT(Applicant_List!BO381),0)+IF(LEN(Applicant_List!L381)&gt;0,1000,0)</f>
        <v/>
      </c>
      <c r="P380" s="8">
        <f>IF(D380,"Terminal",IF(N380=1,"Blocked",IF(K380=1,"Determination Notice",IF(L380=1,"Board","Under Review"))))</f>
        <v/>
      </c>
      <c r="Q380" s="8">
        <f>IF(Applicant_List!L381="Closed","Closed",IF(OR(Applicant_List!L381="Withdrawn",Applicant_List!L381="Terminated"),Applicant_List!L381,IF(N380=1,"No Advancement",IF(K380=1,"Determination Notice Issued",IF(L380=1,"Board","Under Review")))))</f>
        <v/>
      </c>
    </row>
    <row r="381">
      <c r="A381" s="8">
        <f>Applicant_List!C382</f>
        <v/>
      </c>
      <c r="B381" s="8">
        <f>Applicant_List!E382</f>
        <v/>
      </c>
      <c r="C381" s="8">
        <f>Applicant_List!L382</f>
        <v/>
      </c>
      <c r="D381" s="8">
        <f>OR(Applicant_List!L382="Closed",Applicant_List!L382="Withdrawn",Applicant_List!L382="Terminated")</f>
        <v/>
      </c>
      <c r="E381" s="8">
        <f>IF(OR(Applicant_List!AI382="N",Applicant_List!AI382=""),1,0)</f>
        <v/>
      </c>
      <c r="F381" s="8">
        <f>IF(OR(Applicant_List!AK382="N",Applicant_List!AK382="",Applicant_List!AL382="N",Applicant_List!AL382=""),1,0)</f>
        <v/>
      </c>
      <c r="G381" s="8">
        <f>IF(OR(Applicant_List!AM382="N",Applicant_List!AM382=""),1,0)</f>
        <v/>
      </c>
      <c r="H381" s="8">
        <f>IF(OR(Applicant_List!AX382="Y",AND(Applicant_List!AS382="Y",Applicant_List!AV382&lt;&gt;"Y")),1,0)</f>
        <v/>
      </c>
      <c r="I381" s="8">
        <f>IF(OR(Applicant_List!AZ382="N",Applicant_List!AZ382="",Applicant_List!BA382="N",Applicant_List!BA382=""),1,0)</f>
        <v/>
      </c>
      <c r="J381" s="8">
        <f>IF(OR(Applicant_List!BB382="N",Applicant_List!BB382="",Applicant_List!BC382="N",Applicant_List!BE382="Y",Applicant_List!BL382="Y"),1,0)</f>
        <v/>
      </c>
      <c r="K381" s="8">
        <f>IF(AND(Applicant_List!BJ382="Y",Applicant_List!BM382="Y",Applicant_List!BK382&lt;&gt;"Y"),1,0)</f>
        <v/>
      </c>
      <c r="L381" s="8">
        <f>IF(OR(Applicant_List!BN382="Y",Applicant_List!BK382="Y"),1,0)</f>
        <v/>
      </c>
      <c r="M381" s="8">
        <f>COUNTIF(Applicant_List!AI382:BM382,"N")+COUNTBLANK(Applicant_List!AI382:BM382)</f>
        <v/>
      </c>
      <c r="N381" s="8">
        <f>MAX(E381:J381)</f>
        <v/>
      </c>
      <c r="O381" s="8">
        <f>IF(Applicant_List!BP382="Y",100000,0)+IF(ISNUMBER(Applicant_List!BO382),50000-INT(Applicant_List!BO382),0)+IF(LEN(Applicant_List!L382)&gt;0,1000,0)</f>
        <v/>
      </c>
      <c r="P381" s="8">
        <f>IF(D381,"Terminal",IF(N381=1,"Blocked",IF(K381=1,"Determination Notice",IF(L381=1,"Board","Under Review"))))</f>
        <v/>
      </c>
      <c r="Q381" s="8">
        <f>IF(Applicant_List!L382="Closed","Closed",IF(OR(Applicant_List!L382="Withdrawn",Applicant_List!L382="Terminated"),Applicant_List!L382,IF(N381=1,"No Advancement",IF(K381=1,"Determination Notice Issued",IF(L381=1,"Board","Under Review")))))</f>
        <v/>
      </c>
    </row>
    <row r="382">
      <c r="A382" s="8">
        <f>Applicant_List!C383</f>
        <v/>
      </c>
      <c r="B382" s="8">
        <f>Applicant_List!E383</f>
        <v/>
      </c>
      <c r="C382" s="8">
        <f>Applicant_List!L383</f>
        <v/>
      </c>
      <c r="D382" s="8">
        <f>OR(Applicant_List!L383="Closed",Applicant_List!L383="Withdrawn",Applicant_List!L383="Terminated")</f>
        <v/>
      </c>
      <c r="E382" s="8">
        <f>IF(OR(Applicant_List!AI383="N",Applicant_List!AI383=""),1,0)</f>
        <v/>
      </c>
      <c r="F382" s="8">
        <f>IF(OR(Applicant_List!AK383="N",Applicant_List!AK383="",Applicant_List!AL383="N",Applicant_List!AL383=""),1,0)</f>
        <v/>
      </c>
      <c r="G382" s="8">
        <f>IF(OR(Applicant_List!AM383="N",Applicant_List!AM383=""),1,0)</f>
        <v/>
      </c>
      <c r="H382" s="8">
        <f>IF(OR(Applicant_List!AX383="Y",AND(Applicant_List!AS383="Y",Applicant_List!AV383&lt;&gt;"Y")),1,0)</f>
        <v/>
      </c>
      <c r="I382" s="8">
        <f>IF(OR(Applicant_List!AZ383="N",Applicant_List!AZ383="",Applicant_List!BA383="N",Applicant_List!BA383=""),1,0)</f>
        <v/>
      </c>
      <c r="J382" s="8">
        <f>IF(OR(Applicant_List!BB383="N",Applicant_List!BB383="",Applicant_List!BC383="N",Applicant_List!BE383="Y",Applicant_List!BL383="Y"),1,0)</f>
        <v/>
      </c>
      <c r="K382" s="8">
        <f>IF(AND(Applicant_List!BJ383="Y",Applicant_List!BM383="Y",Applicant_List!BK383&lt;&gt;"Y"),1,0)</f>
        <v/>
      </c>
      <c r="L382" s="8">
        <f>IF(OR(Applicant_List!BN383="Y",Applicant_List!BK383="Y"),1,0)</f>
        <v/>
      </c>
      <c r="M382" s="8">
        <f>COUNTIF(Applicant_List!AI383:BM383,"N")+COUNTBLANK(Applicant_List!AI383:BM383)</f>
        <v/>
      </c>
      <c r="N382" s="8">
        <f>MAX(E382:J382)</f>
        <v/>
      </c>
      <c r="O382" s="8">
        <f>IF(Applicant_List!BP383="Y",100000,0)+IF(ISNUMBER(Applicant_List!BO383),50000-INT(Applicant_List!BO383),0)+IF(LEN(Applicant_List!L383)&gt;0,1000,0)</f>
        <v/>
      </c>
      <c r="P382" s="8">
        <f>IF(D382,"Terminal",IF(N382=1,"Blocked",IF(K382=1,"Determination Notice",IF(L382=1,"Board","Under Review"))))</f>
        <v/>
      </c>
      <c r="Q382" s="8">
        <f>IF(Applicant_List!L383="Closed","Closed",IF(OR(Applicant_List!L383="Withdrawn",Applicant_List!L383="Terminated"),Applicant_List!L383,IF(N382=1,"No Advancement",IF(K382=1,"Determination Notice Issued",IF(L382=1,"Board","Under Review")))))</f>
        <v/>
      </c>
    </row>
    <row r="383">
      <c r="A383" s="8">
        <f>Applicant_List!C384</f>
        <v/>
      </c>
      <c r="B383" s="8">
        <f>Applicant_List!E384</f>
        <v/>
      </c>
      <c r="C383" s="8">
        <f>Applicant_List!L384</f>
        <v/>
      </c>
      <c r="D383" s="8">
        <f>OR(Applicant_List!L384="Closed",Applicant_List!L384="Withdrawn",Applicant_List!L384="Terminated")</f>
        <v/>
      </c>
      <c r="E383" s="8">
        <f>IF(OR(Applicant_List!AI384="N",Applicant_List!AI384=""),1,0)</f>
        <v/>
      </c>
      <c r="F383" s="8">
        <f>IF(OR(Applicant_List!AK384="N",Applicant_List!AK384="",Applicant_List!AL384="N",Applicant_List!AL384=""),1,0)</f>
        <v/>
      </c>
      <c r="G383" s="8">
        <f>IF(OR(Applicant_List!AM384="N",Applicant_List!AM384=""),1,0)</f>
        <v/>
      </c>
      <c r="H383" s="8">
        <f>IF(OR(Applicant_List!AX384="Y",AND(Applicant_List!AS384="Y",Applicant_List!AV384&lt;&gt;"Y")),1,0)</f>
        <v/>
      </c>
      <c r="I383" s="8">
        <f>IF(OR(Applicant_List!AZ384="N",Applicant_List!AZ384="",Applicant_List!BA384="N",Applicant_List!BA384=""),1,0)</f>
        <v/>
      </c>
      <c r="J383" s="8">
        <f>IF(OR(Applicant_List!BB384="N",Applicant_List!BB384="",Applicant_List!BC384="N",Applicant_List!BE384="Y",Applicant_List!BL384="Y"),1,0)</f>
        <v/>
      </c>
      <c r="K383" s="8">
        <f>IF(AND(Applicant_List!BJ384="Y",Applicant_List!BM384="Y",Applicant_List!BK384&lt;&gt;"Y"),1,0)</f>
        <v/>
      </c>
      <c r="L383" s="8">
        <f>IF(OR(Applicant_List!BN384="Y",Applicant_List!BK384="Y"),1,0)</f>
        <v/>
      </c>
      <c r="M383" s="8">
        <f>COUNTIF(Applicant_List!AI384:BM384,"N")+COUNTBLANK(Applicant_List!AI384:BM384)</f>
        <v/>
      </c>
      <c r="N383" s="8">
        <f>MAX(E383:J383)</f>
        <v/>
      </c>
      <c r="O383" s="8">
        <f>IF(Applicant_List!BP384="Y",100000,0)+IF(ISNUMBER(Applicant_List!BO384),50000-INT(Applicant_List!BO384),0)+IF(LEN(Applicant_List!L384)&gt;0,1000,0)</f>
        <v/>
      </c>
      <c r="P383" s="8">
        <f>IF(D383,"Terminal",IF(N383=1,"Blocked",IF(K383=1,"Determination Notice",IF(L383=1,"Board","Under Review"))))</f>
        <v/>
      </c>
      <c r="Q383" s="8">
        <f>IF(Applicant_List!L384="Closed","Closed",IF(OR(Applicant_List!L384="Withdrawn",Applicant_List!L384="Terminated"),Applicant_List!L384,IF(N383=1,"No Advancement",IF(K383=1,"Determination Notice Issued",IF(L383=1,"Board","Under Review")))))</f>
        <v/>
      </c>
    </row>
    <row r="384">
      <c r="A384" s="8">
        <f>Applicant_List!C385</f>
        <v/>
      </c>
      <c r="B384" s="8">
        <f>Applicant_List!E385</f>
        <v/>
      </c>
      <c r="C384" s="8">
        <f>Applicant_List!L385</f>
        <v/>
      </c>
      <c r="D384" s="8">
        <f>OR(Applicant_List!L385="Closed",Applicant_List!L385="Withdrawn",Applicant_List!L385="Terminated")</f>
        <v/>
      </c>
      <c r="E384" s="8">
        <f>IF(OR(Applicant_List!AI385="N",Applicant_List!AI385=""),1,0)</f>
        <v/>
      </c>
      <c r="F384" s="8">
        <f>IF(OR(Applicant_List!AK385="N",Applicant_List!AK385="",Applicant_List!AL385="N",Applicant_List!AL385=""),1,0)</f>
        <v/>
      </c>
      <c r="G384" s="8">
        <f>IF(OR(Applicant_List!AM385="N",Applicant_List!AM385=""),1,0)</f>
        <v/>
      </c>
      <c r="H384" s="8">
        <f>IF(OR(Applicant_List!AX385="Y",AND(Applicant_List!AS385="Y",Applicant_List!AV385&lt;&gt;"Y")),1,0)</f>
        <v/>
      </c>
      <c r="I384" s="8">
        <f>IF(OR(Applicant_List!AZ385="N",Applicant_List!AZ385="",Applicant_List!BA385="N",Applicant_List!BA385=""),1,0)</f>
        <v/>
      </c>
      <c r="J384" s="8">
        <f>IF(OR(Applicant_List!BB385="N",Applicant_List!BB385="",Applicant_List!BC385="N",Applicant_List!BE385="Y",Applicant_List!BL385="Y"),1,0)</f>
        <v/>
      </c>
      <c r="K384" s="8">
        <f>IF(AND(Applicant_List!BJ385="Y",Applicant_List!BM385="Y",Applicant_List!BK385&lt;&gt;"Y"),1,0)</f>
        <v/>
      </c>
      <c r="L384" s="8">
        <f>IF(OR(Applicant_List!BN385="Y",Applicant_List!BK385="Y"),1,0)</f>
        <v/>
      </c>
      <c r="M384" s="8">
        <f>COUNTIF(Applicant_List!AI385:BM385,"N")+COUNTBLANK(Applicant_List!AI385:BM385)</f>
        <v/>
      </c>
      <c r="N384" s="8">
        <f>MAX(E384:J384)</f>
        <v/>
      </c>
      <c r="O384" s="8">
        <f>IF(Applicant_List!BP385="Y",100000,0)+IF(ISNUMBER(Applicant_List!BO385),50000-INT(Applicant_List!BO385),0)+IF(LEN(Applicant_List!L385)&gt;0,1000,0)</f>
        <v/>
      </c>
      <c r="P384" s="8">
        <f>IF(D384,"Terminal",IF(N384=1,"Blocked",IF(K384=1,"Determination Notice",IF(L384=1,"Board","Under Review"))))</f>
        <v/>
      </c>
      <c r="Q384" s="8">
        <f>IF(Applicant_List!L385="Closed","Closed",IF(OR(Applicant_List!L385="Withdrawn",Applicant_List!L385="Terminated"),Applicant_List!L385,IF(N384=1,"No Advancement",IF(K384=1,"Determination Notice Issued",IF(L384=1,"Board","Under Review")))))</f>
        <v/>
      </c>
    </row>
    <row r="385">
      <c r="A385" s="8">
        <f>Applicant_List!C386</f>
        <v/>
      </c>
      <c r="B385" s="8">
        <f>Applicant_List!E386</f>
        <v/>
      </c>
      <c r="C385" s="8">
        <f>Applicant_List!L386</f>
        <v/>
      </c>
      <c r="D385" s="8">
        <f>OR(Applicant_List!L386="Closed",Applicant_List!L386="Withdrawn",Applicant_List!L386="Terminated")</f>
        <v/>
      </c>
      <c r="E385" s="8">
        <f>IF(OR(Applicant_List!AI386="N",Applicant_List!AI386=""),1,0)</f>
        <v/>
      </c>
      <c r="F385" s="8">
        <f>IF(OR(Applicant_List!AK386="N",Applicant_List!AK386="",Applicant_List!AL386="N",Applicant_List!AL386=""),1,0)</f>
        <v/>
      </c>
      <c r="G385" s="8">
        <f>IF(OR(Applicant_List!AM386="N",Applicant_List!AM386=""),1,0)</f>
        <v/>
      </c>
      <c r="H385" s="8">
        <f>IF(OR(Applicant_List!AX386="Y",AND(Applicant_List!AS386="Y",Applicant_List!AV386&lt;&gt;"Y")),1,0)</f>
        <v/>
      </c>
      <c r="I385" s="8">
        <f>IF(OR(Applicant_List!AZ386="N",Applicant_List!AZ386="",Applicant_List!BA386="N",Applicant_List!BA386=""),1,0)</f>
        <v/>
      </c>
      <c r="J385" s="8">
        <f>IF(OR(Applicant_List!BB386="N",Applicant_List!BB386="",Applicant_List!BC386="N",Applicant_List!BE386="Y",Applicant_List!BL386="Y"),1,0)</f>
        <v/>
      </c>
      <c r="K385" s="8">
        <f>IF(AND(Applicant_List!BJ386="Y",Applicant_List!BM386="Y",Applicant_List!BK386&lt;&gt;"Y"),1,0)</f>
        <v/>
      </c>
      <c r="L385" s="8">
        <f>IF(OR(Applicant_List!BN386="Y",Applicant_List!BK386="Y"),1,0)</f>
        <v/>
      </c>
      <c r="M385" s="8">
        <f>COUNTIF(Applicant_List!AI386:BM386,"N")+COUNTBLANK(Applicant_List!AI386:BM386)</f>
        <v/>
      </c>
      <c r="N385" s="8">
        <f>MAX(E385:J385)</f>
        <v/>
      </c>
      <c r="O385" s="8">
        <f>IF(Applicant_List!BP386="Y",100000,0)+IF(ISNUMBER(Applicant_List!BO386),50000-INT(Applicant_List!BO386),0)+IF(LEN(Applicant_List!L386)&gt;0,1000,0)</f>
        <v/>
      </c>
      <c r="P385" s="8">
        <f>IF(D385,"Terminal",IF(N385=1,"Blocked",IF(K385=1,"Determination Notice",IF(L385=1,"Board","Under Review"))))</f>
        <v/>
      </c>
      <c r="Q385" s="8">
        <f>IF(Applicant_List!L386="Closed","Closed",IF(OR(Applicant_List!L386="Withdrawn",Applicant_List!L386="Terminated"),Applicant_List!L386,IF(N385=1,"No Advancement",IF(K385=1,"Determination Notice Issued",IF(L385=1,"Board","Under Review")))))</f>
        <v/>
      </c>
    </row>
    <row r="386">
      <c r="A386" s="8">
        <f>Applicant_List!C387</f>
        <v/>
      </c>
      <c r="B386" s="8">
        <f>Applicant_List!E387</f>
        <v/>
      </c>
      <c r="C386" s="8">
        <f>Applicant_List!L387</f>
        <v/>
      </c>
      <c r="D386" s="8">
        <f>OR(Applicant_List!L387="Closed",Applicant_List!L387="Withdrawn",Applicant_List!L387="Terminated")</f>
        <v/>
      </c>
      <c r="E386" s="8">
        <f>IF(OR(Applicant_List!AI387="N",Applicant_List!AI387=""),1,0)</f>
        <v/>
      </c>
      <c r="F386" s="8">
        <f>IF(OR(Applicant_List!AK387="N",Applicant_List!AK387="",Applicant_List!AL387="N",Applicant_List!AL387=""),1,0)</f>
        <v/>
      </c>
      <c r="G386" s="8">
        <f>IF(OR(Applicant_List!AM387="N",Applicant_List!AM387=""),1,0)</f>
        <v/>
      </c>
      <c r="H386" s="8">
        <f>IF(OR(Applicant_List!AX387="Y",AND(Applicant_List!AS387="Y",Applicant_List!AV387&lt;&gt;"Y")),1,0)</f>
        <v/>
      </c>
      <c r="I386" s="8">
        <f>IF(OR(Applicant_List!AZ387="N",Applicant_List!AZ387="",Applicant_List!BA387="N",Applicant_List!BA387=""),1,0)</f>
        <v/>
      </c>
      <c r="J386" s="8">
        <f>IF(OR(Applicant_List!BB387="N",Applicant_List!BB387="",Applicant_List!BC387="N",Applicant_List!BE387="Y",Applicant_List!BL387="Y"),1,0)</f>
        <v/>
      </c>
      <c r="K386" s="8">
        <f>IF(AND(Applicant_List!BJ387="Y",Applicant_List!BM387="Y",Applicant_List!BK387&lt;&gt;"Y"),1,0)</f>
        <v/>
      </c>
      <c r="L386" s="8">
        <f>IF(OR(Applicant_List!BN387="Y",Applicant_List!BK387="Y"),1,0)</f>
        <v/>
      </c>
      <c r="M386" s="8">
        <f>COUNTIF(Applicant_List!AI387:BM387,"N")+COUNTBLANK(Applicant_List!AI387:BM387)</f>
        <v/>
      </c>
      <c r="N386" s="8">
        <f>MAX(E386:J386)</f>
        <v/>
      </c>
      <c r="O386" s="8">
        <f>IF(Applicant_List!BP387="Y",100000,0)+IF(ISNUMBER(Applicant_List!BO387),50000-INT(Applicant_List!BO387),0)+IF(LEN(Applicant_List!L387)&gt;0,1000,0)</f>
        <v/>
      </c>
      <c r="P386" s="8">
        <f>IF(D386,"Terminal",IF(N386=1,"Blocked",IF(K386=1,"Determination Notice",IF(L386=1,"Board","Under Review"))))</f>
        <v/>
      </c>
      <c r="Q386" s="8">
        <f>IF(Applicant_List!L387="Closed","Closed",IF(OR(Applicant_List!L387="Withdrawn",Applicant_List!L387="Terminated"),Applicant_List!L387,IF(N386=1,"No Advancement",IF(K386=1,"Determination Notice Issued",IF(L386=1,"Board","Under Review")))))</f>
        <v/>
      </c>
    </row>
    <row r="387">
      <c r="A387" s="8">
        <f>Applicant_List!C388</f>
        <v/>
      </c>
      <c r="B387" s="8">
        <f>Applicant_List!E388</f>
        <v/>
      </c>
      <c r="C387" s="8">
        <f>Applicant_List!L388</f>
        <v/>
      </c>
      <c r="D387" s="8">
        <f>OR(Applicant_List!L388="Closed",Applicant_List!L388="Withdrawn",Applicant_List!L388="Terminated")</f>
        <v/>
      </c>
      <c r="E387" s="8">
        <f>IF(OR(Applicant_List!AI388="N",Applicant_List!AI388=""),1,0)</f>
        <v/>
      </c>
      <c r="F387" s="8">
        <f>IF(OR(Applicant_List!AK388="N",Applicant_List!AK388="",Applicant_List!AL388="N",Applicant_List!AL388=""),1,0)</f>
        <v/>
      </c>
      <c r="G387" s="8">
        <f>IF(OR(Applicant_List!AM388="N",Applicant_List!AM388=""),1,0)</f>
        <v/>
      </c>
      <c r="H387" s="8">
        <f>IF(OR(Applicant_List!AX388="Y",AND(Applicant_List!AS388="Y",Applicant_List!AV388&lt;&gt;"Y")),1,0)</f>
        <v/>
      </c>
      <c r="I387" s="8">
        <f>IF(OR(Applicant_List!AZ388="N",Applicant_List!AZ388="",Applicant_List!BA388="N",Applicant_List!BA388=""),1,0)</f>
        <v/>
      </c>
      <c r="J387" s="8">
        <f>IF(OR(Applicant_List!BB388="N",Applicant_List!BB388="",Applicant_List!BC388="N",Applicant_List!BE388="Y",Applicant_List!BL388="Y"),1,0)</f>
        <v/>
      </c>
      <c r="K387" s="8">
        <f>IF(AND(Applicant_List!BJ388="Y",Applicant_List!BM388="Y",Applicant_List!BK388&lt;&gt;"Y"),1,0)</f>
        <v/>
      </c>
      <c r="L387" s="8">
        <f>IF(OR(Applicant_List!BN388="Y",Applicant_List!BK388="Y"),1,0)</f>
        <v/>
      </c>
      <c r="M387" s="8">
        <f>COUNTIF(Applicant_List!AI388:BM388,"N")+COUNTBLANK(Applicant_List!AI388:BM388)</f>
        <v/>
      </c>
      <c r="N387" s="8">
        <f>MAX(E387:J387)</f>
        <v/>
      </c>
      <c r="O387" s="8">
        <f>IF(Applicant_List!BP388="Y",100000,0)+IF(ISNUMBER(Applicant_List!BO388),50000-INT(Applicant_List!BO388),0)+IF(LEN(Applicant_List!L388)&gt;0,1000,0)</f>
        <v/>
      </c>
      <c r="P387" s="8">
        <f>IF(D387,"Terminal",IF(N387=1,"Blocked",IF(K387=1,"Determination Notice",IF(L387=1,"Board","Under Review"))))</f>
        <v/>
      </c>
      <c r="Q387" s="8">
        <f>IF(Applicant_List!L388="Closed","Closed",IF(OR(Applicant_List!L388="Withdrawn",Applicant_List!L388="Terminated"),Applicant_List!L388,IF(N387=1,"No Advancement",IF(K387=1,"Determination Notice Issued",IF(L387=1,"Board","Under Review")))))</f>
        <v/>
      </c>
    </row>
    <row r="388">
      <c r="A388" s="8">
        <f>Applicant_List!C389</f>
        <v/>
      </c>
      <c r="B388" s="8">
        <f>Applicant_List!E389</f>
        <v/>
      </c>
      <c r="C388" s="8">
        <f>Applicant_List!L389</f>
        <v/>
      </c>
      <c r="D388" s="8">
        <f>OR(Applicant_List!L389="Closed",Applicant_List!L389="Withdrawn",Applicant_List!L389="Terminated")</f>
        <v/>
      </c>
      <c r="E388" s="8">
        <f>IF(OR(Applicant_List!AI389="N",Applicant_List!AI389=""),1,0)</f>
        <v/>
      </c>
      <c r="F388" s="8">
        <f>IF(OR(Applicant_List!AK389="N",Applicant_List!AK389="",Applicant_List!AL389="N",Applicant_List!AL389=""),1,0)</f>
        <v/>
      </c>
      <c r="G388" s="8">
        <f>IF(OR(Applicant_List!AM389="N",Applicant_List!AM389=""),1,0)</f>
        <v/>
      </c>
      <c r="H388" s="8">
        <f>IF(OR(Applicant_List!AX389="Y",AND(Applicant_List!AS389="Y",Applicant_List!AV389&lt;&gt;"Y")),1,0)</f>
        <v/>
      </c>
      <c r="I388" s="8">
        <f>IF(OR(Applicant_List!AZ389="N",Applicant_List!AZ389="",Applicant_List!BA389="N",Applicant_List!BA389=""),1,0)</f>
        <v/>
      </c>
      <c r="J388" s="8">
        <f>IF(OR(Applicant_List!BB389="N",Applicant_List!BB389="",Applicant_List!BC389="N",Applicant_List!BE389="Y",Applicant_List!BL389="Y"),1,0)</f>
        <v/>
      </c>
      <c r="K388" s="8">
        <f>IF(AND(Applicant_List!BJ389="Y",Applicant_List!BM389="Y",Applicant_List!BK389&lt;&gt;"Y"),1,0)</f>
        <v/>
      </c>
      <c r="L388" s="8">
        <f>IF(OR(Applicant_List!BN389="Y",Applicant_List!BK389="Y"),1,0)</f>
        <v/>
      </c>
      <c r="M388" s="8">
        <f>COUNTIF(Applicant_List!AI389:BM389,"N")+COUNTBLANK(Applicant_List!AI389:BM389)</f>
        <v/>
      </c>
      <c r="N388" s="8">
        <f>MAX(E388:J388)</f>
        <v/>
      </c>
      <c r="O388" s="8">
        <f>IF(Applicant_List!BP389="Y",100000,0)+IF(ISNUMBER(Applicant_List!BO389),50000-INT(Applicant_List!BO389),0)+IF(LEN(Applicant_List!L389)&gt;0,1000,0)</f>
        <v/>
      </c>
      <c r="P388" s="8">
        <f>IF(D388,"Terminal",IF(N388=1,"Blocked",IF(K388=1,"Determination Notice",IF(L388=1,"Board","Under Review"))))</f>
        <v/>
      </c>
      <c r="Q388" s="8">
        <f>IF(Applicant_List!L389="Closed","Closed",IF(OR(Applicant_List!L389="Withdrawn",Applicant_List!L389="Terminated"),Applicant_List!L389,IF(N388=1,"No Advancement",IF(K388=1,"Determination Notice Issued",IF(L388=1,"Board","Under Review")))))</f>
        <v/>
      </c>
    </row>
    <row r="389">
      <c r="A389" s="8">
        <f>Applicant_List!C390</f>
        <v/>
      </c>
      <c r="B389" s="8">
        <f>Applicant_List!E390</f>
        <v/>
      </c>
      <c r="C389" s="8">
        <f>Applicant_List!L390</f>
        <v/>
      </c>
      <c r="D389" s="8">
        <f>OR(Applicant_List!L390="Closed",Applicant_List!L390="Withdrawn",Applicant_List!L390="Terminated")</f>
        <v/>
      </c>
      <c r="E389" s="8">
        <f>IF(OR(Applicant_List!AI390="N",Applicant_List!AI390=""),1,0)</f>
        <v/>
      </c>
      <c r="F389" s="8">
        <f>IF(OR(Applicant_List!AK390="N",Applicant_List!AK390="",Applicant_List!AL390="N",Applicant_List!AL390=""),1,0)</f>
        <v/>
      </c>
      <c r="G389" s="8">
        <f>IF(OR(Applicant_List!AM390="N",Applicant_List!AM390=""),1,0)</f>
        <v/>
      </c>
      <c r="H389" s="8">
        <f>IF(OR(Applicant_List!AX390="Y",AND(Applicant_List!AS390="Y",Applicant_List!AV390&lt;&gt;"Y")),1,0)</f>
        <v/>
      </c>
      <c r="I389" s="8">
        <f>IF(OR(Applicant_List!AZ390="N",Applicant_List!AZ390="",Applicant_List!BA390="N",Applicant_List!BA390=""),1,0)</f>
        <v/>
      </c>
      <c r="J389" s="8">
        <f>IF(OR(Applicant_List!BB390="N",Applicant_List!BB390="",Applicant_List!BC390="N",Applicant_List!BE390="Y",Applicant_List!BL390="Y"),1,0)</f>
        <v/>
      </c>
      <c r="K389" s="8">
        <f>IF(AND(Applicant_List!BJ390="Y",Applicant_List!BM390="Y",Applicant_List!BK390&lt;&gt;"Y"),1,0)</f>
        <v/>
      </c>
      <c r="L389" s="8">
        <f>IF(OR(Applicant_List!BN390="Y",Applicant_List!BK390="Y"),1,0)</f>
        <v/>
      </c>
      <c r="M389" s="8">
        <f>COUNTIF(Applicant_List!AI390:BM390,"N")+COUNTBLANK(Applicant_List!AI390:BM390)</f>
        <v/>
      </c>
      <c r="N389" s="8">
        <f>MAX(E389:J389)</f>
        <v/>
      </c>
      <c r="O389" s="8">
        <f>IF(Applicant_List!BP390="Y",100000,0)+IF(ISNUMBER(Applicant_List!BO390),50000-INT(Applicant_List!BO390),0)+IF(LEN(Applicant_List!L390)&gt;0,1000,0)</f>
        <v/>
      </c>
      <c r="P389" s="8">
        <f>IF(D389,"Terminal",IF(N389=1,"Blocked",IF(K389=1,"Determination Notice",IF(L389=1,"Board","Under Review"))))</f>
        <v/>
      </c>
      <c r="Q389" s="8">
        <f>IF(Applicant_List!L390="Closed","Closed",IF(OR(Applicant_List!L390="Withdrawn",Applicant_List!L390="Terminated"),Applicant_List!L390,IF(N389=1,"No Advancement",IF(K389=1,"Determination Notice Issued",IF(L389=1,"Board","Under Review")))))</f>
        <v/>
      </c>
    </row>
    <row r="390">
      <c r="A390" s="8">
        <f>Applicant_List!C391</f>
        <v/>
      </c>
      <c r="B390" s="8">
        <f>Applicant_List!E391</f>
        <v/>
      </c>
      <c r="C390" s="8">
        <f>Applicant_List!L391</f>
        <v/>
      </c>
      <c r="D390" s="8">
        <f>OR(Applicant_List!L391="Closed",Applicant_List!L391="Withdrawn",Applicant_List!L391="Terminated")</f>
        <v/>
      </c>
      <c r="E390" s="8">
        <f>IF(OR(Applicant_List!AI391="N",Applicant_List!AI391=""),1,0)</f>
        <v/>
      </c>
      <c r="F390" s="8">
        <f>IF(OR(Applicant_List!AK391="N",Applicant_List!AK391="",Applicant_List!AL391="N",Applicant_List!AL391=""),1,0)</f>
        <v/>
      </c>
      <c r="G390" s="8">
        <f>IF(OR(Applicant_List!AM391="N",Applicant_List!AM391=""),1,0)</f>
        <v/>
      </c>
      <c r="H390" s="8">
        <f>IF(OR(Applicant_List!AX391="Y",AND(Applicant_List!AS391="Y",Applicant_List!AV391&lt;&gt;"Y")),1,0)</f>
        <v/>
      </c>
      <c r="I390" s="8">
        <f>IF(OR(Applicant_List!AZ391="N",Applicant_List!AZ391="",Applicant_List!BA391="N",Applicant_List!BA391=""),1,0)</f>
        <v/>
      </c>
      <c r="J390" s="8">
        <f>IF(OR(Applicant_List!BB391="N",Applicant_List!BB391="",Applicant_List!BC391="N",Applicant_List!BE391="Y",Applicant_List!BL391="Y"),1,0)</f>
        <v/>
      </c>
      <c r="K390" s="8">
        <f>IF(AND(Applicant_List!BJ391="Y",Applicant_List!BM391="Y",Applicant_List!BK391&lt;&gt;"Y"),1,0)</f>
        <v/>
      </c>
      <c r="L390" s="8">
        <f>IF(OR(Applicant_List!BN391="Y",Applicant_List!BK391="Y"),1,0)</f>
        <v/>
      </c>
      <c r="M390" s="8">
        <f>COUNTIF(Applicant_List!AI391:BM391,"N")+COUNTBLANK(Applicant_List!AI391:BM391)</f>
        <v/>
      </c>
      <c r="N390" s="8">
        <f>MAX(E390:J390)</f>
        <v/>
      </c>
      <c r="O390" s="8">
        <f>IF(Applicant_List!BP391="Y",100000,0)+IF(ISNUMBER(Applicant_List!BO391),50000-INT(Applicant_List!BO391),0)+IF(LEN(Applicant_List!L391)&gt;0,1000,0)</f>
        <v/>
      </c>
      <c r="P390" s="8">
        <f>IF(D390,"Terminal",IF(N390=1,"Blocked",IF(K390=1,"Determination Notice",IF(L390=1,"Board","Under Review"))))</f>
        <v/>
      </c>
      <c r="Q390" s="8">
        <f>IF(Applicant_List!L391="Closed","Closed",IF(OR(Applicant_List!L391="Withdrawn",Applicant_List!L391="Terminated"),Applicant_List!L391,IF(N390=1,"No Advancement",IF(K390=1,"Determination Notice Issued",IF(L390=1,"Board","Under Review")))))</f>
        <v/>
      </c>
    </row>
    <row r="391">
      <c r="A391" s="8">
        <f>Applicant_List!C392</f>
        <v/>
      </c>
      <c r="B391" s="8">
        <f>Applicant_List!E392</f>
        <v/>
      </c>
      <c r="C391" s="8">
        <f>Applicant_List!L392</f>
        <v/>
      </c>
      <c r="D391" s="8">
        <f>OR(Applicant_List!L392="Closed",Applicant_List!L392="Withdrawn",Applicant_List!L392="Terminated")</f>
        <v/>
      </c>
      <c r="E391" s="8">
        <f>IF(OR(Applicant_List!AI392="N",Applicant_List!AI392=""),1,0)</f>
        <v/>
      </c>
      <c r="F391" s="8">
        <f>IF(OR(Applicant_List!AK392="N",Applicant_List!AK392="",Applicant_List!AL392="N",Applicant_List!AL392=""),1,0)</f>
        <v/>
      </c>
      <c r="G391" s="8">
        <f>IF(OR(Applicant_List!AM392="N",Applicant_List!AM392=""),1,0)</f>
        <v/>
      </c>
      <c r="H391" s="8">
        <f>IF(OR(Applicant_List!AX392="Y",AND(Applicant_List!AS392="Y",Applicant_List!AV392&lt;&gt;"Y")),1,0)</f>
        <v/>
      </c>
      <c r="I391" s="8">
        <f>IF(OR(Applicant_List!AZ392="N",Applicant_List!AZ392="",Applicant_List!BA392="N",Applicant_List!BA392=""),1,0)</f>
        <v/>
      </c>
      <c r="J391" s="8">
        <f>IF(OR(Applicant_List!BB392="N",Applicant_List!BB392="",Applicant_List!BC392="N",Applicant_List!BE392="Y",Applicant_List!BL392="Y"),1,0)</f>
        <v/>
      </c>
      <c r="K391" s="8">
        <f>IF(AND(Applicant_List!BJ392="Y",Applicant_List!BM392="Y",Applicant_List!BK392&lt;&gt;"Y"),1,0)</f>
        <v/>
      </c>
      <c r="L391" s="8">
        <f>IF(OR(Applicant_List!BN392="Y",Applicant_List!BK392="Y"),1,0)</f>
        <v/>
      </c>
      <c r="M391" s="8">
        <f>COUNTIF(Applicant_List!AI392:BM392,"N")+COUNTBLANK(Applicant_List!AI392:BM392)</f>
        <v/>
      </c>
      <c r="N391" s="8">
        <f>MAX(E391:J391)</f>
        <v/>
      </c>
      <c r="O391" s="8">
        <f>IF(Applicant_List!BP392="Y",100000,0)+IF(ISNUMBER(Applicant_List!BO392),50000-INT(Applicant_List!BO392),0)+IF(LEN(Applicant_List!L392)&gt;0,1000,0)</f>
        <v/>
      </c>
      <c r="P391" s="8">
        <f>IF(D391,"Terminal",IF(N391=1,"Blocked",IF(K391=1,"Determination Notice",IF(L391=1,"Board","Under Review"))))</f>
        <v/>
      </c>
      <c r="Q391" s="8">
        <f>IF(Applicant_List!L392="Closed","Closed",IF(OR(Applicant_List!L392="Withdrawn",Applicant_List!L392="Terminated"),Applicant_List!L392,IF(N391=1,"No Advancement",IF(K391=1,"Determination Notice Issued",IF(L391=1,"Board","Under Review")))))</f>
        <v/>
      </c>
    </row>
    <row r="392">
      <c r="A392" s="8">
        <f>Applicant_List!C393</f>
        <v/>
      </c>
      <c r="B392" s="8">
        <f>Applicant_List!E393</f>
        <v/>
      </c>
      <c r="C392" s="8">
        <f>Applicant_List!L393</f>
        <v/>
      </c>
      <c r="D392" s="8">
        <f>OR(Applicant_List!L393="Closed",Applicant_List!L393="Withdrawn",Applicant_List!L393="Terminated")</f>
        <v/>
      </c>
      <c r="E392" s="8">
        <f>IF(OR(Applicant_List!AI393="N",Applicant_List!AI393=""),1,0)</f>
        <v/>
      </c>
      <c r="F392" s="8">
        <f>IF(OR(Applicant_List!AK393="N",Applicant_List!AK393="",Applicant_List!AL393="N",Applicant_List!AL393=""),1,0)</f>
        <v/>
      </c>
      <c r="G392" s="8">
        <f>IF(OR(Applicant_List!AM393="N",Applicant_List!AM393=""),1,0)</f>
        <v/>
      </c>
      <c r="H392" s="8">
        <f>IF(OR(Applicant_List!AX393="Y",AND(Applicant_List!AS393="Y",Applicant_List!AV393&lt;&gt;"Y")),1,0)</f>
        <v/>
      </c>
      <c r="I392" s="8">
        <f>IF(OR(Applicant_List!AZ393="N",Applicant_List!AZ393="",Applicant_List!BA393="N",Applicant_List!BA393=""),1,0)</f>
        <v/>
      </c>
      <c r="J392" s="8">
        <f>IF(OR(Applicant_List!BB393="N",Applicant_List!BB393="",Applicant_List!BC393="N",Applicant_List!BE393="Y",Applicant_List!BL393="Y"),1,0)</f>
        <v/>
      </c>
      <c r="K392" s="8">
        <f>IF(AND(Applicant_List!BJ393="Y",Applicant_List!BM393="Y",Applicant_List!BK393&lt;&gt;"Y"),1,0)</f>
        <v/>
      </c>
      <c r="L392" s="8">
        <f>IF(OR(Applicant_List!BN393="Y",Applicant_List!BK393="Y"),1,0)</f>
        <v/>
      </c>
      <c r="M392" s="8">
        <f>COUNTIF(Applicant_List!AI393:BM393,"N")+COUNTBLANK(Applicant_List!AI393:BM393)</f>
        <v/>
      </c>
      <c r="N392" s="8">
        <f>MAX(E392:J392)</f>
        <v/>
      </c>
      <c r="O392" s="8">
        <f>IF(Applicant_List!BP393="Y",100000,0)+IF(ISNUMBER(Applicant_List!BO393),50000-INT(Applicant_List!BO393),0)+IF(LEN(Applicant_List!L393)&gt;0,1000,0)</f>
        <v/>
      </c>
      <c r="P392" s="8">
        <f>IF(D392,"Terminal",IF(N392=1,"Blocked",IF(K392=1,"Determination Notice",IF(L392=1,"Board","Under Review"))))</f>
        <v/>
      </c>
      <c r="Q392" s="8">
        <f>IF(Applicant_List!L393="Closed","Closed",IF(OR(Applicant_List!L393="Withdrawn",Applicant_List!L393="Terminated"),Applicant_List!L393,IF(N392=1,"No Advancement",IF(K392=1,"Determination Notice Issued",IF(L392=1,"Board","Under Review")))))</f>
        <v/>
      </c>
    </row>
    <row r="393">
      <c r="A393" s="8">
        <f>Applicant_List!C394</f>
        <v/>
      </c>
      <c r="B393" s="8">
        <f>Applicant_List!E394</f>
        <v/>
      </c>
      <c r="C393" s="8">
        <f>Applicant_List!L394</f>
        <v/>
      </c>
      <c r="D393" s="8">
        <f>OR(Applicant_List!L394="Closed",Applicant_List!L394="Withdrawn",Applicant_List!L394="Terminated")</f>
        <v/>
      </c>
      <c r="E393" s="8">
        <f>IF(OR(Applicant_List!AI394="N",Applicant_List!AI394=""),1,0)</f>
        <v/>
      </c>
      <c r="F393" s="8">
        <f>IF(OR(Applicant_List!AK394="N",Applicant_List!AK394="",Applicant_List!AL394="N",Applicant_List!AL394=""),1,0)</f>
        <v/>
      </c>
      <c r="G393" s="8">
        <f>IF(OR(Applicant_List!AM394="N",Applicant_List!AM394=""),1,0)</f>
        <v/>
      </c>
      <c r="H393" s="8">
        <f>IF(OR(Applicant_List!AX394="Y",AND(Applicant_List!AS394="Y",Applicant_List!AV394&lt;&gt;"Y")),1,0)</f>
        <v/>
      </c>
      <c r="I393" s="8">
        <f>IF(OR(Applicant_List!AZ394="N",Applicant_List!AZ394="",Applicant_List!BA394="N",Applicant_List!BA394=""),1,0)</f>
        <v/>
      </c>
      <c r="J393" s="8">
        <f>IF(OR(Applicant_List!BB394="N",Applicant_List!BB394="",Applicant_List!BC394="N",Applicant_List!BE394="Y",Applicant_List!BL394="Y"),1,0)</f>
        <v/>
      </c>
      <c r="K393" s="8">
        <f>IF(AND(Applicant_List!BJ394="Y",Applicant_List!BM394="Y",Applicant_List!BK394&lt;&gt;"Y"),1,0)</f>
        <v/>
      </c>
      <c r="L393" s="8">
        <f>IF(OR(Applicant_List!BN394="Y",Applicant_List!BK394="Y"),1,0)</f>
        <v/>
      </c>
      <c r="M393" s="8">
        <f>COUNTIF(Applicant_List!AI394:BM394,"N")+COUNTBLANK(Applicant_List!AI394:BM394)</f>
        <v/>
      </c>
      <c r="N393" s="8">
        <f>MAX(E393:J393)</f>
        <v/>
      </c>
      <c r="O393" s="8">
        <f>IF(Applicant_List!BP394="Y",100000,0)+IF(ISNUMBER(Applicant_List!BO394),50000-INT(Applicant_List!BO394),0)+IF(LEN(Applicant_List!L394)&gt;0,1000,0)</f>
        <v/>
      </c>
      <c r="P393" s="8">
        <f>IF(D393,"Terminal",IF(N393=1,"Blocked",IF(K393=1,"Determination Notice",IF(L393=1,"Board","Under Review"))))</f>
        <v/>
      </c>
      <c r="Q393" s="8">
        <f>IF(Applicant_List!L394="Closed","Closed",IF(OR(Applicant_List!L394="Withdrawn",Applicant_List!L394="Terminated"),Applicant_List!L394,IF(N393=1,"No Advancement",IF(K393=1,"Determination Notice Issued",IF(L393=1,"Board","Under Review")))))</f>
        <v/>
      </c>
    </row>
    <row r="394">
      <c r="A394" s="8">
        <f>Applicant_List!C395</f>
        <v/>
      </c>
      <c r="B394" s="8">
        <f>Applicant_List!E395</f>
        <v/>
      </c>
      <c r="C394" s="8">
        <f>Applicant_List!L395</f>
        <v/>
      </c>
      <c r="D394" s="8">
        <f>OR(Applicant_List!L395="Closed",Applicant_List!L395="Withdrawn",Applicant_List!L395="Terminated")</f>
        <v/>
      </c>
      <c r="E394" s="8">
        <f>IF(OR(Applicant_List!AI395="N",Applicant_List!AI395=""),1,0)</f>
        <v/>
      </c>
      <c r="F394" s="8">
        <f>IF(OR(Applicant_List!AK395="N",Applicant_List!AK395="",Applicant_List!AL395="N",Applicant_List!AL395=""),1,0)</f>
        <v/>
      </c>
      <c r="G394" s="8">
        <f>IF(OR(Applicant_List!AM395="N",Applicant_List!AM395=""),1,0)</f>
        <v/>
      </c>
      <c r="H394" s="8">
        <f>IF(OR(Applicant_List!AX395="Y",AND(Applicant_List!AS395="Y",Applicant_List!AV395&lt;&gt;"Y")),1,0)</f>
        <v/>
      </c>
      <c r="I394" s="8">
        <f>IF(OR(Applicant_List!AZ395="N",Applicant_List!AZ395="",Applicant_List!BA395="N",Applicant_List!BA395=""),1,0)</f>
        <v/>
      </c>
      <c r="J394" s="8">
        <f>IF(OR(Applicant_List!BB395="N",Applicant_List!BB395="",Applicant_List!BC395="N",Applicant_List!BE395="Y",Applicant_List!BL395="Y"),1,0)</f>
        <v/>
      </c>
      <c r="K394" s="8">
        <f>IF(AND(Applicant_List!BJ395="Y",Applicant_List!BM395="Y",Applicant_List!BK395&lt;&gt;"Y"),1,0)</f>
        <v/>
      </c>
      <c r="L394" s="8">
        <f>IF(OR(Applicant_List!BN395="Y",Applicant_List!BK395="Y"),1,0)</f>
        <v/>
      </c>
      <c r="M394" s="8">
        <f>COUNTIF(Applicant_List!AI395:BM395,"N")+COUNTBLANK(Applicant_List!AI395:BM395)</f>
        <v/>
      </c>
      <c r="N394" s="8">
        <f>MAX(E394:J394)</f>
        <v/>
      </c>
      <c r="O394" s="8">
        <f>IF(Applicant_List!BP395="Y",100000,0)+IF(ISNUMBER(Applicant_List!BO395),50000-INT(Applicant_List!BO395),0)+IF(LEN(Applicant_List!L395)&gt;0,1000,0)</f>
        <v/>
      </c>
      <c r="P394" s="8">
        <f>IF(D394,"Terminal",IF(N394=1,"Blocked",IF(K394=1,"Determination Notice",IF(L394=1,"Board","Under Review"))))</f>
        <v/>
      </c>
      <c r="Q394" s="8">
        <f>IF(Applicant_List!L395="Closed","Closed",IF(OR(Applicant_List!L395="Withdrawn",Applicant_List!L395="Terminated"),Applicant_List!L395,IF(N394=1,"No Advancement",IF(K394=1,"Determination Notice Issued",IF(L394=1,"Board","Under Review")))))</f>
        <v/>
      </c>
    </row>
    <row r="395">
      <c r="A395" s="8">
        <f>Applicant_List!C396</f>
        <v/>
      </c>
      <c r="B395" s="8">
        <f>Applicant_List!E396</f>
        <v/>
      </c>
      <c r="C395" s="8">
        <f>Applicant_List!L396</f>
        <v/>
      </c>
      <c r="D395" s="8">
        <f>OR(Applicant_List!L396="Closed",Applicant_List!L396="Withdrawn",Applicant_List!L396="Terminated")</f>
        <v/>
      </c>
      <c r="E395" s="8">
        <f>IF(OR(Applicant_List!AI396="N",Applicant_List!AI396=""),1,0)</f>
        <v/>
      </c>
      <c r="F395" s="8">
        <f>IF(OR(Applicant_List!AK396="N",Applicant_List!AK396="",Applicant_List!AL396="N",Applicant_List!AL396=""),1,0)</f>
        <v/>
      </c>
      <c r="G395" s="8">
        <f>IF(OR(Applicant_List!AM396="N",Applicant_List!AM396=""),1,0)</f>
        <v/>
      </c>
      <c r="H395" s="8">
        <f>IF(OR(Applicant_List!AX396="Y",AND(Applicant_List!AS396="Y",Applicant_List!AV396&lt;&gt;"Y")),1,0)</f>
        <v/>
      </c>
      <c r="I395" s="8">
        <f>IF(OR(Applicant_List!AZ396="N",Applicant_List!AZ396="",Applicant_List!BA396="N",Applicant_List!BA396=""),1,0)</f>
        <v/>
      </c>
      <c r="J395" s="8">
        <f>IF(OR(Applicant_List!BB396="N",Applicant_List!BB396="",Applicant_List!BC396="N",Applicant_List!BE396="Y",Applicant_List!BL396="Y"),1,0)</f>
        <v/>
      </c>
      <c r="K395" s="8">
        <f>IF(AND(Applicant_List!BJ396="Y",Applicant_List!BM396="Y",Applicant_List!BK396&lt;&gt;"Y"),1,0)</f>
        <v/>
      </c>
      <c r="L395" s="8">
        <f>IF(OR(Applicant_List!BN396="Y",Applicant_List!BK396="Y"),1,0)</f>
        <v/>
      </c>
      <c r="M395" s="8">
        <f>COUNTIF(Applicant_List!AI396:BM396,"N")+COUNTBLANK(Applicant_List!AI396:BM396)</f>
        <v/>
      </c>
      <c r="N395" s="8">
        <f>MAX(E395:J395)</f>
        <v/>
      </c>
      <c r="O395" s="8">
        <f>IF(Applicant_List!BP396="Y",100000,0)+IF(ISNUMBER(Applicant_List!BO396),50000-INT(Applicant_List!BO396),0)+IF(LEN(Applicant_List!L396)&gt;0,1000,0)</f>
        <v/>
      </c>
      <c r="P395" s="8">
        <f>IF(D395,"Terminal",IF(N395=1,"Blocked",IF(K395=1,"Determination Notice",IF(L395=1,"Board","Under Review"))))</f>
        <v/>
      </c>
      <c r="Q395" s="8">
        <f>IF(Applicant_List!L396="Closed","Closed",IF(OR(Applicant_List!L396="Withdrawn",Applicant_List!L396="Terminated"),Applicant_List!L396,IF(N395=1,"No Advancement",IF(K395=1,"Determination Notice Issued",IF(L395=1,"Board","Under Review")))))</f>
        <v/>
      </c>
    </row>
    <row r="396">
      <c r="A396" s="8">
        <f>Applicant_List!C397</f>
        <v/>
      </c>
      <c r="B396" s="8">
        <f>Applicant_List!E397</f>
        <v/>
      </c>
      <c r="C396" s="8">
        <f>Applicant_List!L397</f>
        <v/>
      </c>
      <c r="D396" s="8">
        <f>OR(Applicant_List!L397="Closed",Applicant_List!L397="Withdrawn",Applicant_List!L397="Terminated")</f>
        <v/>
      </c>
      <c r="E396" s="8">
        <f>IF(OR(Applicant_List!AI397="N",Applicant_List!AI397=""),1,0)</f>
        <v/>
      </c>
      <c r="F396" s="8">
        <f>IF(OR(Applicant_List!AK397="N",Applicant_List!AK397="",Applicant_List!AL397="N",Applicant_List!AL397=""),1,0)</f>
        <v/>
      </c>
      <c r="G396" s="8">
        <f>IF(OR(Applicant_List!AM397="N",Applicant_List!AM397=""),1,0)</f>
        <v/>
      </c>
      <c r="H396" s="8">
        <f>IF(OR(Applicant_List!AX397="Y",AND(Applicant_List!AS397="Y",Applicant_List!AV397&lt;&gt;"Y")),1,0)</f>
        <v/>
      </c>
      <c r="I396" s="8">
        <f>IF(OR(Applicant_List!AZ397="N",Applicant_List!AZ397="",Applicant_List!BA397="N",Applicant_List!BA397=""),1,0)</f>
        <v/>
      </c>
      <c r="J396" s="8">
        <f>IF(OR(Applicant_List!BB397="N",Applicant_List!BB397="",Applicant_List!BC397="N",Applicant_List!BE397="Y",Applicant_List!BL397="Y"),1,0)</f>
        <v/>
      </c>
      <c r="K396" s="8">
        <f>IF(AND(Applicant_List!BJ397="Y",Applicant_List!BM397="Y",Applicant_List!BK397&lt;&gt;"Y"),1,0)</f>
        <v/>
      </c>
      <c r="L396" s="8">
        <f>IF(OR(Applicant_List!BN397="Y",Applicant_List!BK397="Y"),1,0)</f>
        <v/>
      </c>
      <c r="M396" s="8">
        <f>COUNTIF(Applicant_List!AI397:BM397,"N")+COUNTBLANK(Applicant_List!AI397:BM397)</f>
        <v/>
      </c>
      <c r="N396" s="8">
        <f>MAX(E396:J396)</f>
        <v/>
      </c>
      <c r="O396" s="8">
        <f>IF(Applicant_List!BP397="Y",100000,0)+IF(ISNUMBER(Applicant_List!BO397),50000-INT(Applicant_List!BO397),0)+IF(LEN(Applicant_List!L397)&gt;0,1000,0)</f>
        <v/>
      </c>
      <c r="P396" s="8">
        <f>IF(D396,"Terminal",IF(N396=1,"Blocked",IF(K396=1,"Determination Notice",IF(L396=1,"Board","Under Review"))))</f>
        <v/>
      </c>
      <c r="Q396" s="8">
        <f>IF(Applicant_List!L397="Closed","Closed",IF(OR(Applicant_List!L397="Withdrawn",Applicant_List!L397="Terminated"),Applicant_List!L397,IF(N396=1,"No Advancement",IF(K396=1,"Determination Notice Issued",IF(L396=1,"Board","Under Review")))))</f>
        <v/>
      </c>
    </row>
    <row r="397">
      <c r="A397" s="8">
        <f>Applicant_List!C398</f>
        <v/>
      </c>
      <c r="B397" s="8">
        <f>Applicant_List!E398</f>
        <v/>
      </c>
      <c r="C397" s="8">
        <f>Applicant_List!L398</f>
        <v/>
      </c>
      <c r="D397" s="8">
        <f>OR(Applicant_List!L398="Closed",Applicant_List!L398="Withdrawn",Applicant_List!L398="Terminated")</f>
        <v/>
      </c>
      <c r="E397" s="8">
        <f>IF(OR(Applicant_List!AI398="N",Applicant_List!AI398=""),1,0)</f>
        <v/>
      </c>
      <c r="F397" s="8">
        <f>IF(OR(Applicant_List!AK398="N",Applicant_List!AK398="",Applicant_List!AL398="N",Applicant_List!AL398=""),1,0)</f>
        <v/>
      </c>
      <c r="G397" s="8">
        <f>IF(OR(Applicant_List!AM398="N",Applicant_List!AM398=""),1,0)</f>
        <v/>
      </c>
      <c r="H397" s="8">
        <f>IF(OR(Applicant_List!AX398="Y",AND(Applicant_List!AS398="Y",Applicant_List!AV398&lt;&gt;"Y")),1,0)</f>
        <v/>
      </c>
      <c r="I397" s="8">
        <f>IF(OR(Applicant_List!AZ398="N",Applicant_List!AZ398="",Applicant_List!BA398="N",Applicant_List!BA398=""),1,0)</f>
        <v/>
      </c>
      <c r="J397" s="8">
        <f>IF(OR(Applicant_List!BB398="N",Applicant_List!BB398="",Applicant_List!BC398="N",Applicant_List!BE398="Y",Applicant_List!BL398="Y"),1,0)</f>
        <v/>
      </c>
      <c r="K397" s="8">
        <f>IF(AND(Applicant_List!BJ398="Y",Applicant_List!BM398="Y",Applicant_List!BK398&lt;&gt;"Y"),1,0)</f>
        <v/>
      </c>
      <c r="L397" s="8">
        <f>IF(OR(Applicant_List!BN398="Y",Applicant_List!BK398="Y"),1,0)</f>
        <v/>
      </c>
      <c r="M397" s="8">
        <f>COUNTIF(Applicant_List!AI398:BM398,"N")+COUNTBLANK(Applicant_List!AI398:BM398)</f>
        <v/>
      </c>
      <c r="N397" s="8">
        <f>MAX(E397:J397)</f>
        <v/>
      </c>
      <c r="O397" s="8">
        <f>IF(Applicant_List!BP398="Y",100000,0)+IF(ISNUMBER(Applicant_List!BO398),50000-INT(Applicant_List!BO398),0)+IF(LEN(Applicant_List!L398)&gt;0,1000,0)</f>
        <v/>
      </c>
      <c r="P397" s="8">
        <f>IF(D397,"Terminal",IF(N397=1,"Blocked",IF(K397=1,"Determination Notice",IF(L397=1,"Board","Under Review"))))</f>
        <v/>
      </c>
      <c r="Q397" s="8">
        <f>IF(Applicant_List!L398="Closed","Closed",IF(OR(Applicant_List!L398="Withdrawn",Applicant_List!L398="Terminated"),Applicant_List!L398,IF(N397=1,"No Advancement",IF(K397=1,"Determination Notice Issued",IF(L397=1,"Board","Under Review")))))</f>
        <v/>
      </c>
    </row>
    <row r="398">
      <c r="A398" s="8">
        <f>Applicant_List!C399</f>
        <v/>
      </c>
      <c r="B398" s="8">
        <f>Applicant_List!E399</f>
        <v/>
      </c>
      <c r="C398" s="8">
        <f>Applicant_List!L399</f>
        <v/>
      </c>
      <c r="D398" s="8">
        <f>OR(Applicant_List!L399="Closed",Applicant_List!L399="Withdrawn",Applicant_List!L399="Terminated")</f>
        <v/>
      </c>
      <c r="E398" s="8">
        <f>IF(OR(Applicant_List!AI399="N",Applicant_List!AI399=""),1,0)</f>
        <v/>
      </c>
      <c r="F398" s="8">
        <f>IF(OR(Applicant_List!AK399="N",Applicant_List!AK399="",Applicant_List!AL399="N",Applicant_List!AL399=""),1,0)</f>
        <v/>
      </c>
      <c r="G398" s="8">
        <f>IF(OR(Applicant_List!AM399="N",Applicant_List!AM399=""),1,0)</f>
        <v/>
      </c>
      <c r="H398" s="8">
        <f>IF(OR(Applicant_List!AX399="Y",AND(Applicant_List!AS399="Y",Applicant_List!AV399&lt;&gt;"Y")),1,0)</f>
        <v/>
      </c>
      <c r="I398" s="8">
        <f>IF(OR(Applicant_List!AZ399="N",Applicant_List!AZ399="",Applicant_List!BA399="N",Applicant_List!BA399=""),1,0)</f>
        <v/>
      </c>
      <c r="J398" s="8">
        <f>IF(OR(Applicant_List!BB399="N",Applicant_List!BB399="",Applicant_List!BC399="N",Applicant_List!BE399="Y",Applicant_List!BL399="Y"),1,0)</f>
        <v/>
      </c>
      <c r="K398" s="8">
        <f>IF(AND(Applicant_List!BJ399="Y",Applicant_List!BM399="Y",Applicant_List!BK399&lt;&gt;"Y"),1,0)</f>
        <v/>
      </c>
      <c r="L398" s="8">
        <f>IF(OR(Applicant_List!BN399="Y",Applicant_List!BK399="Y"),1,0)</f>
        <v/>
      </c>
      <c r="M398" s="8">
        <f>COUNTIF(Applicant_List!AI399:BM399,"N")+COUNTBLANK(Applicant_List!AI399:BM399)</f>
        <v/>
      </c>
      <c r="N398" s="8">
        <f>MAX(E398:J398)</f>
        <v/>
      </c>
      <c r="O398" s="8">
        <f>IF(Applicant_List!BP399="Y",100000,0)+IF(ISNUMBER(Applicant_List!BO399),50000-INT(Applicant_List!BO399),0)+IF(LEN(Applicant_List!L399)&gt;0,1000,0)</f>
        <v/>
      </c>
      <c r="P398" s="8">
        <f>IF(D398,"Terminal",IF(N398=1,"Blocked",IF(K398=1,"Determination Notice",IF(L398=1,"Board","Under Review"))))</f>
        <v/>
      </c>
      <c r="Q398" s="8">
        <f>IF(Applicant_List!L399="Closed","Closed",IF(OR(Applicant_List!L399="Withdrawn",Applicant_List!L399="Terminated"),Applicant_List!L399,IF(N398=1,"No Advancement",IF(K398=1,"Determination Notice Issued",IF(L398=1,"Board","Under Review")))))</f>
        <v/>
      </c>
    </row>
    <row r="399">
      <c r="A399" s="8">
        <f>Applicant_List!C400</f>
        <v/>
      </c>
      <c r="B399" s="8">
        <f>Applicant_List!E400</f>
        <v/>
      </c>
      <c r="C399" s="8">
        <f>Applicant_List!L400</f>
        <v/>
      </c>
      <c r="D399" s="8">
        <f>OR(Applicant_List!L400="Closed",Applicant_List!L400="Withdrawn",Applicant_List!L400="Terminated")</f>
        <v/>
      </c>
      <c r="E399" s="8">
        <f>IF(OR(Applicant_List!AI400="N",Applicant_List!AI400=""),1,0)</f>
        <v/>
      </c>
      <c r="F399" s="8">
        <f>IF(OR(Applicant_List!AK400="N",Applicant_List!AK400="",Applicant_List!AL400="N",Applicant_List!AL400=""),1,0)</f>
        <v/>
      </c>
      <c r="G399" s="8">
        <f>IF(OR(Applicant_List!AM400="N",Applicant_List!AM400=""),1,0)</f>
        <v/>
      </c>
      <c r="H399" s="8">
        <f>IF(OR(Applicant_List!AX400="Y",AND(Applicant_List!AS400="Y",Applicant_List!AV400&lt;&gt;"Y")),1,0)</f>
        <v/>
      </c>
      <c r="I399" s="8">
        <f>IF(OR(Applicant_List!AZ400="N",Applicant_List!AZ400="",Applicant_List!BA400="N",Applicant_List!BA400=""),1,0)</f>
        <v/>
      </c>
      <c r="J399" s="8">
        <f>IF(OR(Applicant_List!BB400="N",Applicant_List!BB400="",Applicant_List!BC400="N",Applicant_List!BE400="Y",Applicant_List!BL400="Y"),1,0)</f>
        <v/>
      </c>
      <c r="K399" s="8">
        <f>IF(AND(Applicant_List!BJ400="Y",Applicant_List!BM400="Y",Applicant_List!BK400&lt;&gt;"Y"),1,0)</f>
        <v/>
      </c>
      <c r="L399" s="8">
        <f>IF(OR(Applicant_List!BN400="Y",Applicant_List!BK400="Y"),1,0)</f>
        <v/>
      </c>
      <c r="M399" s="8">
        <f>COUNTIF(Applicant_List!AI400:BM400,"N")+COUNTBLANK(Applicant_List!AI400:BM400)</f>
        <v/>
      </c>
      <c r="N399" s="8">
        <f>MAX(E399:J399)</f>
        <v/>
      </c>
      <c r="O399" s="8">
        <f>IF(Applicant_List!BP400="Y",100000,0)+IF(ISNUMBER(Applicant_List!BO400),50000-INT(Applicant_List!BO400),0)+IF(LEN(Applicant_List!L400)&gt;0,1000,0)</f>
        <v/>
      </c>
      <c r="P399" s="8">
        <f>IF(D399,"Terminal",IF(N399=1,"Blocked",IF(K399=1,"Determination Notice",IF(L399=1,"Board","Under Review"))))</f>
        <v/>
      </c>
      <c r="Q399" s="8">
        <f>IF(Applicant_List!L400="Closed","Closed",IF(OR(Applicant_List!L400="Withdrawn",Applicant_List!L400="Terminated"),Applicant_List!L400,IF(N399=1,"No Advancement",IF(K399=1,"Determination Notice Issued",IF(L399=1,"Board","Under Review")))))</f>
        <v/>
      </c>
    </row>
    <row r="400">
      <c r="A400" s="8">
        <f>Applicant_List!C401</f>
        <v/>
      </c>
      <c r="B400" s="8">
        <f>Applicant_List!E401</f>
        <v/>
      </c>
      <c r="C400" s="8">
        <f>Applicant_List!L401</f>
        <v/>
      </c>
      <c r="D400" s="8">
        <f>OR(Applicant_List!L401="Closed",Applicant_List!L401="Withdrawn",Applicant_List!L401="Terminated")</f>
        <v/>
      </c>
      <c r="E400" s="8">
        <f>IF(OR(Applicant_List!AI401="N",Applicant_List!AI401=""),1,0)</f>
        <v/>
      </c>
      <c r="F400" s="8">
        <f>IF(OR(Applicant_List!AK401="N",Applicant_List!AK401="",Applicant_List!AL401="N",Applicant_List!AL401=""),1,0)</f>
        <v/>
      </c>
      <c r="G400" s="8">
        <f>IF(OR(Applicant_List!AM401="N",Applicant_List!AM401=""),1,0)</f>
        <v/>
      </c>
      <c r="H400" s="8">
        <f>IF(OR(Applicant_List!AX401="Y",AND(Applicant_List!AS401="Y",Applicant_List!AV401&lt;&gt;"Y")),1,0)</f>
        <v/>
      </c>
      <c r="I400" s="8">
        <f>IF(OR(Applicant_List!AZ401="N",Applicant_List!AZ401="",Applicant_List!BA401="N",Applicant_List!BA401=""),1,0)</f>
        <v/>
      </c>
      <c r="J400" s="8">
        <f>IF(OR(Applicant_List!BB401="N",Applicant_List!BB401="",Applicant_List!BC401="N",Applicant_List!BE401="Y",Applicant_List!BL401="Y"),1,0)</f>
        <v/>
      </c>
      <c r="K400" s="8">
        <f>IF(AND(Applicant_List!BJ401="Y",Applicant_List!BM401="Y",Applicant_List!BK401&lt;&gt;"Y"),1,0)</f>
        <v/>
      </c>
      <c r="L400" s="8">
        <f>IF(OR(Applicant_List!BN401="Y",Applicant_List!BK401="Y"),1,0)</f>
        <v/>
      </c>
      <c r="M400" s="8">
        <f>COUNTIF(Applicant_List!AI401:BM401,"N")+COUNTBLANK(Applicant_List!AI401:BM401)</f>
        <v/>
      </c>
      <c r="N400" s="8">
        <f>MAX(E400:J400)</f>
        <v/>
      </c>
      <c r="O400" s="8">
        <f>IF(Applicant_List!BP401="Y",100000,0)+IF(ISNUMBER(Applicant_List!BO401),50000-INT(Applicant_List!BO401),0)+IF(LEN(Applicant_List!L401)&gt;0,1000,0)</f>
        <v/>
      </c>
      <c r="P400" s="8">
        <f>IF(D400,"Terminal",IF(N400=1,"Blocked",IF(K400=1,"Determination Notice",IF(L400=1,"Board","Under Review"))))</f>
        <v/>
      </c>
      <c r="Q400" s="8">
        <f>IF(Applicant_List!L401="Closed","Closed",IF(OR(Applicant_List!L401="Withdrawn",Applicant_List!L401="Terminated"),Applicant_List!L401,IF(N400=1,"No Advancement",IF(K400=1,"Determination Notice Issued",IF(L400=1,"Board","Under Review")))))</f>
        <v/>
      </c>
    </row>
    <row r="401">
      <c r="A401" s="8">
        <f>Applicant_List!C402</f>
        <v/>
      </c>
      <c r="B401" s="8">
        <f>Applicant_List!E402</f>
        <v/>
      </c>
      <c r="C401" s="8">
        <f>Applicant_List!L402</f>
        <v/>
      </c>
      <c r="D401" s="8">
        <f>OR(Applicant_List!L402="Closed",Applicant_List!L402="Withdrawn",Applicant_List!L402="Terminated")</f>
        <v/>
      </c>
      <c r="E401" s="8">
        <f>IF(OR(Applicant_List!AI402="N",Applicant_List!AI402=""),1,0)</f>
        <v/>
      </c>
      <c r="F401" s="8">
        <f>IF(OR(Applicant_List!AK402="N",Applicant_List!AK402="",Applicant_List!AL402="N",Applicant_List!AL402=""),1,0)</f>
        <v/>
      </c>
      <c r="G401" s="8">
        <f>IF(OR(Applicant_List!AM402="N",Applicant_List!AM402=""),1,0)</f>
        <v/>
      </c>
      <c r="H401" s="8">
        <f>IF(OR(Applicant_List!AX402="Y",AND(Applicant_List!AS402="Y",Applicant_List!AV402&lt;&gt;"Y")),1,0)</f>
        <v/>
      </c>
      <c r="I401" s="8">
        <f>IF(OR(Applicant_List!AZ402="N",Applicant_List!AZ402="",Applicant_List!BA402="N",Applicant_List!BA402=""),1,0)</f>
        <v/>
      </c>
      <c r="J401" s="8">
        <f>IF(OR(Applicant_List!BB402="N",Applicant_List!BB402="",Applicant_List!BC402="N",Applicant_List!BE402="Y",Applicant_List!BL402="Y"),1,0)</f>
        <v/>
      </c>
      <c r="K401" s="8">
        <f>IF(AND(Applicant_List!BJ402="Y",Applicant_List!BM402="Y",Applicant_List!BK402&lt;&gt;"Y"),1,0)</f>
        <v/>
      </c>
      <c r="L401" s="8">
        <f>IF(OR(Applicant_List!BN402="Y",Applicant_List!BK402="Y"),1,0)</f>
        <v/>
      </c>
      <c r="M401" s="8">
        <f>COUNTIF(Applicant_List!AI402:BM402,"N")+COUNTBLANK(Applicant_List!AI402:BM402)</f>
        <v/>
      </c>
      <c r="N401" s="8">
        <f>MAX(E401:J401)</f>
        <v/>
      </c>
      <c r="O401" s="8">
        <f>IF(Applicant_List!BP402="Y",100000,0)+IF(ISNUMBER(Applicant_List!BO402),50000-INT(Applicant_List!BO402),0)+IF(LEN(Applicant_List!L402)&gt;0,1000,0)</f>
        <v/>
      </c>
      <c r="P401" s="8">
        <f>IF(D401,"Terminal",IF(N401=1,"Blocked",IF(K401=1,"Determination Notice",IF(L401=1,"Board","Under Review"))))</f>
        <v/>
      </c>
      <c r="Q401" s="8">
        <f>IF(Applicant_List!L402="Closed","Closed",IF(OR(Applicant_List!L402="Withdrawn",Applicant_List!L402="Terminated"),Applicant_List!L402,IF(N401=1,"No Advancement",IF(K401=1,"Determination Notice Issued",IF(L401=1,"Board","Under Review")))))</f>
        <v/>
      </c>
    </row>
    <row r="402">
      <c r="A402" s="8">
        <f>Applicant_List!C403</f>
        <v/>
      </c>
      <c r="B402" s="8">
        <f>Applicant_List!E403</f>
        <v/>
      </c>
      <c r="C402" s="8">
        <f>Applicant_List!L403</f>
        <v/>
      </c>
      <c r="D402" s="8">
        <f>OR(Applicant_List!L403="Closed",Applicant_List!L403="Withdrawn",Applicant_List!L403="Terminated")</f>
        <v/>
      </c>
      <c r="E402" s="8">
        <f>IF(OR(Applicant_List!AI403="N",Applicant_List!AI403=""),1,0)</f>
        <v/>
      </c>
      <c r="F402" s="8">
        <f>IF(OR(Applicant_List!AK403="N",Applicant_List!AK403="",Applicant_List!AL403="N",Applicant_List!AL403=""),1,0)</f>
        <v/>
      </c>
      <c r="G402" s="8">
        <f>IF(OR(Applicant_List!AM403="N",Applicant_List!AM403=""),1,0)</f>
        <v/>
      </c>
      <c r="H402" s="8">
        <f>IF(OR(Applicant_List!AX403="Y",AND(Applicant_List!AS403="Y",Applicant_List!AV403&lt;&gt;"Y")),1,0)</f>
        <v/>
      </c>
      <c r="I402" s="8">
        <f>IF(OR(Applicant_List!AZ403="N",Applicant_List!AZ403="",Applicant_List!BA403="N",Applicant_List!BA403=""),1,0)</f>
        <v/>
      </c>
      <c r="J402" s="8">
        <f>IF(OR(Applicant_List!BB403="N",Applicant_List!BB403="",Applicant_List!BC403="N",Applicant_List!BE403="Y",Applicant_List!BL403="Y"),1,0)</f>
        <v/>
      </c>
      <c r="K402" s="8">
        <f>IF(AND(Applicant_List!BJ403="Y",Applicant_List!BM403="Y",Applicant_List!BK403&lt;&gt;"Y"),1,0)</f>
        <v/>
      </c>
      <c r="L402" s="8">
        <f>IF(OR(Applicant_List!BN403="Y",Applicant_List!BK403="Y"),1,0)</f>
        <v/>
      </c>
      <c r="M402" s="8">
        <f>COUNTIF(Applicant_List!AI403:BM403,"N")+COUNTBLANK(Applicant_List!AI403:BM403)</f>
        <v/>
      </c>
      <c r="N402" s="8">
        <f>MAX(E402:J402)</f>
        <v/>
      </c>
      <c r="O402" s="8">
        <f>IF(Applicant_List!BP403="Y",100000,0)+IF(ISNUMBER(Applicant_List!BO403),50000-INT(Applicant_List!BO403),0)+IF(LEN(Applicant_List!L403)&gt;0,1000,0)</f>
        <v/>
      </c>
      <c r="P402" s="8">
        <f>IF(D402,"Terminal",IF(N402=1,"Blocked",IF(K402=1,"Determination Notice",IF(L402=1,"Board","Under Review"))))</f>
        <v/>
      </c>
      <c r="Q402" s="8">
        <f>IF(Applicant_List!L403="Closed","Closed",IF(OR(Applicant_List!L403="Withdrawn",Applicant_List!L403="Terminated"),Applicant_List!L403,IF(N402=1,"No Advancement",IF(K402=1,"Determination Notice Issued",IF(L402=1,"Board","Under Review")))))</f>
        <v/>
      </c>
    </row>
  </sheetData>
  <mergeCells count="1">
    <mergeCell ref="A1:Q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1F4E78"/>
    <outlinePr summaryBelow="1" summaryRight="1"/>
    <pageSetUpPr/>
  </sheetPr>
  <dimension ref="A1:CH403"/>
  <sheetViews>
    <sheetView workbookViewId="0">
      <pane ySplit="3" topLeftCell="A4" activePane="bottomLeft" state="frozen"/>
      <selection pane="bottomLeft" activeCell="A1" sqref="A1:CH1"/>
    </sheetView>
  </sheetViews>
  <sheetFormatPr baseColWidth="8" defaultRowHeight="14.5"/>
  <cols>
    <col width="13" customWidth="1" style="23" min="1" max="1"/>
    <col width="24" customWidth="1" style="23" min="2" max="2"/>
    <col width="14" customWidth="1" style="23" min="3" max="4"/>
    <col width="24" customWidth="1" style="23" min="5" max="5"/>
    <col width="18" customWidth="1" style="23" min="6" max="7"/>
    <col width="16" customWidth="1" style="23" min="8" max="8"/>
    <col width="24" customWidth="1" style="23" min="9" max="9"/>
    <col width="14" customWidth="1" style="23" min="10" max="10"/>
    <col width="13" customWidth="1" style="23" min="11" max="11"/>
    <col width="15" customWidth="1" style="23" min="12" max="12"/>
    <col width="13" customWidth="1" style="23" min="13" max="17"/>
    <col width="15" customWidth="1" style="23" min="18" max="19"/>
    <col width="11" customWidth="1" style="23" min="20" max="23"/>
    <col width="18" customWidth="1" style="23" min="24" max="24"/>
    <col width="15" customWidth="1" style="23" min="25" max="25"/>
    <col width="14" customWidth="1" style="23" min="26" max="31"/>
    <col width="11" customWidth="1" style="23" min="32" max="35"/>
    <col width="13" customWidth="1" style="23" min="36" max="36"/>
    <col width="11" customWidth="1" style="23" min="37" max="45"/>
    <col width="13" customWidth="1" style="23" min="46" max="47"/>
    <col width="11" customWidth="1" style="23" min="48" max="48"/>
    <col width="13" customWidth="1" style="23" min="49" max="49"/>
    <col width="11" customWidth="1" style="23" min="50" max="66"/>
    <col width="13" customWidth="1" style="23" min="67" max="67"/>
    <col width="11" customWidth="1" style="23" min="68" max="69"/>
    <col width="13" customWidth="1" style="23" min="70" max="71"/>
    <col width="11" customWidth="1" style="23" min="72" max="72"/>
    <col width="15" customWidth="1" style="23" min="73" max="74"/>
    <col width="18" customWidth="1" style="23" min="75" max="75"/>
    <col width="24" customWidth="1" style="23" min="76" max="78"/>
    <col width="11" customWidth="1" style="23" min="79" max="79"/>
    <col width="15" customWidth="1" style="23" min="80" max="80"/>
    <col width="24" customWidth="1" style="23" min="81" max="81"/>
    <col width="18" customWidth="1" style="23" min="82" max="83"/>
    <col width="26" customWidth="1" style="23" min="84" max="84"/>
    <col width="18" customWidth="1" style="23" min="85" max="86"/>
  </cols>
  <sheetData>
    <row r="1" ht="22" customHeight="1" s="23">
      <c r="A1" s="22" t="inlineStr">
        <is>
          <t>Texas 2025 4% + Tax-Exempt Bond Simulator - 2025-03-10 mapped status log</t>
        </is>
      </c>
    </row>
    <row r="2" ht="22" customHeight="1" s="23">
      <c r="A2" s="37" t="inlineStr">
        <is>
          <t>Identity &amp; Snapshot</t>
        </is>
      </c>
      <c r="B2" s="25" t="n"/>
      <c r="C2" s="25" t="n"/>
      <c r="D2" s="25" t="n"/>
      <c r="E2" s="25" t="n"/>
      <c r="F2" s="25" t="n"/>
      <c r="G2" s="25" t="n"/>
      <c r="H2" s="25" t="n"/>
      <c r="I2" s="25" t="n"/>
      <c r="J2" s="26" t="n"/>
      <c r="K2" s="32" t="inlineStr">
        <is>
          <t>Current Public Process</t>
        </is>
      </c>
      <c r="L2" s="25" t="n"/>
      <c r="M2" s="25" t="n"/>
      <c r="N2" s="25" t="n"/>
      <c r="O2" s="25" t="n"/>
      <c r="P2" s="25" t="n"/>
      <c r="Q2" s="26" t="n"/>
      <c r="R2" s="30" t="inlineStr">
        <is>
          <t>Project Characteristics</t>
        </is>
      </c>
      <c r="S2" s="25" t="n"/>
      <c r="T2" s="25" t="n"/>
      <c r="U2" s="25" t="n"/>
      <c r="V2" s="25" t="n"/>
      <c r="W2" s="26" t="n"/>
      <c r="X2" s="34" t="inlineStr">
        <is>
          <t>Bond &amp; Credit Structure</t>
        </is>
      </c>
      <c r="Y2" s="25" t="n"/>
      <c r="Z2" s="25" t="n"/>
      <c r="AA2" s="25" t="n"/>
      <c r="AB2" s="25" t="n"/>
      <c r="AC2" s="25" t="n"/>
      <c r="AD2" s="25" t="n"/>
      <c r="AE2" s="25" t="n"/>
      <c r="AF2" s="25" t="n"/>
      <c r="AG2" s="25" t="n"/>
      <c r="AH2" s="26" t="n"/>
      <c r="AI2" s="33" t="inlineStr">
        <is>
          <t>Manual QAP Thresholds</t>
        </is>
      </c>
      <c r="AJ2" s="25" t="n"/>
      <c r="AK2" s="25" t="n"/>
      <c r="AL2" s="25" t="n"/>
      <c r="AM2" s="25" t="n"/>
      <c r="AN2" s="25" t="n"/>
      <c r="AO2" s="25" t="n"/>
      <c r="AP2" s="25" t="n"/>
      <c r="AQ2" s="25" t="n"/>
      <c r="AR2" s="25" t="n"/>
      <c r="AS2" s="25" t="n"/>
      <c r="AT2" s="25" t="n"/>
      <c r="AU2" s="25" t="n"/>
      <c r="AV2" s="25" t="n"/>
      <c r="AW2" s="25" t="n"/>
      <c r="AX2" s="25" t="n"/>
      <c r="AY2" s="25" t="n"/>
      <c r="AZ2" s="25" t="n"/>
      <c r="BA2" s="26" t="n"/>
      <c r="BB2" s="35" t="inlineStr">
        <is>
          <t>Site / Deconcentration</t>
        </is>
      </c>
      <c r="BC2" s="25" t="n"/>
      <c r="BD2" s="25" t="n"/>
      <c r="BE2" s="25" t="n"/>
      <c r="BF2" s="25" t="n"/>
      <c r="BG2" s="25" t="n"/>
      <c r="BH2" s="25" t="n"/>
      <c r="BI2" s="26" t="n"/>
      <c r="BJ2" s="36" t="inlineStr">
        <is>
          <t>Path Selection</t>
        </is>
      </c>
      <c r="BK2" s="25" t="n"/>
      <c r="BL2" s="25" t="n"/>
      <c r="BM2" s="25" t="n"/>
      <c r="BN2" s="26" t="n"/>
      <c r="BO2" s="31" t="inlineStr">
        <is>
          <t>Queue / Priority</t>
        </is>
      </c>
      <c r="BP2" s="25" t="n"/>
      <c r="BQ2" s="25" t="n"/>
      <c r="BR2" s="25" t="n"/>
      <c r="BS2" s="25" t="n"/>
      <c r="BT2" s="26" t="n"/>
      <c r="BU2" s="29" t="inlineStr">
        <is>
          <t>Engine Outputs</t>
        </is>
      </c>
      <c r="BV2" s="25" t="n"/>
      <c r="BW2" s="25" t="n"/>
      <c r="BX2" s="25" t="n"/>
      <c r="BY2" s="25" t="n"/>
      <c r="BZ2" s="25" t="n"/>
      <c r="CA2" s="25" t="n"/>
      <c r="CB2" s="26" t="n"/>
      <c r="CC2" s="32" t="inlineStr">
        <is>
          <t>Notes &amp; Contacts</t>
        </is>
      </c>
      <c r="CD2" s="25" t="n"/>
      <c r="CE2" s="25" t="n"/>
      <c r="CF2" s="25" t="n"/>
      <c r="CG2" s="25" t="n"/>
      <c r="CH2" s="26" t="n"/>
    </row>
    <row r="3" ht="80" customHeight="1" s="23">
      <c r="A3" s="7" t="inlineStr">
        <is>
          <t>snapshot_date</t>
        </is>
      </c>
      <c r="B3" s="7" t="inlineStr">
        <is>
          <t>application_source_log</t>
        </is>
      </c>
      <c r="C3" s="7" t="inlineStr">
        <is>
          <t>tdhca_number</t>
        </is>
      </c>
      <c r="D3" s="7" t="inlineStr">
        <is>
          <t>previous_tdhca_number</t>
        </is>
      </c>
      <c r="E3" s="7" t="inlineStr">
        <is>
          <t>development_name</t>
        </is>
      </c>
      <c r="F3" s="7" t="inlineStr">
        <is>
          <t>development_city</t>
        </is>
      </c>
      <c r="G3" s="7" t="inlineStr">
        <is>
          <t>development_county</t>
        </is>
      </c>
      <c r="H3" s="7" t="inlineStr">
        <is>
          <t>development_region</t>
        </is>
      </c>
      <c r="I3" s="7" t="inlineStr">
        <is>
          <t>development_address</t>
        </is>
      </c>
      <c r="J3" s="7" t="inlineStr">
        <is>
          <t>zip_code</t>
        </is>
      </c>
      <c r="K3" s="7" t="inlineStr">
        <is>
          <t>full_application_submission_date</t>
        </is>
      </c>
      <c r="L3" s="7" t="inlineStr">
        <is>
          <t>application_status_current</t>
        </is>
      </c>
      <c r="M3" s="7" t="inlineStr">
        <is>
          <t>board_meeting_date_current</t>
        </is>
      </c>
      <c r="N3" s="7" t="inlineStr">
        <is>
          <t>determination_notice_issuance_date_current</t>
        </is>
      </c>
      <c r="O3" s="7" t="inlineStr">
        <is>
          <t>bond_reservation_date_current</t>
        </is>
      </c>
      <c r="P3" s="7" t="inlineStr">
        <is>
          <t>bond_expiration_date_current</t>
        </is>
      </c>
      <c r="Q3" s="7" t="inlineStr">
        <is>
          <t>closed_date_current</t>
        </is>
      </c>
      <c r="R3" s="7" t="inlineStr">
        <is>
          <t>construction_type</t>
        </is>
      </c>
      <c r="S3" s="7" t="inlineStr">
        <is>
          <t>target_population</t>
        </is>
      </c>
      <c r="T3" s="7" t="inlineStr">
        <is>
          <t>total_units</t>
        </is>
      </c>
      <c r="U3" s="7" t="inlineStr">
        <is>
          <t>total_low_income_units</t>
        </is>
      </c>
      <c r="V3" s="7" t="inlineStr">
        <is>
          <t>scattered_site_flag</t>
        </is>
      </c>
      <c r="W3" s="7" t="inlineStr">
        <is>
          <t>existing_residential_development_flag</t>
        </is>
      </c>
      <c r="X3" s="7" t="inlineStr">
        <is>
          <t>bond_issuer</t>
        </is>
      </c>
      <c r="Y3" s="7" t="inlineStr">
        <is>
          <t>bond_issuer_type</t>
        </is>
      </c>
      <c r="Z3" s="7" t="inlineStr">
        <is>
          <t>bond_reservation_amount_requested</t>
        </is>
      </c>
      <c r="AA3" s="7" t="inlineStr">
        <is>
          <t>bond_amount_recommended</t>
        </is>
      </c>
      <c r="AB3" s="7" t="inlineStr">
        <is>
          <t>requested_htc_amount</t>
        </is>
      </c>
      <c r="AC3" s="7" t="inlineStr">
        <is>
          <t>recommended_htc_amount</t>
        </is>
      </c>
      <c r="AD3" s="7" t="inlineStr">
        <is>
          <t>requested_state_tax_credit_amount</t>
        </is>
      </c>
      <c r="AE3" s="7" t="inlineStr">
        <is>
          <t>recommended_state_tax_credit_amount</t>
        </is>
      </c>
      <c r="AF3" s="7" t="inlineStr">
        <is>
          <t>direct_loan_request_flag</t>
        </is>
      </c>
      <c r="AG3" s="7" t="inlineStr">
        <is>
          <t>property_tax_exemption_flag</t>
        </is>
      </c>
      <c r="AH3" s="7" t="inlineStr">
        <is>
          <t>pfc_structure_flag</t>
        </is>
      </c>
      <c r="AI3" s="7" t="inlineStr">
        <is>
          <t>site_control_valid_flag</t>
        </is>
      </c>
      <c r="AJ3" s="7" t="inlineStr">
        <is>
          <t>site_control_document_date</t>
        </is>
      </c>
      <c r="AK3" s="7" t="inlineStr">
        <is>
          <t>resolutions_complete_flag</t>
        </is>
      </c>
      <c r="AL3" s="7" t="inlineStr">
        <is>
          <t>local_approval_complete_flag</t>
        </is>
      </c>
      <c r="AM3" s="7" t="inlineStr">
        <is>
          <t>third_party_reports_complete_flag</t>
        </is>
      </c>
      <c r="AN3" s="7" t="inlineStr">
        <is>
          <t>esa_complete_flag</t>
        </is>
      </c>
      <c r="AO3" s="7" t="inlineStr">
        <is>
          <t>market_analysis_complete_flag</t>
        </is>
      </c>
      <c r="AP3" s="7" t="inlineStr">
        <is>
          <t>appraisal_complete_flag</t>
        </is>
      </c>
      <c r="AQ3" s="7" t="inlineStr">
        <is>
          <t>scr_complete_flag</t>
        </is>
      </c>
      <c r="AR3" s="7" t="inlineStr">
        <is>
          <t>feasibility_report_complete_flag</t>
        </is>
      </c>
      <c r="AS3" s="7" t="inlineStr">
        <is>
          <t>deficiency_notice_issued_flag</t>
        </is>
      </c>
      <c r="AT3" s="7" t="inlineStr">
        <is>
          <t>deficiency_notice_date</t>
        </is>
      </c>
      <c r="AU3" s="7" t="inlineStr">
        <is>
          <t>deficiency_response_due_date</t>
        </is>
      </c>
      <c r="AV3" s="7" t="inlineStr">
        <is>
          <t>deficiency_cleared_flag</t>
        </is>
      </c>
      <c r="AW3" s="7" t="inlineStr">
        <is>
          <t>deficiency_cleared_date</t>
        </is>
      </c>
      <c r="AX3" s="7" t="inlineStr">
        <is>
          <t>material_deficiency_flag</t>
        </is>
      </c>
      <c r="AY3" s="7" t="inlineStr">
        <is>
          <t>underwriting_complete_flag</t>
        </is>
      </c>
      <c r="AZ3" s="7" t="inlineStr">
        <is>
          <t>underwriting_pass_flag</t>
        </is>
      </c>
      <c r="BA3" s="7" t="inlineStr">
        <is>
          <t>financial_feasible_flag</t>
        </is>
      </c>
      <c r="BB3" s="7" t="inlineStr">
        <is>
          <t>deconcentration_compliant_flag</t>
        </is>
      </c>
      <c r="BC3" s="7" t="inlineStr">
        <is>
          <t>one_mile_rule_compliant_flag</t>
        </is>
      </c>
      <c r="BD3" s="7" t="inlineStr">
        <is>
          <t>two_mile_same_year_rule_relevant_flag</t>
        </is>
      </c>
      <c r="BE3" s="7" t="inlineStr">
        <is>
          <t>existing_lura_conflict_flag</t>
        </is>
      </c>
      <c r="BF3" s="7" t="inlineStr">
        <is>
          <t>rural_area_flag</t>
        </is>
      </c>
      <c r="BG3" s="7" t="inlineStr">
        <is>
          <t>urban_area_flag</t>
        </is>
      </c>
      <c r="BH3" s="7" t="inlineStr">
        <is>
          <t>qct_flag</t>
        </is>
      </c>
      <c r="BI3" s="7" t="inlineStr">
        <is>
          <t>high_opportunity_override_flag</t>
        </is>
      </c>
      <c r="BJ3" s="7" t="inlineStr">
        <is>
          <t>streamlined_eligible_flag</t>
        </is>
      </c>
      <c r="BK3" s="7" t="inlineStr">
        <is>
          <t>board_review_required_flag</t>
        </is>
      </c>
      <c r="BL3" s="7" t="inlineStr">
        <is>
          <t>chapter12_issue_flag</t>
        </is>
      </c>
      <c r="BM3" s="7" t="inlineStr">
        <is>
          <t>ready_for_determination_notice_flag</t>
        </is>
      </c>
      <c r="BN3" s="7" t="inlineStr">
        <is>
          <t>ready_for_board_flag</t>
        </is>
      </c>
      <c r="BO3" s="7" t="inlineStr">
        <is>
          <t>pipeline_entry_date</t>
        </is>
      </c>
      <c r="BP3" s="7" t="inlineStr">
        <is>
          <t>carryforward_from_prior_log_flag</t>
        </is>
      </c>
      <c r="BQ3" s="7" t="inlineStr">
        <is>
          <t>new_project_this_snapshot_flag</t>
        </is>
      </c>
      <c r="BR3" s="7" t="inlineStr">
        <is>
          <t>all_manual_boxes_checked_flag</t>
        </is>
      </c>
      <c r="BS3" s="7" t="inlineStr">
        <is>
          <t>project_ready_now_flag</t>
        </is>
      </c>
      <c r="BT3" s="7" t="inlineStr">
        <is>
          <t>pipeline_seniority_rank_manual</t>
        </is>
      </c>
      <c r="BU3" s="7" t="inlineStr">
        <is>
          <t>predicted_next_status</t>
        </is>
      </c>
      <c r="BV3" s="7" t="inlineStr">
        <is>
          <t>predicted_next_path</t>
        </is>
      </c>
      <c r="BW3" s="7" t="inlineStr">
        <is>
          <t>predicted_blocker_code</t>
        </is>
      </c>
      <c r="BX3" s="7" t="inlineStr">
        <is>
          <t>predicted_reason_1</t>
        </is>
      </c>
      <c r="BY3" s="7" t="inlineStr">
        <is>
          <t>predicted_reason_2</t>
        </is>
      </c>
      <c r="BZ3" s="7" t="inlineStr">
        <is>
          <t>predicted_reason_3</t>
        </is>
      </c>
      <c r="CA3" s="7" t="inlineStr">
        <is>
          <t>predicted_relative_rank</t>
        </is>
      </c>
      <c r="CB3" s="7" t="inlineStr">
        <is>
          <t>predicted_advance_flag</t>
        </is>
      </c>
      <c r="CC3" s="7" t="inlineStr">
        <is>
          <t>notes</t>
        </is>
      </c>
      <c r="CD3" s="7" t="inlineStr">
        <is>
          <t>applicant_contact</t>
        </is>
      </c>
      <c r="CE3" s="7" t="inlineStr">
        <is>
          <t>applicant_phone</t>
        </is>
      </c>
      <c r="CF3" s="7" t="inlineStr">
        <is>
          <t>applicant_email</t>
        </is>
      </c>
      <c r="CG3" s="7" t="inlineStr">
        <is>
          <t>bond_issuer_contact</t>
        </is>
      </c>
      <c r="CH3" s="7" t="inlineStr">
        <is>
          <t>bond_issuer_phone</t>
        </is>
      </c>
    </row>
    <row r="4">
      <c r="A4" s="8" t="inlineStr">
        <is>
          <t>2025-03-10</t>
        </is>
      </c>
      <c r="B4" s="9" t="inlineStr">
        <is>
          <t>2025-03-10</t>
        </is>
      </c>
      <c r="C4" s="9" t="inlineStr">
        <is>
          <t>25427</t>
        </is>
      </c>
      <c r="D4" s="9" t="n">
        <v>24426</v>
      </c>
      <c r="E4" s="9" t="inlineStr">
        <is>
          <t>Bay Terrace</t>
        </is>
      </c>
      <c r="F4" s="9" t="inlineStr">
        <is>
          <t>Baytown</t>
        </is>
      </c>
      <c r="G4" s="9" t="inlineStr">
        <is>
          <t>Harris</t>
        </is>
      </c>
      <c r="H4" s="9" t="n">
        <v>6</v>
      </c>
      <c r="I4" s="9" t="inlineStr">
        <is>
          <t>1502 Nolan Road</t>
        </is>
      </c>
      <c r="J4" s="9" t="n">
        <v>77520</v>
      </c>
      <c r="K4" s="8" t="n">
        <v>45659</v>
      </c>
      <c r="L4" s="9" t="inlineStr">
        <is>
          <t>Active</t>
        </is>
      </c>
      <c r="M4" s="8" t="n">
        <v>45757</v>
      </c>
      <c r="N4" s="8" t="n"/>
      <c r="O4" s="8" t="n">
        <v>45670</v>
      </c>
      <c r="P4" s="8" t="n">
        <v>45850</v>
      </c>
      <c r="Q4" s="8" t="n"/>
      <c r="R4" s="9" t="inlineStr">
        <is>
          <t>Acq/Rehab</t>
        </is>
      </c>
      <c r="S4" s="9" t="inlineStr">
        <is>
          <t>General</t>
        </is>
      </c>
      <c r="T4" s="10" t="n">
        <v>130</v>
      </c>
      <c r="U4" s="10" t="n">
        <v>130</v>
      </c>
      <c r="V4" s="9" t="n"/>
      <c r="W4" s="9" t="n"/>
      <c r="X4" s="9" t="inlineStr">
        <is>
          <t>Southeast Texas HFC</t>
        </is>
      </c>
      <c r="Y4" s="9" t="inlineStr">
        <is>
          <t>Local HFC</t>
        </is>
      </c>
      <c r="Z4" s="11" t="n">
        <v>22500000</v>
      </c>
      <c r="AA4" s="11" t="n"/>
      <c r="AB4" s="11" t="n">
        <v>1076207</v>
      </c>
      <c r="AC4" s="11" t="n"/>
      <c r="AD4" s="11" t="n">
        <v>1250000</v>
      </c>
      <c r="AE4" s="11" t="n"/>
      <c r="AF4" s="9" t="inlineStr">
        <is>
          <t>N</t>
        </is>
      </c>
      <c r="AG4" s="9" t="inlineStr">
        <is>
          <t>N</t>
        </is>
      </c>
      <c r="AH4" s="9" t="n"/>
      <c r="AI4" s="9" t="n"/>
      <c r="AJ4" s="8" t="n"/>
      <c r="AK4" s="9" t="n"/>
      <c r="AL4" s="9" t="n"/>
      <c r="AM4" s="9" t="n"/>
      <c r="AN4" s="9" t="n"/>
      <c r="AO4" s="9" t="n"/>
      <c r="AP4" s="9" t="n"/>
      <c r="AQ4" s="9" t="n"/>
      <c r="AR4" s="9" t="n"/>
      <c r="AS4" s="9" t="n"/>
      <c r="AT4" s="8" t="n"/>
      <c r="AU4" s="8" t="n"/>
      <c r="AV4" s="9" t="n"/>
      <c r="AW4" s="8" t="n"/>
      <c r="AX4" s="9" t="n"/>
      <c r="AY4" s="9" t="n"/>
      <c r="AZ4" s="9" t="n"/>
      <c r="BA4" s="9" t="n"/>
      <c r="BB4" s="9" t="n"/>
      <c r="BC4" s="9" t="n"/>
      <c r="BD4" s="9" t="n"/>
      <c r="BE4" s="9" t="n"/>
      <c r="BF4" s="9" t="n"/>
      <c r="BG4" s="9" t="n"/>
      <c r="BH4" s="9" t="n"/>
      <c r="BI4" s="9" t="n"/>
      <c r="BJ4" s="9" t="n"/>
      <c r="BK4" s="9" t="n"/>
      <c r="BL4" s="9" t="n"/>
      <c r="BM4" s="9" t="n"/>
      <c r="BN4" s="9" t="n"/>
      <c r="BO4" s="8" t="n">
        <v>45659</v>
      </c>
      <c r="BP4" s="9" t="inlineStr">
        <is>
          <t>Y</t>
        </is>
      </c>
      <c r="BQ4" s="9" t="inlineStr">
        <is>
          <t>N</t>
        </is>
      </c>
      <c r="BR4" s="12">
        <f>IF(AND(AI4="Y",AK4="Y",AL4="Y",AM4="Y",AY4="Y",AZ4="Y",BA4="Y",BB4="Y",BC4="Y",BE4&lt;&gt;"Y",AX4&lt;&gt;"Y",BL4&lt;&gt;"Y",IF(AS4="Y",AV4="Y",TRUE)),"Y","N")</f>
        <v/>
      </c>
      <c r="BS4" s="12">
        <f>IF(AND(BR4="Y",OR(AND(BJ4="Y",BM4="Y"),AND(BK4="Y",BN4="Y"),AND(BJ4&lt;&gt;"Y",BK4&lt;&gt;"Y",OR(BM4="Y",BN4="Y")))),"Y","N")</f>
        <v/>
      </c>
      <c r="BT4" s="10" t="n">
        <v>4</v>
      </c>
      <c r="BU4" s="13" t="n"/>
      <c r="BV4" s="13" t="n"/>
      <c r="BW4" s="13" t="n"/>
      <c r="BX4" s="13" t="n"/>
      <c r="BY4" s="13" t="n"/>
      <c r="BZ4" s="13" t="n"/>
      <c r="CA4" s="14" t="n"/>
      <c r="CB4" s="13" t="n"/>
      <c r="CC4" s="9" t="n"/>
      <c r="CD4" s="9" t="inlineStr">
        <is>
          <t>Steve Anderson</t>
        </is>
      </c>
      <c r="CE4" s="9" t="inlineStr">
        <is>
          <t>(650) 400-8553</t>
        </is>
      </c>
      <c r="CF4" s="9" t="inlineStr">
        <is>
          <t>steve@anderson.org</t>
        </is>
      </c>
      <c r="CG4" s="9" t="inlineStr">
        <is>
          <t>Ron Williams</t>
        </is>
      </c>
      <c r="CH4" s="9" t="inlineStr">
        <is>
          <t>(281) 484-4663</t>
        </is>
      </c>
    </row>
    <row r="5">
      <c r="A5" s="8" t="inlineStr">
        <is>
          <t>2025-03-10</t>
        </is>
      </c>
      <c r="B5" s="9" t="inlineStr">
        <is>
          <t>2025-03-10</t>
        </is>
      </c>
      <c r="C5" s="9" t="inlineStr">
        <is>
          <t>25428</t>
        </is>
      </c>
      <c r="D5" s="9" t="n">
        <v>24434</v>
      </c>
      <c r="E5" s="9" t="inlineStr">
        <is>
          <t>Independence Village</t>
        </is>
      </c>
      <c r="F5" s="9" t="inlineStr">
        <is>
          <t>Amarillo</t>
        </is>
      </c>
      <c r="G5" s="9" t="inlineStr">
        <is>
          <t>Randall</t>
        </is>
      </c>
      <c r="H5" s="9" t="n">
        <v>1</v>
      </c>
      <c r="I5" s="9" t="inlineStr">
        <is>
          <t>4700 Virginia</t>
        </is>
      </c>
      <c r="J5" s="9" t="n">
        <v>79109</v>
      </c>
      <c r="K5" s="8" t="n">
        <v>45659</v>
      </c>
      <c r="L5" s="9" t="inlineStr">
        <is>
          <t>Active</t>
        </is>
      </c>
      <c r="M5" s="8" t="n">
        <v>45820</v>
      </c>
      <c r="N5" s="8" t="n"/>
      <c r="O5" s="8" t="inlineStr">
        <is>
          <t>TBD</t>
        </is>
      </c>
      <c r="P5" s="8" t="inlineStr">
        <is>
          <t>TBD</t>
        </is>
      </c>
      <c r="Q5" s="8" t="n"/>
      <c r="R5" s="9" t="inlineStr">
        <is>
          <t>Acq/Rehab</t>
        </is>
      </c>
      <c r="S5" s="9" t="inlineStr">
        <is>
          <t>Elderly</t>
        </is>
      </c>
      <c r="T5" s="10" t="n">
        <v>150</v>
      </c>
      <c r="U5" s="10" t="n">
        <v>150</v>
      </c>
      <c r="V5" s="9" t="n"/>
      <c r="W5" s="9" t="n"/>
      <c r="X5" s="9" t="inlineStr">
        <is>
          <t>Panhandle Regional HFC</t>
        </is>
      </c>
      <c r="Y5" s="9" t="inlineStr">
        <is>
          <t>Local HFC</t>
        </is>
      </c>
      <c r="Z5" s="11" t="n">
        <v>25000000</v>
      </c>
      <c r="AA5" s="11" t="n"/>
      <c r="AB5" s="11" t="n">
        <v>1324312</v>
      </c>
      <c r="AC5" s="11" t="n"/>
      <c r="AD5" s="11" t="n">
        <v>463534</v>
      </c>
      <c r="AE5" s="11" t="n"/>
      <c r="AF5" s="9" t="inlineStr">
        <is>
          <t>N</t>
        </is>
      </c>
      <c r="AG5" s="9" t="inlineStr">
        <is>
          <t>N</t>
        </is>
      </c>
      <c r="AH5" s="9" t="n"/>
      <c r="AI5" s="9" t="n"/>
      <c r="AJ5" s="8" t="n"/>
      <c r="AK5" s="9" t="n"/>
      <c r="AL5" s="9" t="n"/>
      <c r="AM5" s="9" t="n"/>
      <c r="AN5" s="9" t="n"/>
      <c r="AO5" s="9" t="n"/>
      <c r="AP5" s="9" t="n"/>
      <c r="AQ5" s="9" t="n"/>
      <c r="AR5" s="9" t="n"/>
      <c r="AS5" s="9" t="n"/>
      <c r="AT5" s="8" t="n"/>
      <c r="AU5" s="8" t="n"/>
      <c r="AV5" s="9" t="n"/>
      <c r="AW5" s="8" t="n"/>
      <c r="AX5" s="9" t="n"/>
      <c r="AY5" s="9" t="n"/>
      <c r="AZ5" s="9" t="n"/>
      <c r="BA5" s="9" t="n"/>
      <c r="BB5" s="9" t="n"/>
      <c r="BC5" s="9" t="n"/>
      <c r="BD5" s="9" t="n"/>
      <c r="BE5" s="9" t="n"/>
      <c r="BF5" s="9" t="n"/>
      <c r="BG5" s="9" t="n"/>
      <c r="BH5" s="9" t="n"/>
      <c r="BI5" s="9" t="n"/>
      <c r="BJ5" s="9" t="n"/>
      <c r="BK5" s="9" t="n"/>
      <c r="BL5" s="9" t="n"/>
      <c r="BM5" s="9" t="n"/>
      <c r="BN5" s="9" t="n"/>
      <c r="BO5" s="8" t="n">
        <v>45659</v>
      </c>
      <c r="BP5" s="9" t="inlineStr">
        <is>
          <t>Y</t>
        </is>
      </c>
      <c r="BQ5" s="9" t="inlineStr">
        <is>
          <t>N</t>
        </is>
      </c>
      <c r="BR5" s="12">
        <f>IF(AND(AI5="Y",AK5="Y",AL5="Y",AM5="Y",AY5="Y",AZ5="Y",BA5="Y",BB5="Y",BC5="Y",BE5&lt;&gt;"Y",AX5&lt;&gt;"Y",BL5&lt;&gt;"Y",IF(AS5="Y",AV5="Y",TRUE)),"Y","N")</f>
        <v/>
      </c>
      <c r="BS5" s="12">
        <f>IF(AND(BR5="Y",OR(AND(BJ5="Y",BM5="Y"),AND(BK5="Y",BN5="Y"),AND(BJ5&lt;&gt;"Y",BK5&lt;&gt;"Y",OR(BM5="Y",BN5="Y")))),"Y","N")</f>
        <v/>
      </c>
      <c r="BT5" s="10" t="n">
        <v>5</v>
      </c>
      <c r="BU5" s="13" t="n"/>
      <c r="BV5" s="13" t="n"/>
      <c r="BW5" s="13" t="n"/>
      <c r="BX5" s="13" t="n"/>
      <c r="BY5" s="13" t="n"/>
      <c r="BZ5" s="13" t="n"/>
      <c r="CA5" s="14" t="n"/>
      <c r="CB5" s="13" t="n"/>
      <c r="CC5" s="9" t="n"/>
      <c r="CD5" s="9" t="inlineStr">
        <is>
          <t>Rae Wilder</t>
        </is>
      </c>
      <c r="CE5" s="9" t="inlineStr">
        <is>
          <t>(805) 413-0672</t>
        </is>
      </c>
      <c r="CF5" s="9" t="inlineStr">
        <is>
          <t>rachel.posthumus@ccinvest.com</t>
        </is>
      </c>
      <c r="CG5" s="9" t="inlineStr">
        <is>
          <t>Michael Carr</t>
        </is>
      </c>
      <c r="CH5" s="9" t="inlineStr">
        <is>
          <t>(806) 360-2060</t>
        </is>
      </c>
    </row>
    <row r="6">
      <c r="A6" s="8" t="inlineStr">
        <is>
          <t>2025-03-10</t>
        </is>
      </c>
      <c r="B6" s="9" t="inlineStr">
        <is>
          <t>2025-03-10</t>
        </is>
      </c>
      <c r="C6" s="9" t="inlineStr">
        <is>
          <t>25420</t>
        </is>
      </c>
      <c r="D6" s="9" t="n"/>
      <c r="E6" s="9" t="inlineStr">
        <is>
          <t>The Bloom at Lamar Square</t>
        </is>
      </c>
      <c r="F6" s="9" t="inlineStr">
        <is>
          <t>Austin</t>
        </is>
      </c>
      <c r="G6" s="9" t="inlineStr">
        <is>
          <t>Travis</t>
        </is>
      </c>
      <c r="H6" s="9" t="n">
        <v>7</v>
      </c>
      <c r="I6" s="9" t="inlineStr">
        <is>
          <t>1326 &amp; 1328 Lamar Square Drive</t>
        </is>
      </c>
      <c r="J6" s="9" t="n">
        <v>78704</v>
      </c>
      <c r="K6" s="8" t="n">
        <v>45659</v>
      </c>
      <c r="L6" s="9" t="inlineStr">
        <is>
          <t>Active</t>
        </is>
      </c>
      <c r="M6" s="8" t="n">
        <v>45757</v>
      </c>
      <c r="N6" s="8" t="n"/>
      <c r="O6" s="8" t="n">
        <v>45663</v>
      </c>
      <c r="P6" s="8" t="n">
        <v>45843</v>
      </c>
      <c r="Q6" s="8" t="n"/>
      <c r="R6" s="9" t="inlineStr">
        <is>
          <t>New Construction</t>
        </is>
      </c>
      <c r="S6" s="9" t="inlineStr">
        <is>
          <t>Supportive Housing</t>
        </is>
      </c>
      <c r="T6" s="10" t="n">
        <v>58</v>
      </c>
      <c r="U6" s="10" t="n">
        <v>58</v>
      </c>
      <c r="V6" s="9" t="n"/>
      <c r="W6" s="9" t="n"/>
      <c r="X6" s="9" t="inlineStr">
        <is>
          <t>TSAHC</t>
        </is>
      </c>
      <c r="Y6" s="9" t="inlineStr">
        <is>
          <t>Other</t>
        </is>
      </c>
      <c r="Z6" s="11" t="n">
        <v>16500000</v>
      </c>
      <c r="AA6" s="11" t="n"/>
      <c r="AB6" s="11" t="n">
        <v>903494</v>
      </c>
      <c r="AC6" s="11" t="n"/>
      <c r="AD6" s="11" t="n">
        <v>900000</v>
      </c>
      <c r="AE6" s="11" t="n"/>
      <c r="AF6" s="9" t="inlineStr">
        <is>
          <t>N</t>
        </is>
      </c>
      <c r="AG6" s="9" t="inlineStr">
        <is>
          <t>Y</t>
        </is>
      </c>
      <c r="AH6" s="9" t="n"/>
      <c r="AI6" s="9" t="n"/>
      <c r="AJ6" s="8" t="n"/>
      <c r="AK6" s="9" t="n"/>
      <c r="AL6" s="9" t="n"/>
      <c r="AM6" s="9" t="n"/>
      <c r="AN6" s="9" t="n"/>
      <c r="AO6" s="9" t="n"/>
      <c r="AP6" s="9" t="n"/>
      <c r="AQ6" s="9" t="n"/>
      <c r="AR6" s="9" t="n"/>
      <c r="AS6" s="9" t="n"/>
      <c r="AT6" s="8" t="n"/>
      <c r="AU6" s="8" t="n"/>
      <c r="AV6" s="9" t="n"/>
      <c r="AW6" s="8" t="n"/>
      <c r="AX6" s="9" t="n"/>
      <c r="AY6" s="9" t="n"/>
      <c r="AZ6" s="9" t="n"/>
      <c r="BA6" s="9" t="n"/>
      <c r="BB6" s="9" t="n"/>
      <c r="BC6" s="9" t="n"/>
      <c r="BD6" s="9" t="n"/>
      <c r="BE6" s="9" t="n"/>
      <c r="BF6" s="9" t="n"/>
      <c r="BG6" s="9" t="n"/>
      <c r="BH6" s="9" t="n"/>
      <c r="BI6" s="9" t="n"/>
      <c r="BJ6" s="9" t="n"/>
      <c r="BK6" s="9" t="n"/>
      <c r="BL6" s="9" t="n"/>
      <c r="BM6" s="9" t="n"/>
      <c r="BN6" s="9" t="n"/>
      <c r="BO6" s="8" t="n">
        <v>45659</v>
      </c>
      <c r="BP6" s="9" t="inlineStr">
        <is>
          <t>Y</t>
        </is>
      </c>
      <c r="BQ6" s="9" t="inlineStr">
        <is>
          <t>N</t>
        </is>
      </c>
      <c r="BR6" s="12">
        <f>IF(AND(AI6="Y",AK6="Y",AL6="Y",AM6="Y",AY6="Y",AZ6="Y",BA6="Y",BB6="Y",BC6="Y",BE6&lt;&gt;"Y",AX6&lt;&gt;"Y",BL6&lt;&gt;"Y",IF(AS6="Y",AV6="Y",TRUE)),"Y","N")</f>
        <v/>
      </c>
      <c r="BS6" s="12">
        <f>IF(AND(BR6="Y",OR(AND(BJ6="Y",BM6="Y"),AND(BK6="Y",BN6="Y"),AND(BJ6&lt;&gt;"Y",BK6&lt;&gt;"Y",OR(BM6="Y",BN6="Y")))),"Y","N")</f>
        <v/>
      </c>
      <c r="BT6" s="10" t="n">
        <v>3</v>
      </c>
      <c r="BU6" s="13" t="n"/>
      <c r="BV6" s="13" t="n"/>
      <c r="BW6" s="13" t="n"/>
      <c r="BX6" s="13" t="n"/>
      <c r="BY6" s="13" t="n"/>
      <c r="BZ6" s="13" t="n"/>
      <c r="CA6" s="14" t="n"/>
      <c r="CB6" s="13" t="n"/>
      <c r="CC6" s="9" t="inlineStr">
        <is>
          <t>construction_type mapped from raw 'NC' to 'New Construction'; property_tax_exemption normalized from 'Y (50%)' to 'Y'</t>
        </is>
      </c>
      <c r="CD6" s="9" t="inlineStr">
        <is>
          <t>Walter Moreau</t>
        </is>
      </c>
      <c r="CE6" s="9" t="inlineStr">
        <is>
          <t>(512) 610-4016</t>
        </is>
      </c>
      <c r="CF6" s="9" t="inlineStr">
        <is>
          <t>walter.moreau@foundcom.org</t>
        </is>
      </c>
      <c r="CG6" s="9" t="inlineStr">
        <is>
          <t>David Danenfelzer</t>
        </is>
      </c>
      <c r="CH6" s="9" t="inlineStr">
        <is>
          <t>(512) 477-3562</t>
        </is>
      </c>
    </row>
    <row r="7">
      <c r="A7" s="8" t="inlineStr">
        <is>
          <t>2025-03-10</t>
        </is>
      </c>
      <c r="B7" s="9" t="inlineStr">
        <is>
          <t>2025-03-10</t>
        </is>
      </c>
      <c r="C7" s="9" t="inlineStr">
        <is>
          <t>25429</t>
        </is>
      </c>
      <c r="D7" s="9" t="n"/>
      <c r="E7" s="9" t="inlineStr">
        <is>
          <t>Huntington Place Senior Little Elm</t>
        </is>
      </c>
      <c r="F7" s="9" t="inlineStr">
        <is>
          <t>Little Elm</t>
        </is>
      </c>
      <c r="G7" s="9" t="inlineStr">
        <is>
          <t>Denton</t>
        </is>
      </c>
      <c r="H7" s="9" t="n">
        <v>3</v>
      </c>
      <c r="I7" s="9" t="inlineStr">
        <is>
          <t>NEQ Navo Road and Union Park Blvd</t>
        </is>
      </c>
      <c r="J7" s="9" t="n">
        <v>76227</v>
      </c>
      <c r="K7" s="8" t="n">
        <v>45663</v>
      </c>
      <c r="L7" s="9" t="inlineStr">
        <is>
          <t>Active</t>
        </is>
      </c>
      <c r="M7" s="8" t="n">
        <v>45757</v>
      </c>
      <c r="N7" s="8" t="n"/>
      <c r="O7" s="8" t="n">
        <v>45670</v>
      </c>
      <c r="P7" s="8" t="n">
        <v>45850</v>
      </c>
      <c r="Q7" s="8" t="n"/>
      <c r="R7" s="9" t="inlineStr">
        <is>
          <t>New Construction</t>
        </is>
      </c>
      <c r="S7" s="9" t="inlineStr">
        <is>
          <t>Elderly</t>
        </is>
      </c>
      <c r="T7" s="10" t="n">
        <v>198</v>
      </c>
      <c r="U7" s="10" t="n">
        <v>198</v>
      </c>
      <c r="V7" s="9" t="n"/>
      <c r="W7" s="9" t="n"/>
      <c r="X7" s="9" t="inlineStr">
        <is>
          <t>THF PFC</t>
        </is>
      </c>
      <c r="Y7" s="9" t="inlineStr">
        <is>
          <t>Other</t>
        </is>
      </c>
      <c r="Z7" s="11" t="n">
        <v>35000000</v>
      </c>
      <c r="AA7" s="11" t="n"/>
      <c r="AB7" s="11" t="n">
        <v>1987061</v>
      </c>
      <c r="AC7" s="11" t="n"/>
      <c r="AD7" s="11" t="n"/>
      <c r="AE7" s="11" t="n"/>
      <c r="AF7" s="9" t="inlineStr">
        <is>
          <t>N</t>
        </is>
      </c>
      <c r="AG7" s="9" t="inlineStr">
        <is>
          <t>Y</t>
        </is>
      </c>
      <c r="AH7" s="9" t="inlineStr">
        <is>
          <t>Y</t>
        </is>
      </c>
      <c r="AI7" s="9" t="n"/>
      <c r="AJ7" s="8" t="n"/>
      <c r="AK7" s="9" t="n"/>
      <c r="AL7" s="9" t="n"/>
      <c r="AM7" s="9" t="n"/>
      <c r="AN7" s="9" t="n"/>
      <c r="AO7" s="9" t="n"/>
      <c r="AP7" s="9" t="n"/>
      <c r="AQ7" s="9" t="n"/>
      <c r="AR7" s="9" t="n"/>
      <c r="AS7" s="9" t="n"/>
      <c r="AT7" s="8" t="n"/>
      <c r="AU7" s="8" t="n"/>
      <c r="AV7" s="9" t="n"/>
      <c r="AW7" s="8" t="n"/>
      <c r="AX7" s="9" t="n"/>
      <c r="AY7" s="9" t="n"/>
      <c r="AZ7" s="9" t="n"/>
      <c r="BA7" s="9" t="n"/>
      <c r="BB7" s="9" t="n"/>
      <c r="BC7" s="9" t="n"/>
      <c r="BD7" s="9" t="n"/>
      <c r="BE7" s="9" t="n"/>
      <c r="BF7" s="9" t="n"/>
      <c r="BG7" s="9" t="n"/>
      <c r="BH7" s="9" t="n"/>
      <c r="BI7" s="9" t="n"/>
      <c r="BJ7" s="9" t="n"/>
      <c r="BK7" s="9" t="n"/>
      <c r="BL7" s="9" t="n"/>
      <c r="BM7" s="9" t="n"/>
      <c r="BN7" s="9" t="n"/>
      <c r="BO7" s="8" t="n">
        <v>45663</v>
      </c>
      <c r="BP7" s="9" t="inlineStr">
        <is>
          <t>Y</t>
        </is>
      </c>
      <c r="BQ7" s="9" t="inlineStr">
        <is>
          <t>N</t>
        </is>
      </c>
      <c r="BR7" s="12">
        <f>IF(AND(AI7="Y",AK7="Y",AL7="Y",AM7="Y",AY7="Y",AZ7="Y",BA7="Y",BB7="Y",BC7="Y",BE7&lt;&gt;"Y",AX7&lt;&gt;"Y",BL7&lt;&gt;"Y",IF(AS7="Y",AV7="Y",TRUE)),"Y","N")</f>
        <v/>
      </c>
      <c r="BS7" s="12">
        <f>IF(AND(BR7="Y",OR(AND(BJ7="Y",BM7="Y"),AND(BK7="Y",BN7="Y"),AND(BJ7&lt;&gt;"Y",BK7&lt;&gt;"Y",OR(BM7="Y",BN7="Y")))),"Y","N")</f>
        <v/>
      </c>
      <c r="BT7" s="10" t="n">
        <v>6</v>
      </c>
      <c r="BU7" s="13" t="n"/>
      <c r="BV7" s="13" t="n"/>
      <c r="BW7" s="13" t="n"/>
      <c r="BX7" s="13" t="n"/>
      <c r="BY7" s="13" t="n"/>
      <c r="BZ7" s="13" t="n"/>
      <c r="CA7" s="14" t="n"/>
      <c r="CB7" s="13" t="n"/>
      <c r="CC7" s="9" t="inlineStr">
        <is>
          <t>construction_type mapped from raw 'NC' to 'New Construction'</t>
        </is>
      </c>
      <c r="CD7" s="9" t="inlineStr">
        <is>
          <t>Ryan Combs</t>
        </is>
      </c>
      <c r="CE7" s="9" t="inlineStr">
        <is>
          <t>(512) 983-0422</t>
        </is>
      </c>
      <c r="CF7" s="9" t="inlineStr">
        <is>
          <t>ryan@crossdevelopment.net</t>
        </is>
      </c>
      <c r="CG7" s="9" t="inlineStr">
        <is>
          <t>Jonathan Coreas</t>
        </is>
      </c>
      <c r="CH7" s="9" t="inlineStr">
        <is>
          <t>(830) 693-8100</t>
        </is>
      </c>
    </row>
    <row r="8">
      <c r="A8" s="8" t="inlineStr">
        <is>
          <t>2025-03-10</t>
        </is>
      </c>
      <c r="B8" s="9" t="inlineStr">
        <is>
          <t>2025-03-10</t>
        </is>
      </c>
      <c r="C8" s="9" t="inlineStr">
        <is>
          <t>25415</t>
        </is>
      </c>
      <c r="D8" s="9" t="n"/>
      <c r="E8" s="9" t="inlineStr">
        <is>
          <t>Seville Apartments</t>
        </is>
      </c>
      <c r="F8" s="9" t="inlineStr">
        <is>
          <t>Beaumont</t>
        </is>
      </c>
      <c r="G8" s="9" t="inlineStr">
        <is>
          <t>Jefferson</t>
        </is>
      </c>
      <c r="H8" s="9" t="n">
        <v>10</v>
      </c>
      <c r="I8" s="9" t="inlineStr">
        <is>
          <t>4325 Crow Road</t>
        </is>
      </c>
      <c r="J8" s="9" t="n">
        <v>77706</v>
      </c>
      <c r="K8" s="8" t="n">
        <v>45665</v>
      </c>
      <c r="L8" s="9" t="inlineStr">
        <is>
          <t>Active</t>
        </is>
      </c>
      <c r="M8" s="8" t="n">
        <v>45785</v>
      </c>
      <c r="N8" s="8" t="n"/>
      <c r="O8" s="8" t="n">
        <v>45667</v>
      </c>
      <c r="P8" s="8" t="n">
        <v>45847</v>
      </c>
      <c r="Q8" s="8" t="n"/>
      <c r="R8" s="9" t="inlineStr">
        <is>
          <t>Acq/Rehab</t>
        </is>
      </c>
      <c r="S8" s="9" t="inlineStr">
        <is>
          <t>Elderly</t>
        </is>
      </c>
      <c r="T8" s="10" t="n">
        <v>90</v>
      </c>
      <c r="U8" s="10" t="n">
        <v>90</v>
      </c>
      <c r="V8" s="9" t="n"/>
      <c r="W8" s="9" t="n"/>
      <c r="X8" s="9" t="inlineStr">
        <is>
          <t>Jefferson County HFC</t>
        </is>
      </c>
      <c r="Y8" s="9" t="inlineStr">
        <is>
          <t>Local HFC</t>
        </is>
      </c>
      <c r="Z8" s="11" t="n">
        <v>10000000</v>
      </c>
      <c r="AA8" s="11" t="n"/>
      <c r="AB8" s="11" t="n">
        <v>645144</v>
      </c>
      <c r="AC8" s="11" t="n"/>
      <c r="AD8" s="11" t="n"/>
      <c r="AE8" s="11" t="n"/>
      <c r="AF8" s="9" t="inlineStr">
        <is>
          <t>N</t>
        </is>
      </c>
      <c r="AG8" s="9" t="inlineStr">
        <is>
          <t>Y</t>
        </is>
      </c>
      <c r="AH8" s="9" t="n"/>
      <c r="AI8" s="9" t="n"/>
      <c r="AJ8" s="8" t="n"/>
      <c r="AK8" s="9" t="n"/>
      <c r="AL8" s="9" t="n"/>
      <c r="AM8" s="9" t="n"/>
      <c r="AN8" s="9" t="n"/>
      <c r="AO8" s="9" t="n"/>
      <c r="AP8" s="9" t="n"/>
      <c r="AQ8" s="9" t="n"/>
      <c r="AR8" s="9" t="n"/>
      <c r="AS8" s="9" t="n"/>
      <c r="AT8" s="8" t="n"/>
      <c r="AU8" s="8" t="n"/>
      <c r="AV8" s="9" t="n"/>
      <c r="AW8" s="8" t="n"/>
      <c r="AX8" s="9" t="n"/>
      <c r="AY8" s="9" t="n"/>
      <c r="AZ8" s="9" t="n"/>
      <c r="BA8" s="9" t="n"/>
      <c r="BB8" s="9" t="n"/>
      <c r="BC8" s="9" t="n"/>
      <c r="BD8" s="9" t="n"/>
      <c r="BE8" s="9" t="n"/>
      <c r="BF8" s="9" t="n"/>
      <c r="BG8" s="9" t="n"/>
      <c r="BH8" s="9" t="n"/>
      <c r="BI8" s="9" t="n"/>
      <c r="BJ8" s="9" t="n"/>
      <c r="BK8" s="9" t="n"/>
      <c r="BL8" s="9" t="n"/>
      <c r="BM8" s="9" t="n"/>
      <c r="BN8" s="9" t="n"/>
      <c r="BO8" s="8" t="n">
        <v>45665</v>
      </c>
      <c r="BP8" s="9" t="inlineStr">
        <is>
          <t>Y</t>
        </is>
      </c>
      <c r="BQ8" s="9" t="inlineStr">
        <is>
          <t>N</t>
        </is>
      </c>
      <c r="BR8" s="12">
        <f>IF(AND(AI8="Y",AK8="Y",AL8="Y",AM8="Y",AY8="Y",AZ8="Y",BA8="Y",BB8="Y",BC8="Y",BE8&lt;&gt;"Y",AX8&lt;&gt;"Y",BL8&lt;&gt;"Y",IF(AS8="Y",AV8="Y",TRUE)),"Y","N")</f>
        <v/>
      </c>
      <c r="BS8" s="12">
        <f>IF(AND(BR8="Y",OR(AND(BJ8="Y",BM8="Y"),AND(BK8="Y",BN8="Y"),AND(BJ8&lt;&gt;"Y",BK8&lt;&gt;"Y",OR(BM8="Y",BN8="Y")))),"Y","N")</f>
        <v/>
      </c>
      <c r="BT8" s="10" t="n">
        <v>10</v>
      </c>
      <c r="BU8" s="13" t="n"/>
      <c r="BV8" s="13" t="n"/>
      <c r="BW8" s="13" t="n"/>
      <c r="BX8" s="13" t="n"/>
      <c r="BY8" s="13" t="n"/>
      <c r="BZ8" s="13" t="n"/>
      <c r="CA8" s="14" t="n"/>
      <c r="CB8" s="13" t="n"/>
      <c r="CC8" s="9" t="n"/>
      <c r="CD8" s="9" t="inlineStr">
        <is>
          <t>Andrew Bennett</t>
        </is>
      </c>
      <c r="CE8" s="9" t="inlineStr">
        <is>
          <t>(720) 749-3206</t>
        </is>
      </c>
      <c r="CF8" s="9" t="inlineStr">
        <is>
          <t>abennett@steelellc.com</t>
        </is>
      </c>
      <c r="CG8" s="9" t="inlineStr">
        <is>
          <t>Jeff Branick</t>
        </is>
      </c>
      <c r="CH8" s="9" t="inlineStr">
        <is>
          <t>(409) 654-6730</t>
        </is>
      </c>
    </row>
    <row r="9">
      <c r="A9" s="8" t="inlineStr">
        <is>
          <t>2025-03-10</t>
        </is>
      </c>
      <c r="B9" s="9" t="inlineStr">
        <is>
          <t>2025-03-10</t>
        </is>
      </c>
      <c r="C9" s="9" t="inlineStr">
        <is>
          <t>25409</t>
        </is>
      </c>
      <c r="D9" s="9" t="inlineStr">
        <is>
          <t>060628</t>
        </is>
      </c>
      <c r="E9" s="9" t="inlineStr">
        <is>
          <t>Lancaster Apartments</t>
        </is>
      </c>
      <c r="F9" s="9" t="inlineStr">
        <is>
          <t>Katy</t>
        </is>
      </c>
      <c r="G9" s="9" t="inlineStr">
        <is>
          <t>Harris</t>
        </is>
      </c>
      <c r="H9" s="9" t="n">
        <v>6</v>
      </c>
      <c r="I9" s="9" t="inlineStr">
        <is>
          <t>20100 Park Row Boulevard</t>
        </is>
      </c>
      <c r="J9" s="9" t="n">
        <v>77449</v>
      </c>
      <c r="K9" s="8" t="n">
        <v>45665</v>
      </c>
      <c r="L9" s="9" t="inlineStr">
        <is>
          <t>Active</t>
        </is>
      </c>
      <c r="M9" s="8" t="n">
        <v>45757</v>
      </c>
      <c r="N9" s="8" t="n"/>
      <c r="O9" s="8" t="n">
        <v>45670</v>
      </c>
      <c r="P9" s="8" t="n">
        <v>45850</v>
      </c>
      <c r="Q9" s="8" t="n"/>
      <c r="R9" s="9" t="inlineStr">
        <is>
          <t>Acq/Rehab</t>
        </is>
      </c>
      <c r="S9" s="9" t="inlineStr">
        <is>
          <t>General</t>
        </is>
      </c>
      <c r="T9" s="10" t="n">
        <v>252</v>
      </c>
      <c r="U9" s="10" t="n">
        <v>252</v>
      </c>
      <c r="V9" s="9" t="n"/>
      <c r="W9" s="9" t="n"/>
      <c r="X9" s="9" t="inlineStr">
        <is>
          <t>HHA Fountainview PFC</t>
        </is>
      </c>
      <c r="Y9" s="9" t="inlineStr">
        <is>
          <t>Other</t>
        </is>
      </c>
      <c r="Z9" s="11" t="n">
        <v>30000000</v>
      </c>
      <c r="AA9" s="11" t="n"/>
      <c r="AB9" s="11" t="n">
        <v>1710060</v>
      </c>
      <c r="AC9" s="11" t="n"/>
      <c r="AD9" s="11" t="n">
        <v>350000</v>
      </c>
      <c r="AE9" s="11" t="n"/>
      <c r="AF9" s="9" t="inlineStr">
        <is>
          <t>N</t>
        </is>
      </c>
      <c r="AG9" s="9" t="inlineStr">
        <is>
          <t>Y</t>
        </is>
      </c>
      <c r="AH9" s="9" t="inlineStr">
        <is>
          <t>Y</t>
        </is>
      </c>
      <c r="AI9" s="9" t="n"/>
      <c r="AJ9" s="8" t="n"/>
      <c r="AK9" s="9" t="n"/>
      <c r="AL9" s="9" t="n"/>
      <c r="AM9" s="9" t="n"/>
      <c r="AN9" s="9" t="n"/>
      <c r="AO9" s="9" t="n"/>
      <c r="AP9" s="9" t="n"/>
      <c r="AQ9" s="9" t="n"/>
      <c r="AR9" s="9" t="n"/>
      <c r="AS9" s="9" t="n"/>
      <c r="AT9" s="8" t="n"/>
      <c r="AU9" s="8" t="n"/>
      <c r="AV9" s="9" t="n"/>
      <c r="AW9" s="8" t="n"/>
      <c r="AX9" s="9" t="n"/>
      <c r="AY9" s="9" t="n"/>
      <c r="AZ9" s="9" t="n"/>
      <c r="BA9" s="9" t="n"/>
      <c r="BB9" s="9" t="n"/>
      <c r="BC9" s="9" t="n"/>
      <c r="BD9" s="9" t="n"/>
      <c r="BE9" s="9" t="n"/>
      <c r="BF9" s="9" t="n"/>
      <c r="BG9" s="9" t="n"/>
      <c r="BH9" s="9" t="n"/>
      <c r="BI9" s="9" t="n"/>
      <c r="BJ9" s="9" t="n"/>
      <c r="BK9" s="9" t="n"/>
      <c r="BL9" s="9" t="n"/>
      <c r="BM9" s="9" t="n"/>
      <c r="BN9" s="9" t="n"/>
      <c r="BO9" s="8" t="n">
        <v>45665</v>
      </c>
      <c r="BP9" s="9" t="inlineStr">
        <is>
          <t>Y</t>
        </is>
      </c>
      <c r="BQ9" s="9" t="inlineStr">
        <is>
          <t>N</t>
        </is>
      </c>
      <c r="BR9" s="12">
        <f>IF(AND(AI9="Y",AK9="Y",AL9="Y",AM9="Y",AY9="Y",AZ9="Y",BA9="Y",BB9="Y",BC9="Y",BE9&lt;&gt;"Y",AX9&lt;&gt;"Y",BL9&lt;&gt;"Y",IF(AS9="Y",AV9="Y",TRUE)),"Y","N")</f>
        <v/>
      </c>
      <c r="BS9" s="12">
        <f>IF(AND(BR9="Y",OR(AND(BJ9="Y",BM9="Y"),AND(BK9="Y",BN9="Y"),AND(BJ9&lt;&gt;"Y",BK9&lt;&gt;"Y",OR(BM9="Y",BN9="Y")))),"Y","N")</f>
        <v/>
      </c>
      <c r="BT9" s="10" t="n">
        <v>7</v>
      </c>
      <c r="BU9" s="13" t="n"/>
      <c r="BV9" s="13" t="n"/>
      <c r="BW9" s="13" t="n"/>
      <c r="BX9" s="13" t="n"/>
      <c r="BY9" s="13" t="n"/>
      <c r="BZ9" s="13" t="n"/>
      <c r="CA9" s="14" t="n"/>
      <c r="CB9" s="13" t="n"/>
      <c r="CC9" s="9" t="n"/>
      <c r="CD9" s="9" t="inlineStr">
        <is>
          <t>Jeremy Bartholomew</t>
        </is>
      </c>
      <c r="CE9" s="9" t="inlineStr">
        <is>
          <t>(713) 334-5514</t>
        </is>
      </c>
      <c r="CF9" s="9" t="inlineStr">
        <is>
          <t>jeremy@resolutioncompanies.com</t>
        </is>
      </c>
      <c r="CG9" s="9" t="inlineStr">
        <is>
          <t>Jennine Hovell-Cox</t>
        </is>
      </c>
      <c r="CH9" s="9" t="inlineStr">
        <is>
          <t>(713) 260-0501</t>
        </is>
      </c>
    </row>
    <row r="10">
      <c r="A10" s="8" t="inlineStr">
        <is>
          <t>2025-03-10</t>
        </is>
      </c>
      <c r="B10" s="9" t="inlineStr">
        <is>
          <t>2025-03-10</t>
        </is>
      </c>
      <c r="C10" s="9" t="inlineStr">
        <is>
          <t>25410</t>
        </is>
      </c>
      <c r="D10" s="9" t="inlineStr">
        <is>
          <t>07433</t>
        </is>
      </c>
      <c r="E10" s="9" t="inlineStr">
        <is>
          <t>Regency Park</t>
        </is>
      </c>
      <c r="F10" s="9" t="inlineStr">
        <is>
          <t>Houston</t>
        </is>
      </c>
      <c r="G10" s="9" t="inlineStr">
        <is>
          <t>Harris</t>
        </is>
      </c>
      <c r="H10" s="9" t="n">
        <v>6</v>
      </c>
      <c r="I10" s="9" t="inlineStr">
        <is>
          <t>10600 Southown Trace Trail</t>
        </is>
      </c>
      <c r="J10" s="9" t="n">
        <v>77034</v>
      </c>
      <c r="K10" s="8" t="n">
        <v>45665</v>
      </c>
      <c r="L10" s="9" t="inlineStr">
        <is>
          <t>Active</t>
        </is>
      </c>
      <c r="M10" s="8" t="n">
        <v>45757</v>
      </c>
      <c r="N10" s="8" t="n"/>
      <c r="O10" s="8" t="n">
        <v>45670</v>
      </c>
      <c r="P10" s="8" t="n">
        <v>45850</v>
      </c>
      <c r="Q10" s="8" t="n"/>
      <c r="R10" s="9" t="inlineStr">
        <is>
          <t>Acq/Rehab</t>
        </is>
      </c>
      <c r="S10" s="9" t="inlineStr">
        <is>
          <t>General</t>
        </is>
      </c>
      <c r="T10" s="10" t="n">
        <v>252</v>
      </c>
      <c r="U10" s="10" t="n">
        <v>252</v>
      </c>
      <c r="V10" s="9" t="n"/>
      <c r="W10" s="9" t="n"/>
      <c r="X10" s="9" t="inlineStr">
        <is>
          <t>HHA Fountainview PFC</t>
        </is>
      </c>
      <c r="Y10" s="9" t="inlineStr">
        <is>
          <t>Other</t>
        </is>
      </c>
      <c r="Z10" s="11" t="n">
        <v>30000000</v>
      </c>
      <c r="AA10" s="11" t="n"/>
      <c r="AB10" s="11" t="n">
        <v>1408353</v>
      </c>
      <c r="AC10" s="11" t="n"/>
      <c r="AD10" s="11" t="n">
        <v>470000</v>
      </c>
      <c r="AE10" s="11" t="n"/>
      <c r="AF10" s="9" t="inlineStr">
        <is>
          <t>N</t>
        </is>
      </c>
      <c r="AG10" s="9" t="inlineStr">
        <is>
          <t>Y</t>
        </is>
      </c>
      <c r="AH10" s="9" t="inlineStr">
        <is>
          <t>Y</t>
        </is>
      </c>
      <c r="AI10" s="9" t="n"/>
      <c r="AJ10" s="8" t="n"/>
      <c r="AK10" s="9" t="n"/>
      <c r="AL10" s="9" t="n"/>
      <c r="AM10" s="9" t="n"/>
      <c r="AN10" s="9" t="n"/>
      <c r="AO10" s="9" t="n"/>
      <c r="AP10" s="9" t="n"/>
      <c r="AQ10" s="9" t="n"/>
      <c r="AR10" s="9" t="n"/>
      <c r="AS10" s="9" t="n"/>
      <c r="AT10" s="8" t="n"/>
      <c r="AU10" s="8" t="n"/>
      <c r="AV10" s="9" t="n"/>
      <c r="AW10" s="8" t="n"/>
      <c r="AX10" s="9" t="n"/>
      <c r="AY10" s="9" t="n"/>
      <c r="AZ10" s="9" t="n"/>
      <c r="BA10" s="9" t="n"/>
      <c r="BB10" s="9" t="n"/>
      <c r="BC10" s="9" t="n"/>
      <c r="BD10" s="9" t="n"/>
      <c r="BE10" s="9" t="n"/>
      <c r="BF10" s="9" t="n"/>
      <c r="BG10" s="9" t="n"/>
      <c r="BH10" s="9" t="n"/>
      <c r="BI10" s="9" t="n"/>
      <c r="BJ10" s="9" t="n"/>
      <c r="BK10" s="9" t="n"/>
      <c r="BL10" s="9" t="n"/>
      <c r="BM10" s="9" t="n"/>
      <c r="BN10" s="9" t="n"/>
      <c r="BO10" s="8" t="n">
        <v>45665</v>
      </c>
      <c r="BP10" s="9" t="inlineStr">
        <is>
          <t>Y</t>
        </is>
      </c>
      <c r="BQ10" s="9" t="inlineStr">
        <is>
          <t>N</t>
        </is>
      </c>
      <c r="BR10" s="12">
        <f>IF(AND(AI10="Y",AK10="Y",AL10="Y",AM10="Y",AY10="Y",AZ10="Y",BA10="Y",BB10="Y",BC10="Y",BE10&lt;&gt;"Y",AX10&lt;&gt;"Y",BL10&lt;&gt;"Y",IF(AS10="Y",AV10="Y",TRUE)),"Y","N")</f>
        <v/>
      </c>
      <c r="BS10" s="12">
        <f>IF(AND(BR10="Y",OR(AND(BJ10="Y",BM10="Y"),AND(BK10="Y",BN10="Y"),AND(BJ10&lt;&gt;"Y",BK10&lt;&gt;"Y",OR(BM10="Y",BN10="Y")))),"Y","N")</f>
        <v/>
      </c>
      <c r="BT10" s="10" t="n">
        <v>8</v>
      </c>
      <c r="BU10" s="13" t="n"/>
      <c r="BV10" s="13" t="n"/>
      <c r="BW10" s="13" t="n"/>
      <c r="BX10" s="13" t="n"/>
      <c r="BY10" s="13" t="n"/>
      <c r="BZ10" s="13" t="n"/>
      <c r="CA10" s="14" t="n"/>
      <c r="CB10" s="13" t="n"/>
      <c r="CC10" s="9" t="n"/>
      <c r="CD10" s="9" t="inlineStr">
        <is>
          <t>Jeremy Bartholomew</t>
        </is>
      </c>
      <c r="CE10" s="9" t="inlineStr">
        <is>
          <t>(713) 334-5514</t>
        </is>
      </c>
      <c r="CF10" s="9" t="inlineStr">
        <is>
          <t>jeremy@resolutioncompanies.com</t>
        </is>
      </c>
      <c r="CG10" s="9" t="inlineStr">
        <is>
          <t>Jennine Hovell-Cox</t>
        </is>
      </c>
      <c r="CH10" s="9" t="inlineStr">
        <is>
          <t>(713) 260-0501</t>
        </is>
      </c>
    </row>
    <row r="11">
      <c r="A11" s="8" t="inlineStr">
        <is>
          <t>2025-03-10</t>
        </is>
      </c>
      <c r="B11" s="9" t="inlineStr">
        <is>
          <t>2025-03-10</t>
        </is>
      </c>
      <c r="C11" s="9" t="inlineStr">
        <is>
          <t>25411</t>
        </is>
      </c>
      <c r="D11" s="9" t="inlineStr">
        <is>
          <t>01456</t>
        </is>
      </c>
      <c r="E11" s="9" t="inlineStr">
        <is>
          <t>Sugar Creek</t>
        </is>
      </c>
      <c r="F11" s="9" t="inlineStr">
        <is>
          <t>Houston</t>
        </is>
      </c>
      <c r="G11" s="9" t="inlineStr">
        <is>
          <t>Harris</t>
        </is>
      </c>
      <c r="H11" s="9" t="n">
        <v>6</v>
      </c>
      <c r="I11" s="9" t="inlineStr">
        <is>
          <t>11501 West Road</t>
        </is>
      </c>
      <c r="J11" s="9" t="n">
        <v>77065</v>
      </c>
      <c r="K11" s="8" t="n">
        <v>45665</v>
      </c>
      <c r="L11" s="9" t="inlineStr">
        <is>
          <t>Active</t>
        </is>
      </c>
      <c r="M11" s="8" t="n">
        <v>45757</v>
      </c>
      <c r="N11" s="8" t="n"/>
      <c r="O11" s="8" t="n">
        <v>45672</v>
      </c>
      <c r="P11" s="8" t="n">
        <v>45852</v>
      </c>
      <c r="Q11" s="8" t="n"/>
      <c r="R11" s="9" t="inlineStr">
        <is>
          <t>Acq/Rehab</t>
        </is>
      </c>
      <c r="S11" s="9" t="inlineStr">
        <is>
          <t>General</t>
        </is>
      </c>
      <c r="T11" s="10" t="n">
        <v>240</v>
      </c>
      <c r="U11" s="10" t="n">
        <v>240</v>
      </c>
      <c r="V11" s="9" t="n"/>
      <c r="W11" s="9" t="n"/>
      <c r="X11" s="9" t="inlineStr">
        <is>
          <t>HHA Fountainview PFC</t>
        </is>
      </c>
      <c r="Y11" s="9" t="inlineStr">
        <is>
          <t>Other</t>
        </is>
      </c>
      <c r="Z11" s="11" t="n">
        <v>28000000</v>
      </c>
      <c r="AA11" s="11" t="n"/>
      <c r="AB11" s="11" t="n">
        <v>1442123</v>
      </c>
      <c r="AC11" s="11" t="n"/>
      <c r="AD11" s="11" t="n"/>
      <c r="AE11" s="11" t="n"/>
      <c r="AF11" s="9" t="inlineStr">
        <is>
          <t>N</t>
        </is>
      </c>
      <c r="AG11" s="9" t="inlineStr">
        <is>
          <t>Y</t>
        </is>
      </c>
      <c r="AH11" s="9" t="inlineStr">
        <is>
          <t>Y</t>
        </is>
      </c>
      <c r="AI11" s="9" t="n"/>
      <c r="AJ11" s="8" t="n"/>
      <c r="AK11" s="9" t="n"/>
      <c r="AL11" s="9" t="n"/>
      <c r="AM11" s="9" t="n"/>
      <c r="AN11" s="9" t="n"/>
      <c r="AO11" s="9" t="n"/>
      <c r="AP11" s="9" t="n"/>
      <c r="AQ11" s="9" t="n"/>
      <c r="AR11" s="9" t="n"/>
      <c r="AS11" s="9" t="n"/>
      <c r="AT11" s="8" t="n"/>
      <c r="AU11" s="8" t="n"/>
      <c r="AV11" s="9" t="n"/>
      <c r="AW11" s="8" t="n"/>
      <c r="AX11" s="9" t="n"/>
      <c r="AY11" s="9" t="n"/>
      <c r="AZ11" s="9" t="n"/>
      <c r="BA11" s="9" t="n"/>
      <c r="BB11" s="9" t="n"/>
      <c r="BC11" s="9" t="n"/>
      <c r="BD11" s="9" t="n"/>
      <c r="BE11" s="9" t="n"/>
      <c r="BF11" s="9" t="n"/>
      <c r="BG11" s="9" t="n"/>
      <c r="BH11" s="9" t="n"/>
      <c r="BI11" s="9" t="n"/>
      <c r="BJ11" s="9" t="n"/>
      <c r="BK11" s="9" t="n"/>
      <c r="BL11" s="9" t="n"/>
      <c r="BM11" s="9" t="n"/>
      <c r="BN11" s="9" t="n"/>
      <c r="BO11" s="8" t="n">
        <v>45665</v>
      </c>
      <c r="BP11" s="9" t="inlineStr">
        <is>
          <t>Y</t>
        </is>
      </c>
      <c r="BQ11" s="9" t="inlineStr">
        <is>
          <t>N</t>
        </is>
      </c>
      <c r="BR11" s="12">
        <f>IF(AND(AI11="Y",AK11="Y",AL11="Y",AM11="Y",AY11="Y",AZ11="Y",BA11="Y",BB11="Y",BC11="Y",BE11&lt;&gt;"Y",AX11&lt;&gt;"Y",BL11&lt;&gt;"Y",IF(AS11="Y",AV11="Y",TRUE)),"Y","N")</f>
        <v/>
      </c>
      <c r="BS11" s="12">
        <f>IF(AND(BR11="Y",OR(AND(BJ11="Y",BM11="Y"),AND(BK11="Y",BN11="Y"),AND(BJ11&lt;&gt;"Y",BK11&lt;&gt;"Y",OR(BM11="Y",BN11="Y")))),"Y","N")</f>
        <v/>
      </c>
      <c r="BT11" s="10" t="n">
        <v>9</v>
      </c>
      <c r="BU11" s="13" t="n"/>
      <c r="BV11" s="13" t="n"/>
      <c r="BW11" s="13" t="n"/>
      <c r="BX11" s="13" t="n"/>
      <c r="BY11" s="13" t="n"/>
      <c r="BZ11" s="13" t="n"/>
      <c r="CA11" s="14" t="n"/>
      <c r="CB11" s="13" t="n"/>
      <c r="CC11" s="9" t="n"/>
      <c r="CD11" s="9" t="inlineStr">
        <is>
          <t>Jeremy Bartholomew</t>
        </is>
      </c>
      <c r="CE11" s="9" t="inlineStr">
        <is>
          <t>(713) 334-5514</t>
        </is>
      </c>
      <c r="CF11" s="9" t="inlineStr">
        <is>
          <t>jeremy@resolutioncompanies.com</t>
        </is>
      </c>
      <c r="CG11" s="9" t="inlineStr">
        <is>
          <t>Jennine Hovell-Cox</t>
        </is>
      </c>
      <c r="CH11" s="9" t="inlineStr">
        <is>
          <t>(713) 260-0501</t>
        </is>
      </c>
    </row>
    <row r="12">
      <c r="A12" s="8" t="inlineStr">
        <is>
          <t>2025-03-10</t>
        </is>
      </c>
      <c r="B12" s="9" t="inlineStr">
        <is>
          <t>2025-03-10</t>
        </is>
      </c>
      <c r="C12" s="9" t="inlineStr">
        <is>
          <t>25433</t>
        </is>
      </c>
      <c r="D12" s="9" t="n"/>
      <c r="E12" s="9" t="inlineStr">
        <is>
          <t>Brady Village</t>
        </is>
      </c>
      <c r="F12" s="9" t="inlineStr">
        <is>
          <t>Lancaster</t>
        </is>
      </c>
      <c r="G12" s="9" t="inlineStr">
        <is>
          <t>Dallas</t>
        </is>
      </c>
      <c r="H12" s="9" t="n">
        <v>3</v>
      </c>
      <c r="I12" s="9" t="inlineStr">
        <is>
          <t>Brady Drive and McKinney Drive</t>
        </is>
      </c>
      <c r="J12" s="9" t="n">
        <v>75146</v>
      </c>
      <c r="K12" s="8" t="n">
        <v>45666</v>
      </c>
      <c r="L12" s="9" t="inlineStr">
        <is>
          <t>Active</t>
        </is>
      </c>
      <c r="M12" s="8" t="n">
        <v>45820</v>
      </c>
      <c r="N12" s="8" t="n"/>
      <c r="O12" s="8" t="n">
        <v>45667</v>
      </c>
      <c r="P12" s="8" t="n">
        <v>45847</v>
      </c>
      <c r="Q12" s="8" t="n"/>
      <c r="R12" s="9" t="inlineStr">
        <is>
          <t>Acq/Rehab</t>
        </is>
      </c>
      <c r="S12" s="9" t="inlineStr">
        <is>
          <t>General</t>
        </is>
      </c>
      <c r="T12" s="10" t="n">
        <v>60</v>
      </c>
      <c r="U12" s="10" t="n">
        <v>60</v>
      </c>
      <c r="V12" s="9" t="n"/>
      <c r="W12" s="9" t="n"/>
      <c r="X12" s="9" t="inlineStr">
        <is>
          <t>Texas Home Collaborative</t>
        </is>
      </c>
      <c r="Y12" s="9" t="inlineStr">
        <is>
          <t>Other</t>
        </is>
      </c>
      <c r="Z12" s="11" t="n">
        <v>25000000</v>
      </c>
      <c r="AA12" s="11" t="n"/>
      <c r="AB12" s="11" t="n">
        <v>752709</v>
      </c>
      <c r="AC12" s="11" t="n"/>
      <c r="AD12" s="11" t="n"/>
      <c r="AE12" s="11" t="n"/>
      <c r="AF12" s="9" t="inlineStr">
        <is>
          <t>N</t>
        </is>
      </c>
      <c r="AG12" s="9" t="inlineStr">
        <is>
          <t>N</t>
        </is>
      </c>
      <c r="AH12" s="9" t="n"/>
      <c r="AI12" s="9" t="n"/>
      <c r="AJ12" s="8" t="n"/>
      <c r="AK12" s="9" t="n"/>
      <c r="AL12" s="9" t="n"/>
      <c r="AM12" s="9" t="n"/>
      <c r="AN12" s="9" t="n"/>
      <c r="AO12" s="9" t="n"/>
      <c r="AP12" s="9" t="n"/>
      <c r="AQ12" s="9" t="n"/>
      <c r="AR12" s="9" t="n"/>
      <c r="AS12" s="9" t="n"/>
      <c r="AT12" s="8" t="n"/>
      <c r="AU12" s="8" t="n"/>
      <c r="AV12" s="9" t="n"/>
      <c r="AW12" s="8" t="n"/>
      <c r="AX12" s="9" t="n"/>
      <c r="AY12" s="9" t="n"/>
      <c r="AZ12" s="9" t="n"/>
      <c r="BA12" s="9" t="n"/>
      <c r="BB12" s="9" t="n"/>
      <c r="BC12" s="9" t="n"/>
      <c r="BD12" s="9" t="n"/>
      <c r="BE12" s="9" t="n"/>
      <c r="BF12" s="9" t="n"/>
      <c r="BG12" s="9" t="n"/>
      <c r="BH12" s="9" t="n"/>
      <c r="BI12" s="9" t="n"/>
      <c r="BJ12" s="9" t="n"/>
      <c r="BK12" s="9" t="n"/>
      <c r="BL12" s="9" t="n"/>
      <c r="BM12" s="9" t="n"/>
      <c r="BN12" s="9" t="n"/>
      <c r="BO12" s="8" t="n">
        <v>45666</v>
      </c>
      <c r="BP12" s="9" t="inlineStr">
        <is>
          <t>Y</t>
        </is>
      </c>
      <c r="BQ12" s="9" t="inlineStr">
        <is>
          <t>N</t>
        </is>
      </c>
      <c r="BR12" s="12">
        <f>IF(AND(AI12="Y",AK12="Y",AL12="Y",AM12="Y",AY12="Y",AZ12="Y",BA12="Y",BB12="Y",BC12="Y",BE12&lt;&gt;"Y",AX12&lt;&gt;"Y",BL12&lt;&gt;"Y",IF(AS12="Y",AV12="Y",TRUE)),"Y","N")</f>
        <v/>
      </c>
      <c r="BS12" s="12">
        <f>IF(AND(BR12="Y",OR(AND(BJ12="Y",BM12="Y"),AND(BK12="Y",BN12="Y"),AND(BJ12&lt;&gt;"Y",BK12&lt;&gt;"Y",OR(BM12="Y",BN12="Y")))),"Y","N")</f>
        <v/>
      </c>
      <c r="BT12" s="10" t="n">
        <v>11</v>
      </c>
      <c r="BU12" s="13" t="n"/>
      <c r="BV12" s="13" t="n"/>
      <c r="BW12" s="13" t="n"/>
      <c r="BX12" s="13" t="n"/>
      <c r="BY12" s="13" t="n"/>
      <c r="BZ12" s="13" t="n"/>
      <c r="CA12" s="14" t="n"/>
      <c r="CB12" s="13" t="n"/>
      <c r="CC12" s="9" t="n"/>
      <c r="CD12" s="9" t="inlineStr">
        <is>
          <t>Melissa Fisher</t>
        </is>
      </c>
      <c r="CE12" s="9" t="inlineStr">
        <is>
          <t>(972) 701-5555</t>
        </is>
      </c>
      <c r="CF12" s="9" t="inlineStr">
        <is>
          <t>mfisher@rise-residential.com</t>
        </is>
      </c>
      <c r="CG12" s="9" t="inlineStr">
        <is>
          <t>Antonio Williams</t>
        </is>
      </c>
      <c r="CH12" s="9" t="inlineStr">
        <is>
          <t>(903) 276-7557</t>
        </is>
      </c>
    </row>
    <row r="13">
      <c r="A13" s="8" t="inlineStr">
        <is>
          <t>2025-03-10</t>
        </is>
      </c>
      <c r="B13" s="9" t="inlineStr">
        <is>
          <t>2025-03-10</t>
        </is>
      </c>
      <c r="C13" s="9" t="inlineStr">
        <is>
          <t>25434</t>
        </is>
      </c>
      <c r="D13" s="9" t="n">
        <v>9989</v>
      </c>
      <c r="E13" s="9" t="inlineStr">
        <is>
          <t>Seaport Village</t>
        </is>
      </c>
      <c r="F13" s="9" t="inlineStr">
        <is>
          <t>Galveston</t>
        </is>
      </c>
      <c r="G13" s="9" t="inlineStr">
        <is>
          <t>Galveston</t>
        </is>
      </c>
      <c r="H13" s="9" t="n">
        <v>6</v>
      </c>
      <c r="I13" s="9" t="inlineStr">
        <is>
          <t>7200 Heards Lane</t>
        </is>
      </c>
      <c r="J13" s="9" t="n">
        <v>77551</v>
      </c>
      <c r="K13" s="8" t="n">
        <v>45666</v>
      </c>
      <c r="L13" s="9" t="inlineStr">
        <is>
          <t>Active</t>
        </is>
      </c>
      <c r="M13" s="8" t="n">
        <v>45820</v>
      </c>
      <c r="N13" s="8" t="n"/>
      <c r="O13" s="8" t="n">
        <v>45667</v>
      </c>
      <c r="P13" s="8" t="n">
        <v>45847</v>
      </c>
      <c r="Q13" s="8" t="n"/>
      <c r="R13" s="9" t="inlineStr">
        <is>
          <t>Acq/Rehab</t>
        </is>
      </c>
      <c r="S13" s="9" t="inlineStr">
        <is>
          <t>General</t>
        </is>
      </c>
      <c r="T13" s="10" t="n">
        <v>192</v>
      </c>
      <c r="U13" s="10" t="n">
        <v>192</v>
      </c>
      <c r="V13" s="9" t="n"/>
      <c r="W13" s="9" t="n"/>
      <c r="X13" s="9" t="inlineStr">
        <is>
          <t>Texas Home Collaborative</t>
        </is>
      </c>
      <c r="Y13" s="9" t="inlineStr">
        <is>
          <t>Other</t>
        </is>
      </c>
      <c r="Z13" s="11" t="n">
        <v>25000000</v>
      </c>
      <c r="AA13" s="11" t="n"/>
      <c r="AB13" s="11" t="n">
        <v>1267031</v>
      </c>
      <c r="AC13" s="11" t="n"/>
      <c r="AD13" s="11" t="n"/>
      <c r="AE13" s="11" t="n"/>
      <c r="AF13" s="9" t="inlineStr">
        <is>
          <t>N</t>
        </is>
      </c>
      <c r="AG13" s="9" t="inlineStr">
        <is>
          <t>N</t>
        </is>
      </c>
      <c r="AH13" s="9" t="n"/>
      <c r="AI13" s="9" t="n"/>
      <c r="AJ13" s="8" t="n"/>
      <c r="AK13" s="9" t="n"/>
      <c r="AL13" s="9" t="n"/>
      <c r="AM13" s="9" t="n"/>
      <c r="AN13" s="9" t="n"/>
      <c r="AO13" s="9" t="n"/>
      <c r="AP13" s="9" t="n"/>
      <c r="AQ13" s="9" t="n"/>
      <c r="AR13" s="9" t="n"/>
      <c r="AS13" s="9" t="n"/>
      <c r="AT13" s="8" t="n"/>
      <c r="AU13" s="8" t="n"/>
      <c r="AV13" s="9" t="n"/>
      <c r="AW13" s="8" t="n"/>
      <c r="AX13" s="9" t="n"/>
      <c r="AY13" s="9" t="n"/>
      <c r="AZ13" s="9" t="n"/>
      <c r="BA13" s="9" t="n"/>
      <c r="BB13" s="9" t="n"/>
      <c r="BC13" s="9" t="n"/>
      <c r="BD13" s="9" t="n"/>
      <c r="BE13" s="9" t="n"/>
      <c r="BF13" s="9" t="n"/>
      <c r="BG13" s="9" t="n"/>
      <c r="BH13" s="9" t="n"/>
      <c r="BI13" s="9" t="n"/>
      <c r="BJ13" s="9" t="n"/>
      <c r="BK13" s="9" t="n"/>
      <c r="BL13" s="9" t="n"/>
      <c r="BM13" s="9" t="n"/>
      <c r="BN13" s="9" t="n"/>
      <c r="BO13" s="8" t="n">
        <v>45666</v>
      </c>
      <c r="BP13" s="9" t="inlineStr">
        <is>
          <t>Y</t>
        </is>
      </c>
      <c r="BQ13" s="9" t="inlineStr">
        <is>
          <t>N</t>
        </is>
      </c>
      <c r="BR13" s="12">
        <f>IF(AND(AI13="Y",AK13="Y",AL13="Y",AM13="Y",AY13="Y",AZ13="Y",BA13="Y",BB13="Y",BC13="Y",BE13&lt;&gt;"Y",AX13&lt;&gt;"Y",BL13&lt;&gt;"Y",IF(AS13="Y",AV13="Y",TRUE)),"Y","N")</f>
        <v/>
      </c>
      <c r="BS13" s="12">
        <f>IF(AND(BR13="Y",OR(AND(BJ13="Y",BM13="Y"),AND(BK13="Y",BN13="Y"),AND(BJ13&lt;&gt;"Y",BK13&lt;&gt;"Y",OR(BM13="Y",BN13="Y")))),"Y","N")</f>
        <v/>
      </c>
      <c r="BT13" s="10" t="n">
        <v>12</v>
      </c>
      <c r="BU13" s="13" t="n"/>
      <c r="BV13" s="13" t="n"/>
      <c r="BW13" s="13" t="n"/>
      <c r="BX13" s="13" t="n"/>
      <c r="BY13" s="13" t="n"/>
      <c r="BZ13" s="13" t="n"/>
      <c r="CA13" s="14" t="n"/>
      <c r="CB13" s="13" t="n"/>
      <c r="CC13" s="9" t="n"/>
      <c r="CD13" s="9" t="inlineStr">
        <is>
          <t>Bill Fisher</t>
        </is>
      </c>
      <c r="CE13" s="9" t="inlineStr">
        <is>
          <t>(214) 608-7201</t>
        </is>
      </c>
      <c r="CF13" s="9" t="inlineStr">
        <is>
          <t>bill.fisher@sonomaadvisors.com</t>
        </is>
      </c>
      <c r="CG13" s="9" t="inlineStr">
        <is>
          <t>Antonio Williams</t>
        </is>
      </c>
      <c r="CH13" s="9" t="inlineStr">
        <is>
          <t>(903) 276-7557</t>
        </is>
      </c>
    </row>
    <row r="14">
      <c r="A14" s="8" t="inlineStr">
        <is>
          <t>2025-03-10</t>
        </is>
      </c>
      <c r="B14" s="9" t="inlineStr">
        <is>
          <t>2025-03-10</t>
        </is>
      </c>
      <c r="C14" s="9" t="inlineStr">
        <is>
          <t>25435</t>
        </is>
      </c>
      <c r="D14" s="9" t="n"/>
      <c r="E14" s="9" t="inlineStr">
        <is>
          <t>Sienna Villas</t>
        </is>
      </c>
      <c r="F14" s="9" t="inlineStr">
        <is>
          <t>Freeport</t>
        </is>
      </c>
      <c r="G14" s="9" t="inlineStr">
        <is>
          <t>Brazoria</t>
        </is>
      </c>
      <c r="H14" s="9" t="n">
        <v>6</v>
      </c>
      <c r="I14" s="9" t="inlineStr">
        <is>
          <t>902 North Avenue J</t>
        </is>
      </c>
      <c r="J14" s="9" t="n">
        <v>77541</v>
      </c>
      <c r="K14" s="8" t="n">
        <v>45666</v>
      </c>
      <c r="L14" s="9" t="inlineStr">
        <is>
          <t>Active</t>
        </is>
      </c>
      <c r="M14" s="8" t="n">
        <v>45820</v>
      </c>
      <c r="N14" s="8" t="n"/>
      <c r="O14" s="8" t="n">
        <v>45667</v>
      </c>
      <c r="P14" s="8" t="n">
        <v>45847</v>
      </c>
      <c r="Q14" s="8" t="n"/>
      <c r="R14" s="9" t="inlineStr">
        <is>
          <t>Acq/Rehab</t>
        </is>
      </c>
      <c r="S14" s="9" t="inlineStr">
        <is>
          <t>General</t>
        </is>
      </c>
      <c r="T14" s="10" t="n">
        <v>156</v>
      </c>
      <c r="U14" s="10" t="n">
        <v>156</v>
      </c>
      <c r="V14" s="9" t="n"/>
      <c r="W14" s="9" t="n"/>
      <c r="X14" s="9" t="inlineStr">
        <is>
          <t>Texas Home Collaborative</t>
        </is>
      </c>
      <c r="Y14" s="9" t="inlineStr">
        <is>
          <t>Other</t>
        </is>
      </c>
      <c r="Z14" s="11" t="n">
        <v>20000000</v>
      </c>
      <c r="AA14" s="11" t="n"/>
      <c r="AB14" s="11" t="n">
        <v>1183699</v>
      </c>
      <c r="AC14" s="11" t="n"/>
      <c r="AD14" s="11" t="n"/>
      <c r="AE14" s="11" t="n"/>
      <c r="AF14" s="9" t="inlineStr">
        <is>
          <t>N</t>
        </is>
      </c>
      <c r="AG14" s="9" t="inlineStr">
        <is>
          <t>N</t>
        </is>
      </c>
      <c r="AH14" s="9" t="n"/>
      <c r="AI14" s="9" t="n"/>
      <c r="AJ14" s="8" t="n"/>
      <c r="AK14" s="9" t="n"/>
      <c r="AL14" s="9" t="n"/>
      <c r="AM14" s="9" t="n"/>
      <c r="AN14" s="9" t="n"/>
      <c r="AO14" s="9" t="n"/>
      <c r="AP14" s="9" t="n"/>
      <c r="AQ14" s="9" t="n"/>
      <c r="AR14" s="9" t="n"/>
      <c r="AS14" s="9" t="n"/>
      <c r="AT14" s="8" t="n"/>
      <c r="AU14" s="8" t="n"/>
      <c r="AV14" s="9" t="n"/>
      <c r="AW14" s="8" t="n"/>
      <c r="AX14" s="9" t="n"/>
      <c r="AY14" s="9" t="n"/>
      <c r="AZ14" s="9" t="n"/>
      <c r="BA14" s="9" t="n"/>
      <c r="BB14" s="9" t="n"/>
      <c r="BC14" s="9" t="n"/>
      <c r="BD14" s="9" t="n"/>
      <c r="BE14" s="9" t="n"/>
      <c r="BF14" s="9" t="n"/>
      <c r="BG14" s="9" t="n"/>
      <c r="BH14" s="9" t="n"/>
      <c r="BI14" s="9" t="n"/>
      <c r="BJ14" s="9" t="n"/>
      <c r="BK14" s="9" t="n"/>
      <c r="BL14" s="9" t="n"/>
      <c r="BM14" s="9" t="n"/>
      <c r="BN14" s="9" t="n"/>
      <c r="BO14" s="8" t="n">
        <v>45666</v>
      </c>
      <c r="BP14" s="9" t="inlineStr">
        <is>
          <t>Y</t>
        </is>
      </c>
      <c r="BQ14" s="9" t="inlineStr">
        <is>
          <t>N</t>
        </is>
      </c>
      <c r="BR14" s="12">
        <f>IF(AND(AI14="Y",AK14="Y",AL14="Y",AM14="Y",AY14="Y",AZ14="Y",BA14="Y",BB14="Y",BC14="Y",BE14&lt;&gt;"Y",AX14&lt;&gt;"Y",BL14&lt;&gt;"Y",IF(AS14="Y",AV14="Y",TRUE)),"Y","N")</f>
        <v/>
      </c>
      <c r="BS14" s="12">
        <f>IF(AND(BR14="Y",OR(AND(BJ14="Y",BM14="Y"),AND(BK14="Y",BN14="Y"),AND(BJ14&lt;&gt;"Y",BK14&lt;&gt;"Y",OR(BM14="Y",BN14="Y")))),"Y","N")</f>
        <v/>
      </c>
      <c r="BT14" s="10" t="n">
        <v>13</v>
      </c>
      <c r="BU14" s="13" t="n"/>
      <c r="BV14" s="13" t="n"/>
      <c r="BW14" s="13" t="n"/>
      <c r="BX14" s="13" t="n"/>
      <c r="BY14" s="13" t="n"/>
      <c r="BZ14" s="13" t="n"/>
      <c r="CA14" s="14" t="n"/>
      <c r="CB14" s="13" t="n"/>
      <c r="CC14" s="9" t="n"/>
      <c r="CD14" s="9" t="inlineStr">
        <is>
          <t>Bill Fisher</t>
        </is>
      </c>
      <c r="CE14" s="9" t="inlineStr">
        <is>
          <t>(214) 608-7201</t>
        </is>
      </c>
      <c r="CF14" s="9" t="inlineStr">
        <is>
          <t>bill.fisher@sonomaadvisors.com</t>
        </is>
      </c>
      <c r="CG14" s="9" t="inlineStr">
        <is>
          <t>Antonio Williams</t>
        </is>
      </c>
      <c r="CH14" s="9" t="inlineStr">
        <is>
          <t>(903) 276-7557</t>
        </is>
      </c>
    </row>
    <row r="15">
      <c r="A15" s="8" t="inlineStr">
        <is>
          <t>2025-03-10</t>
        </is>
      </c>
      <c r="B15" s="9" t="inlineStr">
        <is>
          <t>2025-03-10</t>
        </is>
      </c>
      <c r="C15" s="9" t="inlineStr">
        <is>
          <t>25441</t>
        </is>
      </c>
      <c r="D15" s="9" t="n">
        <v>24445</v>
      </c>
      <c r="E15" s="9" t="inlineStr">
        <is>
          <t>Aureus at Whisper Hills</t>
        </is>
      </c>
      <c r="F15" s="9" t="inlineStr">
        <is>
          <t>San Marcos</t>
        </is>
      </c>
      <c r="G15" s="9" t="inlineStr">
        <is>
          <t>Hays</t>
        </is>
      </c>
      <c r="H15" s="9" t="n">
        <v>7</v>
      </c>
      <c r="I15" s="9" t="inlineStr">
        <is>
          <t>538 Celebration Way</t>
        </is>
      </c>
      <c r="J15" s="9" t="n">
        <v>78666</v>
      </c>
      <c r="K15" s="8" t="n">
        <v>45667</v>
      </c>
      <c r="L15" s="9" t="inlineStr">
        <is>
          <t>Active</t>
        </is>
      </c>
      <c r="M15" s="8" t="n">
        <v>45785</v>
      </c>
      <c r="N15" s="8" t="n"/>
      <c r="O15" s="8" t="n">
        <v>45671</v>
      </c>
      <c r="P15" s="8" t="n">
        <v>45851</v>
      </c>
      <c r="Q15" s="8" t="n"/>
      <c r="R15" s="9" t="inlineStr">
        <is>
          <t>New Construction</t>
        </is>
      </c>
      <c r="S15" s="9" t="inlineStr">
        <is>
          <t>Elderly</t>
        </is>
      </c>
      <c r="T15" s="10" t="n">
        <v>267</v>
      </c>
      <c r="U15" s="10" t="n">
        <v>267</v>
      </c>
      <c r="V15" s="9" t="n"/>
      <c r="W15" s="9" t="n"/>
      <c r="X15" s="9" t="inlineStr">
        <is>
          <t>SMHA Finance PFC</t>
        </is>
      </c>
      <c r="Y15" s="9" t="inlineStr">
        <is>
          <t>Other</t>
        </is>
      </c>
      <c r="Z15" s="11" t="n">
        <v>40000000</v>
      </c>
      <c r="AA15" s="11" t="n"/>
      <c r="AB15" s="11" t="n">
        <v>2915592</v>
      </c>
      <c r="AC15" s="11" t="n"/>
      <c r="AD15" s="11" t="n"/>
      <c r="AE15" s="11" t="n"/>
      <c r="AF15" s="9" t="inlineStr">
        <is>
          <t>N</t>
        </is>
      </c>
      <c r="AG15" s="9" t="inlineStr">
        <is>
          <t>Y</t>
        </is>
      </c>
      <c r="AH15" s="9" t="inlineStr">
        <is>
          <t>Y</t>
        </is>
      </c>
      <c r="AI15" s="9" t="n"/>
      <c r="AJ15" s="8" t="n"/>
      <c r="AK15" s="9" t="n"/>
      <c r="AL15" s="9" t="n"/>
      <c r="AM15" s="9" t="n"/>
      <c r="AN15" s="9" t="n"/>
      <c r="AO15" s="9" t="n"/>
      <c r="AP15" s="9" t="n"/>
      <c r="AQ15" s="9" t="n"/>
      <c r="AR15" s="9" t="n"/>
      <c r="AS15" s="9" t="n"/>
      <c r="AT15" s="8" t="n"/>
      <c r="AU15" s="8" t="n"/>
      <c r="AV15" s="9" t="n"/>
      <c r="AW15" s="8" t="n"/>
      <c r="AX15" s="9" t="n"/>
      <c r="AY15" s="9" t="n"/>
      <c r="AZ15" s="9" t="n"/>
      <c r="BA15" s="9" t="n"/>
      <c r="BB15" s="9" t="n"/>
      <c r="BC15" s="9" t="n"/>
      <c r="BD15" s="9" t="n"/>
      <c r="BE15" s="9" t="n"/>
      <c r="BF15" s="9" t="n"/>
      <c r="BG15" s="9" t="n"/>
      <c r="BH15" s="9" t="n"/>
      <c r="BI15" s="9" t="n"/>
      <c r="BJ15" s="9" t="n"/>
      <c r="BK15" s="9" t="n"/>
      <c r="BL15" s="9" t="n"/>
      <c r="BM15" s="9" t="n"/>
      <c r="BN15" s="9" t="n"/>
      <c r="BO15" s="8" t="n">
        <v>45667</v>
      </c>
      <c r="BP15" s="9" t="inlineStr">
        <is>
          <t>Y</t>
        </is>
      </c>
      <c r="BQ15" s="9" t="inlineStr">
        <is>
          <t>N</t>
        </is>
      </c>
      <c r="BR15" s="12">
        <f>IF(AND(AI15="Y",AK15="Y",AL15="Y",AM15="Y",AY15="Y",AZ15="Y",BA15="Y",BB15="Y",BC15="Y",BE15&lt;&gt;"Y",AX15&lt;&gt;"Y",BL15&lt;&gt;"Y",IF(AS15="Y",AV15="Y",TRUE)),"Y","N")</f>
        <v/>
      </c>
      <c r="BS15" s="12">
        <f>IF(AND(BR15="Y",OR(AND(BJ15="Y",BM15="Y"),AND(BK15="Y",BN15="Y"),AND(BJ15&lt;&gt;"Y",BK15&lt;&gt;"Y",OR(BM15="Y",BN15="Y")))),"Y","N")</f>
        <v/>
      </c>
      <c r="BT15" s="10" t="n">
        <v>18</v>
      </c>
      <c r="BU15" s="13" t="n"/>
      <c r="BV15" s="13" t="n"/>
      <c r="BW15" s="13" t="n"/>
      <c r="BX15" s="13" t="n"/>
      <c r="BY15" s="13" t="n"/>
      <c r="BZ15" s="13" t="n"/>
      <c r="CA15" s="14" t="n"/>
      <c r="CB15" s="13" t="n"/>
      <c r="CC15" s="9" t="inlineStr">
        <is>
          <t>construction_type mapped from raw 'NC' to 'New Construction'</t>
        </is>
      </c>
      <c r="CD15" s="9" t="inlineStr">
        <is>
          <t>John Latham</t>
        </is>
      </c>
      <c r="CE15" s="9" t="inlineStr">
        <is>
          <t>(210) 354-3705</t>
        </is>
      </c>
      <c r="CF15" s="9" t="inlineStr">
        <is>
          <t>john@missiondg.com</t>
        </is>
      </c>
      <c r="CG15" s="9" t="inlineStr">
        <is>
          <t>Lana Wagner</t>
        </is>
      </c>
      <c r="CH15" s="9" t="inlineStr">
        <is>
          <t>(512) 353-5058</t>
        </is>
      </c>
    </row>
    <row r="16">
      <c r="A16" s="8" t="inlineStr">
        <is>
          <t>2025-03-10</t>
        </is>
      </c>
      <c r="B16" s="9" t="inlineStr">
        <is>
          <t>2025-03-10</t>
        </is>
      </c>
      <c r="C16" s="9" t="inlineStr">
        <is>
          <t>25406</t>
        </is>
      </c>
      <c r="D16" s="9" t="inlineStr">
        <is>
          <t>04475</t>
        </is>
      </c>
      <c r="E16" s="9" t="inlineStr">
        <is>
          <t>Fairlake Cove</t>
        </is>
      </c>
      <c r="F16" s="9" t="inlineStr">
        <is>
          <t>Houston</t>
        </is>
      </c>
      <c r="G16" s="9" t="inlineStr">
        <is>
          <t>Harris</t>
        </is>
      </c>
      <c r="H16" s="9" t="n">
        <v>6</v>
      </c>
      <c r="I16" s="9" t="inlineStr">
        <is>
          <t>11100 E FM 1960</t>
        </is>
      </c>
      <c r="J16" s="9" t="n">
        <v>77336</v>
      </c>
      <c r="K16" s="8" t="n">
        <v>45667</v>
      </c>
      <c r="L16" s="9" t="inlineStr">
        <is>
          <t>Active</t>
        </is>
      </c>
      <c r="M16" s="8" t="n">
        <v>45785</v>
      </c>
      <c r="N16" s="8" t="n"/>
      <c r="O16" s="8" t="n">
        <v>45671</v>
      </c>
      <c r="P16" s="8" t="n">
        <v>45851</v>
      </c>
      <c r="Q16" s="8" t="n"/>
      <c r="R16" s="9" t="inlineStr">
        <is>
          <t>Acq/Rehab</t>
        </is>
      </c>
      <c r="S16" s="9" t="inlineStr">
        <is>
          <t>General</t>
        </is>
      </c>
      <c r="T16" s="10" t="n">
        <v>200</v>
      </c>
      <c r="U16" s="10" t="n">
        <v>200</v>
      </c>
      <c r="V16" s="9" t="n"/>
      <c r="W16" s="9" t="n"/>
      <c r="X16" s="9" t="inlineStr">
        <is>
          <t>HHA Fountainview PFC</t>
        </is>
      </c>
      <c r="Y16" s="9" t="inlineStr">
        <is>
          <t>Other</t>
        </is>
      </c>
      <c r="Z16" s="11" t="n">
        <v>40000000</v>
      </c>
      <c r="AA16" s="11" t="n"/>
      <c r="AB16" s="11" t="n">
        <v>1686761</v>
      </c>
      <c r="AC16" s="11" t="n"/>
      <c r="AD16" s="11" t="n"/>
      <c r="AE16" s="11" t="n"/>
      <c r="AF16" s="9" t="inlineStr">
        <is>
          <t>N</t>
        </is>
      </c>
      <c r="AG16" s="9" t="inlineStr">
        <is>
          <t>Y</t>
        </is>
      </c>
      <c r="AH16" s="9" t="inlineStr">
        <is>
          <t>Y</t>
        </is>
      </c>
      <c r="AI16" s="9" t="n"/>
      <c r="AJ16" s="8" t="n"/>
      <c r="AK16" s="9" t="n"/>
      <c r="AL16" s="9" t="n"/>
      <c r="AM16" s="9" t="n"/>
      <c r="AN16" s="9" t="n"/>
      <c r="AO16" s="9" t="n"/>
      <c r="AP16" s="9" t="n"/>
      <c r="AQ16" s="9" t="n"/>
      <c r="AR16" s="9" t="n"/>
      <c r="AS16" s="9" t="n"/>
      <c r="AT16" s="8" t="n"/>
      <c r="AU16" s="8" t="n"/>
      <c r="AV16" s="9" t="n"/>
      <c r="AW16" s="8" t="n"/>
      <c r="AX16" s="9" t="n"/>
      <c r="AY16" s="9" t="n"/>
      <c r="AZ16" s="9" t="n"/>
      <c r="BA16" s="9" t="n"/>
      <c r="BB16" s="9" t="n"/>
      <c r="BC16" s="9" t="n"/>
      <c r="BD16" s="9" t="n"/>
      <c r="BE16" s="9" t="n"/>
      <c r="BF16" s="9" t="n"/>
      <c r="BG16" s="9" t="n"/>
      <c r="BH16" s="9" t="n"/>
      <c r="BI16" s="9" t="n"/>
      <c r="BJ16" s="9" t="n"/>
      <c r="BK16" s="9" t="n"/>
      <c r="BL16" s="9" t="n"/>
      <c r="BM16" s="9" t="n"/>
      <c r="BN16" s="9" t="n"/>
      <c r="BO16" s="8" t="n">
        <v>45667</v>
      </c>
      <c r="BP16" s="9" t="inlineStr">
        <is>
          <t>Y</t>
        </is>
      </c>
      <c r="BQ16" s="9" t="inlineStr">
        <is>
          <t>N</t>
        </is>
      </c>
      <c r="BR16" s="12">
        <f>IF(AND(AI16="Y",AK16="Y",AL16="Y",AM16="Y",AY16="Y",AZ16="Y",BA16="Y",BB16="Y",BC16="Y",BE16&lt;&gt;"Y",AX16&lt;&gt;"Y",BL16&lt;&gt;"Y",IF(AS16="Y",AV16="Y",TRUE)),"Y","N")</f>
        <v/>
      </c>
      <c r="BS16" s="12">
        <f>IF(AND(BR16="Y",OR(AND(BJ16="Y",BM16="Y"),AND(BK16="Y",BN16="Y"),AND(BJ16&lt;&gt;"Y",BK16&lt;&gt;"Y",OR(BM16="Y",BN16="Y")))),"Y","N")</f>
        <v/>
      </c>
      <c r="BT16" s="10" t="n">
        <v>15</v>
      </c>
      <c r="BU16" s="13" t="n"/>
      <c r="BV16" s="13" t="n"/>
      <c r="BW16" s="13" t="n"/>
      <c r="BX16" s="13" t="n"/>
      <c r="BY16" s="13" t="n"/>
      <c r="BZ16" s="13" t="n"/>
      <c r="CA16" s="14" t="n"/>
      <c r="CB16" s="13" t="n"/>
      <c r="CC16" s="9" t="n"/>
      <c r="CD16" s="9" t="inlineStr">
        <is>
          <t>Brad Fisher</t>
        </is>
      </c>
      <c r="CE16" s="9" t="inlineStr">
        <is>
          <t>(913) 787-1676</t>
        </is>
      </c>
      <c r="CF16" s="9" t="inlineStr">
        <is>
          <t>bfisher@aprilhousing.com</t>
        </is>
      </c>
      <c r="CG16" s="9" t="inlineStr">
        <is>
          <t>Jennine Hovell-Cox</t>
        </is>
      </c>
      <c r="CH16" s="9" t="inlineStr">
        <is>
          <t>(713) 260-0501</t>
        </is>
      </c>
    </row>
    <row r="17">
      <c r="A17" s="8" t="inlineStr">
        <is>
          <t>2025-03-10</t>
        </is>
      </c>
      <c r="B17" s="9" t="inlineStr">
        <is>
          <t>2025-03-10</t>
        </is>
      </c>
      <c r="C17" s="9" t="inlineStr">
        <is>
          <t>25436</t>
        </is>
      </c>
      <c r="D17" s="9" t="n"/>
      <c r="E17" s="9" t="inlineStr">
        <is>
          <t>Jackson Apartments</t>
        </is>
      </c>
      <c r="F17" s="9" t="inlineStr">
        <is>
          <t>McAllen</t>
        </is>
      </c>
      <c r="G17" s="9" t="inlineStr">
        <is>
          <t>Hidalgo</t>
        </is>
      </c>
      <c r="H17" s="9" t="n">
        <v>11</v>
      </c>
      <c r="I17" s="9" t="inlineStr">
        <is>
          <t>2200 W Jackson Avenue</t>
        </is>
      </c>
      <c r="J17" s="9" t="n">
        <v>78503</v>
      </c>
      <c r="K17" s="8" t="n">
        <v>45667</v>
      </c>
      <c r="L17" s="9" t="inlineStr">
        <is>
          <t>Active</t>
        </is>
      </c>
      <c r="M17" s="8" t="n">
        <v>45820</v>
      </c>
      <c r="N17" s="8" t="n"/>
      <c r="O17" s="8" t="n">
        <v>45670</v>
      </c>
      <c r="P17" s="8" t="n">
        <v>45850</v>
      </c>
      <c r="Q17" s="8" t="n"/>
      <c r="R17" s="9" t="inlineStr">
        <is>
          <t>New Construction</t>
        </is>
      </c>
      <c r="S17" s="9" t="inlineStr">
        <is>
          <t>General</t>
        </is>
      </c>
      <c r="T17" s="10" t="n">
        <v>88</v>
      </c>
      <c r="U17" s="10" t="n">
        <v>88</v>
      </c>
      <c r="V17" s="9" t="n"/>
      <c r="W17" s="9" t="n"/>
      <c r="X17" s="9" t="inlineStr">
        <is>
          <t>Texas Home Collaborative</t>
        </is>
      </c>
      <c r="Y17" s="9" t="inlineStr">
        <is>
          <t>Other</t>
        </is>
      </c>
      <c r="Z17" s="11" t="n">
        <v>12000000</v>
      </c>
      <c r="AA17" s="11" t="n"/>
      <c r="AB17" s="11" t="n">
        <v>776722</v>
      </c>
      <c r="AC17" s="11" t="n"/>
      <c r="AD17" s="11" t="n"/>
      <c r="AE17" s="11" t="n"/>
      <c r="AF17" s="9" t="inlineStr">
        <is>
          <t>N</t>
        </is>
      </c>
      <c r="AG17" s="9" t="inlineStr">
        <is>
          <t>N</t>
        </is>
      </c>
      <c r="AH17" s="9" t="n"/>
      <c r="AI17" s="9" t="n"/>
      <c r="AJ17" s="8" t="n"/>
      <c r="AK17" s="9" t="n"/>
      <c r="AL17" s="9" t="n"/>
      <c r="AM17" s="9" t="n"/>
      <c r="AN17" s="9" t="n"/>
      <c r="AO17" s="9" t="n"/>
      <c r="AP17" s="9" t="n"/>
      <c r="AQ17" s="9" t="n"/>
      <c r="AR17" s="9" t="n"/>
      <c r="AS17" s="9" t="n"/>
      <c r="AT17" s="8" t="n"/>
      <c r="AU17" s="8" t="n"/>
      <c r="AV17" s="9" t="n"/>
      <c r="AW17" s="8" t="n"/>
      <c r="AX17" s="9" t="n"/>
      <c r="AY17" s="9" t="n"/>
      <c r="AZ17" s="9" t="n"/>
      <c r="BA17" s="9" t="n"/>
      <c r="BB17" s="9" t="n"/>
      <c r="BC17" s="9" t="n"/>
      <c r="BD17" s="9" t="n"/>
      <c r="BE17" s="9" t="n"/>
      <c r="BF17" s="9" t="n"/>
      <c r="BG17" s="9" t="n"/>
      <c r="BH17" s="9" t="n"/>
      <c r="BI17" s="9" t="n"/>
      <c r="BJ17" s="9" t="n"/>
      <c r="BK17" s="9" t="n"/>
      <c r="BL17" s="9" t="n"/>
      <c r="BM17" s="9" t="n"/>
      <c r="BN17" s="9" t="n"/>
      <c r="BO17" s="8" t="n">
        <v>45667</v>
      </c>
      <c r="BP17" s="9" t="inlineStr">
        <is>
          <t>Y</t>
        </is>
      </c>
      <c r="BQ17" s="9" t="inlineStr">
        <is>
          <t>N</t>
        </is>
      </c>
      <c r="BR17" s="12">
        <f>IF(AND(AI17="Y",AK17="Y",AL17="Y",AM17="Y",AY17="Y",AZ17="Y",BA17="Y",BB17="Y",BC17="Y",BE17&lt;&gt;"Y",AX17&lt;&gt;"Y",BL17&lt;&gt;"Y",IF(AS17="Y",AV17="Y",TRUE)),"Y","N")</f>
        <v/>
      </c>
      <c r="BS17" s="12">
        <f>IF(AND(BR17="Y",OR(AND(BJ17="Y",BM17="Y"),AND(BK17="Y",BN17="Y"),AND(BJ17&lt;&gt;"Y",BK17&lt;&gt;"Y",OR(BM17="Y",BN17="Y")))),"Y","N")</f>
        <v/>
      </c>
      <c r="BT17" s="10" t="n">
        <v>17</v>
      </c>
      <c r="BU17" s="13" t="n"/>
      <c r="BV17" s="13" t="n"/>
      <c r="BW17" s="13" t="n"/>
      <c r="BX17" s="13" t="n"/>
      <c r="BY17" s="13" t="n"/>
      <c r="BZ17" s="13" t="n"/>
      <c r="CA17" s="14" t="n"/>
      <c r="CB17" s="13" t="n"/>
      <c r="CC17" s="9" t="inlineStr">
        <is>
          <t>construction_type mapped from raw 'NC' to 'New Construction'</t>
        </is>
      </c>
      <c r="CD17" s="9" t="inlineStr">
        <is>
          <t>Melissa Fisher</t>
        </is>
      </c>
      <c r="CE17" s="9" t="inlineStr">
        <is>
          <t>(972) 701-5555</t>
        </is>
      </c>
      <c r="CF17" s="9" t="inlineStr">
        <is>
          <t>mfisher@rise-residential.com</t>
        </is>
      </c>
      <c r="CG17" s="9" t="inlineStr">
        <is>
          <t>Antonio Williams</t>
        </is>
      </c>
      <c r="CH17" s="9" t="inlineStr">
        <is>
          <t>(903) 276-7557</t>
        </is>
      </c>
    </row>
    <row r="18">
      <c r="A18" s="8" t="inlineStr">
        <is>
          <t>2025-03-10</t>
        </is>
      </c>
      <c r="B18" s="9" t="inlineStr">
        <is>
          <t>2025-03-10</t>
        </is>
      </c>
      <c r="C18" s="9" t="inlineStr">
        <is>
          <t>25405</t>
        </is>
      </c>
      <c r="D18" s="9" t="n"/>
      <c r="E18" s="9" t="inlineStr">
        <is>
          <t>HiLine Illinois</t>
        </is>
      </c>
      <c r="F18" s="9" t="inlineStr">
        <is>
          <t>Dallas</t>
        </is>
      </c>
      <c r="G18" s="9" t="inlineStr">
        <is>
          <t>Dallas</t>
        </is>
      </c>
      <c r="H18" s="9" t="n">
        <v>3</v>
      </c>
      <c r="I18" s="9" t="inlineStr">
        <is>
          <t>4710 W Illinois Avenue</t>
        </is>
      </c>
      <c r="J18" s="9" t="n">
        <v>75211</v>
      </c>
      <c r="K18" s="8" t="n">
        <v>45667</v>
      </c>
      <c r="L18" s="9" t="inlineStr">
        <is>
          <t>Active</t>
        </is>
      </c>
      <c r="M18" s="8" t="n">
        <v>45785</v>
      </c>
      <c r="N18" s="8" t="n"/>
      <c r="O18" s="8" t="n">
        <v>45672</v>
      </c>
      <c r="P18" s="8" t="n">
        <v>45852</v>
      </c>
      <c r="Q18" s="8" t="n"/>
      <c r="R18" s="9" t="inlineStr">
        <is>
          <t>New Construction</t>
        </is>
      </c>
      <c r="S18" s="9" t="inlineStr">
        <is>
          <t>General</t>
        </is>
      </c>
      <c r="T18" s="10" t="n">
        <v>200</v>
      </c>
      <c r="U18" s="10" t="n">
        <v>200</v>
      </c>
      <c r="V18" s="9" t="n"/>
      <c r="W18" s="9" t="n"/>
      <c r="X18" s="9" t="inlineStr">
        <is>
          <t>Dallas HFC</t>
        </is>
      </c>
      <c r="Y18" s="9" t="inlineStr">
        <is>
          <t>Local HFC</t>
        </is>
      </c>
      <c r="Z18" s="11" t="n">
        <v>35000000</v>
      </c>
      <c r="AA18" s="11" t="n"/>
      <c r="AB18" s="11" t="n">
        <v>2784011</v>
      </c>
      <c r="AC18" s="11" t="n"/>
      <c r="AD18" s="11" t="n"/>
      <c r="AE18" s="11" t="n"/>
      <c r="AF18" s="9" t="inlineStr">
        <is>
          <t>N</t>
        </is>
      </c>
      <c r="AG18" s="9" t="inlineStr">
        <is>
          <t>Y</t>
        </is>
      </c>
      <c r="AH18" s="9" t="n"/>
      <c r="AI18" s="9" t="n"/>
      <c r="AJ18" s="8" t="n"/>
      <c r="AK18" s="9" t="n"/>
      <c r="AL18" s="9" t="n"/>
      <c r="AM18" s="9" t="n"/>
      <c r="AN18" s="9" t="n"/>
      <c r="AO18" s="9" t="n"/>
      <c r="AP18" s="9" t="n"/>
      <c r="AQ18" s="9" t="n"/>
      <c r="AR18" s="9" t="n"/>
      <c r="AS18" s="9" t="n"/>
      <c r="AT18" s="8" t="n"/>
      <c r="AU18" s="8" t="n"/>
      <c r="AV18" s="9" t="n"/>
      <c r="AW18" s="8" t="n"/>
      <c r="AX18" s="9" t="n"/>
      <c r="AY18" s="9" t="n"/>
      <c r="AZ18" s="9" t="n"/>
      <c r="BA18" s="9" t="n"/>
      <c r="BB18" s="9" t="n"/>
      <c r="BC18" s="9" t="n"/>
      <c r="BD18" s="9" t="n"/>
      <c r="BE18" s="9" t="n"/>
      <c r="BF18" s="9" t="n"/>
      <c r="BG18" s="9" t="n"/>
      <c r="BH18" s="9" t="n"/>
      <c r="BI18" s="9" t="n"/>
      <c r="BJ18" s="9" t="n"/>
      <c r="BK18" s="9" t="n"/>
      <c r="BL18" s="9" t="n"/>
      <c r="BM18" s="9" t="n"/>
      <c r="BN18" s="9" t="n"/>
      <c r="BO18" s="8" t="n">
        <v>45667</v>
      </c>
      <c r="BP18" s="9" t="inlineStr">
        <is>
          <t>Y</t>
        </is>
      </c>
      <c r="BQ18" s="9" t="inlineStr">
        <is>
          <t>N</t>
        </is>
      </c>
      <c r="BR18" s="12">
        <f>IF(AND(AI18="Y",AK18="Y",AL18="Y",AM18="Y",AY18="Y",AZ18="Y",BA18="Y",BB18="Y",BC18="Y",BE18&lt;&gt;"Y",AX18&lt;&gt;"Y",BL18&lt;&gt;"Y",IF(AS18="Y",AV18="Y",TRUE)),"Y","N")</f>
        <v/>
      </c>
      <c r="BS18" s="12">
        <f>IF(AND(BR18="Y",OR(AND(BJ18="Y",BM18="Y"),AND(BK18="Y",BN18="Y"),AND(BJ18&lt;&gt;"Y",BK18&lt;&gt;"Y",OR(BM18="Y",BN18="Y")))),"Y","N")</f>
        <v/>
      </c>
      <c r="BT18" s="10" t="n">
        <v>14</v>
      </c>
      <c r="BU18" s="13" t="n"/>
      <c r="BV18" s="13" t="n"/>
      <c r="BW18" s="13" t="n"/>
      <c r="BX18" s="13" t="n"/>
      <c r="BY18" s="13" t="n"/>
      <c r="BZ18" s="13" t="n"/>
      <c r="CA18" s="14" t="n"/>
      <c r="CB18" s="13" t="n"/>
      <c r="CC18" s="9" t="inlineStr">
        <is>
          <t>construction_type mapped from raw 'NC' to 'New Construction'</t>
        </is>
      </c>
      <c r="CD18" s="9" t="inlineStr">
        <is>
          <t>Adrian Iglesias</t>
        </is>
      </c>
      <c r="CE18" s="9" t="inlineStr">
        <is>
          <t>(214)613-6569</t>
        </is>
      </c>
      <c r="CF18" s="9" t="inlineStr">
        <is>
          <t>aiglesias@ghdevelopment.com</t>
        </is>
      </c>
      <c r="CG18" s="9" t="inlineStr">
        <is>
          <t>Aaron Eaquinto</t>
        </is>
      </c>
      <c r="CH18" s="9" t="inlineStr">
        <is>
          <t>(214) 670-4941</t>
        </is>
      </c>
    </row>
    <row r="19">
      <c r="A19" s="8" t="inlineStr">
        <is>
          <t>2025-03-10</t>
        </is>
      </c>
      <c r="B19" s="9" t="inlineStr">
        <is>
          <t>2025-03-10</t>
        </is>
      </c>
      <c r="C19" s="9" t="inlineStr">
        <is>
          <t>25413</t>
        </is>
      </c>
      <c r="D19" s="9" t="n"/>
      <c r="E19" s="9" t="inlineStr">
        <is>
          <t>Sunflower Terrace</t>
        </is>
      </c>
      <c r="F19" s="9" t="inlineStr">
        <is>
          <t>Houston</t>
        </is>
      </c>
      <c r="G19" s="9" t="inlineStr">
        <is>
          <t>Harris</t>
        </is>
      </c>
      <c r="H19" s="9" t="n">
        <v>6</v>
      </c>
      <c r="I19" s="9" t="inlineStr">
        <is>
          <t>5050 Sunflower Street</t>
        </is>
      </c>
      <c r="J19" s="9" t="n">
        <v>77033</v>
      </c>
      <c r="K19" s="8" t="n">
        <v>45667</v>
      </c>
      <c r="L19" s="9" t="inlineStr">
        <is>
          <t>Active</t>
        </is>
      </c>
      <c r="M19" s="8" t="n">
        <v>45757</v>
      </c>
      <c r="N19" s="8" t="n"/>
      <c r="O19" s="8" t="n">
        <v>45671</v>
      </c>
      <c r="P19" s="8" t="n">
        <v>45851</v>
      </c>
      <c r="Q19" s="8" t="n"/>
      <c r="R19" s="9" t="inlineStr">
        <is>
          <t>Acq/Rehab</t>
        </is>
      </c>
      <c r="S19" s="9" t="inlineStr">
        <is>
          <t>General</t>
        </is>
      </c>
      <c r="T19" s="10" t="n">
        <v>160</v>
      </c>
      <c r="U19" s="10" t="n">
        <v>160</v>
      </c>
      <c r="V19" s="9" t="n"/>
      <c r="W19" s="9" t="n"/>
      <c r="X19" s="9" t="inlineStr">
        <is>
          <t>Houston HFC</t>
        </is>
      </c>
      <c r="Y19" s="9" t="inlineStr">
        <is>
          <t>Local HFC</t>
        </is>
      </c>
      <c r="Z19" s="11" t="n">
        <v>28000000</v>
      </c>
      <c r="AA19" s="11" t="n"/>
      <c r="AB19" s="11" t="n">
        <v>1996896</v>
      </c>
      <c r="AC19" s="11" t="n"/>
      <c r="AD19" s="11" t="n"/>
      <c r="AE19" s="11" t="n"/>
      <c r="AF19" s="9" t="inlineStr">
        <is>
          <t>N</t>
        </is>
      </c>
      <c r="AG19" s="9" t="inlineStr">
        <is>
          <t>Y</t>
        </is>
      </c>
      <c r="AH19" s="9" t="n"/>
      <c r="AI19" s="9" t="n"/>
      <c r="AJ19" s="8" t="n"/>
      <c r="AK19" s="9" t="n"/>
      <c r="AL19" s="9" t="n"/>
      <c r="AM19" s="9" t="n"/>
      <c r="AN19" s="9" t="n"/>
      <c r="AO19" s="9" t="n"/>
      <c r="AP19" s="9" t="n"/>
      <c r="AQ19" s="9" t="n"/>
      <c r="AR19" s="9" t="n"/>
      <c r="AS19" s="9" t="n"/>
      <c r="AT19" s="8" t="n"/>
      <c r="AU19" s="8" t="n"/>
      <c r="AV19" s="9" t="n"/>
      <c r="AW19" s="8" t="n"/>
      <c r="AX19" s="9" t="n"/>
      <c r="AY19" s="9" t="n"/>
      <c r="AZ19" s="9" t="n"/>
      <c r="BA19" s="9" t="n"/>
      <c r="BB19" s="9" t="n"/>
      <c r="BC19" s="9" t="n"/>
      <c r="BD19" s="9" t="n"/>
      <c r="BE19" s="9" t="n"/>
      <c r="BF19" s="9" t="n"/>
      <c r="BG19" s="9" t="n"/>
      <c r="BH19" s="9" t="n"/>
      <c r="BI19" s="9" t="n"/>
      <c r="BJ19" s="9" t="n"/>
      <c r="BK19" s="9" t="n"/>
      <c r="BL19" s="9" t="n"/>
      <c r="BM19" s="9" t="n"/>
      <c r="BN19" s="9" t="n"/>
      <c r="BO19" s="8" t="n">
        <v>45667</v>
      </c>
      <c r="BP19" s="9" t="inlineStr">
        <is>
          <t>Y</t>
        </is>
      </c>
      <c r="BQ19" s="9" t="inlineStr">
        <is>
          <t>N</t>
        </is>
      </c>
      <c r="BR19" s="12">
        <f>IF(AND(AI19="Y",AK19="Y",AL19="Y",AM19="Y",AY19="Y",AZ19="Y",BA19="Y",BB19="Y",BC19="Y",BE19&lt;&gt;"Y",AX19&lt;&gt;"Y",BL19&lt;&gt;"Y",IF(AS19="Y",AV19="Y",TRUE)),"Y","N")</f>
        <v/>
      </c>
      <c r="BS19" s="12">
        <f>IF(AND(BR19="Y",OR(AND(BJ19="Y",BM19="Y"),AND(BK19="Y",BN19="Y"),AND(BJ19&lt;&gt;"Y",BK19&lt;&gt;"Y",OR(BM19="Y",BN19="Y")))),"Y","N")</f>
        <v/>
      </c>
      <c r="BT19" s="10" t="n">
        <v>16</v>
      </c>
      <c r="BU19" s="13" t="n"/>
      <c r="BV19" s="13" t="n"/>
      <c r="BW19" s="13" t="n"/>
      <c r="BX19" s="13" t="n"/>
      <c r="BY19" s="13" t="n"/>
      <c r="BZ19" s="13" t="n"/>
      <c r="CA19" s="14" t="n"/>
      <c r="CB19" s="13" t="n"/>
      <c r="CC19" s="9" t="n"/>
      <c r="CD19" s="9" t="inlineStr">
        <is>
          <t>Allan Izzo</t>
        </is>
      </c>
      <c r="CE19" s="9" t="inlineStr">
        <is>
          <t>(646) 825-7106</t>
        </is>
      </c>
      <c r="CF19" s="9" t="inlineStr">
        <is>
          <t>allan.izzo@fairstead.com</t>
        </is>
      </c>
      <c r="CG19" s="9" t="inlineStr">
        <is>
          <t>Richard Mudd, Sr.</t>
        </is>
      </c>
      <c r="CH19" s="9" t="inlineStr">
        <is>
          <t>(713) 461-2749</t>
        </is>
      </c>
    </row>
    <row r="20">
      <c r="A20" s="8" t="inlineStr">
        <is>
          <t>2025-03-10</t>
        </is>
      </c>
      <c r="B20" s="9" t="inlineStr">
        <is>
          <t>2025-03-10</t>
        </is>
      </c>
      <c r="C20" s="9" t="inlineStr">
        <is>
          <t>25439</t>
        </is>
      </c>
      <c r="D20" s="9" t="n">
        <v>95157</v>
      </c>
      <c r="E20" s="9" t="inlineStr">
        <is>
          <t>Pleasant Hill Village</t>
        </is>
      </c>
      <c r="F20" s="9" t="inlineStr">
        <is>
          <t>Houston</t>
        </is>
      </c>
      <c r="G20" s="9" t="inlineStr">
        <is>
          <t>Harris</t>
        </is>
      </c>
      <c r="H20" s="9" t="n">
        <v>6</v>
      </c>
      <c r="I20" s="9" t="inlineStr">
        <is>
          <t>3814 Lyons Avenue</t>
        </is>
      </c>
      <c r="J20" s="9" t="n">
        <v>77020</v>
      </c>
      <c r="K20" s="8" t="n">
        <v>45670</v>
      </c>
      <c r="L20" s="9" t="inlineStr">
        <is>
          <t>Active</t>
        </is>
      </c>
      <c r="M20" s="8" t="n">
        <v>45820</v>
      </c>
      <c r="N20" s="8" t="n"/>
      <c r="O20" s="8" t="n">
        <v>45671</v>
      </c>
      <c r="P20" s="8" t="n">
        <v>45851</v>
      </c>
      <c r="Q20" s="8" t="n"/>
      <c r="R20" s="9" t="inlineStr">
        <is>
          <t>Acq/Rehab</t>
        </is>
      </c>
      <c r="S20" s="9" t="inlineStr">
        <is>
          <t>Elderly</t>
        </is>
      </c>
      <c r="T20" s="10" t="n">
        <v>165</v>
      </c>
      <c r="U20" s="10" t="n">
        <v>165</v>
      </c>
      <c r="V20" s="9" t="n"/>
      <c r="W20" s="9" t="n"/>
      <c r="X20" s="9" t="inlineStr">
        <is>
          <t>HHA Fountainview PFC</t>
        </is>
      </c>
      <c r="Y20" s="9" t="inlineStr">
        <is>
          <t>Other</t>
        </is>
      </c>
      <c r="Z20" s="11" t="n">
        <v>20000000</v>
      </c>
      <c r="AA20" s="11" t="n"/>
      <c r="AB20" s="11" t="n">
        <v>1081545</v>
      </c>
      <c r="AC20" s="11" t="n"/>
      <c r="AD20" s="11" t="n"/>
      <c r="AE20" s="11" t="n"/>
      <c r="AF20" s="9" t="inlineStr">
        <is>
          <t>N</t>
        </is>
      </c>
      <c r="AG20" s="9" t="inlineStr">
        <is>
          <t>Y</t>
        </is>
      </c>
      <c r="AH20" s="9" t="inlineStr">
        <is>
          <t>Y</t>
        </is>
      </c>
      <c r="AI20" s="9" t="n"/>
      <c r="AJ20" s="8" t="n"/>
      <c r="AK20" s="9" t="n"/>
      <c r="AL20" s="9" t="n"/>
      <c r="AM20" s="9" t="n"/>
      <c r="AN20" s="9" t="n"/>
      <c r="AO20" s="9" t="n"/>
      <c r="AP20" s="9" t="n"/>
      <c r="AQ20" s="9" t="n"/>
      <c r="AR20" s="9" t="n"/>
      <c r="AS20" s="9" t="n"/>
      <c r="AT20" s="8" t="n"/>
      <c r="AU20" s="8" t="n"/>
      <c r="AV20" s="9" t="n"/>
      <c r="AW20" s="8" t="n"/>
      <c r="AX20" s="9" t="n"/>
      <c r="AY20" s="9" t="n"/>
      <c r="AZ20" s="9" t="n"/>
      <c r="BA20" s="9" t="n"/>
      <c r="BB20" s="9" t="n"/>
      <c r="BC20" s="9" t="n"/>
      <c r="BD20" s="9" t="n"/>
      <c r="BE20" s="9" t="n"/>
      <c r="BF20" s="9" t="n"/>
      <c r="BG20" s="9" t="n"/>
      <c r="BH20" s="9" t="n"/>
      <c r="BI20" s="9" t="n"/>
      <c r="BJ20" s="9" t="n"/>
      <c r="BK20" s="9" t="n"/>
      <c r="BL20" s="9" t="n"/>
      <c r="BM20" s="9" t="n"/>
      <c r="BN20" s="9" t="n"/>
      <c r="BO20" s="8" t="n">
        <v>45670</v>
      </c>
      <c r="BP20" s="9" t="inlineStr">
        <is>
          <t>Y</t>
        </is>
      </c>
      <c r="BQ20" s="9" t="inlineStr">
        <is>
          <t>N</t>
        </is>
      </c>
      <c r="BR20" s="12">
        <f>IF(AND(AI20="Y",AK20="Y",AL20="Y",AM20="Y",AY20="Y",AZ20="Y",BA20="Y",BB20="Y",BC20="Y",BE20&lt;&gt;"Y",AX20&lt;&gt;"Y",BL20&lt;&gt;"Y",IF(AS20="Y",AV20="Y",TRUE)),"Y","N")</f>
        <v/>
      </c>
      <c r="BS20" s="12">
        <f>IF(AND(BR20="Y",OR(AND(BJ20="Y",BM20="Y"),AND(BK20="Y",BN20="Y"),AND(BJ20&lt;&gt;"Y",BK20&lt;&gt;"Y",OR(BM20="Y",BN20="Y")))),"Y","N")</f>
        <v/>
      </c>
      <c r="BT20" s="10" t="n">
        <v>24</v>
      </c>
      <c r="BU20" s="13" t="n"/>
      <c r="BV20" s="13" t="n"/>
      <c r="BW20" s="13" t="n"/>
      <c r="BX20" s="13" t="n"/>
      <c r="BY20" s="13" t="n"/>
      <c r="BZ20" s="13" t="n"/>
      <c r="CA20" s="14" t="n"/>
      <c r="CB20" s="13" t="n"/>
      <c r="CC20" s="9" t="n"/>
      <c r="CD20" s="9" t="inlineStr">
        <is>
          <t>Harvey Clemons, Jr.</t>
        </is>
      </c>
      <c r="CE20" s="9" t="inlineStr">
        <is>
          <t>(713) 224-0052</t>
        </is>
      </c>
      <c r="CF20" s="9" t="inlineStr">
        <is>
          <t>hclemons@aol.com</t>
        </is>
      </c>
      <c r="CG20" s="9" t="inlineStr">
        <is>
          <t>David Northern, Sr.</t>
        </is>
      </c>
      <c r="CH20" s="9" t="inlineStr">
        <is>
          <t>(713) 260-0522</t>
        </is>
      </c>
    </row>
    <row r="21">
      <c r="A21" s="8" t="inlineStr">
        <is>
          <t>2025-03-10</t>
        </is>
      </c>
      <c r="B21" s="9" t="inlineStr">
        <is>
          <t>2025-03-10</t>
        </is>
      </c>
      <c r="C21" s="9" t="inlineStr">
        <is>
          <t>25437</t>
        </is>
      </c>
      <c r="D21" s="9" t="n"/>
      <c r="E21" s="9" t="inlineStr">
        <is>
          <t>Manor Apartments</t>
        </is>
      </c>
      <c r="F21" s="9" t="inlineStr">
        <is>
          <t>Austin</t>
        </is>
      </c>
      <c r="G21" s="9" t="inlineStr">
        <is>
          <t>Travis</t>
        </is>
      </c>
      <c r="H21" s="9" t="n">
        <v>7</v>
      </c>
      <c r="I21" s="9" t="inlineStr">
        <is>
          <t>6705 Manor Road</t>
        </is>
      </c>
      <c r="J21" s="9" t="n">
        <v>78723</v>
      </c>
      <c r="K21" s="8" t="n">
        <v>45670</v>
      </c>
      <c r="L21" s="9" t="inlineStr">
        <is>
          <t>Active</t>
        </is>
      </c>
      <c r="M21" s="8" t="n">
        <v>45785</v>
      </c>
      <c r="N21" s="8" t="n"/>
      <c r="O21" s="8" t="n">
        <v>45671</v>
      </c>
      <c r="P21" s="8" t="n">
        <v>45851</v>
      </c>
      <c r="Q21" s="8" t="n"/>
      <c r="R21" s="9" t="inlineStr">
        <is>
          <t>New Construction</t>
        </is>
      </c>
      <c r="S21" s="9" t="inlineStr">
        <is>
          <t>General</t>
        </is>
      </c>
      <c r="T21" s="10" t="n">
        <v>181</v>
      </c>
      <c r="U21" s="10" t="n">
        <v>179</v>
      </c>
      <c r="V21" s="9" t="n"/>
      <c r="W21" s="9" t="n"/>
      <c r="X21" s="9" t="inlineStr">
        <is>
          <t>Travis County HFC</t>
        </is>
      </c>
      <c r="Y21" s="9" t="inlineStr">
        <is>
          <t>Local HFC</t>
        </is>
      </c>
      <c r="Z21" s="11" t="n">
        <v>35000000</v>
      </c>
      <c r="AA21" s="11" t="n"/>
      <c r="AB21" s="11" t="n">
        <v>2902773</v>
      </c>
      <c r="AC21" s="11" t="n"/>
      <c r="AD21" s="11" t="n"/>
      <c r="AE21" s="11" t="n"/>
      <c r="AF21" s="9" t="inlineStr">
        <is>
          <t>N</t>
        </is>
      </c>
      <c r="AG21" s="9" t="inlineStr">
        <is>
          <t>Y</t>
        </is>
      </c>
      <c r="AH21" s="9" t="n"/>
      <c r="AI21" s="9" t="n"/>
      <c r="AJ21" s="8" t="n"/>
      <c r="AK21" s="9" t="n"/>
      <c r="AL21" s="9" t="n"/>
      <c r="AM21" s="9" t="n"/>
      <c r="AN21" s="9" t="n"/>
      <c r="AO21" s="9" t="n"/>
      <c r="AP21" s="9" t="n"/>
      <c r="AQ21" s="9" t="n"/>
      <c r="AR21" s="9" t="n"/>
      <c r="AS21" s="9" t="n"/>
      <c r="AT21" s="8" t="n"/>
      <c r="AU21" s="8" t="n"/>
      <c r="AV21" s="9" t="n"/>
      <c r="AW21" s="8" t="n"/>
      <c r="AX21" s="9" t="n"/>
      <c r="AY21" s="9" t="n"/>
      <c r="AZ21" s="9" t="n"/>
      <c r="BA21" s="9" t="n"/>
      <c r="BB21" s="9" t="n"/>
      <c r="BC21" s="9" t="n"/>
      <c r="BD21" s="9" t="n"/>
      <c r="BE21" s="9" t="n"/>
      <c r="BF21" s="9" t="n"/>
      <c r="BG21" s="9" t="n"/>
      <c r="BH21" s="9" t="n"/>
      <c r="BI21" s="9" t="n"/>
      <c r="BJ21" s="9" t="n"/>
      <c r="BK21" s="9" t="n"/>
      <c r="BL21" s="9" t="n"/>
      <c r="BM21" s="9" t="n"/>
      <c r="BN21" s="9" t="n"/>
      <c r="BO21" s="8" t="n">
        <v>45670</v>
      </c>
      <c r="BP21" s="9" t="inlineStr">
        <is>
          <t>Y</t>
        </is>
      </c>
      <c r="BQ21" s="9" t="inlineStr">
        <is>
          <t>N</t>
        </is>
      </c>
      <c r="BR21" s="12">
        <f>IF(AND(AI21="Y",AK21="Y",AL21="Y",AM21="Y",AY21="Y",AZ21="Y",BA21="Y",BB21="Y",BC21="Y",BE21&lt;&gt;"Y",AX21&lt;&gt;"Y",BL21&lt;&gt;"Y",IF(AS21="Y",AV21="Y",TRUE)),"Y","N")</f>
        <v/>
      </c>
      <c r="BS21" s="12">
        <f>IF(AND(BR21="Y",OR(AND(BJ21="Y",BM21="Y"),AND(BK21="Y",BN21="Y"),AND(BJ21&lt;&gt;"Y",BK21&lt;&gt;"Y",OR(BM21="Y",BN21="Y")))),"Y","N")</f>
        <v/>
      </c>
      <c r="BT21" s="10" t="n">
        <v>22</v>
      </c>
      <c r="BU21" s="13" t="n"/>
      <c r="BV21" s="13" t="n"/>
      <c r="BW21" s="13" t="n"/>
      <c r="BX21" s="13" t="n"/>
      <c r="BY21" s="13" t="n"/>
      <c r="BZ21" s="13" t="n"/>
      <c r="CA21" s="14" t="n"/>
      <c r="CB21" s="13" t="n"/>
      <c r="CC21" s="9" t="inlineStr">
        <is>
          <t>construction_type mapped from raw 'NC' to 'New Construction'</t>
        </is>
      </c>
      <c r="CD21" s="9" t="inlineStr">
        <is>
          <t>Chad Baker</t>
        </is>
      </c>
      <c r="CE21" s="9" t="inlineStr">
        <is>
          <t>(214) 295-5645</t>
        </is>
      </c>
      <c r="CF21" s="9" t="inlineStr">
        <is>
          <t>cbaker@amtexhousing.com</t>
        </is>
      </c>
      <c r="CG21" s="9" t="inlineStr">
        <is>
          <t>Ana Everett</t>
        </is>
      </c>
      <c r="CH21" s="9" t="inlineStr">
        <is>
          <t>(512) 854-1745</t>
        </is>
      </c>
    </row>
    <row r="22">
      <c r="A22" s="8" t="inlineStr">
        <is>
          <t>2025-03-10</t>
        </is>
      </c>
      <c r="B22" s="9" t="inlineStr">
        <is>
          <t>2025-03-10</t>
        </is>
      </c>
      <c r="C22" s="9" t="inlineStr">
        <is>
          <t>25438</t>
        </is>
      </c>
      <c r="D22" s="9" t="n">
        <v>538613</v>
      </c>
      <c r="E22" s="9" t="inlineStr">
        <is>
          <t>Britton's Place</t>
        </is>
      </c>
      <c r="F22" s="9" t="inlineStr">
        <is>
          <t>Houston</t>
        </is>
      </c>
      <c r="G22" s="9" t="inlineStr">
        <is>
          <t>Harris</t>
        </is>
      </c>
      <c r="H22" s="9" t="n">
        <v>6</v>
      </c>
      <c r="I22" s="9" t="inlineStr">
        <is>
          <t>3730 Lyons Avenue</t>
        </is>
      </c>
      <c r="J22" s="9" t="n">
        <v>77020</v>
      </c>
      <c r="K22" s="8" t="n">
        <v>45670</v>
      </c>
      <c r="L22" s="9" t="inlineStr">
        <is>
          <t>Active</t>
        </is>
      </c>
      <c r="M22" s="8" t="n">
        <v>45820</v>
      </c>
      <c r="N22" s="8" t="n"/>
      <c r="O22" s="8" t="n">
        <v>45672</v>
      </c>
      <c r="P22" s="8" t="n">
        <v>45852</v>
      </c>
      <c r="Q22" s="8" t="n"/>
      <c r="R22" s="9" t="inlineStr">
        <is>
          <t>Acq/Rehab</t>
        </is>
      </c>
      <c r="S22" s="9" t="inlineStr">
        <is>
          <t>General</t>
        </is>
      </c>
      <c r="T22" s="10" t="n">
        <v>48</v>
      </c>
      <c r="U22" s="10" t="n">
        <v>48</v>
      </c>
      <c r="V22" s="9" t="n"/>
      <c r="W22" s="9" t="n"/>
      <c r="X22" s="9" t="inlineStr">
        <is>
          <t>HHA Fountainview PFC</t>
        </is>
      </c>
      <c r="Y22" s="9" t="inlineStr">
        <is>
          <t>Other</t>
        </is>
      </c>
      <c r="Z22" s="11" t="n">
        <v>20000000</v>
      </c>
      <c r="AA22" s="11" t="n"/>
      <c r="AB22" s="11" t="n">
        <v>425349</v>
      </c>
      <c r="AC22" s="11" t="n"/>
      <c r="AD22" s="11" t="n"/>
      <c r="AE22" s="11" t="n"/>
      <c r="AF22" s="9" t="inlineStr">
        <is>
          <t>N</t>
        </is>
      </c>
      <c r="AG22" s="9" t="inlineStr">
        <is>
          <t>Y</t>
        </is>
      </c>
      <c r="AH22" s="9" t="inlineStr">
        <is>
          <t>Y</t>
        </is>
      </c>
      <c r="AI22" s="9" t="n"/>
      <c r="AJ22" s="8" t="n"/>
      <c r="AK22" s="9" t="n"/>
      <c r="AL22" s="9" t="n"/>
      <c r="AM22" s="9" t="n"/>
      <c r="AN22" s="9" t="n"/>
      <c r="AO22" s="9" t="n"/>
      <c r="AP22" s="9" t="n"/>
      <c r="AQ22" s="9" t="n"/>
      <c r="AR22" s="9" t="n"/>
      <c r="AS22" s="9" t="n"/>
      <c r="AT22" s="8" t="n"/>
      <c r="AU22" s="8" t="n"/>
      <c r="AV22" s="9" t="n"/>
      <c r="AW22" s="8" t="n"/>
      <c r="AX22" s="9" t="n"/>
      <c r="AY22" s="9" t="n"/>
      <c r="AZ22" s="9" t="n"/>
      <c r="BA22" s="9" t="n"/>
      <c r="BB22" s="9" t="n"/>
      <c r="BC22" s="9" t="n"/>
      <c r="BD22" s="9" t="n"/>
      <c r="BE22" s="9" t="n"/>
      <c r="BF22" s="9" t="n"/>
      <c r="BG22" s="9" t="n"/>
      <c r="BH22" s="9" t="n"/>
      <c r="BI22" s="9" t="n"/>
      <c r="BJ22" s="9" t="n"/>
      <c r="BK22" s="9" t="n"/>
      <c r="BL22" s="9" t="n"/>
      <c r="BM22" s="9" t="n"/>
      <c r="BN22" s="9" t="n"/>
      <c r="BO22" s="8" t="n">
        <v>45670</v>
      </c>
      <c r="BP22" s="9" t="inlineStr">
        <is>
          <t>Y</t>
        </is>
      </c>
      <c r="BQ22" s="9" t="inlineStr">
        <is>
          <t>N</t>
        </is>
      </c>
      <c r="BR22" s="12">
        <f>IF(AND(AI22="Y",AK22="Y",AL22="Y",AM22="Y",AY22="Y",AZ22="Y",BA22="Y",BB22="Y",BC22="Y",BE22&lt;&gt;"Y",AX22&lt;&gt;"Y",BL22&lt;&gt;"Y",IF(AS22="Y",AV22="Y",TRUE)),"Y","N")</f>
        <v/>
      </c>
      <c r="BS22" s="12">
        <f>IF(AND(BR22="Y",OR(AND(BJ22="Y",BM22="Y"),AND(BK22="Y",BN22="Y"),AND(BJ22&lt;&gt;"Y",BK22&lt;&gt;"Y",OR(BM22="Y",BN22="Y")))),"Y","N")</f>
        <v/>
      </c>
      <c r="BT22" s="10" t="n">
        <v>23</v>
      </c>
      <c r="BU22" s="13" t="n"/>
      <c r="BV22" s="13" t="n"/>
      <c r="BW22" s="13" t="n"/>
      <c r="BX22" s="13" t="n"/>
      <c r="BY22" s="13" t="n"/>
      <c r="BZ22" s="13" t="n"/>
      <c r="CA22" s="14" t="n"/>
      <c r="CB22" s="13" t="n"/>
      <c r="CC22" s="9" t="n"/>
      <c r="CD22" s="9" t="inlineStr">
        <is>
          <t>Harvey Clemons, Jr.</t>
        </is>
      </c>
      <c r="CE22" s="9" t="inlineStr">
        <is>
          <t>(713) 224-0052</t>
        </is>
      </c>
      <c r="CF22" s="9" t="inlineStr">
        <is>
          <t>hclemons@aol.com</t>
        </is>
      </c>
      <c r="CG22" s="9" t="inlineStr">
        <is>
          <t>David Northern, Sr.</t>
        </is>
      </c>
      <c r="CH22" s="9" t="inlineStr">
        <is>
          <t>(713) 260-0522</t>
        </is>
      </c>
    </row>
    <row r="23">
      <c r="A23" s="8" t="inlineStr">
        <is>
          <t>2025-03-10</t>
        </is>
      </c>
      <c r="B23" s="9" t="inlineStr">
        <is>
          <t>2025-03-10</t>
        </is>
      </c>
      <c r="C23" s="9" t="inlineStr">
        <is>
          <t>25417</t>
        </is>
      </c>
      <c r="D23" s="9" t="n"/>
      <c r="E23" s="9" t="inlineStr">
        <is>
          <t>Reserve at Ella</t>
        </is>
      </c>
      <c r="F23" s="9" t="inlineStr">
        <is>
          <t>Houston</t>
        </is>
      </c>
      <c r="G23" s="9" t="inlineStr">
        <is>
          <t>Harris</t>
        </is>
      </c>
      <c r="H23" s="9" t="n">
        <v>6</v>
      </c>
      <c r="I23" s="9" t="inlineStr">
        <is>
          <t>867 Rushcreek Drive</t>
        </is>
      </c>
      <c r="J23" s="9" t="n">
        <v>77067</v>
      </c>
      <c r="K23" s="8" t="n">
        <v>45670</v>
      </c>
      <c r="L23" s="9" t="inlineStr">
        <is>
          <t>Active</t>
        </is>
      </c>
      <c r="M23" s="8" t="n">
        <v>45820</v>
      </c>
      <c r="N23" s="8" t="n"/>
      <c r="O23" s="8" t="n">
        <v>45671</v>
      </c>
      <c r="P23" s="8" t="n">
        <v>45851</v>
      </c>
      <c r="Q23" s="8" t="n"/>
      <c r="R23" s="9" t="inlineStr">
        <is>
          <t>New Construction</t>
        </is>
      </c>
      <c r="S23" s="9" t="inlineStr">
        <is>
          <t>General</t>
        </is>
      </c>
      <c r="T23" s="10" t="n">
        <v>344</v>
      </c>
      <c r="U23" s="10" t="n">
        <v>344</v>
      </c>
      <c r="V23" s="9" t="n"/>
      <c r="W23" s="9" t="n"/>
      <c r="X23" s="9" t="inlineStr">
        <is>
          <t>HHA Fountainview PFC</t>
        </is>
      </c>
      <c r="Y23" s="9" t="inlineStr">
        <is>
          <t>Other</t>
        </is>
      </c>
      <c r="Z23" s="11" t="n">
        <v>50000000</v>
      </c>
      <c r="AA23" s="11" t="n"/>
      <c r="AB23" s="11" t="n">
        <v>3405323</v>
      </c>
      <c r="AC23" s="11" t="n"/>
      <c r="AD23" s="11" t="n"/>
      <c r="AE23" s="11" t="n"/>
      <c r="AF23" s="9" t="inlineStr">
        <is>
          <t>N</t>
        </is>
      </c>
      <c r="AG23" s="9" t="inlineStr">
        <is>
          <t>Y</t>
        </is>
      </c>
      <c r="AH23" s="9" t="inlineStr">
        <is>
          <t>Y</t>
        </is>
      </c>
      <c r="AI23" s="9" t="n"/>
      <c r="AJ23" s="8" t="n"/>
      <c r="AK23" s="9" t="n"/>
      <c r="AL23" s="9" t="n"/>
      <c r="AM23" s="9" t="n"/>
      <c r="AN23" s="9" t="n"/>
      <c r="AO23" s="9" t="n"/>
      <c r="AP23" s="9" t="n"/>
      <c r="AQ23" s="9" t="n"/>
      <c r="AR23" s="9" t="n"/>
      <c r="AS23" s="9" t="n"/>
      <c r="AT23" s="8" t="n"/>
      <c r="AU23" s="8" t="n"/>
      <c r="AV23" s="9" t="n"/>
      <c r="AW23" s="8" t="n"/>
      <c r="AX23" s="9" t="n"/>
      <c r="AY23" s="9" t="n"/>
      <c r="AZ23" s="9" t="n"/>
      <c r="BA23" s="9" t="n"/>
      <c r="BB23" s="9" t="n"/>
      <c r="BC23" s="9" t="n"/>
      <c r="BD23" s="9" t="n"/>
      <c r="BE23" s="9" t="n"/>
      <c r="BF23" s="9" t="n"/>
      <c r="BG23" s="9" t="n"/>
      <c r="BH23" s="9" t="n"/>
      <c r="BI23" s="9" t="n"/>
      <c r="BJ23" s="9" t="n"/>
      <c r="BK23" s="9" t="n"/>
      <c r="BL23" s="9" t="n"/>
      <c r="BM23" s="9" t="n"/>
      <c r="BN23" s="9" t="n"/>
      <c r="BO23" s="8" t="n">
        <v>45670</v>
      </c>
      <c r="BP23" s="9" t="inlineStr">
        <is>
          <t>Y</t>
        </is>
      </c>
      <c r="BQ23" s="9" t="inlineStr">
        <is>
          <t>N</t>
        </is>
      </c>
      <c r="BR23" s="12">
        <f>IF(AND(AI23="Y",AK23="Y",AL23="Y",AM23="Y",AY23="Y",AZ23="Y",BA23="Y",BB23="Y",BC23="Y",BE23&lt;&gt;"Y",AX23&lt;&gt;"Y",BL23&lt;&gt;"Y",IF(AS23="Y",AV23="Y",TRUE)),"Y","N")</f>
        <v/>
      </c>
      <c r="BS23" s="12">
        <f>IF(AND(BR23="Y",OR(AND(BJ23="Y",BM23="Y"),AND(BK23="Y",BN23="Y"),AND(BJ23&lt;&gt;"Y",BK23&lt;&gt;"Y",OR(BM23="Y",BN23="Y")))),"Y","N")</f>
        <v/>
      </c>
      <c r="BT23" s="10" t="n">
        <v>21</v>
      </c>
      <c r="BU23" s="13" t="n"/>
      <c r="BV23" s="13" t="n"/>
      <c r="BW23" s="13" t="n"/>
      <c r="BX23" s="13" t="n"/>
      <c r="BY23" s="13" t="n"/>
      <c r="BZ23" s="13" t="n"/>
      <c r="CA23" s="14" t="n"/>
      <c r="CB23" s="13" t="n"/>
      <c r="CC23" s="9" t="inlineStr">
        <is>
          <t>construction_type mapped from raw 'NC' to 'New Construction'</t>
        </is>
      </c>
      <c r="CD23" s="9" t="inlineStr">
        <is>
          <t>Tony Ly</t>
        </is>
      </c>
      <c r="CE23" s="9" t="inlineStr">
        <is>
          <t>(713) 980-1622</t>
        </is>
      </c>
      <c r="CF23" s="9" t="inlineStr">
        <is>
          <t>tonyly@stoacapitalpartners.com</t>
        </is>
      </c>
      <c r="CG23" s="9" t="inlineStr">
        <is>
          <t>Bill Walter</t>
        </is>
      </c>
      <c r="CH23" s="9" t="inlineStr">
        <is>
          <t>(512) 684-3842</t>
        </is>
      </c>
    </row>
    <row r="24">
      <c r="A24" s="8" t="inlineStr">
        <is>
          <t>2025-03-10</t>
        </is>
      </c>
      <c r="B24" s="9" t="inlineStr">
        <is>
          <t>2025-03-10</t>
        </is>
      </c>
      <c r="C24" s="9" t="inlineStr">
        <is>
          <t>25404</t>
        </is>
      </c>
      <c r="D24" s="9" t="n"/>
      <c r="E24" s="9" t="inlineStr">
        <is>
          <t>Torrington Briarwood</t>
        </is>
      </c>
      <c r="F24" s="9" t="inlineStr">
        <is>
          <t>Mesquite</t>
        </is>
      </c>
      <c r="G24" s="9" t="inlineStr">
        <is>
          <t>Dallas</t>
        </is>
      </c>
      <c r="H24" s="9" t="n">
        <v>3</v>
      </c>
      <c r="I24" s="9" t="inlineStr">
        <is>
          <t>23701 Lyndon B Johnson Freeway</t>
        </is>
      </c>
      <c r="J24" s="9" t="n">
        <v>75149</v>
      </c>
      <c r="K24" s="8" t="n">
        <v>45670</v>
      </c>
      <c r="L24" s="9" t="inlineStr">
        <is>
          <t>Active</t>
        </is>
      </c>
      <c r="M24" s="8" t="n">
        <v>45785</v>
      </c>
      <c r="N24" s="8" t="n"/>
      <c r="O24" s="8" t="n">
        <v>45671</v>
      </c>
      <c r="P24" s="8" t="n">
        <v>45851</v>
      </c>
      <c r="Q24" s="8" t="n"/>
      <c r="R24" s="9" t="inlineStr">
        <is>
          <t>New Construction</t>
        </is>
      </c>
      <c r="S24" s="9" t="inlineStr">
        <is>
          <t>General</t>
        </is>
      </c>
      <c r="T24" s="10" t="n">
        <v>313</v>
      </c>
      <c r="U24" s="10" t="n">
        <v>313</v>
      </c>
      <c r="V24" s="9" t="n"/>
      <c r="W24" s="9" t="n"/>
      <c r="X24" s="9" t="inlineStr">
        <is>
          <t>The Mesquite HFC</t>
        </is>
      </c>
      <c r="Y24" s="9" t="inlineStr">
        <is>
          <t>Local HFC</t>
        </is>
      </c>
      <c r="Z24" s="11" t="n">
        <v>50000000</v>
      </c>
      <c r="AA24" s="11" t="n"/>
      <c r="AB24" s="11" t="n">
        <v>4371047</v>
      </c>
      <c r="AC24" s="11" t="n"/>
      <c r="AD24" s="11" t="n"/>
      <c r="AE24" s="11" t="n"/>
      <c r="AF24" s="9" t="inlineStr">
        <is>
          <t>N</t>
        </is>
      </c>
      <c r="AG24" s="9" t="inlineStr">
        <is>
          <t>Y</t>
        </is>
      </c>
      <c r="AH24" s="9" t="n"/>
      <c r="AI24" s="9" t="n"/>
      <c r="AJ24" s="8" t="n"/>
      <c r="AK24" s="9" t="n"/>
      <c r="AL24" s="9" t="n"/>
      <c r="AM24" s="9" t="n"/>
      <c r="AN24" s="9" t="n"/>
      <c r="AO24" s="9" t="n"/>
      <c r="AP24" s="9" t="n"/>
      <c r="AQ24" s="9" t="n"/>
      <c r="AR24" s="9" t="n"/>
      <c r="AS24" s="9" t="n"/>
      <c r="AT24" s="8" t="n"/>
      <c r="AU24" s="8" t="n"/>
      <c r="AV24" s="9" t="n"/>
      <c r="AW24" s="8" t="n"/>
      <c r="AX24" s="9" t="n"/>
      <c r="AY24" s="9" t="n"/>
      <c r="AZ24" s="9" t="n"/>
      <c r="BA24" s="9" t="n"/>
      <c r="BB24" s="9" t="n"/>
      <c r="BC24" s="9" t="n"/>
      <c r="BD24" s="9" t="n"/>
      <c r="BE24" s="9" t="n"/>
      <c r="BF24" s="9" t="n"/>
      <c r="BG24" s="9" t="n"/>
      <c r="BH24" s="9" t="n"/>
      <c r="BI24" s="9" t="n"/>
      <c r="BJ24" s="9" t="n"/>
      <c r="BK24" s="9" t="n"/>
      <c r="BL24" s="9" t="n"/>
      <c r="BM24" s="9" t="n"/>
      <c r="BN24" s="9" t="n"/>
      <c r="BO24" s="8" t="n">
        <v>45670</v>
      </c>
      <c r="BP24" s="9" t="inlineStr">
        <is>
          <t>Y</t>
        </is>
      </c>
      <c r="BQ24" s="9" t="inlineStr">
        <is>
          <t>N</t>
        </is>
      </c>
      <c r="BR24" s="12">
        <f>IF(AND(AI24="Y",AK24="Y",AL24="Y",AM24="Y",AY24="Y",AZ24="Y",BA24="Y",BB24="Y",BC24="Y",BE24&lt;&gt;"Y",AX24&lt;&gt;"Y",BL24&lt;&gt;"Y",IF(AS24="Y",AV24="Y",TRUE)),"Y","N")</f>
        <v/>
      </c>
      <c r="BS24" s="12">
        <f>IF(AND(BR24="Y",OR(AND(BJ24="Y",BM24="Y"),AND(BK24="Y",BN24="Y"),AND(BJ24&lt;&gt;"Y",BK24&lt;&gt;"Y",OR(BM24="Y",BN24="Y")))),"Y","N")</f>
        <v/>
      </c>
      <c r="BT24" s="10" t="n">
        <v>19</v>
      </c>
      <c r="BU24" s="13" t="n"/>
      <c r="BV24" s="13" t="n"/>
      <c r="BW24" s="13" t="n"/>
      <c r="BX24" s="13" t="n"/>
      <c r="BY24" s="13" t="n"/>
      <c r="BZ24" s="13" t="n"/>
      <c r="CA24" s="14" t="n"/>
      <c r="CB24" s="13" t="n"/>
      <c r="CC24" s="9" t="inlineStr">
        <is>
          <t>construction_type mapped from raw 'NC' to 'New Construction'</t>
        </is>
      </c>
      <c r="CD24" s="9" t="inlineStr">
        <is>
          <t>Karsten Lowe</t>
        </is>
      </c>
      <c r="CE24" s="9" t="inlineStr">
        <is>
          <t>(210) 493-8633</t>
        </is>
      </c>
      <c r="CF24" s="9" t="inlineStr">
        <is>
          <t>Karsten.Lowe@jpi.com</t>
        </is>
      </c>
      <c r="CG24" s="9" t="inlineStr">
        <is>
          <t>Ted Chinn</t>
        </is>
      </c>
      <c r="CH24" s="9" t="inlineStr">
        <is>
          <t>(972) 216-6287</t>
        </is>
      </c>
    </row>
    <row r="25">
      <c r="A25" s="8" t="inlineStr">
        <is>
          <t>2025-03-10</t>
        </is>
      </c>
      <c r="B25" s="9" t="inlineStr">
        <is>
          <t>2025-03-10</t>
        </is>
      </c>
      <c r="C25" s="9" t="inlineStr">
        <is>
          <t>25412</t>
        </is>
      </c>
      <c r="D25" s="9" t="inlineStr">
        <is>
          <t>07457</t>
        </is>
      </c>
      <c r="E25" s="9" t="inlineStr">
        <is>
          <t>Wyndham Park</t>
        </is>
      </c>
      <c r="F25" s="9" t="inlineStr">
        <is>
          <t>Baytown</t>
        </is>
      </c>
      <c r="G25" s="9" t="inlineStr">
        <is>
          <t>Harris</t>
        </is>
      </c>
      <c r="H25" s="9" t="n">
        <v>6</v>
      </c>
      <c r="I25" s="9" t="inlineStr">
        <is>
          <t>2700 Rollingbrook Drive</t>
        </is>
      </c>
      <c r="J25" s="9" t="n">
        <v>77521</v>
      </c>
      <c r="K25" s="8" t="n">
        <v>45670</v>
      </c>
      <c r="L25" s="9" t="inlineStr">
        <is>
          <t>Active</t>
        </is>
      </c>
      <c r="M25" s="8" t="n">
        <v>45785</v>
      </c>
      <c r="N25" s="8" t="n"/>
      <c r="O25" s="8" t="n">
        <v>45673</v>
      </c>
      <c r="P25" s="8" t="n">
        <v>45853</v>
      </c>
      <c r="Q25" s="8" t="n"/>
      <c r="R25" s="9" t="inlineStr">
        <is>
          <t>Acq/Rehab</t>
        </is>
      </c>
      <c r="S25" s="9" t="inlineStr">
        <is>
          <t>Elderly</t>
        </is>
      </c>
      <c r="T25" s="10" t="n">
        <v>184</v>
      </c>
      <c r="U25" s="10" t="n">
        <v>184</v>
      </c>
      <c r="V25" s="9" t="n"/>
      <c r="W25" s="9" t="n"/>
      <c r="X25" s="9" t="inlineStr">
        <is>
          <t>Southeast Texas HFC</t>
        </is>
      </c>
      <c r="Y25" s="9" t="inlineStr">
        <is>
          <t>Local HFC</t>
        </is>
      </c>
      <c r="Z25" s="11" t="n">
        <v>20000000</v>
      </c>
      <c r="AA25" s="11" t="n"/>
      <c r="AB25" s="11" t="n">
        <v>986417</v>
      </c>
      <c r="AC25" s="11" t="n"/>
      <c r="AD25" s="11" t="n"/>
      <c r="AE25" s="11" t="n"/>
      <c r="AF25" s="9" t="inlineStr">
        <is>
          <t>N</t>
        </is>
      </c>
      <c r="AG25" s="9" t="inlineStr">
        <is>
          <t>Y</t>
        </is>
      </c>
      <c r="AH25" s="9" t="n"/>
      <c r="AI25" s="9" t="n"/>
      <c r="AJ25" s="8" t="n"/>
      <c r="AK25" s="9" t="n"/>
      <c r="AL25" s="9" t="n"/>
      <c r="AM25" s="9" t="n"/>
      <c r="AN25" s="9" t="n"/>
      <c r="AO25" s="9" t="n"/>
      <c r="AP25" s="9" t="n"/>
      <c r="AQ25" s="9" t="n"/>
      <c r="AR25" s="9" t="n"/>
      <c r="AS25" s="9" t="n"/>
      <c r="AT25" s="8" t="n"/>
      <c r="AU25" s="8" t="n"/>
      <c r="AV25" s="9" t="n"/>
      <c r="AW25" s="8" t="n"/>
      <c r="AX25" s="9" t="n"/>
      <c r="AY25" s="9" t="n"/>
      <c r="AZ25" s="9" t="n"/>
      <c r="BA25" s="9" t="n"/>
      <c r="BB25" s="9" t="n"/>
      <c r="BC25" s="9" t="n"/>
      <c r="BD25" s="9" t="n"/>
      <c r="BE25" s="9" t="n"/>
      <c r="BF25" s="9" t="n"/>
      <c r="BG25" s="9" t="n"/>
      <c r="BH25" s="9" t="n"/>
      <c r="BI25" s="9" t="n"/>
      <c r="BJ25" s="9" t="n"/>
      <c r="BK25" s="9" t="n"/>
      <c r="BL25" s="9" t="n"/>
      <c r="BM25" s="9" t="n"/>
      <c r="BN25" s="9" t="n"/>
      <c r="BO25" s="8" t="n">
        <v>45670</v>
      </c>
      <c r="BP25" s="9" t="inlineStr">
        <is>
          <t>Y</t>
        </is>
      </c>
      <c r="BQ25" s="9" t="inlineStr">
        <is>
          <t>N</t>
        </is>
      </c>
      <c r="BR25" s="12">
        <f>IF(AND(AI25="Y",AK25="Y",AL25="Y",AM25="Y",AY25="Y",AZ25="Y",BA25="Y",BB25="Y",BC25="Y",BE25&lt;&gt;"Y",AX25&lt;&gt;"Y",BL25&lt;&gt;"Y",IF(AS25="Y",AV25="Y",TRUE)),"Y","N")</f>
        <v/>
      </c>
      <c r="BS25" s="12">
        <f>IF(AND(BR25="Y",OR(AND(BJ25="Y",BM25="Y"),AND(BK25="Y",BN25="Y"),AND(BJ25&lt;&gt;"Y",BK25&lt;&gt;"Y",OR(BM25="Y",BN25="Y")))),"Y","N")</f>
        <v/>
      </c>
      <c r="BT25" s="10" t="n">
        <v>20</v>
      </c>
      <c r="BU25" s="13" t="n"/>
      <c r="BV25" s="13" t="n"/>
      <c r="BW25" s="13" t="n"/>
      <c r="BX25" s="13" t="n"/>
      <c r="BY25" s="13" t="n"/>
      <c r="BZ25" s="13" t="n"/>
      <c r="CA25" s="14" t="n"/>
      <c r="CB25" s="13" t="n"/>
      <c r="CC25" s="9" t="n"/>
      <c r="CD25" s="9" t="inlineStr">
        <is>
          <t>Jeremy Bartholomew</t>
        </is>
      </c>
      <c r="CE25" s="9" t="inlineStr">
        <is>
          <t>(713) 334-5514</t>
        </is>
      </c>
      <c r="CF25" s="9" t="inlineStr">
        <is>
          <t>jeremy@resolutioncompanies.com</t>
        </is>
      </c>
      <c r="CG25" s="9" t="inlineStr">
        <is>
          <t>Ron Williams</t>
        </is>
      </c>
      <c r="CH25" s="9" t="inlineStr">
        <is>
          <t>(281) 484-4663</t>
        </is>
      </c>
    </row>
    <row r="26">
      <c r="A26" s="8" t="inlineStr">
        <is>
          <t>2025-03-10</t>
        </is>
      </c>
      <c r="B26" s="9" t="inlineStr">
        <is>
          <t>2025-03-10</t>
        </is>
      </c>
      <c r="C26" s="9" t="inlineStr">
        <is>
          <t>21608S</t>
        </is>
      </c>
      <c r="D26" s="9" t="n">
        <v>21608</v>
      </c>
      <c r="E26" s="9" t="inlineStr">
        <is>
          <t>Fiji Lofts</t>
        </is>
      </c>
      <c r="F26" s="9" t="inlineStr">
        <is>
          <t>Dallas</t>
        </is>
      </c>
      <c r="G26" s="9" t="inlineStr">
        <is>
          <t>Dallas</t>
        </is>
      </c>
      <c r="H26" s="9" t="n">
        <v>3</v>
      </c>
      <c r="I26" s="9" t="inlineStr">
        <is>
          <t>301 S. Corinth Road</t>
        </is>
      </c>
      <c r="J26" s="9" t="n">
        <v>75203</v>
      </c>
      <c r="K26" s="8" t="n">
        <v>45525</v>
      </c>
      <c r="L26" s="9" t="inlineStr">
        <is>
          <t>Active</t>
        </is>
      </c>
      <c r="M26" s="8" t="n">
        <v>45785</v>
      </c>
      <c r="N26" s="8" t="n"/>
      <c r="O26" s="8" t="n">
        <v>45715</v>
      </c>
      <c r="P26" s="8" t="n">
        <v>45895</v>
      </c>
      <c r="Q26" s="8" t="n"/>
      <c r="R26" s="9" t="inlineStr">
        <is>
          <t>New Construction</t>
        </is>
      </c>
      <c r="S26" s="9" t="inlineStr">
        <is>
          <t>General</t>
        </is>
      </c>
      <c r="T26" s="10" t="n">
        <v>204</v>
      </c>
      <c r="U26" s="10" t="n">
        <v>204</v>
      </c>
      <c r="V26" s="9" t="n"/>
      <c r="W26" s="9" t="n"/>
      <c r="X26" s="9" t="inlineStr">
        <is>
          <t>TDHCA</t>
        </is>
      </c>
      <c r="Y26" s="9" t="inlineStr">
        <is>
          <t>TDHCA</t>
        </is>
      </c>
      <c r="Z26" s="11" t="n">
        <v>6000000</v>
      </c>
      <c r="AA26" s="11" t="n"/>
      <c r="AB26" s="11" t="n">
        <v>2703561</v>
      </c>
      <c r="AC26" s="11" t="n"/>
      <c r="AD26" s="11" t="n"/>
      <c r="AE26" s="11" t="n"/>
      <c r="AF26" s="9" t="inlineStr">
        <is>
          <t>N</t>
        </is>
      </c>
      <c r="AG26" s="9" t="inlineStr">
        <is>
          <t>Y</t>
        </is>
      </c>
      <c r="AH26" s="9" t="n"/>
      <c r="AI26" s="9" t="n"/>
      <c r="AJ26" s="8" t="n"/>
      <c r="AK26" s="9" t="n"/>
      <c r="AL26" s="9" t="n"/>
      <c r="AM26" s="9" t="n"/>
      <c r="AN26" s="9" t="n"/>
      <c r="AO26" s="9" t="n"/>
      <c r="AP26" s="9" t="n"/>
      <c r="AQ26" s="9" t="n"/>
      <c r="AR26" s="9" t="n"/>
      <c r="AS26" s="9" t="n"/>
      <c r="AT26" s="8" t="n"/>
      <c r="AU26" s="8" t="n"/>
      <c r="AV26" s="9" t="n"/>
      <c r="AW26" s="8" t="n"/>
      <c r="AX26" s="9" t="n"/>
      <c r="AY26" s="9" t="n"/>
      <c r="AZ26" s="9" t="n"/>
      <c r="BA26" s="9" t="n"/>
      <c r="BB26" s="9" t="n"/>
      <c r="BC26" s="9" t="n"/>
      <c r="BD26" s="9" t="n"/>
      <c r="BE26" s="9" t="n"/>
      <c r="BF26" s="9" t="n"/>
      <c r="BG26" s="9" t="n"/>
      <c r="BH26" s="9" t="n"/>
      <c r="BI26" s="9" t="n"/>
      <c r="BJ26" s="9" t="n"/>
      <c r="BK26" s="9" t="n"/>
      <c r="BL26" s="9" t="n"/>
      <c r="BM26" s="9" t="n"/>
      <c r="BN26" s="9" t="n"/>
      <c r="BO26" s="8" t="n">
        <v>45525</v>
      </c>
      <c r="BP26" s="9" t="inlineStr">
        <is>
          <t>Y</t>
        </is>
      </c>
      <c r="BQ26" s="9" t="inlineStr">
        <is>
          <t>N</t>
        </is>
      </c>
      <c r="BR26" s="12">
        <f>IF(AND(AI26="Y",AK26="Y",AL26="Y",AM26="Y",AY26="Y",AZ26="Y",BA26="Y",BB26="Y",BC26="Y",BE26&lt;&gt;"Y",AX26&lt;&gt;"Y",BL26&lt;&gt;"Y",IF(AS26="Y",AV26="Y",TRUE)),"Y","N")</f>
        <v/>
      </c>
      <c r="BS26" s="12">
        <f>IF(AND(BR26="Y",OR(AND(BJ26="Y",BM26="Y"),AND(BK26="Y",BN26="Y"),AND(BJ26&lt;&gt;"Y",BK26&lt;&gt;"Y",OR(BM26="Y",BN26="Y")))),"Y","N")</f>
        <v/>
      </c>
      <c r="BT26" s="10" t="n">
        <v>1</v>
      </c>
      <c r="BU26" s="13" t="n"/>
      <c r="BV26" s="13" t="n"/>
      <c r="BW26" s="13" t="n"/>
      <c r="BX26" s="13" t="n"/>
      <c r="BY26" s="13" t="n"/>
      <c r="BZ26" s="13" t="n"/>
      <c r="CA26" s="14" t="n"/>
      <c r="CB26" s="13" t="n"/>
      <c r="CC26" s="9" t="inlineStr">
        <is>
          <t>construction_type mapped from raw 'NC' to 'New Construction'</t>
        </is>
      </c>
      <c r="CD26" s="9" t="inlineStr">
        <is>
          <t>Joseph Agumadu</t>
        </is>
      </c>
      <c r="CE26" s="9" t="inlineStr">
        <is>
          <t>(214) 342-1400</t>
        </is>
      </c>
      <c r="CF26" s="9" t="inlineStr">
        <is>
          <t>development@sdcus.com</t>
        </is>
      </c>
      <c r="CG26" s="9" t="inlineStr">
        <is>
          <t>Teresa Morales</t>
        </is>
      </c>
      <c r="CH26" s="9" t="inlineStr">
        <is>
          <t>(512) 475-3344</t>
        </is>
      </c>
    </row>
    <row r="27">
      <c r="A27" s="8" t="inlineStr">
        <is>
          <t>2025-03-10</t>
        </is>
      </c>
      <c r="B27" s="9" t="inlineStr">
        <is>
          <t>2025-03-10</t>
        </is>
      </c>
      <c r="C27" s="9" t="inlineStr">
        <is>
          <t>21614S</t>
        </is>
      </c>
      <c r="D27" s="9" t="n">
        <v>21614</v>
      </c>
      <c r="E27" s="9" t="inlineStr">
        <is>
          <t>Murdeaux Villas</t>
        </is>
      </c>
      <c r="F27" s="9" t="inlineStr">
        <is>
          <t>Dallas</t>
        </is>
      </c>
      <c r="G27" s="9" t="inlineStr">
        <is>
          <t>Dallas</t>
        </is>
      </c>
      <c r="H27" s="9" t="n">
        <v>3</v>
      </c>
      <c r="I27" s="9" t="inlineStr">
        <is>
          <t>125 S. Murdeaux Lane</t>
        </is>
      </c>
      <c r="J27" s="9" t="n">
        <v>75217</v>
      </c>
      <c r="K27" s="8" t="n">
        <v>45540</v>
      </c>
      <c r="L27" s="9" t="inlineStr">
        <is>
          <t>Active</t>
        </is>
      </c>
      <c r="M27" s="8" t="inlineStr">
        <is>
          <t>TBD</t>
        </is>
      </c>
      <c r="N27" s="8" t="n"/>
      <c r="O27" s="8" t="n">
        <v>45715</v>
      </c>
      <c r="P27" s="8" t="n">
        <v>45895</v>
      </c>
      <c r="Q27" s="8" t="n"/>
      <c r="R27" s="9" t="inlineStr">
        <is>
          <t>Acq/Rehab</t>
        </is>
      </c>
      <c r="S27" s="9" t="inlineStr">
        <is>
          <t>General</t>
        </is>
      </c>
      <c r="T27" s="10" t="n">
        <v>301</v>
      </c>
      <c r="U27" s="10" t="n">
        <v>301</v>
      </c>
      <c r="V27" s="9" t="n"/>
      <c r="W27" s="9" t="n"/>
      <c r="X27" s="9" t="inlineStr">
        <is>
          <t>TDHCA</t>
        </is>
      </c>
      <c r="Y27" s="9" t="inlineStr">
        <is>
          <t>TDHCA</t>
        </is>
      </c>
      <c r="Z27" s="11" t="n">
        <v>5000000</v>
      </c>
      <c r="AA27" s="11" t="n"/>
      <c r="AB27" s="11" t="n">
        <v>3745444</v>
      </c>
      <c r="AC27" s="11" t="n"/>
      <c r="AD27" s="11" t="n"/>
      <c r="AE27" s="11" t="n"/>
      <c r="AF27" s="9" t="inlineStr">
        <is>
          <t>N</t>
        </is>
      </c>
      <c r="AG27" s="9" t="inlineStr">
        <is>
          <t>Y</t>
        </is>
      </c>
      <c r="AH27" s="9" t="n"/>
      <c r="AI27" s="9" t="n"/>
      <c r="AJ27" s="8" t="n"/>
      <c r="AK27" s="9" t="n"/>
      <c r="AL27" s="9" t="n"/>
      <c r="AM27" s="9" t="n"/>
      <c r="AN27" s="9" t="n"/>
      <c r="AO27" s="9" t="n"/>
      <c r="AP27" s="9" t="n"/>
      <c r="AQ27" s="9" t="n"/>
      <c r="AR27" s="9" t="n"/>
      <c r="AS27" s="9" t="n"/>
      <c r="AT27" s="8" t="n"/>
      <c r="AU27" s="8" t="n"/>
      <c r="AV27" s="9" t="n"/>
      <c r="AW27" s="8" t="n"/>
      <c r="AX27" s="9" t="n"/>
      <c r="AY27" s="9" t="n"/>
      <c r="AZ27" s="9" t="n"/>
      <c r="BA27" s="9" t="n"/>
      <c r="BB27" s="9" t="n"/>
      <c r="BC27" s="9" t="n"/>
      <c r="BD27" s="9" t="n"/>
      <c r="BE27" s="9" t="n"/>
      <c r="BF27" s="9" t="n"/>
      <c r="BG27" s="9" t="n"/>
      <c r="BH27" s="9" t="n"/>
      <c r="BI27" s="9" t="n"/>
      <c r="BJ27" s="9" t="n"/>
      <c r="BK27" s="9" t="n"/>
      <c r="BL27" s="9" t="n"/>
      <c r="BM27" s="9" t="n"/>
      <c r="BN27" s="9" t="n"/>
      <c r="BO27" s="8" t="n">
        <v>45540</v>
      </c>
      <c r="BP27" s="9" t="inlineStr">
        <is>
          <t>Y</t>
        </is>
      </c>
      <c r="BQ27" s="9" t="inlineStr">
        <is>
          <t>N</t>
        </is>
      </c>
      <c r="BR27" s="12">
        <f>IF(AND(AI27="Y",AK27="Y",AL27="Y",AM27="Y",AY27="Y",AZ27="Y",BA27="Y",BB27="Y",BC27="Y",BE27&lt;&gt;"Y",AX27&lt;&gt;"Y",BL27&lt;&gt;"Y",IF(AS27="Y",AV27="Y",TRUE)),"Y","N")</f>
        <v/>
      </c>
      <c r="BS27" s="12">
        <f>IF(AND(BR27="Y",OR(AND(BJ27="Y",BM27="Y"),AND(BK27="Y",BN27="Y"),AND(BJ27&lt;&gt;"Y",BK27&lt;&gt;"Y",OR(BM27="Y",BN27="Y")))),"Y","N")</f>
        <v/>
      </c>
      <c r="BT27" s="10" t="n">
        <v>2</v>
      </c>
      <c r="BU27" s="13" t="n"/>
      <c r="BV27" s="13" t="n"/>
      <c r="BW27" s="13" t="n"/>
      <c r="BX27" s="13" t="n"/>
      <c r="BY27" s="13" t="n"/>
      <c r="BZ27" s="13" t="n"/>
      <c r="CA27" s="14" t="n"/>
      <c r="CB27" s="13" t="n"/>
      <c r="CC27" s="9" t="n"/>
      <c r="CD27" s="9" t="inlineStr">
        <is>
          <t>Ryan Hamilton</t>
        </is>
      </c>
      <c r="CE27" s="9" t="inlineStr">
        <is>
          <t>(417) 882-1701</t>
        </is>
      </c>
      <c r="CF27" s="9" t="inlineStr">
        <is>
          <t>ryanhamilton@hamiltoncorporation.com</t>
        </is>
      </c>
      <c r="CG27" s="9" t="inlineStr">
        <is>
          <t>Teresa Morales</t>
        </is>
      </c>
      <c r="CH27" s="9" t="inlineStr">
        <is>
          <t>(512) 475-3344</t>
        </is>
      </c>
    </row>
    <row r="28">
      <c r="A28" s="8" t="inlineStr">
        <is>
          <t>2025-03-10</t>
        </is>
      </c>
      <c r="B28" s="9" t="inlineStr">
        <is>
          <t>2025-03-10</t>
        </is>
      </c>
      <c r="C28" s="9" t="inlineStr">
        <is>
          <t>25425</t>
        </is>
      </c>
      <c r="D28" s="9" t="n"/>
      <c r="E28" s="9" t="inlineStr">
        <is>
          <t>Bridge at Treeline</t>
        </is>
      </c>
      <c r="F28" s="9" t="inlineStr">
        <is>
          <t>Austin</t>
        </is>
      </c>
      <c r="G28" s="9" t="inlineStr">
        <is>
          <t>Travis</t>
        </is>
      </c>
      <c r="H28" s="9" t="n">
        <v>7</v>
      </c>
      <c r="I28" s="9" t="inlineStr">
        <is>
          <t>12201 Heatherly Drive</t>
        </is>
      </c>
      <c r="J28" s="9" t="n">
        <v>78747</v>
      </c>
      <c r="K28" s="8" t="n">
        <v>45671</v>
      </c>
      <c r="L28" s="9" t="inlineStr">
        <is>
          <t>Active</t>
        </is>
      </c>
      <c r="M28" s="8" t="n">
        <v>45757</v>
      </c>
      <c r="N28" s="8" t="n"/>
      <c r="O28" s="8" t="n">
        <v>45672</v>
      </c>
      <c r="P28" s="8" t="n">
        <v>45852</v>
      </c>
      <c r="Q28" s="8" t="n"/>
      <c r="R28" s="9" t="inlineStr">
        <is>
          <t>New Construction</t>
        </is>
      </c>
      <c r="S28" s="9" t="inlineStr">
        <is>
          <t>General</t>
        </is>
      </c>
      <c r="T28" s="10" t="n">
        <v>330</v>
      </c>
      <c r="U28" s="10" t="n">
        <v>330</v>
      </c>
      <c r="V28" s="9" t="n"/>
      <c r="W28" s="9" t="n"/>
      <c r="X28" s="9" t="inlineStr">
        <is>
          <t>Austin Affordable PFC</t>
        </is>
      </c>
      <c r="Y28" s="9" t="inlineStr">
        <is>
          <t>Other</t>
        </is>
      </c>
      <c r="Z28" s="11" t="n">
        <v>40000000</v>
      </c>
      <c r="AA28" s="11" t="n"/>
      <c r="AB28" s="11" t="n">
        <v>2443032</v>
      </c>
      <c r="AC28" s="11" t="n"/>
      <c r="AD28" s="11" t="n"/>
      <c r="AE28" s="11" t="n"/>
      <c r="AF28" s="9" t="inlineStr">
        <is>
          <t>N</t>
        </is>
      </c>
      <c r="AG28" s="9" t="inlineStr">
        <is>
          <t>Y</t>
        </is>
      </c>
      <c r="AH28" s="9" t="inlineStr">
        <is>
          <t>Y</t>
        </is>
      </c>
      <c r="AI28" s="9" t="n"/>
      <c r="AJ28" s="8" t="n"/>
      <c r="AK28" s="9" t="n"/>
      <c r="AL28" s="9" t="n"/>
      <c r="AM28" s="9" t="n"/>
      <c r="AN28" s="9" t="n"/>
      <c r="AO28" s="9" t="n"/>
      <c r="AP28" s="9" t="n"/>
      <c r="AQ28" s="9" t="n"/>
      <c r="AR28" s="9" t="n"/>
      <c r="AS28" s="9" t="n"/>
      <c r="AT28" s="8" t="n"/>
      <c r="AU28" s="8" t="n"/>
      <c r="AV28" s="9" t="n"/>
      <c r="AW28" s="8" t="n"/>
      <c r="AX28" s="9" t="n"/>
      <c r="AY28" s="9" t="n"/>
      <c r="AZ28" s="9" t="n"/>
      <c r="BA28" s="9" t="n"/>
      <c r="BB28" s="9" t="n"/>
      <c r="BC28" s="9" t="n"/>
      <c r="BD28" s="9" t="n"/>
      <c r="BE28" s="9" t="n"/>
      <c r="BF28" s="9" t="n"/>
      <c r="BG28" s="9" t="n"/>
      <c r="BH28" s="9" t="n"/>
      <c r="BI28" s="9" t="n"/>
      <c r="BJ28" s="9" t="n"/>
      <c r="BK28" s="9" t="n"/>
      <c r="BL28" s="9" t="n"/>
      <c r="BM28" s="9" t="n"/>
      <c r="BN28" s="9" t="n"/>
      <c r="BO28" s="8" t="n">
        <v>45671</v>
      </c>
      <c r="BP28" s="9" t="inlineStr">
        <is>
          <t>Y</t>
        </is>
      </c>
      <c r="BQ28" s="9" t="inlineStr">
        <is>
          <t>N</t>
        </is>
      </c>
      <c r="BR28" s="12">
        <f>IF(AND(AI28="Y",AK28="Y",AL28="Y",AM28="Y",AY28="Y",AZ28="Y",BA28="Y",BB28="Y",BC28="Y",BE28&lt;&gt;"Y",AX28&lt;&gt;"Y",BL28&lt;&gt;"Y",IF(AS28="Y",AV28="Y",TRUE)),"Y","N")</f>
        <v/>
      </c>
      <c r="BS28" s="12">
        <f>IF(AND(BR28="Y",OR(AND(BJ28="Y",BM28="Y"),AND(BK28="Y",BN28="Y"),AND(BJ28&lt;&gt;"Y",BK28&lt;&gt;"Y",OR(BM28="Y",BN28="Y")))),"Y","N")</f>
        <v/>
      </c>
      <c r="BT28" s="10" t="n">
        <v>28</v>
      </c>
      <c r="BU28" s="13" t="n"/>
      <c r="BV28" s="13" t="n"/>
      <c r="BW28" s="13" t="n"/>
      <c r="BX28" s="13" t="n"/>
      <c r="BY28" s="13" t="n"/>
      <c r="BZ28" s="13" t="n"/>
      <c r="CA28" s="14" t="n"/>
      <c r="CB28" s="13" t="n"/>
      <c r="CC28" s="9" t="inlineStr">
        <is>
          <t>construction_type mapped from raw 'NC' to 'New Construction'</t>
        </is>
      </c>
      <c r="CD28" s="9" t="inlineStr">
        <is>
          <t>Sam Kumar</t>
        </is>
      </c>
      <c r="CE28" s="9" t="inlineStr">
        <is>
          <t>(512) 247-7000</t>
        </is>
      </c>
      <c r="CF28" s="9" t="inlineStr">
        <is>
          <t>SKumar@journeymangroup.com</t>
        </is>
      </c>
      <c r="CG28" s="9" t="inlineStr">
        <is>
          <t>Ron Kowal</t>
        </is>
      </c>
      <c r="CH28" s="9" t="inlineStr">
        <is>
          <t>512‐477‐4488</t>
        </is>
      </c>
    </row>
    <row r="29">
      <c r="A29" s="8" t="inlineStr">
        <is>
          <t>2025-03-10</t>
        </is>
      </c>
      <c r="B29" s="9" t="inlineStr">
        <is>
          <t>2025-03-10</t>
        </is>
      </c>
      <c r="C29" s="9" t="inlineStr">
        <is>
          <t>25431</t>
        </is>
      </c>
      <c r="D29" s="9" t="n">
        <v>93101</v>
      </c>
      <c r="E29" s="9" t="inlineStr">
        <is>
          <t>The Meadows</t>
        </is>
      </c>
      <c r="F29" s="9" t="inlineStr">
        <is>
          <t>Garland</t>
        </is>
      </c>
      <c r="G29" s="9" t="inlineStr">
        <is>
          <t>Dallas</t>
        </is>
      </c>
      <c r="H29" s="9" t="n">
        <v>3</v>
      </c>
      <c r="I29" s="9" t="inlineStr">
        <is>
          <t>3826 Easton Meadows Drive</t>
        </is>
      </c>
      <c r="J29" s="9" t="n">
        <v>75043</v>
      </c>
      <c r="K29" s="8" t="n">
        <v>45671</v>
      </c>
      <c r="L29" s="9" t="inlineStr">
        <is>
          <t>Active</t>
        </is>
      </c>
      <c r="M29" s="8" t="n">
        <v>45820</v>
      </c>
      <c r="N29" s="8" t="n"/>
      <c r="O29" s="8" t="n">
        <v>45672</v>
      </c>
      <c r="P29" s="8" t="n">
        <v>45852</v>
      </c>
      <c r="Q29" s="8" t="n"/>
      <c r="R29" s="9" t="inlineStr">
        <is>
          <t>Acq/Rehab</t>
        </is>
      </c>
      <c r="S29" s="9" t="inlineStr">
        <is>
          <t>General</t>
        </is>
      </c>
      <c r="T29" s="10" t="n">
        <v>152</v>
      </c>
      <c r="U29" s="10" t="n">
        <v>152</v>
      </c>
      <c r="V29" s="9" t="n"/>
      <c r="W29" s="9" t="n"/>
      <c r="X29" s="9" t="inlineStr">
        <is>
          <t>Texas Home Collaborative</t>
        </is>
      </c>
      <c r="Y29" s="9" t="inlineStr">
        <is>
          <t>Other</t>
        </is>
      </c>
      <c r="Z29" s="11" t="n">
        <v>25000000</v>
      </c>
      <c r="AA29" s="11" t="n"/>
      <c r="AB29" s="11" t="n">
        <v>1527490</v>
      </c>
      <c r="AC29" s="11" t="n"/>
      <c r="AD29" s="11" t="n"/>
      <c r="AE29" s="11" t="n"/>
      <c r="AF29" s="9" t="inlineStr">
        <is>
          <t>N</t>
        </is>
      </c>
      <c r="AG29" s="9" t="inlineStr">
        <is>
          <t>Y</t>
        </is>
      </c>
      <c r="AH29" s="9" t="n"/>
      <c r="AI29" s="9" t="n"/>
      <c r="AJ29" s="8" t="n"/>
      <c r="AK29" s="9" t="n"/>
      <c r="AL29" s="9" t="n"/>
      <c r="AM29" s="9" t="n"/>
      <c r="AN29" s="9" t="n"/>
      <c r="AO29" s="9" t="n"/>
      <c r="AP29" s="9" t="n"/>
      <c r="AQ29" s="9" t="n"/>
      <c r="AR29" s="9" t="n"/>
      <c r="AS29" s="9" t="n"/>
      <c r="AT29" s="8" t="n"/>
      <c r="AU29" s="8" t="n"/>
      <c r="AV29" s="9" t="n"/>
      <c r="AW29" s="8" t="n"/>
      <c r="AX29" s="9" t="n"/>
      <c r="AY29" s="9" t="n"/>
      <c r="AZ29" s="9" t="n"/>
      <c r="BA29" s="9" t="n"/>
      <c r="BB29" s="9" t="n"/>
      <c r="BC29" s="9" t="n"/>
      <c r="BD29" s="9" t="n"/>
      <c r="BE29" s="9" t="n"/>
      <c r="BF29" s="9" t="n"/>
      <c r="BG29" s="9" t="n"/>
      <c r="BH29" s="9" t="n"/>
      <c r="BI29" s="9" t="n"/>
      <c r="BJ29" s="9" t="n"/>
      <c r="BK29" s="9" t="n"/>
      <c r="BL29" s="9" t="n"/>
      <c r="BM29" s="9" t="n"/>
      <c r="BN29" s="9" t="n"/>
      <c r="BO29" s="8" t="n">
        <v>45671</v>
      </c>
      <c r="BP29" s="9" t="inlineStr">
        <is>
          <t>Y</t>
        </is>
      </c>
      <c r="BQ29" s="9" t="inlineStr">
        <is>
          <t>N</t>
        </is>
      </c>
      <c r="BR29" s="12">
        <f>IF(AND(AI29="Y",AK29="Y",AL29="Y",AM29="Y",AY29="Y",AZ29="Y",BA29="Y",BB29="Y",BC29="Y",BE29&lt;&gt;"Y",AX29&lt;&gt;"Y",BL29&lt;&gt;"Y",IF(AS29="Y",AV29="Y",TRUE)),"Y","N")</f>
        <v/>
      </c>
      <c r="BS29" s="12">
        <f>IF(AND(BR29="Y",OR(AND(BJ29="Y",BM29="Y"),AND(BK29="Y",BN29="Y"),AND(BJ29&lt;&gt;"Y",BK29&lt;&gt;"Y",OR(BM29="Y",BN29="Y")))),"Y","N")</f>
        <v/>
      </c>
      <c r="BT29" s="10" t="n">
        <v>29</v>
      </c>
      <c r="BU29" s="13" t="n"/>
      <c r="BV29" s="13" t="n"/>
      <c r="BW29" s="13" t="n"/>
      <c r="BX29" s="13" t="n"/>
      <c r="BY29" s="13" t="n"/>
      <c r="BZ29" s="13" t="n"/>
      <c r="CA29" s="14" t="n"/>
      <c r="CB29" s="13" t="n"/>
      <c r="CC29" s="9" t="n"/>
      <c r="CD29" s="9" t="inlineStr">
        <is>
          <t>Brad Fisher</t>
        </is>
      </c>
      <c r="CE29" s="9" t="inlineStr">
        <is>
          <t>(913) 787-1676</t>
        </is>
      </c>
      <c r="CF29" s="9" t="inlineStr">
        <is>
          <t>bfisher@aprilhousing.com</t>
        </is>
      </c>
      <c r="CG29" s="9" t="inlineStr">
        <is>
          <t>Antonio Williams</t>
        </is>
      </c>
      <c r="CH29" s="9" t="inlineStr">
        <is>
          <t>(903) 276-7557</t>
        </is>
      </c>
    </row>
    <row r="30">
      <c r="A30" s="8" t="inlineStr">
        <is>
          <t>2025-03-10</t>
        </is>
      </c>
      <c r="B30" s="9" t="inlineStr">
        <is>
          <t>2025-03-10</t>
        </is>
      </c>
      <c r="C30" s="9" t="inlineStr">
        <is>
          <t>25401</t>
        </is>
      </c>
      <c r="D30" s="9" t="n"/>
      <c r="E30" s="9" t="inlineStr">
        <is>
          <t>Enclave at Cypress</t>
        </is>
      </c>
      <c r="F30" s="9" t="inlineStr">
        <is>
          <t>Cypress</t>
        </is>
      </c>
      <c r="G30" s="9" t="inlineStr">
        <is>
          <t>Harris</t>
        </is>
      </c>
      <c r="H30" s="9" t="n">
        <v>6</v>
      </c>
      <c r="I30" s="9" t="inlineStr">
        <is>
          <t>15815 Merle Road</t>
        </is>
      </c>
      <c r="J30" s="9" t="n">
        <v>77433</v>
      </c>
      <c r="K30" s="8" t="n">
        <v>45671</v>
      </c>
      <c r="L30" s="9" t="inlineStr">
        <is>
          <t>Withdrawn</t>
        </is>
      </c>
      <c r="M30" s="8" t="n">
        <v>45785</v>
      </c>
      <c r="N30" s="8" t="n"/>
      <c r="O30" s="8" t="n">
        <v>45672</v>
      </c>
      <c r="P30" s="8" t="n">
        <v>45852</v>
      </c>
      <c r="Q30" s="8" t="n"/>
      <c r="R30" s="9" t="inlineStr">
        <is>
          <t>New Construction</t>
        </is>
      </c>
      <c r="S30" s="9" t="inlineStr">
        <is>
          <t>General</t>
        </is>
      </c>
      <c r="T30" s="10" t="n">
        <v>363</v>
      </c>
      <c r="U30" s="10" t="n">
        <v>363</v>
      </c>
      <c r="V30" s="9" t="n"/>
      <c r="W30" s="9" t="n"/>
      <c r="X30" s="9" t="inlineStr">
        <is>
          <t>Harris County HFC</t>
        </is>
      </c>
      <c r="Y30" s="9" t="inlineStr">
        <is>
          <t>Local HFC</t>
        </is>
      </c>
      <c r="Z30" s="11" t="n">
        <v>50000000</v>
      </c>
      <c r="AA30" s="11" t="n"/>
      <c r="AB30" s="11" t="n">
        <v>3570057</v>
      </c>
      <c r="AC30" s="11" t="n"/>
      <c r="AD30" s="11" t="n"/>
      <c r="AE30" s="11" t="n"/>
      <c r="AF30" s="9" t="inlineStr">
        <is>
          <t>N</t>
        </is>
      </c>
      <c r="AG30" s="9" t="inlineStr">
        <is>
          <t>Y</t>
        </is>
      </c>
      <c r="AH30" s="9" t="n"/>
      <c r="AI30" s="9" t="n"/>
      <c r="AJ30" s="8" t="n"/>
      <c r="AK30" s="9" t="n"/>
      <c r="AL30" s="9" t="n"/>
      <c r="AM30" s="9" t="n"/>
      <c r="AN30" s="9" t="n"/>
      <c r="AO30" s="9" t="n"/>
      <c r="AP30" s="9" t="n"/>
      <c r="AQ30" s="9" t="n"/>
      <c r="AR30" s="9" t="n"/>
      <c r="AS30" s="9" t="n"/>
      <c r="AT30" s="8" t="n"/>
      <c r="AU30" s="8" t="n"/>
      <c r="AV30" s="9" t="n"/>
      <c r="AW30" s="8" t="n"/>
      <c r="AX30" s="9" t="n"/>
      <c r="AY30" s="9" t="n"/>
      <c r="AZ30" s="9" t="n"/>
      <c r="BA30" s="9" t="n"/>
      <c r="BB30" s="9" t="n"/>
      <c r="BC30" s="9" t="n"/>
      <c r="BD30" s="9" t="n"/>
      <c r="BE30" s="9" t="n"/>
      <c r="BF30" s="9" t="n"/>
      <c r="BG30" s="9" t="n"/>
      <c r="BH30" s="9" t="n"/>
      <c r="BI30" s="9" t="n"/>
      <c r="BJ30" s="9" t="n"/>
      <c r="BK30" s="9" t="n"/>
      <c r="BL30" s="9" t="n"/>
      <c r="BM30" s="9" t="n"/>
      <c r="BN30" s="9" t="n"/>
      <c r="BO30" s="8" t="n">
        <v>45671</v>
      </c>
      <c r="BP30" s="9" t="inlineStr">
        <is>
          <t>Y</t>
        </is>
      </c>
      <c r="BQ30" s="9" t="inlineStr">
        <is>
          <t>N</t>
        </is>
      </c>
      <c r="BR30" s="12">
        <f>IF(AND(AI30="Y",AK30="Y",AL30="Y",AM30="Y",AY30="Y",AZ30="Y",BA30="Y",BB30="Y",BC30="Y",BE30&lt;&gt;"Y",AX30&lt;&gt;"Y",BL30&lt;&gt;"Y",IF(AS30="Y",AV30="Y",TRUE)),"Y","N")</f>
        <v/>
      </c>
      <c r="BS30" s="12">
        <f>IF(AND(BR30="Y",OR(AND(BJ30="Y",BM30="Y"),AND(BK30="Y",BN30="Y"),AND(BJ30&lt;&gt;"Y",BK30&lt;&gt;"Y",OR(BM30="Y",BN30="Y")))),"Y","N")</f>
        <v/>
      </c>
      <c r="BT30" s="10" t="n">
        <v>25</v>
      </c>
      <c r="BU30" s="13" t="n"/>
      <c r="BV30" s="13" t="n"/>
      <c r="BW30" s="13" t="n"/>
      <c r="BX30" s="13" t="n"/>
      <c r="BY30" s="13" t="n"/>
      <c r="BZ30" s="13" t="n"/>
      <c r="CA30" s="14" t="n"/>
      <c r="CB30" s="13" t="n"/>
      <c r="CC30" s="9" t="inlineStr">
        <is>
          <t>construction_type mapped from raw 'NC' to 'New Construction'</t>
        </is>
      </c>
      <c r="CD30" s="9" t="inlineStr">
        <is>
          <t>Mark Gregg</t>
        </is>
      </c>
      <c r="CE30" s="9" t="inlineStr">
        <is>
          <t>(210) 771-4127</t>
        </is>
      </c>
      <c r="CF30" s="9" t="inlineStr">
        <is>
          <t>mgregg@streamlineap.com</t>
        </is>
      </c>
      <c r="CG30" s="9" t="inlineStr">
        <is>
          <t>Rene Martinez</t>
        </is>
      </c>
      <c r="CH30" s="9" t="inlineStr">
        <is>
          <t>(832) 927-4955</t>
        </is>
      </c>
    </row>
    <row r="31">
      <c r="A31" s="8" t="inlineStr">
        <is>
          <t>2025-03-10</t>
        </is>
      </c>
      <c r="B31" s="9" t="inlineStr">
        <is>
          <t>2025-03-10</t>
        </is>
      </c>
      <c r="C31" s="9" t="inlineStr">
        <is>
          <t>25432</t>
        </is>
      </c>
      <c r="D31" s="9" t="n"/>
      <c r="E31" s="9" t="inlineStr">
        <is>
          <t>Village at Meadowbend</t>
        </is>
      </c>
      <c r="F31" s="9" t="inlineStr">
        <is>
          <t>Temple</t>
        </is>
      </c>
      <c r="G31" s="9" t="inlineStr">
        <is>
          <t>Bell</t>
        </is>
      </c>
      <c r="H31" s="9" t="n">
        <v>8</v>
      </c>
      <c r="I31" s="9" t="inlineStr">
        <is>
          <t>2787 S. Martin Luther King Drive</t>
        </is>
      </c>
      <c r="J31" s="9" t="n">
        <v>76504</v>
      </c>
      <c r="K31" s="8" t="n">
        <v>45671</v>
      </c>
      <c r="L31" s="9" t="inlineStr">
        <is>
          <t>Active</t>
        </is>
      </c>
      <c r="M31" s="8" t="n">
        <v>45820</v>
      </c>
      <c r="N31" s="8" t="n"/>
      <c r="O31" s="8" t="n">
        <v>45672</v>
      </c>
      <c r="P31" s="8" t="n">
        <v>45852</v>
      </c>
      <c r="Q31" s="8" t="n"/>
      <c r="R31" s="9" t="inlineStr">
        <is>
          <t>Acq/Rehab</t>
        </is>
      </c>
      <c r="S31" s="9" t="inlineStr">
        <is>
          <t>General</t>
        </is>
      </c>
      <c r="T31" s="10" t="n">
        <v>237</v>
      </c>
      <c r="U31" s="10" t="n">
        <v>237</v>
      </c>
      <c r="V31" s="9" t="n"/>
      <c r="W31" s="9" t="n"/>
      <c r="X31" s="9" t="inlineStr">
        <is>
          <t>Texas Home Collaborative</t>
        </is>
      </c>
      <c r="Y31" s="9" t="inlineStr">
        <is>
          <t>Other</t>
        </is>
      </c>
      <c r="Z31" s="11" t="n">
        <v>25000000</v>
      </c>
      <c r="AA31" s="11" t="n"/>
      <c r="AB31" s="11" t="n">
        <v>2052801</v>
      </c>
      <c r="AC31" s="11" t="n"/>
      <c r="AD31" s="11" t="n"/>
      <c r="AE31" s="11" t="n"/>
      <c r="AF31" s="9" t="inlineStr">
        <is>
          <t>N</t>
        </is>
      </c>
      <c r="AG31" s="9" t="inlineStr">
        <is>
          <t>Y</t>
        </is>
      </c>
      <c r="AH31" s="9" t="n"/>
      <c r="AI31" s="9" t="n"/>
      <c r="AJ31" s="8" t="n"/>
      <c r="AK31" s="9" t="n"/>
      <c r="AL31" s="9" t="n"/>
      <c r="AM31" s="9" t="n"/>
      <c r="AN31" s="9" t="n"/>
      <c r="AO31" s="9" t="n"/>
      <c r="AP31" s="9" t="n"/>
      <c r="AQ31" s="9" t="n"/>
      <c r="AR31" s="9" t="n"/>
      <c r="AS31" s="9" t="n"/>
      <c r="AT31" s="8" t="n"/>
      <c r="AU31" s="8" t="n"/>
      <c r="AV31" s="9" t="n"/>
      <c r="AW31" s="8" t="n"/>
      <c r="AX31" s="9" t="n"/>
      <c r="AY31" s="9" t="n"/>
      <c r="AZ31" s="9" t="n"/>
      <c r="BA31" s="9" t="n"/>
      <c r="BB31" s="9" t="n"/>
      <c r="BC31" s="9" t="n"/>
      <c r="BD31" s="9" t="n"/>
      <c r="BE31" s="9" t="n"/>
      <c r="BF31" s="9" t="n"/>
      <c r="BG31" s="9" t="n"/>
      <c r="BH31" s="9" t="n"/>
      <c r="BI31" s="9" t="n"/>
      <c r="BJ31" s="9" t="n"/>
      <c r="BK31" s="9" t="n"/>
      <c r="BL31" s="9" t="n"/>
      <c r="BM31" s="9" t="n"/>
      <c r="BN31" s="9" t="n"/>
      <c r="BO31" s="8" t="n">
        <v>45671</v>
      </c>
      <c r="BP31" s="9" t="inlineStr">
        <is>
          <t>Y</t>
        </is>
      </c>
      <c r="BQ31" s="9" t="inlineStr">
        <is>
          <t>N</t>
        </is>
      </c>
      <c r="BR31" s="12">
        <f>IF(AND(AI31="Y",AK31="Y",AL31="Y",AM31="Y",AY31="Y",AZ31="Y",BA31="Y",BB31="Y",BC31="Y",BE31&lt;&gt;"Y",AX31&lt;&gt;"Y",BL31&lt;&gt;"Y",IF(AS31="Y",AV31="Y",TRUE)),"Y","N")</f>
        <v/>
      </c>
      <c r="BS31" s="12">
        <f>IF(AND(BR31="Y",OR(AND(BJ31="Y",BM31="Y"),AND(BK31="Y",BN31="Y"),AND(BJ31&lt;&gt;"Y",BK31&lt;&gt;"Y",OR(BM31="Y",BN31="Y")))),"Y","N")</f>
        <v/>
      </c>
      <c r="BT31" s="10" t="n">
        <v>30</v>
      </c>
      <c r="BU31" s="13" t="n"/>
      <c r="BV31" s="13" t="n"/>
      <c r="BW31" s="13" t="n"/>
      <c r="BX31" s="13" t="n"/>
      <c r="BY31" s="13" t="n"/>
      <c r="BZ31" s="13" t="n"/>
      <c r="CA31" s="14" t="n"/>
      <c r="CB31" s="13" t="n"/>
      <c r="CC31" s="9" t="n"/>
      <c r="CD31" s="9" t="inlineStr">
        <is>
          <t>Asia Williams</t>
        </is>
      </c>
      <c r="CE31" s="9" t="inlineStr">
        <is>
          <t>(213) 362-0260</t>
        </is>
      </c>
      <c r="CF31" s="9" t="inlineStr">
        <is>
          <t>awilliams@chavezfoundation.org</t>
        </is>
      </c>
      <c r="CG31" s="9" t="inlineStr">
        <is>
          <t>Antonio Williams</t>
        </is>
      </c>
      <c r="CH31" s="9" t="inlineStr">
        <is>
          <t>(903) 276-7557</t>
        </is>
      </c>
    </row>
    <row r="32">
      <c r="A32" s="8" t="inlineStr">
        <is>
          <t>2025-03-10</t>
        </is>
      </c>
      <c r="B32" s="9" t="inlineStr">
        <is>
          <t>2025-03-10</t>
        </is>
      </c>
      <c r="C32" s="9" t="inlineStr">
        <is>
          <t>25407</t>
        </is>
      </c>
      <c r="D32" s="9" t="inlineStr">
        <is>
          <t>03436</t>
        </is>
      </c>
      <c r="E32" s="9" t="inlineStr">
        <is>
          <t>Northland Woods</t>
        </is>
      </c>
      <c r="F32" s="9" t="inlineStr">
        <is>
          <t>Houston</t>
        </is>
      </c>
      <c r="G32" s="9" t="inlineStr">
        <is>
          <t>Harris</t>
        </is>
      </c>
      <c r="H32" s="9" t="n">
        <v>6</v>
      </c>
      <c r="I32" s="9" t="inlineStr">
        <is>
          <t>15165 Vickery Drive</t>
        </is>
      </c>
      <c r="J32" s="9" t="n">
        <v>77032</v>
      </c>
      <c r="K32" s="8" t="n">
        <v>45671</v>
      </c>
      <c r="L32" s="9" t="inlineStr">
        <is>
          <t>Active</t>
        </is>
      </c>
      <c r="M32" s="8" t="n">
        <v>45785</v>
      </c>
      <c r="N32" s="8" t="n"/>
      <c r="O32" s="8" t="n">
        <v>45673</v>
      </c>
      <c r="P32" s="8" t="n">
        <v>45853</v>
      </c>
      <c r="Q32" s="8" t="n"/>
      <c r="R32" s="9" t="inlineStr">
        <is>
          <t>Acq/Rehab</t>
        </is>
      </c>
      <c r="S32" s="9" t="inlineStr">
        <is>
          <t>General</t>
        </is>
      </c>
      <c r="T32" s="10" t="n">
        <v>280</v>
      </c>
      <c r="U32" s="10" t="n">
        <v>280</v>
      </c>
      <c r="V32" s="9" t="n"/>
      <c r="W32" s="9" t="n"/>
      <c r="X32" s="9" t="inlineStr">
        <is>
          <t>HHA Fountainview PFC</t>
        </is>
      </c>
      <c r="Y32" s="9" t="inlineStr">
        <is>
          <t>Other</t>
        </is>
      </c>
      <c r="Z32" s="11" t="n">
        <v>45000000</v>
      </c>
      <c r="AA32" s="11" t="n"/>
      <c r="AB32" s="11" t="n">
        <v>3400940</v>
      </c>
      <c r="AC32" s="11" t="n"/>
      <c r="AD32" s="11" t="n"/>
      <c r="AE32" s="11" t="n"/>
      <c r="AF32" s="9" t="inlineStr">
        <is>
          <t>N</t>
        </is>
      </c>
      <c r="AG32" s="9" t="inlineStr">
        <is>
          <t>Y</t>
        </is>
      </c>
      <c r="AH32" s="9" t="inlineStr">
        <is>
          <t>Y</t>
        </is>
      </c>
      <c r="AI32" s="9" t="n"/>
      <c r="AJ32" s="8" t="n"/>
      <c r="AK32" s="9" t="n"/>
      <c r="AL32" s="9" t="n"/>
      <c r="AM32" s="9" t="n"/>
      <c r="AN32" s="9" t="n"/>
      <c r="AO32" s="9" t="n"/>
      <c r="AP32" s="9" t="n"/>
      <c r="AQ32" s="9" t="n"/>
      <c r="AR32" s="9" t="n"/>
      <c r="AS32" s="9" t="n"/>
      <c r="AT32" s="8" t="n"/>
      <c r="AU32" s="8" t="n"/>
      <c r="AV32" s="9" t="n"/>
      <c r="AW32" s="8" t="n"/>
      <c r="AX32" s="9" t="n"/>
      <c r="AY32" s="9" t="n"/>
      <c r="AZ32" s="9" t="n"/>
      <c r="BA32" s="9" t="n"/>
      <c r="BB32" s="9" t="n"/>
      <c r="BC32" s="9" t="n"/>
      <c r="BD32" s="9" t="n"/>
      <c r="BE32" s="9" t="n"/>
      <c r="BF32" s="9" t="n"/>
      <c r="BG32" s="9" t="n"/>
      <c r="BH32" s="9" t="n"/>
      <c r="BI32" s="9" t="n"/>
      <c r="BJ32" s="9" t="n"/>
      <c r="BK32" s="9" t="n"/>
      <c r="BL32" s="9" t="n"/>
      <c r="BM32" s="9" t="n"/>
      <c r="BN32" s="9" t="n"/>
      <c r="BO32" s="8" t="n">
        <v>45671</v>
      </c>
      <c r="BP32" s="9" t="inlineStr">
        <is>
          <t>Y</t>
        </is>
      </c>
      <c r="BQ32" s="9" t="inlineStr">
        <is>
          <t>N</t>
        </is>
      </c>
      <c r="BR32" s="12">
        <f>IF(AND(AI32="Y",AK32="Y",AL32="Y",AM32="Y",AY32="Y",AZ32="Y",BA32="Y",BB32="Y",BC32="Y",BE32&lt;&gt;"Y",AX32&lt;&gt;"Y",BL32&lt;&gt;"Y",IF(AS32="Y",AV32="Y",TRUE)),"Y","N")</f>
        <v/>
      </c>
      <c r="BS32" s="12">
        <f>IF(AND(BR32="Y",OR(AND(BJ32="Y",BM32="Y"),AND(BK32="Y",BN32="Y"),AND(BJ32&lt;&gt;"Y",BK32&lt;&gt;"Y",OR(BM32="Y",BN32="Y")))),"Y","N")</f>
        <v/>
      </c>
      <c r="BT32" s="10" t="n">
        <v>27</v>
      </c>
      <c r="BU32" s="13" t="n"/>
      <c r="BV32" s="13" t="n"/>
      <c r="BW32" s="13" t="n"/>
      <c r="BX32" s="13" t="n"/>
      <c r="BY32" s="13" t="n"/>
      <c r="BZ32" s="13" t="n"/>
      <c r="CA32" s="14" t="n"/>
      <c r="CB32" s="13" t="n"/>
      <c r="CC32" s="9" t="n"/>
      <c r="CD32" s="9" t="inlineStr">
        <is>
          <t>Brad Fisher</t>
        </is>
      </c>
      <c r="CE32" s="9" t="inlineStr">
        <is>
          <t>(913) 787-1676</t>
        </is>
      </c>
      <c r="CF32" s="9" t="inlineStr">
        <is>
          <t>bfisher@aprilhousing.com</t>
        </is>
      </c>
      <c r="CG32" s="9" t="inlineStr">
        <is>
          <t>Jennine Hovell-Cox</t>
        </is>
      </c>
      <c r="CH32" s="9" t="inlineStr">
        <is>
          <t>(713) 260-0501</t>
        </is>
      </c>
    </row>
    <row r="33">
      <c r="A33" s="8" t="inlineStr">
        <is>
          <t>2025-03-10</t>
        </is>
      </c>
      <c r="B33" s="9" t="inlineStr">
        <is>
          <t>2025-03-10</t>
        </is>
      </c>
      <c r="C33" s="9" t="inlineStr">
        <is>
          <t>25403</t>
        </is>
      </c>
      <c r="D33" s="9" t="inlineStr">
        <is>
          <t>CMTS 2514</t>
        </is>
      </c>
      <c r="E33" s="9" t="inlineStr">
        <is>
          <t>Waters at Stone Creek</t>
        </is>
      </c>
      <c r="F33" s="9" t="inlineStr">
        <is>
          <t>Lewisville</t>
        </is>
      </c>
      <c r="G33" s="9" t="inlineStr">
        <is>
          <t>Denton</t>
        </is>
      </c>
      <c r="H33" s="9" t="n">
        <v>3</v>
      </c>
      <c r="I33" s="9" t="inlineStr">
        <is>
          <t>328 E Southwest Parkway</t>
        </is>
      </c>
      <c r="J33" s="9" t="n">
        <v>75067</v>
      </c>
      <c r="K33" s="8" t="n">
        <v>45671</v>
      </c>
      <c r="L33" s="9" t="inlineStr">
        <is>
          <t>Active</t>
        </is>
      </c>
      <c r="M33" s="8" t="n">
        <v>45757</v>
      </c>
      <c r="N33" s="8" t="n"/>
      <c r="O33" s="8" t="n">
        <v>45673</v>
      </c>
      <c r="P33" s="8" t="n">
        <v>45853</v>
      </c>
      <c r="Q33" s="8" t="n"/>
      <c r="R33" s="9" t="inlineStr">
        <is>
          <t>Acq/Rehab</t>
        </is>
      </c>
      <c r="S33" s="9" t="inlineStr">
        <is>
          <t>General</t>
        </is>
      </c>
      <c r="T33" s="10" t="n">
        <v>199</v>
      </c>
      <c r="U33" s="10" t="n">
        <v>199</v>
      </c>
      <c r="V33" s="9" t="n"/>
      <c r="W33" s="9" t="n"/>
      <c r="X33" s="9" t="inlineStr">
        <is>
          <t>Denton County HFC</t>
        </is>
      </c>
      <c r="Y33" s="9" t="inlineStr">
        <is>
          <t>Local HFC</t>
        </is>
      </c>
      <c r="Z33" s="11" t="n">
        <v>30000000</v>
      </c>
      <c r="AA33" s="11" t="n"/>
      <c r="AB33" s="11" t="n">
        <v>1973644</v>
      </c>
      <c r="AC33" s="11" t="n"/>
      <c r="AD33" s="11" t="n"/>
      <c r="AE33" s="11" t="n"/>
      <c r="AF33" s="9" t="inlineStr">
        <is>
          <t>N</t>
        </is>
      </c>
      <c r="AG33" s="9" t="inlineStr">
        <is>
          <t>Y</t>
        </is>
      </c>
      <c r="AH33" s="9" t="n"/>
      <c r="AI33" s="9" t="n"/>
      <c r="AJ33" s="8" t="n"/>
      <c r="AK33" s="9" t="n"/>
      <c r="AL33" s="9" t="n"/>
      <c r="AM33" s="9" t="n"/>
      <c r="AN33" s="9" t="n"/>
      <c r="AO33" s="9" t="n"/>
      <c r="AP33" s="9" t="n"/>
      <c r="AQ33" s="9" t="n"/>
      <c r="AR33" s="9" t="n"/>
      <c r="AS33" s="9" t="n"/>
      <c r="AT33" s="8" t="n"/>
      <c r="AU33" s="8" t="n"/>
      <c r="AV33" s="9" t="n"/>
      <c r="AW33" s="8" t="n"/>
      <c r="AX33" s="9" t="n"/>
      <c r="AY33" s="9" t="n"/>
      <c r="AZ33" s="9" t="n"/>
      <c r="BA33" s="9" t="n"/>
      <c r="BB33" s="9" t="n"/>
      <c r="BC33" s="9" t="n"/>
      <c r="BD33" s="9" t="n"/>
      <c r="BE33" s="9" t="n"/>
      <c r="BF33" s="9" t="n"/>
      <c r="BG33" s="9" t="n"/>
      <c r="BH33" s="9" t="n"/>
      <c r="BI33" s="9" t="n"/>
      <c r="BJ33" s="9" t="n"/>
      <c r="BK33" s="9" t="n"/>
      <c r="BL33" s="9" t="n"/>
      <c r="BM33" s="9" t="n"/>
      <c r="BN33" s="9" t="n"/>
      <c r="BO33" s="8" t="n">
        <v>45671</v>
      </c>
      <c r="BP33" s="9" t="inlineStr">
        <is>
          <t>Y</t>
        </is>
      </c>
      <c r="BQ33" s="9" t="inlineStr">
        <is>
          <t>N</t>
        </is>
      </c>
      <c r="BR33" s="12">
        <f>IF(AND(AI33="Y",AK33="Y",AL33="Y",AM33="Y",AY33="Y",AZ33="Y",BA33="Y",BB33="Y",BC33="Y",BE33&lt;&gt;"Y",AX33&lt;&gt;"Y",BL33&lt;&gt;"Y",IF(AS33="Y",AV33="Y",TRUE)),"Y","N")</f>
        <v/>
      </c>
      <c r="BS33" s="12">
        <f>IF(AND(BR33="Y",OR(AND(BJ33="Y",BM33="Y"),AND(BK33="Y",BN33="Y"),AND(BJ33&lt;&gt;"Y",BK33&lt;&gt;"Y",OR(BM33="Y",BN33="Y")))),"Y","N")</f>
        <v/>
      </c>
      <c r="BT33" s="10" t="n">
        <v>26</v>
      </c>
      <c r="BU33" s="13" t="n"/>
      <c r="BV33" s="13" t="n"/>
      <c r="BW33" s="13" t="n"/>
      <c r="BX33" s="13" t="n"/>
      <c r="BY33" s="13" t="n"/>
      <c r="BZ33" s="13" t="n"/>
      <c r="CA33" s="14" t="n"/>
      <c r="CB33" s="13" t="n"/>
      <c r="CC33" s="9" t="n"/>
      <c r="CD33" s="9" t="inlineStr">
        <is>
          <t>Rafael Navarro</t>
        </is>
      </c>
      <c r="CE33" s="9" t="inlineStr">
        <is>
          <t>(469) 206-8930</t>
        </is>
      </c>
      <c r="CF33" s="9" t="inlineStr">
        <is>
          <t>navarro@atlantichousing.org</t>
        </is>
      </c>
      <c r="CG33" s="9" t="inlineStr">
        <is>
          <t>Andy Eads</t>
        </is>
      </c>
      <c r="CH33" s="9" t="inlineStr">
        <is>
          <t>(904) 349-2801</t>
        </is>
      </c>
    </row>
    <row r="34">
      <c r="A34" s="8" t="inlineStr">
        <is>
          <t>2025-03-10</t>
        </is>
      </c>
      <c r="B34" s="9" t="inlineStr">
        <is>
          <t>2025-03-10</t>
        </is>
      </c>
      <c r="C34" s="9" t="inlineStr">
        <is>
          <t>25402</t>
        </is>
      </c>
      <c r="D34" s="9" t="n"/>
      <c r="E34" s="9" t="inlineStr">
        <is>
          <t>Enclave at Katy</t>
        </is>
      </c>
      <c r="F34" s="9" t="inlineStr">
        <is>
          <t>Katy</t>
        </is>
      </c>
      <c r="G34" s="9" t="inlineStr">
        <is>
          <t>Harris</t>
        </is>
      </c>
      <c r="H34" s="9" t="n">
        <v>6</v>
      </c>
      <c r="I34" s="9" t="inlineStr">
        <is>
          <t>5138 &amp; 5202 Katy Hockley Road</t>
        </is>
      </c>
      <c r="J34" s="9" t="n">
        <v>77493</v>
      </c>
      <c r="K34" s="8" t="n">
        <v>45672</v>
      </c>
      <c r="L34" s="9" t="inlineStr">
        <is>
          <t>Active</t>
        </is>
      </c>
      <c r="M34" s="8" t="n">
        <v>45785</v>
      </c>
      <c r="N34" s="8" t="n"/>
      <c r="O34" s="8" t="n">
        <v>45673</v>
      </c>
      <c r="P34" s="8" t="n">
        <v>45853</v>
      </c>
      <c r="Q34" s="8" t="n"/>
      <c r="R34" s="9" t="inlineStr">
        <is>
          <t>New Construction</t>
        </is>
      </c>
      <c r="S34" s="9" t="inlineStr">
        <is>
          <t>General</t>
        </is>
      </c>
      <c r="T34" s="10" t="n">
        <v>360</v>
      </c>
      <c r="U34" s="10" t="n">
        <v>360</v>
      </c>
      <c r="V34" s="9" t="n"/>
      <c r="W34" s="9" t="n"/>
      <c r="X34" s="9" t="inlineStr">
        <is>
          <t>Harris County HFC</t>
        </is>
      </c>
      <c r="Y34" s="9" t="inlineStr">
        <is>
          <t>Local HFC</t>
        </is>
      </c>
      <c r="Z34" s="11" t="n">
        <v>50000000</v>
      </c>
      <c r="AA34" s="11" t="n"/>
      <c r="AB34" s="11" t="n">
        <v>3534223</v>
      </c>
      <c r="AC34" s="11" t="n"/>
      <c r="AD34" s="11" t="n"/>
      <c r="AE34" s="11" t="n"/>
      <c r="AF34" s="9" t="inlineStr">
        <is>
          <t>N</t>
        </is>
      </c>
      <c r="AG34" s="9" t="inlineStr">
        <is>
          <t>Y</t>
        </is>
      </c>
      <c r="AH34" s="9" t="n"/>
      <c r="AI34" s="9" t="n"/>
      <c r="AJ34" s="8" t="n"/>
      <c r="AK34" s="9" t="n"/>
      <c r="AL34" s="9" t="n"/>
      <c r="AM34" s="9" t="n"/>
      <c r="AN34" s="9" t="n"/>
      <c r="AO34" s="9" t="n"/>
      <c r="AP34" s="9" t="n"/>
      <c r="AQ34" s="9" t="n"/>
      <c r="AR34" s="9" t="n"/>
      <c r="AS34" s="9" t="n"/>
      <c r="AT34" s="8" t="n"/>
      <c r="AU34" s="8" t="n"/>
      <c r="AV34" s="9" t="n"/>
      <c r="AW34" s="8" t="n"/>
      <c r="AX34" s="9" t="n"/>
      <c r="AY34" s="9" t="n"/>
      <c r="AZ34" s="9" t="n"/>
      <c r="BA34" s="9" t="n"/>
      <c r="BB34" s="9" t="n"/>
      <c r="BC34" s="9" t="n"/>
      <c r="BD34" s="9" t="n"/>
      <c r="BE34" s="9" t="n"/>
      <c r="BF34" s="9" t="n"/>
      <c r="BG34" s="9" t="n"/>
      <c r="BH34" s="9" t="n"/>
      <c r="BI34" s="9" t="n"/>
      <c r="BJ34" s="9" t="n"/>
      <c r="BK34" s="9" t="n"/>
      <c r="BL34" s="9" t="n"/>
      <c r="BM34" s="9" t="n"/>
      <c r="BN34" s="9" t="n"/>
      <c r="BO34" s="8" t="n">
        <v>45672</v>
      </c>
      <c r="BP34" s="9" t="inlineStr">
        <is>
          <t>Y</t>
        </is>
      </c>
      <c r="BQ34" s="9" t="inlineStr">
        <is>
          <t>N</t>
        </is>
      </c>
      <c r="BR34" s="12">
        <f>IF(AND(AI34="Y",AK34="Y",AL34="Y",AM34="Y",AY34="Y",AZ34="Y",BA34="Y",BB34="Y",BC34="Y",BE34&lt;&gt;"Y",AX34&lt;&gt;"Y",BL34&lt;&gt;"Y",IF(AS34="Y",AV34="Y",TRUE)),"Y","N")</f>
        <v/>
      </c>
      <c r="BS34" s="12">
        <f>IF(AND(BR34="Y",OR(AND(BJ34="Y",BM34="Y"),AND(BK34="Y",BN34="Y"),AND(BJ34&lt;&gt;"Y",BK34&lt;&gt;"Y",OR(BM34="Y",BN34="Y")))),"Y","N")</f>
        <v/>
      </c>
      <c r="BT34" s="10" t="n">
        <v>31</v>
      </c>
      <c r="BU34" s="13" t="n"/>
      <c r="BV34" s="13" t="n"/>
      <c r="BW34" s="13" t="n"/>
      <c r="BX34" s="13" t="n"/>
      <c r="BY34" s="13" t="n"/>
      <c r="BZ34" s="13" t="n"/>
      <c r="CA34" s="14" t="n"/>
      <c r="CB34" s="13" t="n"/>
      <c r="CC34" s="9" t="inlineStr">
        <is>
          <t>construction_type mapped from raw 'NC' to 'New Construction'</t>
        </is>
      </c>
      <c r="CD34" s="9" t="inlineStr">
        <is>
          <t>Mark Gregg</t>
        </is>
      </c>
      <c r="CE34" s="9" t="inlineStr">
        <is>
          <t>(210) 771-4127</t>
        </is>
      </c>
      <c r="CF34" s="9" t="inlineStr">
        <is>
          <t>mgregg@streamlineap.com</t>
        </is>
      </c>
      <c r="CG34" s="9" t="inlineStr">
        <is>
          <t>Rene Martinez</t>
        </is>
      </c>
      <c r="CH34" s="9" t="inlineStr">
        <is>
          <t>(832) 927-4955</t>
        </is>
      </c>
    </row>
    <row r="35">
      <c r="A35" s="8" t="inlineStr">
        <is>
          <t>2025-03-10</t>
        </is>
      </c>
      <c r="B35" s="9" t="inlineStr">
        <is>
          <t>2025-03-10</t>
        </is>
      </c>
      <c r="C35" s="9" t="inlineStr">
        <is>
          <t>25422</t>
        </is>
      </c>
      <c r="D35" s="9" t="n"/>
      <c r="E35" s="9" t="inlineStr">
        <is>
          <t>Covington Acres</t>
        </is>
      </c>
      <c r="F35" s="9" t="inlineStr">
        <is>
          <t>Keene</t>
        </is>
      </c>
      <c r="G35" s="9" t="inlineStr">
        <is>
          <t>Johnson</t>
        </is>
      </c>
      <c r="H35" s="9" t="n">
        <v>3</v>
      </c>
      <c r="I35" s="9" t="inlineStr">
        <is>
          <t>2632 US Highway 67</t>
        </is>
      </c>
      <c r="J35" s="9" t="n">
        <v>76031</v>
      </c>
      <c r="K35" s="8" t="n">
        <v>45673</v>
      </c>
      <c r="L35" s="9" t="inlineStr">
        <is>
          <t>Active</t>
        </is>
      </c>
      <c r="M35" s="8" t="n">
        <v>45785</v>
      </c>
      <c r="N35" s="8" t="n"/>
      <c r="O35" s="8" t="n">
        <v>45674</v>
      </c>
      <c r="P35" s="8" t="n">
        <v>45854</v>
      </c>
      <c r="Q35" s="8" t="n"/>
      <c r="R35" s="9" t="inlineStr">
        <is>
          <t>New Construction</t>
        </is>
      </c>
      <c r="S35" s="9" t="inlineStr">
        <is>
          <t>General</t>
        </is>
      </c>
      <c r="T35" s="10" t="n">
        <v>252</v>
      </c>
      <c r="U35" s="10" t="n">
        <v>252</v>
      </c>
      <c r="V35" s="9" t="n"/>
      <c r="W35" s="9" t="n"/>
      <c r="X35" s="9" t="inlineStr">
        <is>
          <t>THF PFC</t>
        </is>
      </c>
      <c r="Y35" s="9" t="inlineStr">
        <is>
          <t>Other</t>
        </is>
      </c>
      <c r="Z35" s="11" t="n">
        <v>40000000</v>
      </c>
      <c r="AA35" s="11" t="n"/>
      <c r="AB35" s="11" t="n">
        <v>2926539</v>
      </c>
      <c r="AC35" s="11" t="n"/>
      <c r="AD35" s="11" t="n"/>
      <c r="AE35" s="11" t="n"/>
      <c r="AF35" s="9" t="inlineStr">
        <is>
          <t>N</t>
        </is>
      </c>
      <c r="AG35" s="9" t="inlineStr">
        <is>
          <t>Y</t>
        </is>
      </c>
      <c r="AH35" s="9" t="inlineStr">
        <is>
          <t>Y</t>
        </is>
      </c>
      <c r="AI35" s="9" t="n"/>
      <c r="AJ35" s="8" t="n"/>
      <c r="AK35" s="9" t="n"/>
      <c r="AL35" s="9" t="n"/>
      <c r="AM35" s="9" t="n"/>
      <c r="AN35" s="9" t="n"/>
      <c r="AO35" s="9" t="n"/>
      <c r="AP35" s="9" t="n"/>
      <c r="AQ35" s="9" t="n"/>
      <c r="AR35" s="9" t="n"/>
      <c r="AS35" s="9" t="n"/>
      <c r="AT35" s="8" t="n"/>
      <c r="AU35" s="8" t="n"/>
      <c r="AV35" s="9" t="n"/>
      <c r="AW35" s="8" t="n"/>
      <c r="AX35" s="9" t="n"/>
      <c r="AY35" s="9" t="n"/>
      <c r="AZ35" s="9" t="n"/>
      <c r="BA35" s="9" t="n"/>
      <c r="BB35" s="9" t="n"/>
      <c r="BC35" s="9" t="n"/>
      <c r="BD35" s="9" t="n"/>
      <c r="BE35" s="9" t="n"/>
      <c r="BF35" s="9" t="n"/>
      <c r="BG35" s="9" t="n"/>
      <c r="BH35" s="9" t="n"/>
      <c r="BI35" s="9" t="n"/>
      <c r="BJ35" s="9" t="n"/>
      <c r="BK35" s="9" t="n"/>
      <c r="BL35" s="9" t="n"/>
      <c r="BM35" s="9" t="n"/>
      <c r="BN35" s="9" t="n"/>
      <c r="BO35" s="8" t="n">
        <v>45673</v>
      </c>
      <c r="BP35" s="9" t="inlineStr">
        <is>
          <t>Y</t>
        </is>
      </c>
      <c r="BQ35" s="9" t="inlineStr">
        <is>
          <t>N</t>
        </is>
      </c>
      <c r="BR35" s="12">
        <f>IF(AND(AI35="Y",AK35="Y",AL35="Y",AM35="Y",AY35="Y",AZ35="Y",BA35="Y",BB35="Y",BC35="Y",BE35&lt;&gt;"Y",AX35&lt;&gt;"Y",BL35&lt;&gt;"Y",IF(AS35="Y",AV35="Y",TRUE)),"Y","N")</f>
        <v/>
      </c>
      <c r="BS35" s="12">
        <f>IF(AND(BR35="Y",OR(AND(BJ35="Y",BM35="Y"),AND(BK35="Y",BN35="Y"),AND(BJ35&lt;&gt;"Y",BK35&lt;&gt;"Y",OR(BM35="Y",BN35="Y")))),"Y","N")</f>
        <v/>
      </c>
      <c r="BT35" s="10" t="n">
        <v>32</v>
      </c>
      <c r="BU35" s="13" t="n"/>
      <c r="BV35" s="13" t="n"/>
      <c r="BW35" s="13" t="n"/>
      <c r="BX35" s="13" t="n"/>
      <c r="BY35" s="13" t="n"/>
      <c r="BZ35" s="13" t="n"/>
      <c r="CA35" s="14" t="n"/>
      <c r="CB35" s="13" t="n"/>
      <c r="CC35" s="9" t="inlineStr">
        <is>
          <t>construction_type mapped from raw 'NC' to 'New Construction'</t>
        </is>
      </c>
      <c r="CD35" s="9" t="inlineStr">
        <is>
          <t>Elena Harston</t>
        </is>
      </c>
      <c r="CE35" s="9" t="inlineStr">
        <is>
          <t>(925) 586-7619</t>
        </is>
      </c>
      <c r="CF35" s="9" t="inlineStr">
        <is>
          <t>eharston@kittleproperties.com</t>
        </is>
      </c>
      <c r="CG35" s="9" t="inlineStr">
        <is>
          <t>Jonathan Coreas</t>
        </is>
      </c>
      <c r="CH35" s="9" t="inlineStr">
        <is>
          <t>(830) 693‐8100</t>
        </is>
      </c>
    </row>
    <row r="36">
      <c r="A36" s="8" t="inlineStr">
        <is>
          <t>2025-03-10</t>
        </is>
      </c>
      <c r="B36" s="9" t="inlineStr">
        <is>
          <t>2025-03-10</t>
        </is>
      </c>
      <c r="C36" s="9" t="inlineStr">
        <is>
          <t>25445</t>
        </is>
      </c>
      <c r="D36" s="9" t="n"/>
      <c r="E36" s="9" t="inlineStr">
        <is>
          <t>Enclave at Sherman</t>
        </is>
      </c>
      <c r="F36" s="9" t="inlineStr">
        <is>
          <t>Sherman</t>
        </is>
      </c>
      <c r="G36" s="9" t="inlineStr">
        <is>
          <t>Grayson</t>
        </is>
      </c>
      <c r="H36" s="9" t="n">
        <v>3</v>
      </c>
      <c r="I36" s="9" t="inlineStr">
        <is>
          <t>2700 US-82</t>
        </is>
      </c>
      <c r="J36" s="9" t="n">
        <v>75090</v>
      </c>
      <c r="K36" s="8" t="n">
        <v>45679</v>
      </c>
      <c r="L36" s="9" t="inlineStr">
        <is>
          <t>Withdrawn</t>
        </is>
      </c>
      <c r="M36" s="8" t="n">
        <v>45785</v>
      </c>
      <c r="N36" s="8" t="n"/>
      <c r="O36" s="8" t="n">
        <v>45680</v>
      </c>
      <c r="P36" s="8" t="n">
        <v>45860</v>
      </c>
      <c r="Q36" s="8" t="n"/>
      <c r="R36" s="9" t="inlineStr">
        <is>
          <t>New Construction</t>
        </is>
      </c>
      <c r="S36" s="9" t="inlineStr">
        <is>
          <t>General</t>
        </is>
      </c>
      <c r="T36" s="10" t="n">
        <v>360</v>
      </c>
      <c r="U36" s="10" t="n">
        <v>360</v>
      </c>
      <c r="V36" s="9" t="n"/>
      <c r="W36" s="9" t="n"/>
      <c r="X36" s="9" t="inlineStr">
        <is>
          <t>THF PFC</t>
        </is>
      </c>
      <c r="Y36" s="9" t="inlineStr">
        <is>
          <t>Other</t>
        </is>
      </c>
      <c r="Z36" s="11" t="n">
        <v>50000000</v>
      </c>
      <c r="AA36" s="11" t="n"/>
      <c r="AB36" s="11" t="n">
        <v>3572847</v>
      </c>
      <c r="AC36" s="11" t="n"/>
      <c r="AD36" s="11" t="n"/>
      <c r="AE36" s="11" t="n"/>
      <c r="AF36" s="9" t="inlineStr">
        <is>
          <t>N</t>
        </is>
      </c>
      <c r="AG36" s="9" t="inlineStr">
        <is>
          <t>Y</t>
        </is>
      </c>
      <c r="AH36" s="9" t="inlineStr">
        <is>
          <t>Y</t>
        </is>
      </c>
      <c r="AI36" s="9" t="n"/>
      <c r="AJ36" s="8" t="n"/>
      <c r="AK36" s="9" t="n"/>
      <c r="AL36" s="9" t="n"/>
      <c r="AM36" s="9" t="n"/>
      <c r="AN36" s="9" t="n"/>
      <c r="AO36" s="9" t="n"/>
      <c r="AP36" s="9" t="n"/>
      <c r="AQ36" s="9" t="n"/>
      <c r="AR36" s="9" t="n"/>
      <c r="AS36" s="9" t="n"/>
      <c r="AT36" s="8" t="n"/>
      <c r="AU36" s="8" t="n"/>
      <c r="AV36" s="9" t="n"/>
      <c r="AW36" s="8" t="n"/>
      <c r="AX36" s="9" t="n"/>
      <c r="AY36" s="9" t="n"/>
      <c r="AZ36" s="9" t="n"/>
      <c r="BA36" s="9" t="n"/>
      <c r="BB36" s="9" t="n"/>
      <c r="BC36" s="9" t="n"/>
      <c r="BD36" s="9" t="n"/>
      <c r="BE36" s="9" t="n"/>
      <c r="BF36" s="9" t="n"/>
      <c r="BG36" s="9" t="n"/>
      <c r="BH36" s="9" t="n"/>
      <c r="BI36" s="9" t="n"/>
      <c r="BJ36" s="9" t="n"/>
      <c r="BK36" s="9" t="n"/>
      <c r="BL36" s="9" t="n"/>
      <c r="BM36" s="9" t="n"/>
      <c r="BN36" s="9" t="n"/>
      <c r="BO36" s="8" t="n">
        <v>45679</v>
      </c>
      <c r="BP36" s="9" t="inlineStr">
        <is>
          <t>Y</t>
        </is>
      </c>
      <c r="BQ36" s="9" t="inlineStr">
        <is>
          <t>N</t>
        </is>
      </c>
      <c r="BR36" s="12">
        <f>IF(AND(AI36="Y",AK36="Y",AL36="Y",AM36="Y",AY36="Y",AZ36="Y",BA36="Y",BB36="Y",BC36="Y",BE36&lt;&gt;"Y",AX36&lt;&gt;"Y",BL36&lt;&gt;"Y",IF(AS36="Y",AV36="Y",TRUE)),"Y","N")</f>
        <v/>
      </c>
      <c r="BS36" s="12">
        <f>IF(AND(BR36="Y",OR(AND(BJ36="Y",BM36="Y"),AND(BK36="Y",BN36="Y"),AND(BJ36&lt;&gt;"Y",BK36&lt;&gt;"Y",OR(BM36="Y",BN36="Y")))),"Y","N")</f>
        <v/>
      </c>
      <c r="BT36" s="10" t="n">
        <v>33</v>
      </c>
      <c r="BU36" s="13" t="n"/>
      <c r="BV36" s="13" t="n"/>
      <c r="BW36" s="13" t="n"/>
      <c r="BX36" s="13" t="n"/>
      <c r="BY36" s="13" t="n"/>
      <c r="BZ36" s="13" t="n"/>
      <c r="CA36" s="14" t="n"/>
      <c r="CB36" s="13" t="n"/>
      <c r="CC36" s="9" t="inlineStr">
        <is>
          <t>construction_type mapped from raw 'NC' to 'New Construction'</t>
        </is>
      </c>
      <c r="CD36" s="9" t="inlineStr">
        <is>
          <t>Mark Gregg</t>
        </is>
      </c>
      <c r="CE36" s="9" t="inlineStr">
        <is>
          <t>(210) 771-4127</t>
        </is>
      </c>
      <c r="CF36" s="9" t="inlineStr">
        <is>
          <t>mgregg@streamlineap.com</t>
        </is>
      </c>
      <c r="CG36" s="9" t="inlineStr">
        <is>
          <t>Allison Millihorn</t>
        </is>
      </c>
      <c r="CH36" s="9" t="inlineStr">
        <is>
          <t>(830) 693-8100</t>
        </is>
      </c>
    </row>
    <row r="37">
      <c r="A37" s="8" t="inlineStr">
        <is>
          <t>2025-03-10</t>
        </is>
      </c>
      <c r="B37" s="9" t="inlineStr">
        <is>
          <t>2025-03-10</t>
        </is>
      </c>
      <c r="C37" s="9" t="inlineStr">
        <is>
          <t>25418</t>
        </is>
      </c>
      <c r="D37" s="9" t="n"/>
      <c r="E37" s="9" t="inlineStr">
        <is>
          <t>Parmer North Apartments</t>
        </is>
      </c>
      <c r="F37" s="9" t="inlineStr">
        <is>
          <t>Pflugerville</t>
        </is>
      </c>
      <c r="G37" s="9" t="inlineStr">
        <is>
          <t>Travis</t>
        </is>
      </c>
      <c r="H37" s="9" t="n">
        <v>7</v>
      </c>
      <c r="I37" s="9" t="inlineStr">
        <is>
          <t>1420 E Howard Lane</t>
        </is>
      </c>
      <c r="J37" s="9" t="n">
        <v>78660</v>
      </c>
      <c r="K37" s="8" t="n">
        <v>45680</v>
      </c>
      <c r="L37" s="9" t="inlineStr">
        <is>
          <t>Active</t>
        </is>
      </c>
      <c r="M37" s="8" t="n">
        <v>45785</v>
      </c>
      <c r="N37" s="8" t="n"/>
      <c r="O37" s="8" t="n">
        <v>45680</v>
      </c>
      <c r="P37" s="8" t="n">
        <v>45860</v>
      </c>
      <c r="Q37" s="8" t="n"/>
      <c r="R37" s="9" t="inlineStr">
        <is>
          <t>New Construction</t>
        </is>
      </c>
      <c r="S37" s="9" t="inlineStr">
        <is>
          <t>General</t>
        </is>
      </c>
      <c r="T37" s="10" t="n">
        <v>288</v>
      </c>
      <c r="U37" s="10" t="n">
        <v>288</v>
      </c>
      <c r="V37" s="9" t="n"/>
      <c r="W37" s="9" t="n"/>
      <c r="X37" s="9" t="inlineStr">
        <is>
          <t>Travis County HFC</t>
        </is>
      </c>
      <c r="Y37" s="9" t="inlineStr">
        <is>
          <t>Local HFC</t>
        </is>
      </c>
      <c r="Z37" s="11" t="n">
        <v>40000000</v>
      </c>
      <c r="AA37" s="11" t="n"/>
      <c r="AB37" s="11" t="n">
        <v>2254150</v>
      </c>
      <c r="AC37" s="11" t="n"/>
      <c r="AD37" s="11" t="n"/>
      <c r="AE37" s="11" t="n"/>
      <c r="AF37" s="9" t="inlineStr">
        <is>
          <t>N</t>
        </is>
      </c>
      <c r="AG37" s="9" t="inlineStr">
        <is>
          <t>Y</t>
        </is>
      </c>
      <c r="AH37" s="9" t="n"/>
      <c r="AI37" s="9" t="n"/>
      <c r="AJ37" s="8" t="n"/>
      <c r="AK37" s="9" t="n"/>
      <c r="AL37" s="9" t="n"/>
      <c r="AM37" s="9" t="n"/>
      <c r="AN37" s="9" t="n"/>
      <c r="AO37" s="9" t="n"/>
      <c r="AP37" s="9" t="n"/>
      <c r="AQ37" s="9" t="n"/>
      <c r="AR37" s="9" t="n"/>
      <c r="AS37" s="9" t="n"/>
      <c r="AT37" s="8" t="n"/>
      <c r="AU37" s="8" t="n"/>
      <c r="AV37" s="9" t="n"/>
      <c r="AW37" s="8" t="n"/>
      <c r="AX37" s="9" t="n"/>
      <c r="AY37" s="9" t="n"/>
      <c r="AZ37" s="9" t="n"/>
      <c r="BA37" s="9" t="n"/>
      <c r="BB37" s="9" t="n"/>
      <c r="BC37" s="9" t="n"/>
      <c r="BD37" s="9" t="n"/>
      <c r="BE37" s="9" t="n"/>
      <c r="BF37" s="9" t="n"/>
      <c r="BG37" s="9" t="n"/>
      <c r="BH37" s="9" t="n"/>
      <c r="BI37" s="9" t="n"/>
      <c r="BJ37" s="9" t="n"/>
      <c r="BK37" s="9" t="n"/>
      <c r="BL37" s="9" t="n"/>
      <c r="BM37" s="9" t="n"/>
      <c r="BN37" s="9" t="n"/>
      <c r="BO37" s="8" t="n">
        <v>45680</v>
      </c>
      <c r="BP37" s="9" t="inlineStr">
        <is>
          <t>Y</t>
        </is>
      </c>
      <c r="BQ37" s="9" t="inlineStr">
        <is>
          <t>N</t>
        </is>
      </c>
      <c r="BR37" s="12">
        <f>IF(AND(AI37="Y",AK37="Y",AL37="Y",AM37="Y",AY37="Y",AZ37="Y",BA37="Y",BB37="Y",BC37="Y",BE37&lt;&gt;"Y",AX37&lt;&gt;"Y",BL37&lt;&gt;"Y",IF(AS37="Y",AV37="Y",TRUE)),"Y","N")</f>
        <v/>
      </c>
      <c r="BS37" s="12">
        <f>IF(AND(BR37="Y",OR(AND(BJ37="Y",BM37="Y"),AND(BK37="Y",BN37="Y"),AND(BJ37&lt;&gt;"Y",BK37&lt;&gt;"Y",OR(BM37="Y",BN37="Y")))),"Y","N")</f>
        <v/>
      </c>
      <c r="BT37" s="10" t="n">
        <v>34</v>
      </c>
      <c r="BU37" s="13" t="n"/>
      <c r="BV37" s="13" t="n"/>
      <c r="BW37" s="13" t="n"/>
      <c r="BX37" s="13" t="n"/>
      <c r="BY37" s="13" t="n"/>
      <c r="BZ37" s="13" t="n"/>
      <c r="CA37" s="14" t="n"/>
      <c r="CB37" s="13" t="n"/>
      <c r="CC37" s="9" t="inlineStr">
        <is>
          <t>construction_type mapped from raw 'NC' to 'New Construction'</t>
        </is>
      </c>
      <c r="CD37" s="9" t="inlineStr">
        <is>
          <t>Sam Kumar</t>
        </is>
      </c>
      <c r="CE37" s="9" t="inlineStr">
        <is>
          <t>(512) 247-7000</t>
        </is>
      </c>
      <c r="CF37" s="9" t="inlineStr">
        <is>
          <t>SKumar@journeymangroup.com</t>
        </is>
      </c>
      <c r="CG37" s="9" t="inlineStr">
        <is>
          <t>Christy Moffett</t>
        </is>
      </c>
      <c r="CH37" s="9" t="inlineStr">
        <is>
          <t>(512) 854-1161</t>
        </is>
      </c>
    </row>
    <row r="38">
      <c r="A38" s="8" t="inlineStr">
        <is>
          <t>2025-03-10</t>
        </is>
      </c>
      <c r="B38" s="9" t="inlineStr">
        <is>
          <t>2025-03-10</t>
        </is>
      </c>
      <c r="C38" s="9" t="inlineStr">
        <is>
          <t>25447</t>
        </is>
      </c>
      <c r="D38" s="9" t="n">
        <v>24490</v>
      </c>
      <c r="E38" s="9" t="inlineStr">
        <is>
          <t>Columbia Renaissance Square</t>
        </is>
      </c>
      <c r="F38" s="9" t="inlineStr">
        <is>
          <t>Fort Worth</t>
        </is>
      </c>
      <c r="G38" s="9" t="inlineStr">
        <is>
          <t>Tarrant</t>
        </is>
      </c>
      <c r="H38" s="9" t="n">
        <v>3</v>
      </c>
      <c r="I38" s="9" t="inlineStr">
        <is>
          <t>2757 Moresby Street</t>
        </is>
      </c>
      <c r="J38" s="9" t="n">
        <v>76105</v>
      </c>
      <c r="K38" s="8" t="n">
        <v>45684</v>
      </c>
      <c r="L38" s="9" t="inlineStr">
        <is>
          <t>Active</t>
        </is>
      </c>
      <c r="M38" s="8" t="n">
        <v>45757</v>
      </c>
      <c r="N38" s="8" t="n"/>
      <c r="O38" s="8" t="n">
        <v>45685</v>
      </c>
      <c r="P38" s="8" t="n">
        <v>45865</v>
      </c>
      <c r="Q38" s="8" t="n"/>
      <c r="R38" s="9" t="inlineStr">
        <is>
          <t>New Construction</t>
        </is>
      </c>
      <c r="S38" s="9" t="inlineStr">
        <is>
          <t>General</t>
        </is>
      </c>
      <c r="T38" s="10" t="n">
        <v>100</v>
      </c>
      <c r="U38" s="10" t="n">
        <v>100</v>
      </c>
      <c r="V38" s="9" t="n"/>
      <c r="W38" s="9" t="n"/>
      <c r="X38" s="9" t="inlineStr">
        <is>
          <t>Tarrant County HFC</t>
        </is>
      </c>
      <c r="Y38" s="9" t="inlineStr">
        <is>
          <t>Local HFC</t>
        </is>
      </c>
      <c r="Z38" s="11" t="n">
        <v>25000000</v>
      </c>
      <c r="AA38" s="11" t="n"/>
      <c r="AB38" s="11" t="n">
        <v>1465750</v>
      </c>
      <c r="AC38" s="11" t="n"/>
      <c r="AD38" s="11" t="n"/>
      <c r="AE38" s="11" t="n"/>
      <c r="AF38" s="9" t="inlineStr">
        <is>
          <t>N</t>
        </is>
      </c>
      <c r="AG38" s="9" t="inlineStr">
        <is>
          <t>N</t>
        </is>
      </c>
      <c r="AH38" s="9" t="n"/>
      <c r="AI38" s="9" t="n"/>
      <c r="AJ38" s="8" t="n"/>
      <c r="AK38" s="9" t="n"/>
      <c r="AL38" s="9" t="n"/>
      <c r="AM38" s="9" t="n"/>
      <c r="AN38" s="9" t="n"/>
      <c r="AO38" s="9" t="n"/>
      <c r="AP38" s="9" t="n"/>
      <c r="AQ38" s="9" t="n"/>
      <c r="AR38" s="9" t="n"/>
      <c r="AS38" s="9" t="n"/>
      <c r="AT38" s="8" t="n"/>
      <c r="AU38" s="8" t="n"/>
      <c r="AV38" s="9" t="n"/>
      <c r="AW38" s="8" t="n"/>
      <c r="AX38" s="9" t="n"/>
      <c r="AY38" s="9" t="n"/>
      <c r="AZ38" s="9" t="n"/>
      <c r="BA38" s="9" t="n"/>
      <c r="BB38" s="9" t="n"/>
      <c r="BC38" s="9" t="n"/>
      <c r="BD38" s="9" t="n"/>
      <c r="BE38" s="9" t="n"/>
      <c r="BF38" s="9" t="n"/>
      <c r="BG38" s="9" t="n"/>
      <c r="BH38" s="9" t="n"/>
      <c r="BI38" s="9" t="n"/>
      <c r="BJ38" s="9" t="n"/>
      <c r="BK38" s="9" t="n"/>
      <c r="BL38" s="9" t="n"/>
      <c r="BM38" s="9" t="n"/>
      <c r="BN38" s="9" t="n"/>
      <c r="BO38" s="8" t="n">
        <v>45684</v>
      </c>
      <c r="BP38" s="9" t="inlineStr">
        <is>
          <t>Y</t>
        </is>
      </c>
      <c r="BQ38" s="9" t="inlineStr">
        <is>
          <t>N</t>
        </is>
      </c>
      <c r="BR38" s="12">
        <f>IF(AND(AI38="Y",AK38="Y",AL38="Y",AM38="Y",AY38="Y",AZ38="Y",BA38="Y",BB38="Y",BC38="Y",BE38&lt;&gt;"Y",AX38&lt;&gt;"Y",BL38&lt;&gt;"Y",IF(AS38="Y",AV38="Y",TRUE)),"Y","N")</f>
        <v/>
      </c>
      <c r="BS38" s="12">
        <f>IF(AND(BR38="Y",OR(AND(BJ38="Y",BM38="Y"),AND(BK38="Y",BN38="Y"),AND(BJ38&lt;&gt;"Y",BK38&lt;&gt;"Y",OR(BM38="Y",BN38="Y")))),"Y","N")</f>
        <v/>
      </c>
      <c r="BT38" s="10" t="n">
        <v>36</v>
      </c>
      <c r="BU38" s="13" t="n"/>
      <c r="BV38" s="13" t="n"/>
      <c r="BW38" s="13" t="n"/>
      <c r="BX38" s="13" t="n"/>
      <c r="BY38" s="13" t="n"/>
      <c r="BZ38" s="13" t="n"/>
      <c r="CA38" s="14" t="n"/>
      <c r="CB38" s="13" t="n"/>
      <c r="CC38" s="9" t="inlineStr">
        <is>
          <t>construction_type mapped from raw 'NC' to 'New Construction'</t>
        </is>
      </c>
      <c r="CD38" s="9" t="inlineStr">
        <is>
          <t>Clara Trejos</t>
        </is>
      </c>
      <c r="CE38" s="9" t="inlineStr">
        <is>
          <t>(404) 867-6921</t>
        </is>
      </c>
      <c r="CF38" s="9" t="inlineStr">
        <is>
          <t>ctrejos@columbiares.com</t>
        </is>
      </c>
      <c r="CG38" s="9" t="inlineStr">
        <is>
          <t>Kristen Camareno</t>
        </is>
      </c>
      <c r="CH38" s="9" t="inlineStr">
        <is>
          <t>(817) 884-1965</t>
        </is>
      </c>
    </row>
    <row r="39">
      <c r="A39" s="8" t="inlineStr">
        <is>
          <t>2025-03-10</t>
        </is>
      </c>
      <c r="B39" s="9" t="inlineStr">
        <is>
          <t>2025-03-10</t>
        </is>
      </c>
      <c r="C39" s="9" t="inlineStr">
        <is>
          <t>25442</t>
        </is>
      </c>
      <c r="D39" s="9" t="n"/>
      <c r="E39" s="9" t="inlineStr">
        <is>
          <t>Palladium Buckner Station</t>
        </is>
      </c>
      <c r="F39" s="9" t="inlineStr">
        <is>
          <t>Dallas</t>
        </is>
      </c>
      <c r="G39" s="9" t="inlineStr">
        <is>
          <t>Dallas</t>
        </is>
      </c>
      <c r="H39" s="9" t="n">
        <v>3</v>
      </c>
      <c r="I39" s="9" t="inlineStr">
        <is>
          <t>8008 Elam Road</t>
        </is>
      </c>
      <c r="J39" s="9" t="n">
        <v>75217</v>
      </c>
      <c r="K39" s="8" t="n">
        <v>45684</v>
      </c>
      <c r="L39" s="9" t="inlineStr">
        <is>
          <t>Active</t>
        </is>
      </c>
      <c r="M39" s="8" t="n">
        <v>45785</v>
      </c>
      <c r="N39" s="8" t="n"/>
      <c r="O39" s="8" t="n">
        <v>45685</v>
      </c>
      <c r="P39" s="8" t="n">
        <v>45865</v>
      </c>
      <c r="Q39" s="8" t="n"/>
      <c r="R39" s="9" t="inlineStr">
        <is>
          <t>New Construction</t>
        </is>
      </c>
      <c r="S39" s="9" t="inlineStr">
        <is>
          <t>General</t>
        </is>
      </c>
      <c r="T39" s="10" t="n">
        <v>304</v>
      </c>
      <c r="U39" s="10" t="n">
        <v>244</v>
      </c>
      <c r="V39" s="9" t="n"/>
      <c r="W39" s="9" t="n"/>
      <c r="X39" s="9" t="inlineStr">
        <is>
          <t>City of Dallas HFC</t>
        </is>
      </c>
      <c r="Y39" s="9" t="inlineStr">
        <is>
          <t>Local HFC</t>
        </is>
      </c>
      <c r="Z39" s="11" t="n">
        <v>50000000</v>
      </c>
      <c r="AA39" s="11" t="n"/>
      <c r="AB39" s="11" t="n">
        <v>3390779</v>
      </c>
      <c r="AC39" s="11" t="n"/>
      <c r="AD39" s="11" t="n"/>
      <c r="AE39" s="11" t="n"/>
      <c r="AF39" s="9" t="inlineStr">
        <is>
          <t>N</t>
        </is>
      </c>
      <c r="AG39" s="9" t="inlineStr">
        <is>
          <t>Y</t>
        </is>
      </c>
      <c r="AH39" s="9" t="n"/>
      <c r="AI39" s="9" t="n"/>
      <c r="AJ39" s="8" t="n"/>
      <c r="AK39" s="9" t="n"/>
      <c r="AL39" s="9" t="n"/>
      <c r="AM39" s="9" t="n"/>
      <c r="AN39" s="9" t="n"/>
      <c r="AO39" s="9" t="n"/>
      <c r="AP39" s="9" t="n"/>
      <c r="AQ39" s="9" t="n"/>
      <c r="AR39" s="9" t="n"/>
      <c r="AS39" s="9" t="n"/>
      <c r="AT39" s="8" t="n"/>
      <c r="AU39" s="8" t="n"/>
      <c r="AV39" s="9" t="n"/>
      <c r="AW39" s="8" t="n"/>
      <c r="AX39" s="9" t="n"/>
      <c r="AY39" s="9" t="n"/>
      <c r="AZ39" s="9" t="n"/>
      <c r="BA39" s="9" t="n"/>
      <c r="BB39" s="9" t="n"/>
      <c r="BC39" s="9" t="n"/>
      <c r="BD39" s="9" t="n"/>
      <c r="BE39" s="9" t="n"/>
      <c r="BF39" s="9" t="n"/>
      <c r="BG39" s="9" t="n"/>
      <c r="BH39" s="9" t="n"/>
      <c r="BI39" s="9" t="n"/>
      <c r="BJ39" s="9" t="n"/>
      <c r="BK39" s="9" t="n"/>
      <c r="BL39" s="9" t="n"/>
      <c r="BM39" s="9" t="n"/>
      <c r="BN39" s="9" t="n"/>
      <c r="BO39" s="8" t="n">
        <v>45684</v>
      </c>
      <c r="BP39" s="9" t="inlineStr">
        <is>
          <t>Y</t>
        </is>
      </c>
      <c r="BQ39" s="9" t="inlineStr">
        <is>
          <t>N</t>
        </is>
      </c>
      <c r="BR39" s="12">
        <f>IF(AND(AI39="Y",AK39="Y",AL39="Y",AM39="Y",AY39="Y",AZ39="Y",BA39="Y",BB39="Y",BC39="Y",BE39&lt;&gt;"Y",AX39&lt;&gt;"Y",BL39&lt;&gt;"Y",IF(AS39="Y",AV39="Y",TRUE)),"Y","N")</f>
        <v/>
      </c>
      <c r="BS39" s="12">
        <f>IF(AND(BR39="Y",OR(AND(BJ39="Y",BM39="Y"),AND(BK39="Y",BN39="Y"),AND(BJ39&lt;&gt;"Y",BK39&lt;&gt;"Y",OR(BM39="Y",BN39="Y")))),"Y","N")</f>
        <v/>
      </c>
      <c r="BT39" s="10" t="n">
        <v>35</v>
      </c>
      <c r="BU39" s="13" t="n"/>
      <c r="BV39" s="13" t="n"/>
      <c r="BW39" s="13" t="n"/>
      <c r="BX39" s="13" t="n"/>
      <c r="BY39" s="13" t="n"/>
      <c r="BZ39" s="13" t="n"/>
      <c r="CA39" s="14" t="n"/>
      <c r="CB39" s="13" t="n"/>
      <c r="CC39" s="9" t="inlineStr">
        <is>
          <t>construction_type mapped from raw 'NC' to 'New Construction'</t>
        </is>
      </c>
      <c r="CD39" s="9" t="inlineStr">
        <is>
          <t>Thomas Huth</t>
        </is>
      </c>
      <c r="CE39" s="9" t="inlineStr">
        <is>
          <t>(972) 774-4400</t>
        </is>
      </c>
      <c r="CF39" s="9" t="inlineStr">
        <is>
          <t>thuth@palladiumusa.com</t>
        </is>
      </c>
      <c r="CG39" s="9" t="inlineStr">
        <is>
          <t>Aaron Eaquinto</t>
        </is>
      </c>
      <c r="CH39" s="9" t="inlineStr">
        <is>
          <t>(214) 670-4941</t>
        </is>
      </c>
    </row>
    <row r="40">
      <c r="A40" s="8" t="inlineStr">
        <is>
          <t>2025-03-10</t>
        </is>
      </c>
      <c r="B40" s="9" t="inlineStr">
        <is>
          <t>2025-03-10</t>
        </is>
      </c>
      <c r="C40" s="9" t="inlineStr">
        <is>
          <t>25451</t>
        </is>
      </c>
      <c r="D40" s="9" t="n">
        <v>24498</v>
      </c>
      <c r="E40" s="9" t="inlineStr">
        <is>
          <t>Mesa Hills I</t>
        </is>
      </c>
      <c r="F40" s="9" t="inlineStr">
        <is>
          <t>El Paso</t>
        </is>
      </c>
      <c r="G40" s="9" t="inlineStr">
        <is>
          <t>El Paso</t>
        </is>
      </c>
      <c r="H40" s="9" t="n">
        <v>13</v>
      </c>
      <c r="I40" s="9" t="inlineStr">
        <is>
          <t>Bluff Canyon Circle and S Mesa Hills Drive</t>
        </is>
      </c>
      <c r="J40" s="9" t="n">
        <v>79912</v>
      </c>
      <c r="K40" s="8" t="n">
        <v>45693</v>
      </c>
      <c r="L40" s="9" t="inlineStr">
        <is>
          <t>Active</t>
        </is>
      </c>
      <c r="M40" s="8" t="n">
        <v>45785</v>
      </c>
      <c r="N40" s="8" t="n"/>
      <c r="O40" s="8" t="n">
        <v>45667</v>
      </c>
      <c r="P40" s="8" t="n">
        <v>46387</v>
      </c>
      <c r="Q40" s="8" t="n"/>
      <c r="R40" s="9" t="inlineStr">
        <is>
          <t>New Construction</t>
        </is>
      </c>
      <c r="S40" s="9" t="inlineStr">
        <is>
          <t>General</t>
        </is>
      </c>
      <c r="T40" s="10" t="n">
        <v>64</v>
      </c>
      <c r="U40" s="10" t="n">
        <v>64</v>
      </c>
      <c r="V40" s="9" t="n"/>
      <c r="W40" s="9" t="n"/>
      <c r="X40" s="9" t="inlineStr">
        <is>
          <t>Alamito PFC</t>
        </is>
      </c>
      <c r="Y40" s="9" t="inlineStr">
        <is>
          <t>Other</t>
        </is>
      </c>
      <c r="Z40" s="11" t="n">
        <v>11115876</v>
      </c>
      <c r="AA40" s="11" t="n"/>
      <c r="AB40" s="11" t="n">
        <v>782057</v>
      </c>
      <c r="AC40" s="11" t="n"/>
      <c r="AD40" s="11" t="n"/>
      <c r="AE40" s="11" t="n"/>
      <c r="AF40" s="9" t="inlineStr">
        <is>
          <t>N</t>
        </is>
      </c>
      <c r="AG40" s="9" t="inlineStr">
        <is>
          <t>Y</t>
        </is>
      </c>
      <c r="AH40" s="9" t="inlineStr">
        <is>
          <t>Y</t>
        </is>
      </c>
      <c r="AI40" s="9" t="n"/>
      <c r="AJ40" s="8" t="n"/>
      <c r="AK40" s="9" t="n"/>
      <c r="AL40" s="9" t="n"/>
      <c r="AM40" s="9" t="n"/>
      <c r="AN40" s="9" t="n"/>
      <c r="AO40" s="9" t="n"/>
      <c r="AP40" s="9" t="n"/>
      <c r="AQ40" s="9" t="n"/>
      <c r="AR40" s="9" t="n"/>
      <c r="AS40" s="9" t="n"/>
      <c r="AT40" s="8" t="n"/>
      <c r="AU40" s="8" t="n"/>
      <c r="AV40" s="9" t="n"/>
      <c r="AW40" s="8" t="n"/>
      <c r="AX40" s="9" t="n"/>
      <c r="AY40" s="9" t="n"/>
      <c r="AZ40" s="9" t="n"/>
      <c r="BA40" s="9" t="n"/>
      <c r="BB40" s="9" t="n"/>
      <c r="BC40" s="9" t="n"/>
      <c r="BD40" s="9" t="n"/>
      <c r="BE40" s="9" t="n"/>
      <c r="BF40" s="9" t="n"/>
      <c r="BG40" s="9" t="n"/>
      <c r="BH40" s="9" t="n"/>
      <c r="BI40" s="9" t="n"/>
      <c r="BJ40" s="9" t="n"/>
      <c r="BK40" s="9" t="n"/>
      <c r="BL40" s="9" t="n"/>
      <c r="BM40" s="9" t="n"/>
      <c r="BN40" s="9" t="n"/>
      <c r="BO40" s="8" t="n">
        <v>45693</v>
      </c>
      <c r="BP40" s="9" t="inlineStr">
        <is>
          <t>N</t>
        </is>
      </c>
      <c r="BQ40" s="9" t="inlineStr">
        <is>
          <t>Y</t>
        </is>
      </c>
      <c r="BR40" s="12">
        <f>IF(AND(AI40="Y",AK40="Y",AL40="Y",AM40="Y",AY40="Y",AZ40="Y",BA40="Y",BB40="Y",BC40="Y",BE40&lt;&gt;"Y",AX40&lt;&gt;"Y",BL40&lt;&gt;"Y",IF(AS40="Y",AV40="Y",TRUE)),"Y","N")</f>
        <v/>
      </c>
      <c r="BS40" s="12">
        <f>IF(AND(BR40="Y",OR(AND(BJ40="Y",BM40="Y"),AND(BK40="Y",BN40="Y"),AND(BJ40&lt;&gt;"Y",BK40&lt;&gt;"Y",OR(BM40="Y",BN40="Y")))),"Y","N")</f>
        <v/>
      </c>
      <c r="BT40" s="10" t="n">
        <v>37</v>
      </c>
      <c r="BU40" s="13" t="n"/>
      <c r="BV40" s="13" t="n"/>
      <c r="BW40" s="13" t="n"/>
      <c r="BX40" s="13" t="n"/>
      <c r="BY40" s="13" t="n"/>
      <c r="BZ40" s="13" t="n"/>
      <c r="CA40" s="14" t="n"/>
      <c r="CB40" s="13" t="n"/>
      <c r="CC40" s="9" t="inlineStr">
        <is>
          <t>construction_type mapped from raw 'NC' to 'New Construction'</t>
        </is>
      </c>
      <c r="CD40" s="9" t="inlineStr">
        <is>
          <t>Satish Bhaskar</t>
        </is>
      </c>
      <c r="CE40" s="9" t="inlineStr">
        <is>
          <t>(915) 849-3730</t>
        </is>
      </c>
      <c r="CF40" s="9" t="inlineStr">
        <is>
          <t>sbhaskar@ephome.org</t>
        </is>
      </c>
      <c r="CG40" s="9" t="inlineStr">
        <is>
          <t>Satish Bhaskar</t>
        </is>
      </c>
      <c r="CH40" s="9" t="inlineStr">
        <is>
          <t>(915) 849-3730</t>
        </is>
      </c>
    </row>
    <row r="41">
      <c r="A41" s="8" t="inlineStr">
        <is>
          <t>2025-03-10</t>
        </is>
      </c>
      <c r="B41" s="9" t="inlineStr">
        <is>
          <t>2025-03-10</t>
        </is>
      </c>
      <c r="C41" s="9" t="inlineStr">
        <is>
          <t>25449</t>
        </is>
      </c>
      <c r="D41" s="9" t="n">
        <v>24481</v>
      </c>
      <c r="E41" s="9" t="inlineStr">
        <is>
          <t>Enclave on Louetta</t>
        </is>
      </c>
      <c r="F41" s="9" t="inlineStr">
        <is>
          <t>Spring</t>
        </is>
      </c>
      <c r="G41" s="9" t="inlineStr">
        <is>
          <t>Harris</t>
        </is>
      </c>
      <c r="H41" s="9" t="n">
        <v>6</v>
      </c>
      <c r="I41" s="9" t="inlineStr">
        <is>
          <t>2324 Louetta Road</t>
        </is>
      </c>
      <c r="J41" s="9" t="n">
        <v>77388</v>
      </c>
      <c r="K41" s="8" t="n">
        <v>45695</v>
      </c>
      <c r="L41" s="9" t="inlineStr">
        <is>
          <t>Active</t>
        </is>
      </c>
      <c r="M41" s="8" t="n">
        <v>45785</v>
      </c>
      <c r="N41" s="8" t="n"/>
      <c r="O41" s="8" t="n">
        <v>45680</v>
      </c>
      <c r="P41" s="8" t="n">
        <v>45860</v>
      </c>
      <c r="Q41" s="8" t="n"/>
      <c r="R41" s="9" t="inlineStr">
        <is>
          <t>New Construction</t>
        </is>
      </c>
      <c r="S41" s="9" t="inlineStr">
        <is>
          <t>General</t>
        </is>
      </c>
      <c r="T41" s="10" t="n">
        <v>358</v>
      </c>
      <c r="U41" s="10" t="n">
        <v>358</v>
      </c>
      <c r="V41" s="9" t="n"/>
      <c r="W41" s="9" t="n"/>
      <c r="X41" s="9" t="inlineStr">
        <is>
          <t>HHA Fountainview PFC</t>
        </is>
      </c>
      <c r="Y41" s="9" t="inlineStr">
        <is>
          <t>Other</t>
        </is>
      </c>
      <c r="Z41" s="11" t="n">
        <v>50000000</v>
      </c>
      <c r="AA41" s="11" t="n"/>
      <c r="AB41" s="11" t="n">
        <v>3651702</v>
      </c>
      <c r="AC41" s="11" t="n"/>
      <c r="AD41" s="11" t="n"/>
      <c r="AE41" s="11" t="n"/>
      <c r="AF41" s="9" t="inlineStr">
        <is>
          <t>N</t>
        </is>
      </c>
      <c r="AG41" s="9" t="inlineStr">
        <is>
          <t>Y</t>
        </is>
      </c>
      <c r="AH41" s="9" t="inlineStr">
        <is>
          <t>Y</t>
        </is>
      </c>
      <c r="AI41" s="9" t="n"/>
      <c r="AJ41" s="8" t="n"/>
      <c r="AK41" s="9" t="n"/>
      <c r="AL41" s="9" t="n"/>
      <c r="AM41" s="9" t="n"/>
      <c r="AN41" s="9" t="n"/>
      <c r="AO41" s="9" t="n"/>
      <c r="AP41" s="9" t="n"/>
      <c r="AQ41" s="9" t="n"/>
      <c r="AR41" s="9" t="n"/>
      <c r="AS41" s="9" t="n"/>
      <c r="AT41" s="8" t="n"/>
      <c r="AU41" s="8" t="n"/>
      <c r="AV41" s="9" t="n"/>
      <c r="AW41" s="8" t="n"/>
      <c r="AX41" s="9" t="n"/>
      <c r="AY41" s="9" t="n"/>
      <c r="AZ41" s="9" t="n"/>
      <c r="BA41" s="9" t="n"/>
      <c r="BB41" s="9" t="n"/>
      <c r="BC41" s="9" t="n"/>
      <c r="BD41" s="9" t="n"/>
      <c r="BE41" s="9" t="n"/>
      <c r="BF41" s="9" t="n"/>
      <c r="BG41" s="9" t="n"/>
      <c r="BH41" s="9" t="n"/>
      <c r="BI41" s="9" t="n"/>
      <c r="BJ41" s="9" t="n"/>
      <c r="BK41" s="9" t="n"/>
      <c r="BL41" s="9" t="n"/>
      <c r="BM41" s="9" t="n"/>
      <c r="BN41" s="9" t="n"/>
      <c r="BO41" s="8" t="n">
        <v>45695</v>
      </c>
      <c r="BP41" s="9" t="inlineStr">
        <is>
          <t>N</t>
        </is>
      </c>
      <c r="BQ41" s="9" t="inlineStr">
        <is>
          <t>Y</t>
        </is>
      </c>
      <c r="BR41" s="12">
        <f>IF(AND(AI41="Y",AK41="Y",AL41="Y",AM41="Y",AY41="Y",AZ41="Y",BA41="Y",BB41="Y",BC41="Y",BE41&lt;&gt;"Y",AX41&lt;&gt;"Y",BL41&lt;&gt;"Y",IF(AS41="Y",AV41="Y",TRUE)),"Y","N")</f>
        <v/>
      </c>
      <c r="BS41" s="12">
        <f>IF(AND(BR41="Y",OR(AND(BJ41="Y",BM41="Y"),AND(BK41="Y",BN41="Y"),AND(BJ41&lt;&gt;"Y",BK41&lt;&gt;"Y",OR(BM41="Y",BN41="Y")))),"Y","N")</f>
        <v/>
      </c>
      <c r="BT41" s="10" t="n">
        <v>38</v>
      </c>
      <c r="BU41" s="13" t="n"/>
      <c r="BV41" s="13" t="n"/>
      <c r="BW41" s="13" t="n"/>
      <c r="BX41" s="13" t="n"/>
      <c r="BY41" s="13" t="n"/>
      <c r="BZ41" s="13" t="n"/>
      <c r="CA41" s="14" t="n"/>
      <c r="CB41" s="13" t="n"/>
      <c r="CC41" s="9" t="inlineStr">
        <is>
          <t>construction_type mapped from raw 'NC' to 'New Construction'</t>
        </is>
      </c>
      <c r="CD41" s="9" t="inlineStr">
        <is>
          <t>Mark Gregg</t>
        </is>
      </c>
      <c r="CE41" s="9" t="inlineStr">
        <is>
          <t>(210) 771-4127</t>
        </is>
      </c>
      <c r="CF41" s="9" t="inlineStr">
        <is>
          <t>mgregg@streamlineap.com</t>
        </is>
      </c>
      <c r="CG41" s="9" t="inlineStr">
        <is>
          <t>Jennine Hovell-Cox</t>
        </is>
      </c>
      <c r="CH41" s="9" t="inlineStr">
        <is>
          <t>(713) 260-0501</t>
        </is>
      </c>
    </row>
    <row r="42">
      <c r="A42" s="8" t="inlineStr">
        <is>
          <t>2025-03-10</t>
        </is>
      </c>
      <c r="B42" s="9" t="inlineStr">
        <is>
          <t>2025-03-10</t>
        </is>
      </c>
      <c r="C42" s="9" t="inlineStr">
        <is>
          <t>25408</t>
        </is>
      </c>
      <c r="D42" s="9" t="inlineStr">
        <is>
          <t>060425</t>
        </is>
      </c>
      <c r="E42" s="9" t="inlineStr">
        <is>
          <t>Baypointe Apartments</t>
        </is>
      </c>
      <c r="F42" s="9" t="inlineStr">
        <is>
          <t>Webster</t>
        </is>
      </c>
      <c r="G42" s="9" t="inlineStr">
        <is>
          <t>Harris</t>
        </is>
      </c>
      <c r="H42" s="9" t="n">
        <v>6</v>
      </c>
      <c r="I42" s="9" t="inlineStr">
        <is>
          <t>901 S. Kobayashi Road</t>
        </is>
      </c>
      <c r="J42" s="9" t="n">
        <v>77598</v>
      </c>
      <c r="K42" s="8" t="n">
        <v>45700</v>
      </c>
      <c r="L42" s="9" t="inlineStr">
        <is>
          <t>Active</t>
        </is>
      </c>
      <c r="M42" s="8" t="n">
        <v>45785</v>
      </c>
      <c r="N42" s="8" t="n"/>
      <c r="O42" s="8" t="n">
        <v>45709</v>
      </c>
      <c r="P42" s="8" t="n">
        <v>45889</v>
      </c>
      <c r="Q42" s="8" t="n"/>
      <c r="R42" s="9" t="inlineStr">
        <is>
          <t>Acq/Rehab</t>
        </is>
      </c>
      <c r="S42" s="9" t="inlineStr">
        <is>
          <t>General</t>
        </is>
      </c>
      <c r="T42" s="10" t="n">
        <v>236</v>
      </c>
      <c r="U42" s="10" t="n">
        <v>236</v>
      </c>
      <c r="V42" s="9" t="n"/>
      <c r="W42" s="9" t="n"/>
      <c r="X42" s="9" t="inlineStr">
        <is>
          <t>Harris County HFC</t>
        </is>
      </c>
      <c r="Y42" s="9" t="inlineStr">
        <is>
          <t>Local HFC</t>
        </is>
      </c>
      <c r="Z42" s="11" t="n">
        <v>35000000</v>
      </c>
      <c r="AA42" s="11" t="n"/>
      <c r="AB42" s="11" t="n">
        <v>2229072</v>
      </c>
      <c r="AC42" s="11" t="n"/>
      <c r="AD42" s="11" t="n"/>
      <c r="AE42" s="11" t="n"/>
      <c r="AF42" s="9" t="inlineStr">
        <is>
          <t>N</t>
        </is>
      </c>
      <c r="AG42" s="9" t="inlineStr">
        <is>
          <t>Y</t>
        </is>
      </c>
      <c r="AH42" s="9" t="n"/>
      <c r="AI42" s="9" t="n"/>
      <c r="AJ42" s="8" t="n"/>
      <c r="AK42" s="9" t="n"/>
      <c r="AL42" s="9" t="n"/>
      <c r="AM42" s="9" t="n"/>
      <c r="AN42" s="9" t="n"/>
      <c r="AO42" s="9" t="n"/>
      <c r="AP42" s="9" t="n"/>
      <c r="AQ42" s="9" t="n"/>
      <c r="AR42" s="9" t="n"/>
      <c r="AS42" s="9" t="n"/>
      <c r="AT42" s="8" t="n"/>
      <c r="AU42" s="8" t="n"/>
      <c r="AV42" s="9" t="n"/>
      <c r="AW42" s="8" t="n"/>
      <c r="AX42" s="9" t="n"/>
      <c r="AY42" s="9" t="n"/>
      <c r="AZ42" s="9" t="n"/>
      <c r="BA42" s="9" t="n"/>
      <c r="BB42" s="9" t="n"/>
      <c r="BC42" s="9" t="n"/>
      <c r="BD42" s="9" t="n"/>
      <c r="BE42" s="9" t="n"/>
      <c r="BF42" s="9" t="n"/>
      <c r="BG42" s="9" t="n"/>
      <c r="BH42" s="9" t="n"/>
      <c r="BI42" s="9" t="n"/>
      <c r="BJ42" s="9" t="n"/>
      <c r="BK42" s="9" t="n"/>
      <c r="BL42" s="9" t="n"/>
      <c r="BM42" s="9" t="n"/>
      <c r="BN42" s="9" t="n"/>
      <c r="BO42" s="8" t="n">
        <v>45700</v>
      </c>
      <c r="BP42" s="9" t="inlineStr">
        <is>
          <t>N</t>
        </is>
      </c>
      <c r="BQ42" s="9" t="inlineStr">
        <is>
          <t>Y</t>
        </is>
      </c>
      <c r="BR42" s="12">
        <f>IF(AND(AI42="Y",AK42="Y",AL42="Y",AM42="Y",AY42="Y",AZ42="Y",BA42="Y",BB42="Y",BC42="Y",BE42&lt;&gt;"Y",AX42&lt;&gt;"Y",BL42&lt;&gt;"Y",IF(AS42="Y",AV42="Y",TRUE)),"Y","N")</f>
        <v/>
      </c>
      <c r="BS42" s="12">
        <f>IF(AND(BR42="Y",OR(AND(BJ42="Y",BM42="Y"),AND(BK42="Y",BN42="Y"),AND(BJ42&lt;&gt;"Y",BK42&lt;&gt;"Y",OR(BM42="Y",BN42="Y")))),"Y","N")</f>
        <v/>
      </c>
      <c r="BT42" s="10" t="n">
        <v>39</v>
      </c>
      <c r="BU42" s="13" t="n"/>
      <c r="BV42" s="13" t="n"/>
      <c r="BW42" s="13" t="n"/>
      <c r="BX42" s="13" t="n"/>
      <c r="BY42" s="13" t="n"/>
      <c r="BZ42" s="13" t="n"/>
      <c r="CA42" s="14" t="n"/>
      <c r="CB42" s="13" t="n"/>
      <c r="CC42" s="9" t="n"/>
      <c r="CD42" s="9" t="inlineStr">
        <is>
          <t>Brad Fisher</t>
        </is>
      </c>
      <c r="CE42" s="9" t="inlineStr">
        <is>
          <t>(913) 787-1676</t>
        </is>
      </c>
      <c r="CF42" s="9" t="inlineStr">
        <is>
          <t>bfisher@aprilhousing.com</t>
        </is>
      </c>
      <c r="CG42" s="9" t="inlineStr">
        <is>
          <t>Rene Martinez</t>
        </is>
      </c>
      <c r="CH42" s="9" t="inlineStr">
        <is>
          <t>(832) 927-4955</t>
        </is>
      </c>
    </row>
    <row r="43">
      <c r="A43" s="8" t="inlineStr">
        <is>
          <t>2025-03-10</t>
        </is>
      </c>
      <c r="B43" s="9" t="inlineStr">
        <is>
          <t>2025-03-10</t>
        </is>
      </c>
      <c r="C43" s="9" t="inlineStr">
        <is>
          <t>25414</t>
        </is>
      </c>
      <c r="D43" s="9" t="n"/>
      <c r="E43" s="9" t="inlineStr">
        <is>
          <t>Enclave at Crosby</t>
        </is>
      </c>
      <c r="F43" s="9" t="inlineStr">
        <is>
          <t>Crosby</t>
        </is>
      </c>
      <c r="G43" s="9" t="inlineStr">
        <is>
          <t>Harris</t>
        </is>
      </c>
      <c r="H43" s="9" t="n">
        <v>6</v>
      </c>
      <c r="I43" s="9" t="inlineStr">
        <is>
          <t>15119 FM 2100 Road</t>
        </is>
      </c>
      <c r="J43" s="9" t="n">
        <v>77532</v>
      </c>
      <c r="K43" s="8" t="n">
        <v>45706</v>
      </c>
      <c r="L43" s="9" t="inlineStr">
        <is>
          <t>Active</t>
        </is>
      </c>
      <c r="M43" s="8" t="n">
        <v>45820</v>
      </c>
      <c r="N43" s="8" t="n"/>
      <c r="O43" s="8" t="n">
        <v>45709</v>
      </c>
      <c r="P43" s="8" t="n">
        <v>45889</v>
      </c>
      <c r="Q43" s="8" t="n"/>
      <c r="R43" s="9" t="inlineStr">
        <is>
          <t>New Construction</t>
        </is>
      </c>
      <c r="S43" s="9" t="inlineStr">
        <is>
          <t>General</t>
        </is>
      </c>
      <c r="T43" s="10" t="n">
        <v>366</v>
      </c>
      <c r="U43" s="10" t="n">
        <v>366</v>
      </c>
      <c r="V43" s="9" t="n"/>
      <c r="W43" s="9" t="n"/>
      <c r="X43" s="9" t="inlineStr">
        <is>
          <t>Harris County HFC</t>
        </is>
      </c>
      <c r="Y43" s="9" t="inlineStr">
        <is>
          <t>Local HFC</t>
        </is>
      </c>
      <c r="Z43" s="11" t="n">
        <v>50000000</v>
      </c>
      <c r="AA43" s="11" t="n"/>
      <c r="AB43" s="11" t="n">
        <v>3701470</v>
      </c>
      <c r="AC43" s="11" t="n"/>
      <c r="AD43" s="11" t="n"/>
      <c r="AE43" s="11" t="n"/>
      <c r="AF43" s="9" t="inlineStr">
        <is>
          <t>N</t>
        </is>
      </c>
      <c r="AG43" s="9" t="inlineStr">
        <is>
          <t>Y</t>
        </is>
      </c>
      <c r="AH43" s="9" t="n"/>
      <c r="AI43" s="9" t="n"/>
      <c r="AJ43" s="8" t="n"/>
      <c r="AK43" s="9" t="n"/>
      <c r="AL43" s="9" t="n"/>
      <c r="AM43" s="9" t="n"/>
      <c r="AN43" s="9" t="n"/>
      <c r="AO43" s="9" t="n"/>
      <c r="AP43" s="9" t="n"/>
      <c r="AQ43" s="9" t="n"/>
      <c r="AR43" s="9" t="n"/>
      <c r="AS43" s="9" t="n"/>
      <c r="AT43" s="8" t="n"/>
      <c r="AU43" s="8" t="n"/>
      <c r="AV43" s="9" t="n"/>
      <c r="AW43" s="8" t="n"/>
      <c r="AX43" s="9" t="n"/>
      <c r="AY43" s="9" t="n"/>
      <c r="AZ43" s="9" t="n"/>
      <c r="BA43" s="9" t="n"/>
      <c r="BB43" s="9" t="n"/>
      <c r="BC43" s="9" t="n"/>
      <c r="BD43" s="9" t="n"/>
      <c r="BE43" s="9" t="n"/>
      <c r="BF43" s="9" t="n"/>
      <c r="BG43" s="9" t="n"/>
      <c r="BH43" s="9" t="n"/>
      <c r="BI43" s="9" t="n"/>
      <c r="BJ43" s="9" t="n"/>
      <c r="BK43" s="9" t="n"/>
      <c r="BL43" s="9" t="n"/>
      <c r="BM43" s="9" t="n"/>
      <c r="BN43" s="9" t="n"/>
      <c r="BO43" s="8" t="n">
        <v>45706</v>
      </c>
      <c r="BP43" s="9" t="inlineStr">
        <is>
          <t>N</t>
        </is>
      </c>
      <c r="BQ43" s="9" t="inlineStr">
        <is>
          <t>Y</t>
        </is>
      </c>
      <c r="BR43" s="12">
        <f>IF(AND(AI43="Y",AK43="Y",AL43="Y",AM43="Y",AY43="Y",AZ43="Y",BA43="Y",BB43="Y",BC43="Y",BE43&lt;&gt;"Y",AX43&lt;&gt;"Y",BL43&lt;&gt;"Y",IF(AS43="Y",AV43="Y",TRUE)),"Y","N")</f>
        <v/>
      </c>
      <c r="BS43" s="12">
        <f>IF(AND(BR43="Y",OR(AND(BJ43="Y",BM43="Y"),AND(BK43="Y",BN43="Y"),AND(BJ43&lt;&gt;"Y",BK43&lt;&gt;"Y",OR(BM43="Y",BN43="Y")))),"Y","N")</f>
        <v/>
      </c>
      <c r="BT43" s="10" t="n">
        <v>40</v>
      </c>
      <c r="BU43" s="13" t="n"/>
      <c r="BV43" s="13" t="n"/>
      <c r="BW43" s="13" t="n"/>
      <c r="BX43" s="13" t="n"/>
      <c r="BY43" s="13" t="n"/>
      <c r="BZ43" s="13" t="n"/>
      <c r="CA43" s="14" t="n"/>
      <c r="CB43" s="13" t="n"/>
      <c r="CC43" s="9" t="inlineStr">
        <is>
          <t>construction_type mapped from raw 'NC' to 'New Construction'</t>
        </is>
      </c>
      <c r="CD43" s="9" t="inlineStr">
        <is>
          <t>Mark Gregg</t>
        </is>
      </c>
      <c r="CE43" s="9" t="inlineStr">
        <is>
          <t>(210) 771-4127</t>
        </is>
      </c>
      <c r="CF43" s="9" t="inlineStr">
        <is>
          <t>mgregg@streamlineap.com</t>
        </is>
      </c>
      <c r="CG43" s="9" t="inlineStr">
        <is>
          <t>Rene Martinez</t>
        </is>
      </c>
      <c r="CH43" s="9" t="inlineStr">
        <is>
          <t>(832) 927-4955</t>
        </is>
      </c>
    </row>
    <row r="44">
      <c r="A44" s="8" t="inlineStr">
        <is>
          <t>2025-03-10</t>
        </is>
      </c>
      <c r="B44" s="9" t="inlineStr">
        <is>
          <t>2025-03-10</t>
        </is>
      </c>
      <c r="C44" s="9" t="inlineStr">
        <is>
          <t>25424</t>
        </is>
      </c>
      <c r="D44" s="9" t="n"/>
      <c r="E44" s="9" t="inlineStr">
        <is>
          <t>Branchview Apartments</t>
        </is>
      </c>
      <c r="F44" s="9" t="inlineStr">
        <is>
          <t>Pflugerville</t>
        </is>
      </c>
      <c r="G44" s="9" t="inlineStr">
        <is>
          <t>Travis</t>
        </is>
      </c>
      <c r="H44" s="9" t="n">
        <v>7</v>
      </c>
      <c r="I44" s="9" t="inlineStr">
        <is>
          <t>14411 Immanuel Road</t>
        </is>
      </c>
      <c r="J44" s="9" t="n">
        <v>78660</v>
      </c>
      <c r="K44" s="8" t="n">
        <v>45715</v>
      </c>
      <c r="L44" s="9" t="inlineStr">
        <is>
          <t>Active</t>
        </is>
      </c>
      <c r="M44" s="8" t="n">
        <v>45820</v>
      </c>
      <c r="N44" s="8" t="n"/>
      <c r="O44" s="8" t="n">
        <v>45715</v>
      </c>
      <c r="P44" s="8" t="n">
        <v>45895</v>
      </c>
      <c r="Q44" s="8" t="n"/>
      <c r="R44" s="9" t="inlineStr">
        <is>
          <t>New Construction</t>
        </is>
      </c>
      <c r="S44" s="9" t="inlineStr">
        <is>
          <t>General</t>
        </is>
      </c>
      <c r="T44" s="10" t="n">
        <v>330</v>
      </c>
      <c r="U44" s="10" t="n">
        <v>330</v>
      </c>
      <c r="V44" s="9" t="n"/>
      <c r="W44" s="9" t="n"/>
      <c r="X44" s="9" t="inlineStr">
        <is>
          <t>Strategic HFC of Travis County</t>
        </is>
      </c>
      <c r="Y44" s="9" t="inlineStr">
        <is>
          <t>Local HFC</t>
        </is>
      </c>
      <c r="Z44" s="11" t="n">
        <v>42000000</v>
      </c>
      <c r="AA44" s="11" t="n"/>
      <c r="AB44" s="11" t="n">
        <v>2358288</v>
      </c>
      <c r="AC44" s="11" t="n"/>
      <c r="AD44" s="11" t="n"/>
      <c r="AE44" s="11" t="n"/>
      <c r="AF44" s="9" t="inlineStr">
        <is>
          <t>N</t>
        </is>
      </c>
      <c r="AG44" s="9" t="inlineStr">
        <is>
          <t>Y</t>
        </is>
      </c>
      <c r="AH44" s="9" t="n"/>
      <c r="AI44" s="9" t="n"/>
      <c r="AJ44" s="8" t="n"/>
      <c r="AK44" s="9" t="n"/>
      <c r="AL44" s="9" t="n"/>
      <c r="AM44" s="9" t="n"/>
      <c r="AN44" s="9" t="n"/>
      <c r="AO44" s="9" t="n"/>
      <c r="AP44" s="9" t="n"/>
      <c r="AQ44" s="9" t="n"/>
      <c r="AR44" s="9" t="n"/>
      <c r="AS44" s="9" t="n"/>
      <c r="AT44" s="8" t="n"/>
      <c r="AU44" s="8" t="n"/>
      <c r="AV44" s="9" t="n"/>
      <c r="AW44" s="8" t="n"/>
      <c r="AX44" s="9" t="n"/>
      <c r="AY44" s="9" t="n"/>
      <c r="AZ44" s="9" t="n"/>
      <c r="BA44" s="9" t="n"/>
      <c r="BB44" s="9" t="n"/>
      <c r="BC44" s="9" t="n"/>
      <c r="BD44" s="9" t="n"/>
      <c r="BE44" s="9" t="n"/>
      <c r="BF44" s="9" t="n"/>
      <c r="BG44" s="9" t="n"/>
      <c r="BH44" s="9" t="n"/>
      <c r="BI44" s="9" t="n"/>
      <c r="BJ44" s="9" t="n"/>
      <c r="BK44" s="9" t="n"/>
      <c r="BL44" s="9" t="n"/>
      <c r="BM44" s="9" t="n"/>
      <c r="BN44" s="9" t="n"/>
      <c r="BO44" s="8" t="n">
        <v>45715</v>
      </c>
      <c r="BP44" s="9" t="inlineStr">
        <is>
          <t>N</t>
        </is>
      </c>
      <c r="BQ44" s="9" t="inlineStr">
        <is>
          <t>Y</t>
        </is>
      </c>
      <c r="BR44" s="12">
        <f>IF(AND(AI44="Y",AK44="Y",AL44="Y",AM44="Y",AY44="Y",AZ44="Y",BA44="Y",BB44="Y",BC44="Y",BE44&lt;&gt;"Y",AX44&lt;&gt;"Y",BL44&lt;&gt;"Y",IF(AS44="Y",AV44="Y",TRUE)),"Y","N")</f>
        <v/>
      </c>
      <c r="BS44" s="12">
        <f>IF(AND(BR44="Y",OR(AND(BJ44="Y",BM44="Y"),AND(BK44="Y",BN44="Y"),AND(BJ44&lt;&gt;"Y",BK44&lt;&gt;"Y",OR(BM44="Y",BN44="Y")))),"Y","N")</f>
        <v/>
      </c>
      <c r="BT44" s="10" t="n">
        <v>41</v>
      </c>
      <c r="BU44" s="13" t="n"/>
      <c r="BV44" s="13" t="n"/>
      <c r="BW44" s="13" t="n"/>
      <c r="BX44" s="13" t="n"/>
      <c r="BY44" s="13" t="n"/>
      <c r="BZ44" s="13" t="n"/>
      <c r="CA44" s="14" t="n"/>
      <c r="CB44" s="13" t="n"/>
      <c r="CC44" s="9" t="inlineStr">
        <is>
          <t>construction_type mapped from raw 'NC' to 'New Construction'</t>
        </is>
      </c>
      <c r="CD44" s="9" t="inlineStr">
        <is>
          <t>Sam Kumar</t>
        </is>
      </c>
      <c r="CE44" s="9" t="inlineStr">
        <is>
          <t>(512) 247-7000</t>
        </is>
      </c>
      <c r="CF44" s="9" t="inlineStr">
        <is>
          <t>SKumar@journeymangroup.com</t>
        </is>
      </c>
      <c r="CG44" s="9" t="inlineStr">
        <is>
          <t>Dianna Grey</t>
        </is>
      </c>
      <c r="CH44" s="9" t="inlineStr">
        <is>
          <t>512‐562‐9204</t>
        </is>
      </c>
    </row>
    <row r="45">
      <c r="A45" s="8" t="inlineStr">
        <is>
          <t>2025-03-10</t>
        </is>
      </c>
      <c r="B45" s="9" t="inlineStr">
        <is>
          <t>2025-03-10</t>
        </is>
      </c>
      <c r="C45" s="9" t="inlineStr">
        <is>
          <t>25450</t>
        </is>
      </c>
      <c r="D45" s="9" t="n"/>
      <c r="E45" s="9" t="inlineStr">
        <is>
          <t>Little Elm Family Apartments</t>
        </is>
      </c>
      <c r="F45" s="9" t="inlineStr">
        <is>
          <t>Little Elm</t>
        </is>
      </c>
      <c r="G45" s="9" t="inlineStr">
        <is>
          <t>Denton</t>
        </is>
      </c>
      <c r="H45" s="9" t="n">
        <v>3</v>
      </c>
      <c r="I45" s="9" t="inlineStr">
        <is>
          <t>3655 FM 720</t>
        </is>
      </c>
      <c r="J45" s="9" t="n">
        <v>75068</v>
      </c>
      <c r="K45" s="8" t="n">
        <v>45719</v>
      </c>
      <c r="L45" s="9" t="inlineStr">
        <is>
          <t>Active</t>
        </is>
      </c>
      <c r="M45" s="8" t="n">
        <v>45820</v>
      </c>
      <c r="N45" s="8" t="n"/>
      <c r="O45" s="8" t="n">
        <v>45709</v>
      </c>
      <c r="P45" s="8" t="n">
        <v>45889</v>
      </c>
      <c r="Q45" s="8" t="n"/>
      <c r="R45" s="9" t="inlineStr">
        <is>
          <t>New Construction</t>
        </is>
      </c>
      <c r="S45" s="9" t="inlineStr">
        <is>
          <t>General</t>
        </is>
      </c>
      <c r="T45" s="10" t="n">
        <v>288</v>
      </c>
      <c r="U45" s="10" t="n">
        <v>288</v>
      </c>
      <c r="V45" s="9" t="n"/>
      <c r="W45" s="9" t="n"/>
      <c r="X45" s="9" t="inlineStr">
        <is>
          <t>THF PFC</t>
        </is>
      </c>
      <c r="Y45" s="9" t="inlineStr">
        <is>
          <t>Other</t>
        </is>
      </c>
      <c r="Z45" s="11" t="n">
        <v>69152737</v>
      </c>
      <c r="AA45" s="11" t="n"/>
      <c r="AB45" s="11" t="n">
        <v>5384306</v>
      </c>
      <c r="AC45" s="11" t="n"/>
      <c r="AD45" s="11" t="n"/>
      <c r="AE45" s="11" t="n"/>
      <c r="AF45" s="9" t="inlineStr">
        <is>
          <t>N</t>
        </is>
      </c>
      <c r="AG45" s="9" t="inlineStr">
        <is>
          <t>Y</t>
        </is>
      </c>
      <c r="AH45" s="9" t="inlineStr">
        <is>
          <t>Y</t>
        </is>
      </c>
      <c r="AI45" s="9" t="n"/>
      <c r="AJ45" s="8" t="n"/>
      <c r="AK45" s="9" t="n"/>
      <c r="AL45" s="9" t="n"/>
      <c r="AM45" s="9" t="n"/>
      <c r="AN45" s="9" t="n"/>
      <c r="AO45" s="9" t="n"/>
      <c r="AP45" s="9" t="n"/>
      <c r="AQ45" s="9" t="n"/>
      <c r="AR45" s="9" t="n"/>
      <c r="AS45" s="9" t="n"/>
      <c r="AT45" s="8" t="n"/>
      <c r="AU45" s="8" t="n"/>
      <c r="AV45" s="9" t="n"/>
      <c r="AW45" s="8" t="n"/>
      <c r="AX45" s="9" t="n"/>
      <c r="AY45" s="9" t="n"/>
      <c r="AZ45" s="9" t="n"/>
      <c r="BA45" s="9" t="n"/>
      <c r="BB45" s="9" t="n"/>
      <c r="BC45" s="9" t="n"/>
      <c r="BD45" s="9" t="n"/>
      <c r="BE45" s="9" t="n"/>
      <c r="BF45" s="9" t="n"/>
      <c r="BG45" s="9" t="n"/>
      <c r="BH45" s="9" t="n"/>
      <c r="BI45" s="9" t="n"/>
      <c r="BJ45" s="9" t="n"/>
      <c r="BK45" s="9" t="n"/>
      <c r="BL45" s="9" t="n"/>
      <c r="BM45" s="9" t="n"/>
      <c r="BN45" s="9" t="n"/>
      <c r="BO45" s="8" t="n">
        <v>45719</v>
      </c>
      <c r="BP45" s="9" t="inlineStr">
        <is>
          <t>N</t>
        </is>
      </c>
      <c r="BQ45" s="9" t="inlineStr">
        <is>
          <t>Y</t>
        </is>
      </c>
      <c r="BR45" s="12">
        <f>IF(AND(AI45="Y",AK45="Y",AL45="Y",AM45="Y",AY45="Y",AZ45="Y",BA45="Y",BB45="Y",BC45="Y",BE45&lt;&gt;"Y",AX45&lt;&gt;"Y",BL45&lt;&gt;"Y",IF(AS45="Y",AV45="Y",TRUE)),"Y","N")</f>
        <v/>
      </c>
      <c r="BS45" s="12">
        <f>IF(AND(BR45="Y",OR(AND(BJ45="Y",BM45="Y"),AND(BK45="Y",BN45="Y"),AND(BJ45&lt;&gt;"Y",BK45&lt;&gt;"Y",OR(BM45="Y",BN45="Y")))),"Y","N")</f>
        <v/>
      </c>
      <c r="BT45" s="10" t="n">
        <v>42</v>
      </c>
      <c r="BU45" s="13" t="n"/>
      <c r="BV45" s="13" t="n"/>
      <c r="BW45" s="13" t="n"/>
      <c r="BX45" s="13" t="n"/>
      <c r="BY45" s="13" t="n"/>
      <c r="BZ45" s="13" t="n"/>
      <c r="CA45" s="14" t="n"/>
      <c r="CB45" s="13" t="n"/>
      <c r="CC45" s="9" t="inlineStr">
        <is>
          <t>construction_type mapped from raw 'NC' to 'New Construction'</t>
        </is>
      </c>
      <c r="CD45" s="9" t="inlineStr">
        <is>
          <t>Neal Route</t>
        </is>
      </c>
      <c r="CE45" s="9" t="inlineStr">
        <is>
          <t>(214) 960-1162</t>
        </is>
      </c>
      <c r="CF45" s="9" t="inlineStr">
        <is>
          <t>nroute@dominiuminc.com</t>
        </is>
      </c>
      <c r="CG45" s="9" t="inlineStr">
        <is>
          <t>Allison Millihorn</t>
        </is>
      </c>
      <c r="CH45" s="9" t="inlineStr">
        <is>
          <t>(830) 693-8100</t>
        </is>
      </c>
    </row>
    <row r="46">
      <c r="A46" s="8" t="inlineStr">
        <is>
          <t>2025-03-10</t>
        </is>
      </c>
      <c r="B46" s="9" t="inlineStr">
        <is>
          <t>2025-03-10</t>
        </is>
      </c>
      <c r="C46" s="9" t="inlineStr">
        <is>
          <t>25603</t>
        </is>
      </c>
      <c r="D46" s="9" t="n"/>
      <c r="E46" s="9" t="inlineStr">
        <is>
          <t>Legacy on Kiest</t>
        </is>
      </c>
      <c r="F46" s="9" t="inlineStr">
        <is>
          <t>Dallas</t>
        </is>
      </c>
      <c r="G46" s="9" t="inlineStr">
        <is>
          <t>Dallas</t>
        </is>
      </c>
      <c r="H46" s="9" t="n">
        <v>3</v>
      </c>
      <c r="I46" s="9" t="inlineStr">
        <is>
          <t>2621 Southerland Avenue</t>
        </is>
      </c>
      <c r="J46" s="9" t="n">
        <v>75203</v>
      </c>
      <c r="K46" s="8" t="inlineStr">
        <is>
          <t>3/5/205</t>
        </is>
      </c>
      <c r="L46" s="9" t="inlineStr">
        <is>
          <t>Active</t>
        </is>
      </c>
      <c r="M46" s="8" t="n">
        <v>45820</v>
      </c>
      <c r="N46" s="8" t="n"/>
      <c r="O46" s="8" t="n">
        <v>45665</v>
      </c>
      <c r="P46" s="8" t="n">
        <v>46387</v>
      </c>
      <c r="Q46" s="8" t="n"/>
      <c r="R46" s="9" t="inlineStr">
        <is>
          <t>New Construction</t>
        </is>
      </c>
      <c r="S46" s="9" t="inlineStr">
        <is>
          <t>General</t>
        </is>
      </c>
      <c r="T46" s="10" t="n">
        <v>180</v>
      </c>
      <c r="U46" s="10" t="n">
        <v>180</v>
      </c>
      <c r="V46" s="9" t="n"/>
      <c r="W46" s="9" t="n"/>
      <c r="X46" s="9" t="inlineStr">
        <is>
          <t>TDHCA</t>
        </is>
      </c>
      <c r="Y46" s="9" t="inlineStr">
        <is>
          <t>TDHCA</t>
        </is>
      </c>
      <c r="Z46" s="11" t="n">
        <v>30000000</v>
      </c>
      <c r="AA46" s="11" t="n">
        <v>30000000</v>
      </c>
      <c r="AB46" s="11" t="n">
        <v>2509813</v>
      </c>
      <c r="AC46" s="11" t="n"/>
      <c r="AD46" s="11" t="n"/>
      <c r="AE46" s="11" t="n"/>
      <c r="AF46" s="9" t="inlineStr">
        <is>
          <t>N</t>
        </is>
      </c>
      <c r="AG46" s="9" t="inlineStr">
        <is>
          <t>Y</t>
        </is>
      </c>
      <c r="AH46" s="9" t="n"/>
      <c r="AI46" s="9" t="n"/>
      <c r="AJ46" s="8" t="n"/>
      <c r="AK46" s="9" t="n"/>
      <c r="AL46" s="9" t="n"/>
      <c r="AM46" s="9" t="n"/>
      <c r="AN46" s="9" t="n"/>
      <c r="AO46" s="9" t="n"/>
      <c r="AP46" s="9" t="n"/>
      <c r="AQ46" s="9" t="n"/>
      <c r="AR46" s="9" t="n"/>
      <c r="AS46" s="9" t="n"/>
      <c r="AT46" s="8" t="n"/>
      <c r="AU46" s="8" t="n"/>
      <c r="AV46" s="9" t="n"/>
      <c r="AW46" s="8" t="n"/>
      <c r="AX46" s="9" t="n"/>
      <c r="AY46" s="9" t="n"/>
      <c r="AZ46" s="9" t="n"/>
      <c r="BA46" s="9" t="n"/>
      <c r="BB46" s="9" t="n"/>
      <c r="BC46" s="9" t="n"/>
      <c r="BD46" s="9" t="n"/>
      <c r="BE46" s="9" t="n"/>
      <c r="BF46" s="9" t="n"/>
      <c r="BG46" s="9" t="n"/>
      <c r="BH46" s="9" t="n"/>
      <c r="BI46" s="9" t="n"/>
      <c r="BJ46" s="9" t="n"/>
      <c r="BK46" s="9" t="n"/>
      <c r="BL46" s="9" t="n"/>
      <c r="BM46" s="9" t="n"/>
      <c r="BN46" s="9" t="n"/>
      <c r="BO46" s="8" t="inlineStr">
        <is>
          <t>3/5/205</t>
        </is>
      </c>
      <c r="BP46" s="9" t="inlineStr">
        <is>
          <t>N</t>
        </is>
      </c>
      <c r="BQ46" s="9" t="inlineStr">
        <is>
          <t>Y</t>
        </is>
      </c>
      <c r="BR46" s="12">
        <f>IF(AND(AI46="Y",AK46="Y",AL46="Y",AM46="Y",AY46="Y",AZ46="Y",BA46="Y",BB46="Y",BC46="Y",BE46&lt;&gt;"Y",AX46&lt;&gt;"Y",BL46&lt;&gt;"Y",IF(AS46="Y",AV46="Y",TRUE)),"Y","N")</f>
        <v/>
      </c>
      <c r="BS46" s="12">
        <f>IF(AND(BR46="Y",OR(AND(BJ46="Y",BM46="Y"),AND(BK46="Y",BN46="Y"),AND(BJ46&lt;&gt;"Y",BK46&lt;&gt;"Y",OR(BM46="Y",BN46="Y")))),"Y","N")</f>
        <v/>
      </c>
      <c r="BT46" s="10" t="n">
        <v>48</v>
      </c>
      <c r="BU46" s="13" t="n"/>
      <c r="BV46" s="13" t="n"/>
      <c r="BW46" s="13" t="n"/>
      <c r="BX46" s="13" t="n"/>
      <c r="BY46" s="13" t="n"/>
      <c r="BZ46" s="13" t="n"/>
      <c r="CA46" s="14" t="n"/>
      <c r="CB46" s="13" t="n"/>
      <c r="CC46" s="9" t="inlineStr">
        <is>
          <t>construction_type mapped from raw 'NC' to 'New Construction'</t>
        </is>
      </c>
      <c r="CD46" s="9" t="inlineStr">
        <is>
          <t>Jason Trevino</t>
        </is>
      </c>
      <c r="CE46" s="9" t="inlineStr">
        <is>
          <t>(512) 578-8488</t>
        </is>
      </c>
      <c r="CF46" s="9" t="inlineStr">
        <is>
          <t>jtrevino@ldgdevelopment.com</t>
        </is>
      </c>
      <c r="CG46" s="9" t="inlineStr">
        <is>
          <t>Teresa Morales</t>
        </is>
      </c>
      <c r="CH46" s="9" t="inlineStr">
        <is>
          <t>(512) 475-3344</t>
        </is>
      </c>
    </row>
    <row r="47">
      <c r="A47" s="8" t="inlineStr">
        <is>
          <t>2025-03-10</t>
        </is>
      </c>
      <c r="B47" s="9" t="inlineStr">
        <is>
          <t>2025-03-10</t>
        </is>
      </c>
      <c r="C47" s="9" t="inlineStr">
        <is>
          <t>25448</t>
        </is>
      </c>
      <c r="D47" s="9" t="inlineStr">
        <is>
          <t>060402</t>
        </is>
      </c>
      <c r="E47" s="9" t="inlineStr">
        <is>
          <t>Hillcrest Manor</t>
        </is>
      </c>
      <c r="F47" s="9" t="inlineStr">
        <is>
          <t>Lubbock</t>
        </is>
      </c>
      <c r="G47" s="9" t="inlineStr">
        <is>
          <t>Lubbock</t>
        </is>
      </c>
      <c r="H47" s="9" t="n">
        <v>1</v>
      </c>
      <c r="I47" s="9" t="inlineStr">
        <is>
          <t>1102 N Memphis Avenue</t>
        </is>
      </c>
      <c r="J47" s="9" t="n">
        <v>79415</v>
      </c>
      <c r="K47" s="8" t="n">
        <v>45721</v>
      </c>
      <c r="L47" s="9" t="inlineStr">
        <is>
          <t>Active</t>
        </is>
      </c>
      <c r="M47" s="8" t="n">
        <v>45820</v>
      </c>
      <c r="N47" s="8" t="n"/>
      <c r="O47" s="8" t="n">
        <v>45723</v>
      </c>
      <c r="P47" s="8" t="n">
        <v>45903</v>
      </c>
      <c r="Q47" s="8" t="n"/>
      <c r="R47" s="9" t="inlineStr">
        <is>
          <t>Acq/Rehab</t>
        </is>
      </c>
      <c r="S47" s="9" t="inlineStr">
        <is>
          <t>Elderly</t>
        </is>
      </c>
      <c r="T47" s="10" t="n">
        <v>220</v>
      </c>
      <c r="U47" s="10" t="n">
        <v>220</v>
      </c>
      <c r="V47" s="9" t="n"/>
      <c r="W47" s="9" t="n"/>
      <c r="X47" s="9" t="inlineStr">
        <is>
          <t>Lubbock HFC</t>
        </is>
      </c>
      <c r="Y47" s="9" t="inlineStr">
        <is>
          <t>Local HFC</t>
        </is>
      </c>
      <c r="Z47" s="11" t="n">
        <v>25000000</v>
      </c>
      <c r="AA47" s="11" t="n"/>
      <c r="AB47" s="11" t="n">
        <v>1548393</v>
      </c>
      <c r="AC47" s="11" t="n"/>
      <c r="AD47" s="11" t="n"/>
      <c r="AE47" s="11" t="n"/>
      <c r="AF47" s="9" t="inlineStr">
        <is>
          <t>N</t>
        </is>
      </c>
      <c r="AG47" s="9" t="inlineStr">
        <is>
          <t>Y</t>
        </is>
      </c>
      <c r="AH47" s="9" t="n"/>
      <c r="AI47" s="9" t="n"/>
      <c r="AJ47" s="8" t="n"/>
      <c r="AK47" s="9" t="n"/>
      <c r="AL47" s="9" t="n"/>
      <c r="AM47" s="9" t="n"/>
      <c r="AN47" s="9" t="n"/>
      <c r="AO47" s="9" t="n"/>
      <c r="AP47" s="9" t="n"/>
      <c r="AQ47" s="9" t="n"/>
      <c r="AR47" s="9" t="n"/>
      <c r="AS47" s="9" t="n"/>
      <c r="AT47" s="8" t="n"/>
      <c r="AU47" s="8" t="n"/>
      <c r="AV47" s="9" t="n"/>
      <c r="AW47" s="8" t="n"/>
      <c r="AX47" s="9" t="n"/>
      <c r="AY47" s="9" t="n"/>
      <c r="AZ47" s="9" t="n"/>
      <c r="BA47" s="9" t="n"/>
      <c r="BB47" s="9" t="n"/>
      <c r="BC47" s="9" t="n"/>
      <c r="BD47" s="9" t="n"/>
      <c r="BE47" s="9" t="n"/>
      <c r="BF47" s="9" t="n"/>
      <c r="BG47" s="9" t="n"/>
      <c r="BH47" s="9" t="n"/>
      <c r="BI47" s="9" t="n"/>
      <c r="BJ47" s="9" t="n"/>
      <c r="BK47" s="9" t="n"/>
      <c r="BL47" s="9" t="n"/>
      <c r="BM47" s="9" t="n"/>
      <c r="BN47" s="9" t="n"/>
      <c r="BO47" s="8" t="n">
        <v>45721</v>
      </c>
      <c r="BP47" s="9" t="inlineStr">
        <is>
          <t>N</t>
        </is>
      </c>
      <c r="BQ47" s="9" t="inlineStr">
        <is>
          <t>Y</t>
        </is>
      </c>
      <c r="BR47" s="12">
        <f>IF(AND(AI47="Y",AK47="Y",AL47="Y",AM47="Y",AY47="Y",AZ47="Y",BA47="Y",BB47="Y",BC47="Y",BE47&lt;&gt;"Y",AX47&lt;&gt;"Y",BL47&lt;&gt;"Y",IF(AS47="Y",AV47="Y",TRUE)),"Y","N")</f>
        <v/>
      </c>
      <c r="BS47" s="12">
        <f>IF(AND(BR47="Y",OR(AND(BJ47="Y",BM47="Y"),AND(BK47="Y",BN47="Y"),AND(BJ47&lt;&gt;"Y",BK47&lt;&gt;"Y",OR(BM47="Y",BN47="Y")))),"Y","N")</f>
        <v/>
      </c>
      <c r="BT47" s="10" t="n">
        <v>43</v>
      </c>
      <c r="BU47" s="13" t="n"/>
      <c r="BV47" s="13" t="n"/>
      <c r="BW47" s="13" t="n"/>
      <c r="BX47" s="13" t="n"/>
      <c r="BY47" s="13" t="n"/>
      <c r="BZ47" s="13" t="n"/>
      <c r="CA47" s="14" t="n"/>
      <c r="CB47" s="13" t="n"/>
      <c r="CC47" s="9" t="n"/>
      <c r="CD47" s="9" t="inlineStr">
        <is>
          <t>Tyler Hunt</t>
        </is>
      </c>
      <c r="CE47" s="9" t="inlineStr">
        <is>
          <t>(334) 954-4458</t>
        </is>
      </c>
      <c r="CF47" s="9" t="inlineStr">
        <is>
          <t>tyler.hunt@envolvellc.com</t>
        </is>
      </c>
      <c r="CG47" s="9" t="inlineStr">
        <is>
          <t>Shari Flynn</t>
        </is>
      </c>
      <c r="CH47" s="9" t="inlineStr">
        <is>
          <t>(806) 745-9559</t>
        </is>
      </c>
    </row>
    <row r="48">
      <c r="A48" s="8" t="inlineStr">
        <is>
          <t>2025-03-10</t>
        </is>
      </c>
      <c r="B48" s="9" t="inlineStr">
        <is>
          <t>2025-03-10</t>
        </is>
      </c>
      <c r="C48" s="9" t="inlineStr">
        <is>
          <t>25458</t>
        </is>
      </c>
      <c r="D48" s="9" t="n">
        <v>24452</v>
      </c>
      <c r="E48" s="9" t="inlineStr">
        <is>
          <t>Liberty Hill Apts</t>
        </is>
      </c>
      <c r="F48" s="9" t="inlineStr">
        <is>
          <t>Liberty Hill</t>
        </is>
      </c>
      <c r="G48" s="9" t="inlineStr">
        <is>
          <t>Williamson</t>
        </is>
      </c>
      <c r="H48" s="9" t="n">
        <v>7</v>
      </c>
      <c r="I48" s="9" t="inlineStr">
        <is>
          <t>W State Hwy 29 &amp; Butler Farms Blvd</t>
        </is>
      </c>
      <c r="J48" s="9" t="n">
        <v>78642</v>
      </c>
      <c r="K48" s="8" t="n">
        <v>45721</v>
      </c>
      <c r="L48" s="9" t="inlineStr">
        <is>
          <t>Active</t>
        </is>
      </c>
      <c r="M48" s="8" t="n">
        <v>45848</v>
      </c>
      <c r="N48" s="8" t="n"/>
      <c r="O48" s="8" t="n">
        <v>45723</v>
      </c>
      <c r="P48" s="8" t="n">
        <v>45903</v>
      </c>
      <c r="Q48" s="8" t="n"/>
      <c r="R48" s="9" t="inlineStr">
        <is>
          <t>New Construction</t>
        </is>
      </c>
      <c r="S48" s="9" t="inlineStr">
        <is>
          <t>General</t>
        </is>
      </c>
      <c r="T48" s="10" t="n">
        <v>324</v>
      </c>
      <c r="U48" s="10" t="n">
        <v>324</v>
      </c>
      <c r="V48" s="9" t="n"/>
      <c r="W48" s="9" t="n"/>
      <c r="X48" s="9" t="inlineStr">
        <is>
          <t>Capital Area HFC</t>
        </is>
      </c>
      <c r="Y48" s="9" t="inlineStr">
        <is>
          <t>Local HFC</t>
        </is>
      </c>
      <c r="Z48" s="11" t="n">
        <v>69152737</v>
      </c>
      <c r="AA48" s="11" t="n"/>
      <c r="AB48" s="11" t="n">
        <v>4486344</v>
      </c>
      <c r="AC48" s="11" t="n"/>
      <c r="AD48" s="11" t="n"/>
      <c r="AE48" s="11" t="n"/>
      <c r="AF48" s="9" t="inlineStr">
        <is>
          <t>N</t>
        </is>
      </c>
      <c r="AG48" s="9" t="inlineStr">
        <is>
          <t>Y</t>
        </is>
      </c>
      <c r="AH48" s="9" t="n"/>
      <c r="AI48" s="9" t="n"/>
      <c r="AJ48" s="8" t="n"/>
      <c r="AK48" s="9" t="n"/>
      <c r="AL48" s="9" t="n"/>
      <c r="AM48" s="9" t="n"/>
      <c r="AN48" s="9" t="n"/>
      <c r="AO48" s="9" t="n"/>
      <c r="AP48" s="9" t="n"/>
      <c r="AQ48" s="9" t="n"/>
      <c r="AR48" s="9" t="n"/>
      <c r="AS48" s="9" t="n"/>
      <c r="AT48" s="8" t="n"/>
      <c r="AU48" s="8" t="n"/>
      <c r="AV48" s="9" t="n"/>
      <c r="AW48" s="8" t="n"/>
      <c r="AX48" s="9" t="n"/>
      <c r="AY48" s="9" t="n"/>
      <c r="AZ48" s="9" t="n"/>
      <c r="BA48" s="9" t="n"/>
      <c r="BB48" s="9" t="n"/>
      <c r="BC48" s="9" t="n"/>
      <c r="BD48" s="9" t="n"/>
      <c r="BE48" s="9" t="n"/>
      <c r="BF48" s="9" t="n"/>
      <c r="BG48" s="9" t="n"/>
      <c r="BH48" s="9" t="n"/>
      <c r="BI48" s="9" t="n"/>
      <c r="BJ48" s="9" t="n"/>
      <c r="BK48" s="9" t="n"/>
      <c r="BL48" s="9" t="n"/>
      <c r="BM48" s="9" t="n"/>
      <c r="BN48" s="9" t="n"/>
      <c r="BO48" s="8" t="n">
        <v>45721</v>
      </c>
      <c r="BP48" s="9" t="inlineStr">
        <is>
          <t>N</t>
        </is>
      </c>
      <c r="BQ48" s="9" t="inlineStr">
        <is>
          <t>Y</t>
        </is>
      </c>
      <c r="BR48" s="12">
        <f>IF(AND(AI48="Y",AK48="Y",AL48="Y",AM48="Y",AY48="Y",AZ48="Y",BA48="Y",BB48="Y",BC48="Y",BE48&lt;&gt;"Y",AX48&lt;&gt;"Y",BL48&lt;&gt;"Y",IF(AS48="Y",AV48="Y",TRUE)),"Y","N")</f>
        <v/>
      </c>
      <c r="BS48" s="12">
        <f>IF(AND(BR48="Y",OR(AND(BJ48="Y",BM48="Y"),AND(BK48="Y",BN48="Y"),AND(BJ48&lt;&gt;"Y",BK48&lt;&gt;"Y",OR(BM48="Y",BN48="Y")))),"Y","N")</f>
        <v/>
      </c>
      <c r="BT48" s="10" t="n">
        <v>44</v>
      </c>
      <c r="BU48" s="13" t="n"/>
      <c r="BV48" s="13" t="n"/>
      <c r="BW48" s="13" t="n"/>
      <c r="BX48" s="13" t="n"/>
      <c r="BY48" s="13" t="n"/>
      <c r="BZ48" s="13" t="n"/>
      <c r="CA48" s="14" t="n"/>
      <c r="CB48" s="13" t="n"/>
      <c r="CC48" s="9" t="inlineStr">
        <is>
          <t>construction_type mapped from raw 'NC' to 'New Construction'</t>
        </is>
      </c>
      <c r="CD48" s="9" t="inlineStr">
        <is>
          <t>Neal Route</t>
        </is>
      </c>
      <c r="CE48" s="9" t="inlineStr">
        <is>
          <t>(214) 960-1162</t>
        </is>
      </c>
      <c r="CF48" s="9" t="inlineStr">
        <is>
          <t>nroute@dominiuminc.com</t>
        </is>
      </c>
      <c r="CG48" s="9" t="inlineStr">
        <is>
          <t>James E Shaw</t>
        </is>
      </c>
      <c r="CH48" s="9" t="inlineStr">
        <is>
          <t>(512) 347-9953</t>
        </is>
      </c>
    </row>
    <row r="49">
      <c r="A49" s="8" t="inlineStr">
        <is>
          <t>2025-03-10</t>
        </is>
      </c>
      <c r="B49" s="9" t="inlineStr">
        <is>
          <t>2025-03-10</t>
        </is>
      </c>
      <c r="C49" s="9" t="inlineStr">
        <is>
          <t>25452</t>
        </is>
      </c>
      <c r="D49" s="9" t="n"/>
      <c r="E49" s="9" t="inlineStr">
        <is>
          <t>Timbers Edge</t>
        </is>
      </c>
      <c r="F49" s="9" t="inlineStr">
        <is>
          <t>Beaumont</t>
        </is>
      </c>
      <c r="G49" s="9" t="inlineStr">
        <is>
          <t>Jefferson</t>
        </is>
      </c>
      <c r="H49" s="9" t="n">
        <v>5</v>
      </c>
      <c r="I49" s="9" t="inlineStr">
        <is>
          <t>1075 Pinchback Road</t>
        </is>
      </c>
      <c r="J49" s="9" t="n">
        <v>77707</v>
      </c>
      <c r="K49" s="8" t="n">
        <v>45722</v>
      </c>
      <c r="L49" s="9" t="inlineStr">
        <is>
          <t>Active</t>
        </is>
      </c>
      <c r="M49" s="8" t="n">
        <v>45848</v>
      </c>
      <c r="N49" s="8" t="n"/>
      <c r="O49" s="8" t="n">
        <v>45723</v>
      </c>
      <c r="P49" s="8" t="n">
        <v>45903</v>
      </c>
      <c r="Q49" s="8" t="n"/>
      <c r="R49" s="9" t="inlineStr">
        <is>
          <t>Acq/Rehab</t>
        </is>
      </c>
      <c r="S49" s="9" t="inlineStr">
        <is>
          <t>General</t>
        </is>
      </c>
      <c r="T49" s="10" t="n">
        <v>150</v>
      </c>
      <c r="U49" s="10" t="n">
        <v>150</v>
      </c>
      <c r="V49" s="9" t="n"/>
      <c r="W49" s="9" t="n"/>
      <c r="X49" s="9" t="inlineStr">
        <is>
          <t>Jefferson County HFC</t>
        </is>
      </c>
      <c r="Y49" s="9" t="inlineStr">
        <is>
          <t>Local HFC</t>
        </is>
      </c>
      <c r="Z49" s="11" t="n">
        <v>18000000</v>
      </c>
      <c r="AA49" s="11" t="n"/>
      <c r="AB49" s="11" t="n">
        <v>1378223</v>
      </c>
      <c r="AC49" s="11" t="n"/>
      <c r="AD49" s="11" t="n"/>
      <c r="AE49" s="11" t="n"/>
      <c r="AF49" s="9" t="inlineStr">
        <is>
          <t>N</t>
        </is>
      </c>
      <c r="AG49" s="9" t="inlineStr">
        <is>
          <t>Y</t>
        </is>
      </c>
      <c r="AH49" s="9" t="n"/>
      <c r="AI49" s="9" t="n"/>
      <c r="AJ49" s="8" t="n"/>
      <c r="AK49" s="9" t="n"/>
      <c r="AL49" s="9" t="n"/>
      <c r="AM49" s="9" t="n"/>
      <c r="AN49" s="9" t="n"/>
      <c r="AO49" s="9" t="n"/>
      <c r="AP49" s="9" t="n"/>
      <c r="AQ49" s="9" t="n"/>
      <c r="AR49" s="9" t="n"/>
      <c r="AS49" s="9" t="n"/>
      <c r="AT49" s="8" t="n"/>
      <c r="AU49" s="8" t="n"/>
      <c r="AV49" s="9" t="n"/>
      <c r="AW49" s="8" t="n"/>
      <c r="AX49" s="9" t="n"/>
      <c r="AY49" s="9" t="n"/>
      <c r="AZ49" s="9" t="n"/>
      <c r="BA49" s="9" t="n"/>
      <c r="BB49" s="9" t="n"/>
      <c r="BC49" s="9" t="n"/>
      <c r="BD49" s="9" t="n"/>
      <c r="BE49" s="9" t="n"/>
      <c r="BF49" s="9" t="n"/>
      <c r="BG49" s="9" t="n"/>
      <c r="BH49" s="9" t="n"/>
      <c r="BI49" s="9" t="n"/>
      <c r="BJ49" s="9" t="n"/>
      <c r="BK49" s="9" t="n"/>
      <c r="BL49" s="9" t="n"/>
      <c r="BM49" s="9" t="n"/>
      <c r="BN49" s="9" t="n"/>
      <c r="BO49" s="8" t="n">
        <v>45722</v>
      </c>
      <c r="BP49" s="9" t="inlineStr">
        <is>
          <t>N</t>
        </is>
      </c>
      <c r="BQ49" s="9" t="inlineStr">
        <is>
          <t>Y</t>
        </is>
      </c>
      <c r="BR49" s="12">
        <f>IF(AND(AI49="Y",AK49="Y",AL49="Y",AM49="Y",AY49="Y",AZ49="Y",BA49="Y",BB49="Y",BC49="Y",BE49&lt;&gt;"Y",AX49&lt;&gt;"Y",BL49&lt;&gt;"Y",IF(AS49="Y",AV49="Y",TRUE)),"Y","N")</f>
        <v/>
      </c>
      <c r="BS49" s="12">
        <f>IF(AND(BR49="Y",OR(AND(BJ49="Y",BM49="Y"),AND(BK49="Y",BN49="Y"),AND(BJ49&lt;&gt;"Y",BK49&lt;&gt;"Y",OR(BM49="Y",BN49="Y")))),"Y","N")</f>
        <v/>
      </c>
      <c r="BT49" s="10" t="n">
        <v>45</v>
      </c>
      <c r="BU49" s="13" t="n"/>
      <c r="BV49" s="13" t="n"/>
      <c r="BW49" s="13" t="n"/>
      <c r="BX49" s="13" t="n"/>
      <c r="BY49" s="13" t="n"/>
      <c r="BZ49" s="13" t="n"/>
      <c r="CA49" s="14" t="n"/>
      <c r="CB49" s="13" t="n"/>
      <c r="CC49" s="9" t="inlineStr">
        <is>
          <t>property_tax_exemption normalized from 'Y (50%)' to 'Y'</t>
        </is>
      </c>
      <c r="CD49" s="9" t="inlineStr">
        <is>
          <t>Kenny Baugh</t>
        </is>
      </c>
      <c r="CE49" s="9" t="inlineStr">
        <is>
          <t>(832) 941-5351</t>
        </is>
      </c>
      <c r="CF49" s="9" t="inlineStr">
        <is>
          <t>apps@itexgrp.com</t>
        </is>
      </c>
      <c r="CG49" s="9" t="inlineStr">
        <is>
          <t>Guy Goodson</t>
        </is>
      </c>
      <c r="CH49" s="9" t="inlineStr">
        <is>
          <t>(409) 654‐6700</t>
        </is>
      </c>
    </row>
    <row r="50">
      <c r="A50" s="8" t="inlineStr">
        <is>
          <t>2025-03-10</t>
        </is>
      </c>
      <c r="B50" s="9" t="inlineStr">
        <is>
          <t>2025-03-10</t>
        </is>
      </c>
      <c r="C50" s="9" t="inlineStr">
        <is>
          <t>25459</t>
        </is>
      </c>
      <c r="D50" s="9" t="n"/>
      <c r="E50" s="9" t="inlineStr">
        <is>
          <t>The Foundry</t>
        </is>
      </c>
      <c r="F50" s="9" t="inlineStr">
        <is>
          <t>Taylor</t>
        </is>
      </c>
      <c r="G50" s="9" t="inlineStr">
        <is>
          <t>Williamson</t>
        </is>
      </c>
      <c r="H50" s="9" t="n">
        <v>7</v>
      </c>
      <c r="I50" s="9" t="inlineStr">
        <is>
          <t>East of Old Granger Road at N. Main Street</t>
        </is>
      </c>
      <c r="J50" s="9" t="n">
        <v>76574</v>
      </c>
      <c r="K50" s="8" t="n">
        <v>45723</v>
      </c>
      <c r="L50" s="9" t="inlineStr">
        <is>
          <t>Active</t>
        </is>
      </c>
      <c r="M50" s="8" t="n">
        <v>45820</v>
      </c>
      <c r="N50" s="8" t="n"/>
      <c r="O50" s="8" t="n">
        <v>45726</v>
      </c>
      <c r="P50" s="8" t="n">
        <v>45906</v>
      </c>
      <c r="Q50" s="8" t="n"/>
      <c r="R50" s="9" t="inlineStr">
        <is>
          <t>New Construction</t>
        </is>
      </c>
      <c r="S50" s="9" t="inlineStr">
        <is>
          <t>General</t>
        </is>
      </c>
      <c r="T50" s="10" t="n">
        <v>321</v>
      </c>
      <c r="U50" s="10" t="n">
        <v>321</v>
      </c>
      <c r="V50" s="9" t="n"/>
      <c r="W50" s="9" t="n"/>
      <c r="X50" s="9" t="inlineStr">
        <is>
          <t>Capital Area HFC</t>
        </is>
      </c>
      <c r="Y50" s="9" t="inlineStr">
        <is>
          <t>Local HFC</t>
        </is>
      </c>
      <c r="Z50" s="11" t="n">
        <v>50000000</v>
      </c>
      <c r="AA50" s="11" t="n"/>
      <c r="AB50" s="11" t="n">
        <v>4367618</v>
      </c>
      <c r="AC50" s="11" t="n"/>
      <c r="AD50" s="11" t="n"/>
      <c r="AE50" s="11" t="n"/>
      <c r="AF50" s="9" t="inlineStr">
        <is>
          <t>N</t>
        </is>
      </c>
      <c r="AG50" s="9" t="inlineStr">
        <is>
          <t>N</t>
        </is>
      </c>
      <c r="AH50" s="9" t="n"/>
      <c r="AI50" s="9" t="n"/>
      <c r="AJ50" s="8" t="n"/>
      <c r="AK50" s="9" t="n"/>
      <c r="AL50" s="9" t="n"/>
      <c r="AM50" s="9" t="n"/>
      <c r="AN50" s="9" t="n"/>
      <c r="AO50" s="9" t="n"/>
      <c r="AP50" s="9" t="n"/>
      <c r="AQ50" s="9" t="n"/>
      <c r="AR50" s="9" t="n"/>
      <c r="AS50" s="9" t="n"/>
      <c r="AT50" s="8" t="n"/>
      <c r="AU50" s="8" t="n"/>
      <c r="AV50" s="9" t="n"/>
      <c r="AW50" s="8" t="n"/>
      <c r="AX50" s="9" t="n"/>
      <c r="AY50" s="9" t="n"/>
      <c r="AZ50" s="9" t="n"/>
      <c r="BA50" s="9" t="n"/>
      <c r="BB50" s="9" t="n"/>
      <c r="BC50" s="9" t="n"/>
      <c r="BD50" s="9" t="n"/>
      <c r="BE50" s="9" t="n"/>
      <c r="BF50" s="9" t="n"/>
      <c r="BG50" s="9" t="n"/>
      <c r="BH50" s="9" t="n"/>
      <c r="BI50" s="9" t="n"/>
      <c r="BJ50" s="9" t="n"/>
      <c r="BK50" s="9" t="n"/>
      <c r="BL50" s="9" t="n"/>
      <c r="BM50" s="9" t="n"/>
      <c r="BN50" s="9" t="n"/>
      <c r="BO50" s="8" t="n">
        <v>45723</v>
      </c>
      <c r="BP50" s="9" t="inlineStr">
        <is>
          <t>N</t>
        </is>
      </c>
      <c r="BQ50" s="9" t="inlineStr">
        <is>
          <t>Y</t>
        </is>
      </c>
      <c r="BR50" s="12">
        <f>IF(AND(AI50="Y",AK50="Y",AL50="Y",AM50="Y",AY50="Y",AZ50="Y",BA50="Y",BB50="Y",BC50="Y",BE50&lt;&gt;"Y",AX50&lt;&gt;"Y",BL50&lt;&gt;"Y",IF(AS50="Y",AV50="Y",TRUE)),"Y","N")</f>
        <v/>
      </c>
      <c r="BS50" s="12">
        <f>IF(AND(BR50="Y",OR(AND(BJ50="Y",BM50="Y"),AND(BK50="Y",BN50="Y"),AND(BJ50&lt;&gt;"Y",BK50&lt;&gt;"Y",OR(BM50="Y",BN50="Y")))),"Y","N")</f>
        <v/>
      </c>
      <c r="BT50" s="10" t="n">
        <v>47</v>
      </c>
      <c r="BU50" s="13" t="n"/>
      <c r="BV50" s="13" t="n"/>
      <c r="BW50" s="13" t="n"/>
      <c r="BX50" s="13" t="n"/>
      <c r="BY50" s="13" t="n"/>
      <c r="BZ50" s="13" t="n"/>
      <c r="CA50" s="14" t="n"/>
      <c r="CB50" s="13" t="n"/>
      <c r="CC50" s="9" t="inlineStr">
        <is>
          <t>construction_type mapped from raw 'NC' to 'New Construction'</t>
        </is>
      </c>
      <c r="CD50" s="9" t="inlineStr">
        <is>
          <t>Mark Gregg</t>
        </is>
      </c>
      <c r="CE50" s="9" t="inlineStr">
        <is>
          <t>(210) 771-4127</t>
        </is>
      </c>
      <c r="CF50" s="9" t="inlineStr">
        <is>
          <t>mgregg@streamlineap.com</t>
        </is>
      </c>
      <c r="CG50" s="9" t="inlineStr">
        <is>
          <t>James E Shaw</t>
        </is>
      </c>
      <c r="CH50" s="9" t="inlineStr">
        <is>
          <t>(512) 347-9953</t>
        </is>
      </c>
    </row>
    <row r="51">
      <c r="A51" s="8" t="inlineStr">
        <is>
          <t>2025-03-10</t>
        </is>
      </c>
      <c r="B51" s="9" t="inlineStr">
        <is>
          <t>2025-03-10</t>
        </is>
      </c>
      <c r="C51" s="9" t="inlineStr">
        <is>
          <t>25443</t>
        </is>
      </c>
      <c r="D51" s="9" t="n"/>
      <c r="E51" s="9" t="inlineStr">
        <is>
          <t>Taylor RAD Family Apts</t>
        </is>
      </c>
      <c r="F51" s="9" t="inlineStr">
        <is>
          <t>Taylor</t>
        </is>
      </c>
      <c r="G51" s="9" t="inlineStr">
        <is>
          <t>Williamson</t>
        </is>
      </c>
      <c r="H51" s="9" t="n">
        <v>7</v>
      </c>
      <c r="I51" s="9" t="inlineStr">
        <is>
          <t>311 East 7th Street</t>
        </is>
      </c>
      <c r="J51" s="9" t="n">
        <v>76754</v>
      </c>
      <c r="K51" s="8" t="n">
        <v>45723</v>
      </c>
      <c r="L51" s="9" t="inlineStr">
        <is>
          <t>Active</t>
        </is>
      </c>
      <c r="M51" s="8" t="n">
        <v>45820</v>
      </c>
      <c r="N51" s="8" t="n"/>
      <c r="O51" s="8" t="n">
        <v>45673</v>
      </c>
      <c r="P51" s="8" t="n">
        <v>46387</v>
      </c>
      <c r="Q51" s="8" t="n"/>
      <c r="R51" s="9" t="inlineStr">
        <is>
          <t>New Construction</t>
        </is>
      </c>
      <c r="S51" s="9" t="inlineStr">
        <is>
          <t>General</t>
        </is>
      </c>
      <c r="T51" s="10" t="n">
        <v>46</v>
      </c>
      <c r="U51" s="10" t="n">
        <v>46</v>
      </c>
      <c r="V51" s="9" t="n"/>
      <c r="W51" s="9" t="n"/>
      <c r="X51" s="9" t="inlineStr">
        <is>
          <t>Texas Home Collaborative</t>
        </is>
      </c>
      <c r="Y51" s="9" t="inlineStr">
        <is>
          <t>Other</t>
        </is>
      </c>
      <c r="Z51" s="11" t="n">
        <v>15000000</v>
      </c>
      <c r="AA51" s="11" t="n"/>
      <c r="AB51" s="11" t="n">
        <v>939515</v>
      </c>
      <c r="AC51" s="11" t="n"/>
      <c r="AD51" s="11" t="n"/>
      <c r="AE51" s="11" t="n"/>
      <c r="AF51" s="9" t="inlineStr">
        <is>
          <t>N</t>
        </is>
      </c>
      <c r="AG51" s="9" t="inlineStr">
        <is>
          <t>Y</t>
        </is>
      </c>
      <c r="AH51" s="9" t="n"/>
      <c r="AI51" s="9" t="n"/>
      <c r="AJ51" s="8" t="n"/>
      <c r="AK51" s="9" t="n"/>
      <c r="AL51" s="9" t="n"/>
      <c r="AM51" s="9" t="n"/>
      <c r="AN51" s="9" t="n"/>
      <c r="AO51" s="9" t="n"/>
      <c r="AP51" s="9" t="n"/>
      <c r="AQ51" s="9" t="n"/>
      <c r="AR51" s="9" t="n"/>
      <c r="AS51" s="9" t="n"/>
      <c r="AT51" s="8" t="n"/>
      <c r="AU51" s="8" t="n"/>
      <c r="AV51" s="9" t="n"/>
      <c r="AW51" s="8" t="n"/>
      <c r="AX51" s="9" t="n"/>
      <c r="AY51" s="9" t="n"/>
      <c r="AZ51" s="9" t="n"/>
      <c r="BA51" s="9" t="n"/>
      <c r="BB51" s="9" t="n"/>
      <c r="BC51" s="9" t="n"/>
      <c r="BD51" s="9" t="n"/>
      <c r="BE51" s="9" t="n"/>
      <c r="BF51" s="9" t="n"/>
      <c r="BG51" s="9" t="n"/>
      <c r="BH51" s="9" t="n"/>
      <c r="BI51" s="9" t="n"/>
      <c r="BJ51" s="9" t="n"/>
      <c r="BK51" s="9" t="n"/>
      <c r="BL51" s="9" t="n"/>
      <c r="BM51" s="9" t="n"/>
      <c r="BN51" s="9" t="n"/>
      <c r="BO51" s="8" t="n">
        <v>45723</v>
      </c>
      <c r="BP51" s="9" t="inlineStr">
        <is>
          <t>N</t>
        </is>
      </c>
      <c r="BQ51" s="9" t="inlineStr">
        <is>
          <t>Y</t>
        </is>
      </c>
      <c r="BR51" s="12">
        <f>IF(AND(AI51="Y",AK51="Y",AL51="Y",AM51="Y",AY51="Y",AZ51="Y",BA51="Y",BB51="Y",BC51="Y",BE51&lt;&gt;"Y",AX51&lt;&gt;"Y",BL51&lt;&gt;"Y",IF(AS51="Y",AV51="Y",TRUE)),"Y","N")</f>
        <v/>
      </c>
      <c r="BS51" s="12">
        <f>IF(AND(BR51="Y",OR(AND(BJ51="Y",BM51="Y"),AND(BK51="Y",BN51="Y"),AND(BJ51&lt;&gt;"Y",BK51&lt;&gt;"Y",OR(BM51="Y",BN51="Y")))),"Y","N")</f>
        <v/>
      </c>
      <c r="BT51" s="10" t="n">
        <v>46</v>
      </c>
      <c r="BU51" s="13" t="n"/>
      <c r="BV51" s="13" t="n"/>
      <c r="BW51" s="13" t="n"/>
      <c r="BX51" s="13" t="n"/>
      <c r="BY51" s="13" t="n"/>
      <c r="BZ51" s="13" t="n"/>
      <c r="CA51" s="14" t="n"/>
      <c r="CB51" s="13" t="n"/>
      <c r="CC51" s="9" t="inlineStr">
        <is>
          <t>construction_type mapped from raw 'NC' to 'New Construction'</t>
        </is>
      </c>
      <c r="CD51" s="9" t="inlineStr">
        <is>
          <t>Jennifer Croxton</t>
        </is>
      </c>
      <c r="CE51" s="9" t="inlineStr">
        <is>
          <t>(318) 278-1682</t>
        </is>
      </c>
      <c r="CF51" s="9" t="inlineStr">
        <is>
          <t>jcroxton@knightdevco.com</t>
        </is>
      </c>
      <c r="CG51" s="9" t="inlineStr">
        <is>
          <t>Antonio Williams</t>
        </is>
      </c>
      <c r="CH51" s="9" t="inlineStr">
        <is>
          <t>(903) 838-8548</t>
        </is>
      </c>
    </row>
    <row r="52">
      <c r="A52" s="8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8" t="n"/>
      <c r="L52" s="9" t="n"/>
      <c r="M52" s="8" t="n"/>
      <c r="N52" s="8" t="n"/>
      <c r="O52" s="8" t="n"/>
      <c r="P52" s="8" t="n"/>
      <c r="Q52" s="8" t="n"/>
      <c r="R52" s="9" t="n"/>
      <c r="S52" s="9" t="n"/>
      <c r="T52" s="10" t="n"/>
      <c r="U52" s="10" t="n"/>
      <c r="V52" s="9" t="n"/>
      <c r="W52" s="9" t="n"/>
      <c r="X52" s="9" t="n"/>
      <c r="Y52" s="9" t="n"/>
      <c r="Z52" s="11" t="n"/>
      <c r="AA52" s="11" t="n"/>
      <c r="AB52" s="11" t="n"/>
      <c r="AC52" s="11" t="n"/>
      <c r="AD52" s="11" t="n"/>
      <c r="AE52" s="11" t="n"/>
      <c r="AF52" s="9" t="n"/>
      <c r="AG52" s="9" t="n"/>
      <c r="AH52" s="9" t="n"/>
      <c r="AI52" s="9" t="n"/>
      <c r="AJ52" s="8" t="n"/>
      <c r="AK52" s="9" t="n"/>
      <c r="AL52" s="9" t="n"/>
      <c r="AM52" s="9" t="n"/>
      <c r="AN52" s="9" t="n"/>
      <c r="AO52" s="9" t="n"/>
      <c r="AP52" s="9" t="n"/>
      <c r="AQ52" s="9" t="n"/>
      <c r="AR52" s="9" t="n"/>
      <c r="AS52" s="9" t="n"/>
      <c r="AT52" s="8" t="n"/>
      <c r="AU52" s="8" t="n"/>
      <c r="AV52" s="9" t="n"/>
      <c r="AW52" s="8" t="n"/>
      <c r="AX52" s="9" t="n"/>
      <c r="AY52" s="9" t="n"/>
      <c r="AZ52" s="9" t="n"/>
      <c r="BA52" s="9" t="n"/>
      <c r="BB52" s="9" t="n"/>
      <c r="BC52" s="9" t="n"/>
      <c r="BD52" s="9" t="n"/>
      <c r="BE52" s="9" t="n"/>
      <c r="BF52" s="9" t="n"/>
      <c r="BG52" s="9" t="n"/>
      <c r="BH52" s="9" t="n"/>
      <c r="BI52" s="9" t="n"/>
      <c r="BJ52" s="9" t="n"/>
      <c r="BK52" s="9" t="n"/>
      <c r="BL52" s="9" t="n"/>
      <c r="BM52" s="9" t="n"/>
      <c r="BN52" s="9" t="n"/>
      <c r="BO52" s="8" t="n"/>
      <c r="BP52" s="9" t="n"/>
      <c r="BQ52" s="9" t="n"/>
      <c r="BR52" s="12">
        <f>IF(AND(AI52="Y",AK52="Y",AL52="Y",AM52="Y",AY52="Y",AZ52="Y",BA52="Y",BB52="Y",BC52="Y",BE52&lt;&gt;"Y",AX52&lt;&gt;"Y",BL52&lt;&gt;"Y",IF(AS52="Y",AV52="Y",TRUE)),"Y","N")</f>
        <v/>
      </c>
      <c r="BS52" s="12">
        <f>IF(AND(BR52="Y",OR(AND(BJ52="Y",BM52="Y"),AND(BK52="Y",BN52="Y"),AND(BJ52&lt;&gt;"Y",BK52&lt;&gt;"Y",OR(BM52="Y",BN52="Y")))),"Y","N")</f>
        <v/>
      </c>
      <c r="BT52" s="10" t="n"/>
      <c r="BU52" s="13" t="n"/>
      <c r="BV52" s="13" t="n"/>
      <c r="BW52" s="13" t="n"/>
      <c r="BX52" s="13" t="n"/>
      <c r="BY52" s="13" t="n"/>
      <c r="BZ52" s="13" t="n"/>
      <c r="CA52" s="14" t="n"/>
      <c r="CB52" s="13" t="n"/>
      <c r="CC52" s="9" t="n"/>
      <c r="CD52" s="9" t="n"/>
      <c r="CE52" s="9" t="n"/>
      <c r="CF52" s="9" t="n"/>
      <c r="CG52" s="9" t="n"/>
      <c r="CH52" s="9" t="n"/>
    </row>
    <row r="53">
      <c r="A53" s="8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8" t="n"/>
      <c r="L53" s="9" t="n"/>
      <c r="M53" s="8" t="n"/>
      <c r="N53" s="8" t="n"/>
      <c r="O53" s="8" t="n"/>
      <c r="P53" s="8" t="n"/>
      <c r="Q53" s="8" t="n"/>
      <c r="R53" s="9" t="n"/>
      <c r="S53" s="9" t="n"/>
      <c r="T53" s="10" t="n"/>
      <c r="U53" s="10" t="n"/>
      <c r="V53" s="9" t="n"/>
      <c r="W53" s="9" t="n"/>
      <c r="X53" s="9" t="n"/>
      <c r="Y53" s="9" t="n"/>
      <c r="Z53" s="11" t="n"/>
      <c r="AA53" s="11" t="n"/>
      <c r="AB53" s="11" t="n"/>
      <c r="AC53" s="11" t="n"/>
      <c r="AD53" s="11" t="n"/>
      <c r="AE53" s="11" t="n"/>
      <c r="AF53" s="9" t="n"/>
      <c r="AG53" s="9" t="n"/>
      <c r="AH53" s="9" t="n"/>
      <c r="AI53" s="9" t="n"/>
      <c r="AJ53" s="8" t="n"/>
      <c r="AK53" s="9" t="n"/>
      <c r="AL53" s="9" t="n"/>
      <c r="AM53" s="9" t="n"/>
      <c r="AN53" s="9" t="n"/>
      <c r="AO53" s="9" t="n"/>
      <c r="AP53" s="9" t="n"/>
      <c r="AQ53" s="9" t="n"/>
      <c r="AR53" s="9" t="n"/>
      <c r="AS53" s="9" t="n"/>
      <c r="AT53" s="8" t="n"/>
      <c r="AU53" s="8" t="n"/>
      <c r="AV53" s="9" t="n"/>
      <c r="AW53" s="8" t="n"/>
      <c r="AX53" s="9" t="n"/>
      <c r="AY53" s="9" t="n"/>
      <c r="AZ53" s="9" t="n"/>
      <c r="BA53" s="9" t="n"/>
      <c r="BB53" s="9" t="n"/>
      <c r="BC53" s="9" t="n"/>
      <c r="BD53" s="9" t="n"/>
      <c r="BE53" s="9" t="n"/>
      <c r="BF53" s="9" t="n"/>
      <c r="BG53" s="9" t="n"/>
      <c r="BH53" s="9" t="n"/>
      <c r="BI53" s="9" t="n"/>
      <c r="BJ53" s="9" t="n"/>
      <c r="BK53" s="9" t="n"/>
      <c r="BL53" s="9" t="n"/>
      <c r="BM53" s="9" t="n"/>
      <c r="BN53" s="9" t="n"/>
      <c r="BO53" s="8" t="n"/>
      <c r="BP53" s="9" t="n"/>
      <c r="BQ53" s="9" t="n"/>
      <c r="BR53" s="12">
        <f>IF(AND(AI53="Y",AK53="Y",AL53="Y",AM53="Y",AY53="Y",AZ53="Y",BA53="Y",BB53="Y",BC53="Y",BE53&lt;&gt;"Y",AX53&lt;&gt;"Y",BL53&lt;&gt;"Y",IF(AS53="Y",AV53="Y",TRUE)),"Y","N")</f>
        <v/>
      </c>
      <c r="BS53" s="12">
        <f>IF(AND(BR53="Y",OR(AND(BJ53="Y",BM53="Y"),AND(BK53="Y",BN53="Y"),AND(BJ53&lt;&gt;"Y",BK53&lt;&gt;"Y",OR(BM53="Y",BN53="Y")))),"Y","N")</f>
        <v/>
      </c>
      <c r="BT53" s="10" t="n"/>
      <c r="BU53" s="13" t="n"/>
      <c r="BV53" s="13" t="n"/>
      <c r="BW53" s="13" t="n"/>
      <c r="BX53" s="13" t="n"/>
      <c r="BY53" s="13" t="n"/>
      <c r="BZ53" s="13" t="n"/>
      <c r="CA53" s="14" t="n"/>
      <c r="CB53" s="13" t="n"/>
      <c r="CC53" s="9" t="n"/>
      <c r="CD53" s="9" t="n"/>
      <c r="CE53" s="9" t="n"/>
      <c r="CF53" s="9" t="n"/>
      <c r="CG53" s="9" t="n"/>
      <c r="CH53" s="9" t="n"/>
    </row>
    <row r="54">
      <c r="A54" s="8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8" t="n"/>
      <c r="L54" s="9" t="n"/>
      <c r="M54" s="8" t="n"/>
      <c r="N54" s="8" t="n"/>
      <c r="O54" s="8" t="n"/>
      <c r="P54" s="8" t="n"/>
      <c r="Q54" s="8" t="n"/>
      <c r="R54" s="9" t="n"/>
      <c r="S54" s="9" t="n"/>
      <c r="T54" s="10" t="n"/>
      <c r="U54" s="10" t="n"/>
      <c r="V54" s="9" t="n"/>
      <c r="W54" s="9" t="n"/>
      <c r="X54" s="9" t="n"/>
      <c r="Y54" s="9" t="n"/>
      <c r="Z54" s="11" t="n"/>
      <c r="AA54" s="11" t="n"/>
      <c r="AB54" s="11" t="n"/>
      <c r="AC54" s="11" t="n"/>
      <c r="AD54" s="11" t="n"/>
      <c r="AE54" s="11" t="n"/>
      <c r="AF54" s="9" t="n"/>
      <c r="AG54" s="9" t="n"/>
      <c r="AH54" s="9" t="n"/>
      <c r="AI54" s="9" t="n"/>
      <c r="AJ54" s="8" t="n"/>
      <c r="AK54" s="9" t="n"/>
      <c r="AL54" s="9" t="n"/>
      <c r="AM54" s="9" t="n"/>
      <c r="AN54" s="9" t="n"/>
      <c r="AO54" s="9" t="n"/>
      <c r="AP54" s="9" t="n"/>
      <c r="AQ54" s="9" t="n"/>
      <c r="AR54" s="9" t="n"/>
      <c r="AS54" s="9" t="n"/>
      <c r="AT54" s="8" t="n"/>
      <c r="AU54" s="8" t="n"/>
      <c r="AV54" s="9" t="n"/>
      <c r="AW54" s="8" t="n"/>
      <c r="AX54" s="9" t="n"/>
      <c r="AY54" s="9" t="n"/>
      <c r="AZ54" s="9" t="n"/>
      <c r="BA54" s="9" t="n"/>
      <c r="BB54" s="9" t="n"/>
      <c r="BC54" s="9" t="n"/>
      <c r="BD54" s="9" t="n"/>
      <c r="BE54" s="9" t="n"/>
      <c r="BF54" s="9" t="n"/>
      <c r="BG54" s="9" t="n"/>
      <c r="BH54" s="9" t="n"/>
      <c r="BI54" s="9" t="n"/>
      <c r="BJ54" s="9" t="n"/>
      <c r="BK54" s="9" t="n"/>
      <c r="BL54" s="9" t="n"/>
      <c r="BM54" s="9" t="n"/>
      <c r="BN54" s="9" t="n"/>
      <c r="BO54" s="8" t="n"/>
      <c r="BP54" s="9" t="n"/>
      <c r="BQ54" s="9" t="n"/>
      <c r="BR54" s="12">
        <f>IF(AND(AI54="Y",AK54="Y",AL54="Y",AM54="Y",AY54="Y",AZ54="Y",BA54="Y",BB54="Y",BC54="Y",BE54&lt;&gt;"Y",AX54&lt;&gt;"Y",BL54&lt;&gt;"Y",IF(AS54="Y",AV54="Y",TRUE)),"Y","N")</f>
        <v/>
      </c>
      <c r="BS54" s="12">
        <f>IF(AND(BR54="Y",OR(AND(BJ54="Y",BM54="Y"),AND(BK54="Y",BN54="Y"),AND(BJ54&lt;&gt;"Y",BK54&lt;&gt;"Y",OR(BM54="Y",BN54="Y")))),"Y","N")</f>
        <v/>
      </c>
      <c r="BT54" s="10" t="n"/>
      <c r="BU54" s="13" t="n"/>
      <c r="BV54" s="13" t="n"/>
      <c r="BW54" s="13" t="n"/>
      <c r="BX54" s="13" t="n"/>
      <c r="BY54" s="13" t="n"/>
      <c r="BZ54" s="13" t="n"/>
      <c r="CA54" s="14" t="n"/>
      <c r="CB54" s="13" t="n"/>
      <c r="CC54" s="9" t="n"/>
      <c r="CD54" s="9" t="n"/>
      <c r="CE54" s="9" t="n"/>
      <c r="CF54" s="9" t="n"/>
      <c r="CG54" s="9" t="n"/>
      <c r="CH54" s="9" t="n"/>
    </row>
    <row r="55">
      <c r="A55" s="8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8" t="n"/>
      <c r="L55" s="9" t="n"/>
      <c r="M55" s="8" t="n"/>
      <c r="N55" s="8" t="n"/>
      <c r="O55" s="8" t="n"/>
      <c r="P55" s="8" t="n"/>
      <c r="Q55" s="8" t="n"/>
      <c r="R55" s="9" t="n"/>
      <c r="S55" s="9" t="n"/>
      <c r="T55" s="10" t="n"/>
      <c r="U55" s="10" t="n"/>
      <c r="V55" s="9" t="n"/>
      <c r="W55" s="9" t="n"/>
      <c r="X55" s="9" t="n"/>
      <c r="Y55" s="9" t="n"/>
      <c r="Z55" s="11" t="n"/>
      <c r="AA55" s="11" t="n"/>
      <c r="AB55" s="11" t="n"/>
      <c r="AC55" s="11" t="n"/>
      <c r="AD55" s="11" t="n"/>
      <c r="AE55" s="11" t="n"/>
      <c r="AF55" s="9" t="n"/>
      <c r="AG55" s="9" t="n"/>
      <c r="AH55" s="9" t="n"/>
      <c r="AI55" s="9" t="n"/>
      <c r="AJ55" s="8" t="n"/>
      <c r="AK55" s="9" t="n"/>
      <c r="AL55" s="9" t="n"/>
      <c r="AM55" s="9" t="n"/>
      <c r="AN55" s="9" t="n"/>
      <c r="AO55" s="9" t="n"/>
      <c r="AP55" s="9" t="n"/>
      <c r="AQ55" s="9" t="n"/>
      <c r="AR55" s="9" t="n"/>
      <c r="AS55" s="9" t="n"/>
      <c r="AT55" s="8" t="n"/>
      <c r="AU55" s="8" t="n"/>
      <c r="AV55" s="9" t="n"/>
      <c r="AW55" s="8" t="n"/>
      <c r="AX55" s="9" t="n"/>
      <c r="AY55" s="9" t="n"/>
      <c r="AZ55" s="9" t="n"/>
      <c r="BA55" s="9" t="n"/>
      <c r="BB55" s="9" t="n"/>
      <c r="BC55" s="9" t="n"/>
      <c r="BD55" s="9" t="n"/>
      <c r="BE55" s="9" t="n"/>
      <c r="BF55" s="9" t="n"/>
      <c r="BG55" s="9" t="n"/>
      <c r="BH55" s="9" t="n"/>
      <c r="BI55" s="9" t="n"/>
      <c r="BJ55" s="9" t="n"/>
      <c r="BK55" s="9" t="n"/>
      <c r="BL55" s="9" t="n"/>
      <c r="BM55" s="9" t="n"/>
      <c r="BN55" s="9" t="n"/>
      <c r="BO55" s="8" t="n"/>
      <c r="BP55" s="9" t="n"/>
      <c r="BQ55" s="9" t="n"/>
      <c r="BR55" s="12">
        <f>IF(AND(AI55="Y",AK55="Y",AL55="Y",AM55="Y",AY55="Y",AZ55="Y",BA55="Y",BB55="Y",BC55="Y",BE55&lt;&gt;"Y",AX55&lt;&gt;"Y",BL55&lt;&gt;"Y",IF(AS55="Y",AV55="Y",TRUE)),"Y","N")</f>
        <v/>
      </c>
      <c r="BS55" s="12">
        <f>IF(AND(BR55="Y",OR(AND(BJ55="Y",BM55="Y"),AND(BK55="Y",BN55="Y"),AND(BJ55&lt;&gt;"Y",BK55&lt;&gt;"Y",OR(BM55="Y",BN55="Y")))),"Y","N")</f>
        <v/>
      </c>
      <c r="BT55" s="10" t="n"/>
      <c r="BU55" s="13" t="n"/>
      <c r="BV55" s="13" t="n"/>
      <c r="BW55" s="13" t="n"/>
      <c r="BX55" s="13" t="n"/>
      <c r="BY55" s="13" t="n"/>
      <c r="BZ55" s="13" t="n"/>
      <c r="CA55" s="14" t="n"/>
      <c r="CB55" s="13" t="n"/>
      <c r="CC55" s="9" t="n"/>
      <c r="CD55" s="9" t="n"/>
      <c r="CE55" s="9" t="n"/>
      <c r="CF55" s="9" t="n"/>
      <c r="CG55" s="9" t="n"/>
      <c r="CH55" s="9" t="n"/>
    </row>
    <row r="56">
      <c r="A56" s="8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8" t="n"/>
      <c r="L56" s="9" t="n"/>
      <c r="M56" s="8" t="n"/>
      <c r="N56" s="8" t="n"/>
      <c r="O56" s="8" t="n"/>
      <c r="P56" s="8" t="n"/>
      <c r="Q56" s="8" t="n"/>
      <c r="R56" s="9" t="n"/>
      <c r="S56" s="9" t="n"/>
      <c r="T56" s="10" t="n"/>
      <c r="U56" s="10" t="n"/>
      <c r="V56" s="9" t="n"/>
      <c r="W56" s="9" t="n"/>
      <c r="X56" s="9" t="n"/>
      <c r="Y56" s="9" t="n"/>
      <c r="Z56" s="11" t="n"/>
      <c r="AA56" s="11" t="n"/>
      <c r="AB56" s="11" t="n"/>
      <c r="AC56" s="11" t="n"/>
      <c r="AD56" s="11" t="n"/>
      <c r="AE56" s="11" t="n"/>
      <c r="AF56" s="9" t="n"/>
      <c r="AG56" s="9" t="n"/>
      <c r="AH56" s="9" t="n"/>
      <c r="AI56" s="9" t="n"/>
      <c r="AJ56" s="8" t="n"/>
      <c r="AK56" s="9" t="n"/>
      <c r="AL56" s="9" t="n"/>
      <c r="AM56" s="9" t="n"/>
      <c r="AN56" s="9" t="n"/>
      <c r="AO56" s="9" t="n"/>
      <c r="AP56" s="9" t="n"/>
      <c r="AQ56" s="9" t="n"/>
      <c r="AR56" s="9" t="n"/>
      <c r="AS56" s="9" t="n"/>
      <c r="AT56" s="8" t="n"/>
      <c r="AU56" s="8" t="n"/>
      <c r="AV56" s="9" t="n"/>
      <c r="AW56" s="8" t="n"/>
      <c r="AX56" s="9" t="n"/>
      <c r="AY56" s="9" t="n"/>
      <c r="AZ56" s="9" t="n"/>
      <c r="BA56" s="9" t="n"/>
      <c r="BB56" s="9" t="n"/>
      <c r="BC56" s="9" t="n"/>
      <c r="BD56" s="9" t="n"/>
      <c r="BE56" s="9" t="n"/>
      <c r="BF56" s="9" t="n"/>
      <c r="BG56" s="9" t="n"/>
      <c r="BH56" s="9" t="n"/>
      <c r="BI56" s="9" t="n"/>
      <c r="BJ56" s="9" t="n"/>
      <c r="BK56" s="9" t="n"/>
      <c r="BL56" s="9" t="n"/>
      <c r="BM56" s="9" t="n"/>
      <c r="BN56" s="9" t="n"/>
      <c r="BO56" s="8" t="n"/>
      <c r="BP56" s="9" t="n"/>
      <c r="BQ56" s="9" t="n"/>
      <c r="BR56" s="12">
        <f>IF(AND(AI56="Y",AK56="Y",AL56="Y",AM56="Y",AY56="Y",AZ56="Y",BA56="Y",BB56="Y",BC56="Y",BE56&lt;&gt;"Y",AX56&lt;&gt;"Y",BL56&lt;&gt;"Y",IF(AS56="Y",AV56="Y",TRUE)),"Y","N")</f>
        <v/>
      </c>
      <c r="BS56" s="12">
        <f>IF(AND(BR56="Y",OR(AND(BJ56="Y",BM56="Y"),AND(BK56="Y",BN56="Y"),AND(BJ56&lt;&gt;"Y",BK56&lt;&gt;"Y",OR(BM56="Y",BN56="Y")))),"Y","N")</f>
        <v/>
      </c>
      <c r="BT56" s="10" t="n"/>
      <c r="BU56" s="13" t="n"/>
      <c r="BV56" s="13" t="n"/>
      <c r="BW56" s="13" t="n"/>
      <c r="BX56" s="13" t="n"/>
      <c r="BY56" s="13" t="n"/>
      <c r="BZ56" s="13" t="n"/>
      <c r="CA56" s="14" t="n"/>
      <c r="CB56" s="13" t="n"/>
      <c r="CC56" s="9" t="n"/>
      <c r="CD56" s="9" t="n"/>
      <c r="CE56" s="9" t="n"/>
      <c r="CF56" s="9" t="n"/>
      <c r="CG56" s="9" t="n"/>
      <c r="CH56" s="9" t="n"/>
    </row>
    <row r="57">
      <c r="A57" s="8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8" t="n"/>
      <c r="L57" s="9" t="n"/>
      <c r="M57" s="8" t="n"/>
      <c r="N57" s="8" t="n"/>
      <c r="O57" s="8" t="n"/>
      <c r="P57" s="8" t="n"/>
      <c r="Q57" s="8" t="n"/>
      <c r="R57" s="9" t="n"/>
      <c r="S57" s="9" t="n"/>
      <c r="T57" s="10" t="n"/>
      <c r="U57" s="10" t="n"/>
      <c r="V57" s="9" t="n"/>
      <c r="W57" s="9" t="n"/>
      <c r="X57" s="9" t="n"/>
      <c r="Y57" s="9" t="n"/>
      <c r="Z57" s="11" t="n"/>
      <c r="AA57" s="11" t="n"/>
      <c r="AB57" s="11" t="n"/>
      <c r="AC57" s="11" t="n"/>
      <c r="AD57" s="11" t="n"/>
      <c r="AE57" s="11" t="n"/>
      <c r="AF57" s="9" t="n"/>
      <c r="AG57" s="9" t="n"/>
      <c r="AH57" s="9" t="n"/>
      <c r="AI57" s="9" t="n"/>
      <c r="AJ57" s="8" t="n"/>
      <c r="AK57" s="9" t="n"/>
      <c r="AL57" s="9" t="n"/>
      <c r="AM57" s="9" t="n"/>
      <c r="AN57" s="9" t="n"/>
      <c r="AO57" s="9" t="n"/>
      <c r="AP57" s="9" t="n"/>
      <c r="AQ57" s="9" t="n"/>
      <c r="AR57" s="9" t="n"/>
      <c r="AS57" s="9" t="n"/>
      <c r="AT57" s="8" t="n"/>
      <c r="AU57" s="8" t="n"/>
      <c r="AV57" s="9" t="n"/>
      <c r="AW57" s="8" t="n"/>
      <c r="AX57" s="9" t="n"/>
      <c r="AY57" s="9" t="n"/>
      <c r="AZ57" s="9" t="n"/>
      <c r="BA57" s="9" t="n"/>
      <c r="BB57" s="9" t="n"/>
      <c r="BC57" s="9" t="n"/>
      <c r="BD57" s="9" t="n"/>
      <c r="BE57" s="9" t="n"/>
      <c r="BF57" s="9" t="n"/>
      <c r="BG57" s="9" t="n"/>
      <c r="BH57" s="9" t="n"/>
      <c r="BI57" s="9" t="n"/>
      <c r="BJ57" s="9" t="n"/>
      <c r="BK57" s="9" t="n"/>
      <c r="BL57" s="9" t="n"/>
      <c r="BM57" s="9" t="n"/>
      <c r="BN57" s="9" t="n"/>
      <c r="BO57" s="8" t="n"/>
      <c r="BP57" s="9" t="n"/>
      <c r="BQ57" s="9" t="n"/>
      <c r="BR57" s="12">
        <f>IF(AND(AI57="Y",AK57="Y",AL57="Y",AM57="Y",AY57="Y",AZ57="Y",BA57="Y",BB57="Y",BC57="Y",BE57&lt;&gt;"Y",AX57&lt;&gt;"Y",BL57&lt;&gt;"Y",IF(AS57="Y",AV57="Y",TRUE)),"Y","N")</f>
        <v/>
      </c>
      <c r="BS57" s="12">
        <f>IF(AND(BR57="Y",OR(AND(BJ57="Y",BM57="Y"),AND(BK57="Y",BN57="Y"),AND(BJ57&lt;&gt;"Y",BK57&lt;&gt;"Y",OR(BM57="Y",BN57="Y")))),"Y","N")</f>
        <v/>
      </c>
      <c r="BT57" s="10" t="n"/>
      <c r="BU57" s="13" t="n"/>
      <c r="BV57" s="13" t="n"/>
      <c r="BW57" s="13" t="n"/>
      <c r="BX57" s="13" t="n"/>
      <c r="BY57" s="13" t="n"/>
      <c r="BZ57" s="13" t="n"/>
      <c r="CA57" s="14" t="n"/>
      <c r="CB57" s="13" t="n"/>
      <c r="CC57" s="9" t="n"/>
      <c r="CD57" s="9" t="n"/>
      <c r="CE57" s="9" t="n"/>
      <c r="CF57" s="9" t="n"/>
      <c r="CG57" s="9" t="n"/>
      <c r="CH57" s="9" t="n"/>
    </row>
    <row r="58">
      <c r="A58" s="8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8" t="n"/>
      <c r="L58" s="9" t="n"/>
      <c r="M58" s="8" t="n"/>
      <c r="N58" s="8" t="n"/>
      <c r="O58" s="8" t="n"/>
      <c r="P58" s="8" t="n"/>
      <c r="Q58" s="8" t="n"/>
      <c r="R58" s="9" t="n"/>
      <c r="S58" s="9" t="n"/>
      <c r="T58" s="10" t="n"/>
      <c r="U58" s="10" t="n"/>
      <c r="V58" s="9" t="n"/>
      <c r="W58" s="9" t="n"/>
      <c r="X58" s="9" t="n"/>
      <c r="Y58" s="9" t="n"/>
      <c r="Z58" s="11" t="n"/>
      <c r="AA58" s="11" t="n"/>
      <c r="AB58" s="11" t="n"/>
      <c r="AC58" s="11" t="n"/>
      <c r="AD58" s="11" t="n"/>
      <c r="AE58" s="11" t="n"/>
      <c r="AF58" s="9" t="n"/>
      <c r="AG58" s="9" t="n"/>
      <c r="AH58" s="9" t="n"/>
      <c r="AI58" s="9" t="n"/>
      <c r="AJ58" s="8" t="n"/>
      <c r="AK58" s="9" t="n"/>
      <c r="AL58" s="9" t="n"/>
      <c r="AM58" s="9" t="n"/>
      <c r="AN58" s="9" t="n"/>
      <c r="AO58" s="9" t="n"/>
      <c r="AP58" s="9" t="n"/>
      <c r="AQ58" s="9" t="n"/>
      <c r="AR58" s="9" t="n"/>
      <c r="AS58" s="9" t="n"/>
      <c r="AT58" s="8" t="n"/>
      <c r="AU58" s="8" t="n"/>
      <c r="AV58" s="9" t="n"/>
      <c r="AW58" s="8" t="n"/>
      <c r="AX58" s="9" t="n"/>
      <c r="AY58" s="9" t="n"/>
      <c r="AZ58" s="9" t="n"/>
      <c r="BA58" s="9" t="n"/>
      <c r="BB58" s="9" t="n"/>
      <c r="BC58" s="9" t="n"/>
      <c r="BD58" s="9" t="n"/>
      <c r="BE58" s="9" t="n"/>
      <c r="BF58" s="9" t="n"/>
      <c r="BG58" s="9" t="n"/>
      <c r="BH58" s="9" t="n"/>
      <c r="BI58" s="9" t="n"/>
      <c r="BJ58" s="9" t="n"/>
      <c r="BK58" s="9" t="n"/>
      <c r="BL58" s="9" t="n"/>
      <c r="BM58" s="9" t="n"/>
      <c r="BN58" s="9" t="n"/>
      <c r="BO58" s="8" t="n"/>
      <c r="BP58" s="9" t="n"/>
      <c r="BQ58" s="9" t="n"/>
      <c r="BR58" s="12">
        <f>IF(AND(AI58="Y",AK58="Y",AL58="Y",AM58="Y",AY58="Y",AZ58="Y",BA58="Y",BB58="Y",BC58="Y",BE58&lt;&gt;"Y",AX58&lt;&gt;"Y",BL58&lt;&gt;"Y",IF(AS58="Y",AV58="Y",TRUE)),"Y","N")</f>
        <v/>
      </c>
      <c r="BS58" s="12">
        <f>IF(AND(BR58="Y",OR(AND(BJ58="Y",BM58="Y"),AND(BK58="Y",BN58="Y"),AND(BJ58&lt;&gt;"Y",BK58&lt;&gt;"Y",OR(BM58="Y",BN58="Y")))),"Y","N")</f>
        <v/>
      </c>
      <c r="BT58" s="10" t="n"/>
      <c r="BU58" s="13" t="n"/>
      <c r="BV58" s="13" t="n"/>
      <c r="BW58" s="13" t="n"/>
      <c r="BX58" s="13" t="n"/>
      <c r="BY58" s="13" t="n"/>
      <c r="BZ58" s="13" t="n"/>
      <c r="CA58" s="14" t="n"/>
      <c r="CB58" s="13" t="n"/>
      <c r="CC58" s="9" t="n"/>
      <c r="CD58" s="9" t="n"/>
      <c r="CE58" s="9" t="n"/>
      <c r="CF58" s="9" t="n"/>
      <c r="CG58" s="9" t="n"/>
      <c r="CH58" s="9" t="n"/>
    </row>
    <row r="59">
      <c r="A59" s="8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8" t="n"/>
      <c r="L59" s="9" t="n"/>
      <c r="M59" s="8" t="n"/>
      <c r="N59" s="8" t="n"/>
      <c r="O59" s="8" t="n"/>
      <c r="P59" s="8" t="n"/>
      <c r="Q59" s="8" t="n"/>
      <c r="R59" s="9" t="n"/>
      <c r="S59" s="9" t="n"/>
      <c r="T59" s="10" t="n"/>
      <c r="U59" s="10" t="n"/>
      <c r="V59" s="9" t="n"/>
      <c r="W59" s="9" t="n"/>
      <c r="X59" s="9" t="n"/>
      <c r="Y59" s="9" t="n"/>
      <c r="Z59" s="11" t="n"/>
      <c r="AA59" s="11" t="n"/>
      <c r="AB59" s="11" t="n"/>
      <c r="AC59" s="11" t="n"/>
      <c r="AD59" s="11" t="n"/>
      <c r="AE59" s="11" t="n"/>
      <c r="AF59" s="9" t="n"/>
      <c r="AG59" s="9" t="n"/>
      <c r="AH59" s="9" t="n"/>
      <c r="AI59" s="9" t="n"/>
      <c r="AJ59" s="8" t="n"/>
      <c r="AK59" s="9" t="n"/>
      <c r="AL59" s="9" t="n"/>
      <c r="AM59" s="9" t="n"/>
      <c r="AN59" s="9" t="n"/>
      <c r="AO59" s="9" t="n"/>
      <c r="AP59" s="9" t="n"/>
      <c r="AQ59" s="9" t="n"/>
      <c r="AR59" s="9" t="n"/>
      <c r="AS59" s="9" t="n"/>
      <c r="AT59" s="8" t="n"/>
      <c r="AU59" s="8" t="n"/>
      <c r="AV59" s="9" t="n"/>
      <c r="AW59" s="8" t="n"/>
      <c r="AX59" s="9" t="n"/>
      <c r="AY59" s="9" t="n"/>
      <c r="AZ59" s="9" t="n"/>
      <c r="BA59" s="9" t="n"/>
      <c r="BB59" s="9" t="n"/>
      <c r="BC59" s="9" t="n"/>
      <c r="BD59" s="9" t="n"/>
      <c r="BE59" s="9" t="n"/>
      <c r="BF59" s="9" t="n"/>
      <c r="BG59" s="9" t="n"/>
      <c r="BH59" s="9" t="n"/>
      <c r="BI59" s="9" t="n"/>
      <c r="BJ59" s="9" t="n"/>
      <c r="BK59" s="9" t="n"/>
      <c r="BL59" s="9" t="n"/>
      <c r="BM59" s="9" t="n"/>
      <c r="BN59" s="9" t="n"/>
      <c r="BO59" s="8" t="n"/>
      <c r="BP59" s="9" t="n"/>
      <c r="BQ59" s="9" t="n"/>
      <c r="BR59" s="12">
        <f>IF(AND(AI59="Y",AK59="Y",AL59="Y",AM59="Y",AY59="Y",AZ59="Y",BA59="Y",BB59="Y",BC59="Y",BE59&lt;&gt;"Y",AX59&lt;&gt;"Y",BL59&lt;&gt;"Y",IF(AS59="Y",AV59="Y",TRUE)),"Y","N")</f>
        <v/>
      </c>
      <c r="BS59" s="12">
        <f>IF(AND(BR59="Y",OR(AND(BJ59="Y",BM59="Y"),AND(BK59="Y",BN59="Y"),AND(BJ59&lt;&gt;"Y",BK59&lt;&gt;"Y",OR(BM59="Y",BN59="Y")))),"Y","N")</f>
        <v/>
      </c>
      <c r="BT59" s="10" t="n"/>
      <c r="BU59" s="13" t="n"/>
      <c r="BV59" s="13" t="n"/>
      <c r="BW59" s="13" t="n"/>
      <c r="BX59" s="13" t="n"/>
      <c r="BY59" s="13" t="n"/>
      <c r="BZ59" s="13" t="n"/>
      <c r="CA59" s="14" t="n"/>
      <c r="CB59" s="13" t="n"/>
      <c r="CC59" s="9" t="n"/>
      <c r="CD59" s="9" t="n"/>
      <c r="CE59" s="9" t="n"/>
      <c r="CF59" s="9" t="n"/>
      <c r="CG59" s="9" t="n"/>
      <c r="CH59" s="9" t="n"/>
    </row>
    <row r="60">
      <c r="A60" s="8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8" t="n"/>
      <c r="L60" s="9" t="n"/>
      <c r="M60" s="8" t="n"/>
      <c r="N60" s="8" t="n"/>
      <c r="O60" s="8" t="n"/>
      <c r="P60" s="8" t="n"/>
      <c r="Q60" s="8" t="n"/>
      <c r="R60" s="9" t="n"/>
      <c r="S60" s="9" t="n"/>
      <c r="T60" s="10" t="n"/>
      <c r="U60" s="10" t="n"/>
      <c r="V60" s="9" t="n"/>
      <c r="W60" s="9" t="n"/>
      <c r="X60" s="9" t="n"/>
      <c r="Y60" s="9" t="n"/>
      <c r="Z60" s="11" t="n"/>
      <c r="AA60" s="11" t="n"/>
      <c r="AB60" s="11" t="n"/>
      <c r="AC60" s="11" t="n"/>
      <c r="AD60" s="11" t="n"/>
      <c r="AE60" s="11" t="n"/>
      <c r="AF60" s="9" t="n"/>
      <c r="AG60" s="9" t="n"/>
      <c r="AH60" s="9" t="n"/>
      <c r="AI60" s="9" t="n"/>
      <c r="AJ60" s="8" t="n"/>
      <c r="AK60" s="9" t="n"/>
      <c r="AL60" s="9" t="n"/>
      <c r="AM60" s="9" t="n"/>
      <c r="AN60" s="9" t="n"/>
      <c r="AO60" s="9" t="n"/>
      <c r="AP60" s="9" t="n"/>
      <c r="AQ60" s="9" t="n"/>
      <c r="AR60" s="9" t="n"/>
      <c r="AS60" s="9" t="n"/>
      <c r="AT60" s="8" t="n"/>
      <c r="AU60" s="8" t="n"/>
      <c r="AV60" s="9" t="n"/>
      <c r="AW60" s="8" t="n"/>
      <c r="AX60" s="9" t="n"/>
      <c r="AY60" s="9" t="n"/>
      <c r="AZ60" s="9" t="n"/>
      <c r="BA60" s="9" t="n"/>
      <c r="BB60" s="9" t="n"/>
      <c r="BC60" s="9" t="n"/>
      <c r="BD60" s="9" t="n"/>
      <c r="BE60" s="9" t="n"/>
      <c r="BF60" s="9" t="n"/>
      <c r="BG60" s="9" t="n"/>
      <c r="BH60" s="9" t="n"/>
      <c r="BI60" s="9" t="n"/>
      <c r="BJ60" s="9" t="n"/>
      <c r="BK60" s="9" t="n"/>
      <c r="BL60" s="9" t="n"/>
      <c r="BM60" s="9" t="n"/>
      <c r="BN60" s="9" t="n"/>
      <c r="BO60" s="8" t="n"/>
      <c r="BP60" s="9" t="n"/>
      <c r="BQ60" s="9" t="n"/>
      <c r="BR60" s="12">
        <f>IF(AND(AI60="Y",AK60="Y",AL60="Y",AM60="Y",AY60="Y",AZ60="Y",BA60="Y",BB60="Y",BC60="Y",BE60&lt;&gt;"Y",AX60&lt;&gt;"Y",BL60&lt;&gt;"Y",IF(AS60="Y",AV60="Y",TRUE)),"Y","N")</f>
        <v/>
      </c>
      <c r="BS60" s="12">
        <f>IF(AND(BR60="Y",OR(AND(BJ60="Y",BM60="Y"),AND(BK60="Y",BN60="Y"),AND(BJ60&lt;&gt;"Y",BK60&lt;&gt;"Y",OR(BM60="Y",BN60="Y")))),"Y","N")</f>
        <v/>
      </c>
      <c r="BT60" s="10" t="n"/>
      <c r="BU60" s="13" t="n"/>
      <c r="BV60" s="13" t="n"/>
      <c r="BW60" s="13" t="n"/>
      <c r="BX60" s="13" t="n"/>
      <c r="BY60" s="13" t="n"/>
      <c r="BZ60" s="13" t="n"/>
      <c r="CA60" s="14" t="n"/>
      <c r="CB60" s="13" t="n"/>
      <c r="CC60" s="9" t="n"/>
      <c r="CD60" s="9" t="n"/>
      <c r="CE60" s="9" t="n"/>
      <c r="CF60" s="9" t="n"/>
      <c r="CG60" s="9" t="n"/>
      <c r="CH60" s="9" t="n"/>
    </row>
    <row r="61">
      <c r="A61" s="8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8" t="n"/>
      <c r="L61" s="9" t="n"/>
      <c r="M61" s="8" t="n"/>
      <c r="N61" s="8" t="n"/>
      <c r="O61" s="8" t="n"/>
      <c r="P61" s="8" t="n"/>
      <c r="Q61" s="8" t="n"/>
      <c r="R61" s="9" t="n"/>
      <c r="S61" s="9" t="n"/>
      <c r="T61" s="10" t="n"/>
      <c r="U61" s="10" t="n"/>
      <c r="V61" s="9" t="n"/>
      <c r="W61" s="9" t="n"/>
      <c r="X61" s="9" t="n"/>
      <c r="Y61" s="9" t="n"/>
      <c r="Z61" s="11" t="n"/>
      <c r="AA61" s="11" t="n"/>
      <c r="AB61" s="11" t="n"/>
      <c r="AC61" s="11" t="n"/>
      <c r="AD61" s="11" t="n"/>
      <c r="AE61" s="11" t="n"/>
      <c r="AF61" s="9" t="n"/>
      <c r="AG61" s="9" t="n"/>
      <c r="AH61" s="9" t="n"/>
      <c r="AI61" s="9" t="n"/>
      <c r="AJ61" s="8" t="n"/>
      <c r="AK61" s="9" t="n"/>
      <c r="AL61" s="9" t="n"/>
      <c r="AM61" s="9" t="n"/>
      <c r="AN61" s="9" t="n"/>
      <c r="AO61" s="9" t="n"/>
      <c r="AP61" s="9" t="n"/>
      <c r="AQ61" s="9" t="n"/>
      <c r="AR61" s="9" t="n"/>
      <c r="AS61" s="9" t="n"/>
      <c r="AT61" s="8" t="n"/>
      <c r="AU61" s="8" t="n"/>
      <c r="AV61" s="9" t="n"/>
      <c r="AW61" s="8" t="n"/>
      <c r="AX61" s="9" t="n"/>
      <c r="AY61" s="9" t="n"/>
      <c r="AZ61" s="9" t="n"/>
      <c r="BA61" s="9" t="n"/>
      <c r="BB61" s="9" t="n"/>
      <c r="BC61" s="9" t="n"/>
      <c r="BD61" s="9" t="n"/>
      <c r="BE61" s="9" t="n"/>
      <c r="BF61" s="9" t="n"/>
      <c r="BG61" s="9" t="n"/>
      <c r="BH61" s="9" t="n"/>
      <c r="BI61" s="9" t="n"/>
      <c r="BJ61" s="9" t="n"/>
      <c r="BK61" s="9" t="n"/>
      <c r="BL61" s="9" t="n"/>
      <c r="BM61" s="9" t="n"/>
      <c r="BN61" s="9" t="n"/>
      <c r="BO61" s="8" t="n"/>
      <c r="BP61" s="9" t="n"/>
      <c r="BQ61" s="9" t="n"/>
      <c r="BR61" s="12">
        <f>IF(AND(AI61="Y",AK61="Y",AL61="Y",AM61="Y",AY61="Y",AZ61="Y",BA61="Y",BB61="Y",BC61="Y",BE61&lt;&gt;"Y",AX61&lt;&gt;"Y",BL61&lt;&gt;"Y",IF(AS61="Y",AV61="Y",TRUE)),"Y","N")</f>
        <v/>
      </c>
      <c r="BS61" s="12">
        <f>IF(AND(BR61="Y",OR(AND(BJ61="Y",BM61="Y"),AND(BK61="Y",BN61="Y"),AND(BJ61&lt;&gt;"Y",BK61&lt;&gt;"Y",OR(BM61="Y",BN61="Y")))),"Y","N")</f>
        <v/>
      </c>
      <c r="BT61" s="10" t="n"/>
      <c r="BU61" s="13" t="n"/>
      <c r="BV61" s="13" t="n"/>
      <c r="BW61" s="13" t="n"/>
      <c r="BX61" s="13" t="n"/>
      <c r="BY61" s="13" t="n"/>
      <c r="BZ61" s="13" t="n"/>
      <c r="CA61" s="14" t="n"/>
      <c r="CB61" s="13" t="n"/>
      <c r="CC61" s="9" t="n"/>
      <c r="CD61" s="9" t="n"/>
      <c r="CE61" s="9" t="n"/>
      <c r="CF61" s="9" t="n"/>
      <c r="CG61" s="9" t="n"/>
      <c r="CH61" s="9" t="n"/>
    </row>
    <row r="62">
      <c r="A62" s="8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8" t="n"/>
      <c r="L62" s="9" t="n"/>
      <c r="M62" s="8" t="n"/>
      <c r="N62" s="8" t="n"/>
      <c r="O62" s="8" t="n"/>
      <c r="P62" s="8" t="n"/>
      <c r="Q62" s="8" t="n"/>
      <c r="R62" s="9" t="n"/>
      <c r="S62" s="9" t="n"/>
      <c r="T62" s="10" t="n"/>
      <c r="U62" s="10" t="n"/>
      <c r="V62" s="9" t="n"/>
      <c r="W62" s="9" t="n"/>
      <c r="X62" s="9" t="n"/>
      <c r="Y62" s="9" t="n"/>
      <c r="Z62" s="11" t="n"/>
      <c r="AA62" s="11" t="n"/>
      <c r="AB62" s="11" t="n"/>
      <c r="AC62" s="11" t="n"/>
      <c r="AD62" s="11" t="n"/>
      <c r="AE62" s="11" t="n"/>
      <c r="AF62" s="9" t="n"/>
      <c r="AG62" s="9" t="n"/>
      <c r="AH62" s="9" t="n"/>
      <c r="AI62" s="9" t="n"/>
      <c r="AJ62" s="8" t="n"/>
      <c r="AK62" s="9" t="n"/>
      <c r="AL62" s="9" t="n"/>
      <c r="AM62" s="9" t="n"/>
      <c r="AN62" s="9" t="n"/>
      <c r="AO62" s="9" t="n"/>
      <c r="AP62" s="9" t="n"/>
      <c r="AQ62" s="9" t="n"/>
      <c r="AR62" s="9" t="n"/>
      <c r="AS62" s="9" t="n"/>
      <c r="AT62" s="8" t="n"/>
      <c r="AU62" s="8" t="n"/>
      <c r="AV62" s="9" t="n"/>
      <c r="AW62" s="8" t="n"/>
      <c r="AX62" s="9" t="n"/>
      <c r="AY62" s="9" t="n"/>
      <c r="AZ62" s="9" t="n"/>
      <c r="BA62" s="9" t="n"/>
      <c r="BB62" s="9" t="n"/>
      <c r="BC62" s="9" t="n"/>
      <c r="BD62" s="9" t="n"/>
      <c r="BE62" s="9" t="n"/>
      <c r="BF62" s="9" t="n"/>
      <c r="BG62" s="9" t="n"/>
      <c r="BH62" s="9" t="n"/>
      <c r="BI62" s="9" t="n"/>
      <c r="BJ62" s="9" t="n"/>
      <c r="BK62" s="9" t="n"/>
      <c r="BL62" s="9" t="n"/>
      <c r="BM62" s="9" t="n"/>
      <c r="BN62" s="9" t="n"/>
      <c r="BO62" s="8" t="n"/>
      <c r="BP62" s="9" t="n"/>
      <c r="BQ62" s="9" t="n"/>
      <c r="BR62" s="12">
        <f>IF(AND(AI62="Y",AK62="Y",AL62="Y",AM62="Y",AY62="Y",AZ62="Y",BA62="Y",BB62="Y",BC62="Y",BE62&lt;&gt;"Y",AX62&lt;&gt;"Y",BL62&lt;&gt;"Y",IF(AS62="Y",AV62="Y",TRUE)),"Y","N")</f>
        <v/>
      </c>
      <c r="BS62" s="12">
        <f>IF(AND(BR62="Y",OR(AND(BJ62="Y",BM62="Y"),AND(BK62="Y",BN62="Y"),AND(BJ62&lt;&gt;"Y",BK62&lt;&gt;"Y",OR(BM62="Y",BN62="Y")))),"Y","N")</f>
        <v/>
      </c>
      <c r="BT62" s="10" t="n"/>
      <c r="BU62" s="13" t="n"/>
      <c r="BV62" s="13" t="n"/>
      <c r="BW62" s="13" t="n"/>
      <c r="BX62" s="13" t="n"/>
      <c r="BY62" s="13" t="n"/>
      <c r="BZ62" s="13" t="n"/>
      <c r="CA62" s="14" t="n"/>
      <c r="CB62" s="13" t="n"/>
      <c r="CC62" s="9" t="n"/>
      <c r="CD62" s="9" t="n"/>
      <c r="CE62" s="9" t="n"/>
      <c r="CF62" s="9" t="n"/>
      <c r="CG62" s="9" t="n"/>
      <c r="CH62" s="9" t="n"/>
    </row>
    <row r="63">
      <c r="A63" s="8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8" t="n"/>
      <c r="L63" s="9" t="n"/>
      <c r="M63" s="8" t="n"/>
      <c r="N63" s="8" t="n"/>
      <c r="O63" s="8" t="n"/>
      <c r="P63" s="8" t="n"/>
      <c r="Q63" s="8" t="n"/>
      <c r="R63" s="9" t="n"/>
      <c r="S63" s="9" t="n"/>
      <c r="T63" s="10" t="n"/>
      <c r="U63" s="10" t="n"/>
      <c r="V63" s="9" t="n"/>
      <c r="W63" s="9" t="n"/>
      <c r="X63" s="9" t="n"/>
      <c r="Y63" s="9" t="n"/>
      <c r="Z63" s="11" t="n"/>
      <c r="AA63" s="11" t="n"/>
      <c r="AB63" s="11" t="n"/>
      <c r="AC63" s="11" t="n"/>
      <c r="AD63" s="11" t="n"/>
      <c r="AE63" s="11" t="n"/>
      <c r="AF63" s="9" t="n"/>
      <c r="AG63" s="9" t="n"/>
      <c r="AH63" s="9" t="n"/>
      <c r="AI63" s="9" t="n"/>
      <c r="AJ63" s="8" t="n"/>
      <c r="AK63" s="9" t="n"/>
      <c r="AL63" s="9" t="n"/>
      <c r="AM63" s="9" t="n"/>
      <c r="AN63" s="9" t="n"/>
      <c r="AO63" s="9" t="n"/>
      <c r="AP63" s="9" t="n"/>
      <c r="AQ63" s="9" t="n"/>
      <c r="AR63" s="9" t="n"/>
      <c r="AS63" s="9" t="n"/>
      <c r="AT63" s="8" t="n"/>
      <c r="AU63" s="8" t="n"/>
      <c r="AV63" s="9" t="n"/>
      <c r="AW63" s="8" t="n"/>
      <c r="AX63" s="9" t="n"/>
      <c r="AY63" s="9" t="n"/>
      <c r="AZ63" s="9" t="n"/>
      <c r="BA63" s="9" t="n"/>
      <c r="BB63" s="9" t="n"/>
      <c r="BC63" s="9" t="n"/>
      <c r="BD63" s="9" t="n"/>
      <c r="BE63" s="9" t="n"/>
      <c r="BF63" s="9" t="n"/>
      <c r="BG63" s="9" t="n"/>
      <c r="BH63" s="9" t="n"/>
      <c r="BI63" s="9" t="n"/>
      <c r="BJ63" s="9" t="n"/>
      <c r="BK63" s="9" t="n"/>
      <c r="BL63" s="9" t="n"/>
      <c r="BM63" s="9" t="n"/>
      <c r="BN63" s="9" t="n"/>
      <c r="BO63" s="8" t="n"/>
      <c r="BP63" s="9" t="n"/>
      <c r="BQ63" s="9" t="n"/>
      <c r="BR63" s="12">
        <f>IF(AND(AI63="Y",AK63="Y",AL63="Y",AM63="Y",AY63="Y",AZ63="Y",BA63="Y",BB63="Y",BC63="Y",BE63&lt;&gt;"Y",AX63&lt;&gt;"Y",BL63&lt;&gt;"Y",IF(AS63="Y",AV63="Y",TRUE)),"Y","N")</f>
        <v/>
      </c>
      <c r="BS63" s="12">
        <f>IF(AND(BR63="Y",OR(AND(BJ63="Y",BM63="Y"),AND(BK63="Y",BN63="Y"),AND(BJ63&lt;&gt;"Y",BK63&lt;&gt;"Y",OR(BM63="Y",BN63="Y")))),"Y","N")</f>
        <v/>
      </c>
      <c r="BT63" s="10" t="n"/>
      <c r="BU63" s="13" t="n"/>
      <c r="BV63" s="13" t="n"/>
      <c r="BW63" s="13" t="n"/>
      <c r="BX63" s="13" t="n"/>
      <c r="BY63" s="13" t="n"/>
      <c r="BZ63" s="13" t="n"/>
      <c r="CA63" s="14" t="n"/>
      <c r="CB63" s="13" t="n"/>
      <c r="CC63" s="9" t="n"/>
      <c r="CD63" s="9" t="n"/>
      <c r="CE63" s="9" t="n"/>
      <c r="CF63" s="9" t="n"/>
      <c r="CG63" s="9" t="n"/>
      <c r="CH63" s="9" t="n"/>
    </row>
    <row r="64">
      <c r="A64" s="8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8" t="n"/>
      <c r="L64" s="9" t="n"/>
      <c r="M64" s="8" t="n"/>
      <c r="N64" s="8" t="n"/>
      <c r="O64" s="8" t="n"/>
      <c r="P64" s="8" t="n"/>
      <c r="Q64" s="8" t="n"/>
      <c r="R64" s="9" t="n"/>
      <c r="S64" s="9" t="n"/>
      <c r="T64" s="10" t="n"/>
      <c r="U64" s="10" t="n"/>
      <c r="V64" s="9" t="n"/>
      <c r="W64" s="9" t="n"/>
      <c r="X64" s="9" t="n"/>
      <c r="Y64" s="9" t="n"/>
      <c r="Z64" s="11" t="n"/>
      <c r="AA64" s="11" t="n"/>
      <c r="AB64" s="11" t="n"/>
      <c r="AC64" s="11" t="n"/>
      <c r="AD64" s="11" t="n"/>
      <c r="AE64" s="11" t="n"/>
      <c r="AF64" s="9" t="n"/>
      <c r="AG64" s="9" t="n"/>
      <c r="AH64" s="9" t="n"/>
      <c r="AI64" s="9" t="n"/>
      <c r="AJ64" s="8" t="n"/>
      <c r="AK64" s="9" t="n"/>
      <c r="AL64" s="9" t="n"/>
      <c r="AM64" s="9" t="n"/>
      <c r="AN64" s="9" t="n"/>
      <c r="AO64" s="9" t="n"/>
      <c r="AP64" s="9" t="n"/>
      <c r="AQ64" s="9" t="n"/>
      <c r="AR64" s="9" t="n"/>
      <c r="AS64" s="9" t="n"/>
      <c r="AT64" s="8" t="n"/>
      <c r="AU64" s="8" t="n"/>
      <c r="AV64" s="9" t="n"/>
      <c r="AW64" s="8" t="n"/>
      <c r="AX64" s="9" t="n"/>
      <c r="AY64" s="9" t="n"/>
      <c r="AZ64" s="9" t="n"/>
      <c r="BA64" s="9" t="n"/>
      <c r="BB64" s="9" t="n"/>
      <c r="BC64" s="9" t="n"/>
      <c r="BD64" s="9" t="n"/>
      <c r="BE64" s="9" t="n"/>
      <c r="BF64" s="9" t="n"/>
      <c r="BG64" s="9" t="n"/>
      <c r="BH64" s="9" t="n"/>
      <c r="BI64" s="9" t="n"/>
      <c r="BJ64" s="9" t="n"/>
      <c r="BK64" s="9" t="n"/>
      <c r="BL64" s="9" t="n"/>
      <c r="BM64" s="9" t="n"/>
      <c r="BN64" s="9" t="n"/>
      <c r="BO64" s="8" t="n"/>
      <c r="BP64" s="9" t="n"/>
      <c r="BQ64" s="9" t="n"/>
      <c r="BR64" s="12">
        <f>IF(AND(AI64="Y",AK64="Y",AL64="Y",AM64="Y",AY64="Y",AZ64="Y",BA64="Y",BB64="Y",BC64="Y",BE64&lt;&gt;"Y",AX64&lt;&gt;"Y",BL64&lt;&gt;"Y",IF(AS64="Y",AV64="Y",TRUE)),"Y","N")</f>
        <v/>
      </c>
      <c r="BS64" s="12">
        <f>IF(AND(BR64="Y",OR(AND(BJ64="Y",BM64="Y"),AND(BK64="Y",BN64="Y"),AND(BJ64&lt;&gt;"Y",BK64&lt;&gt;"Y",OR(BM64="Y",BN64="Y")))),"Y","N")</f>
        <v/>
      </c>
      <c r="BT64" s="10" t="n"/>
      <c r="BU64" s="13" t="n"/>
      <c r="BV64" s="13" t="n"/>
      <c r="BW64" s="13" t="n"/>
      <c r="BX64" s="13" t="n"/>
      <c r="BY64" s="13" t="n"/>
      <c r="BZ64" s="13" t="n"/>
      <c r="CA64" s="14" t="n"/>
      <c r="CB64" s="13" t="n"/>
      <c r="CC64" s="9" t="n"/>
      <c r="CD64" s="9" t="n"/>
      <c r="CE64" s="9" t="n"/>
      <c r="CF64" s="9" t="n"/>
      <c r="CG64" s="9" t="n"/>
      <c r="CH64" s="9" t="n"/>
    </row>
    <row r="65">
      <c r="A65" s="8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8" t="n"/>
      <c r="L65" s="9" t="n"/>
      <c r="M65" s="8" t="n"/>
      <c r="N65" s="8" t="n"/>
      <c r="O65" s="8" t="n"/>
      <c r="P65" s="8" t="n"/>
      <c r="Q65" s="8" t="n"/>
      <c r="R65" s="9" t="n"/>
      <c r="S65" s="9" t="n"/>
      <c r="T65" s="10" t="n"/>
      <c r="U65" s="10" t="n"/>
      <c r="V65" s="9" t="n"/>
      <c r="W65" s="9" t="n"/>
      <c r="X65" s="9" t="n"/>
      <c r="Y65" s="9" t="n"/>
      <c r="Z65" s="11" t="n"/>
      <c r="AA65" s="11" t="n"/>
      <c r="AB65" s="11" t="n"/>
      <c r="AC65" s="11" t="n"/>
      <c r="AD65" s="11" t="n"/>
      <c r="AE65" s="11" t="n"/>
      <c r="AF65" s="9" t="n"/>
      <c r="AG65" s="9" t="n"/>
      <c r="AH65" s="9" t="n"/>
      <c r="AI65" s="9" t="n"/>
      <c r="AJ65" s="8" t="n"/>
      <c r="AK65" s="9" t="n"/>
      <c r="AL65" s="9" t="n"/>
      <c r="AM65" s="9" t="n"/>
      <c r="AN65" s="9" t="n"/>
      <c r="AO65" s="9" t="n"/>
      <c r="AP65" s="9" t="n"/>
      <c r="AQ65" s="9" t="n"/>
      <c r="AR65" s="9" t="n"/>
      <c r="AS65" s="9" t="n"/>
      <c r="AT65" s="8" t="n"/>
      <c r="AU65" s="8" t="n"/>
      <c r="AV65" s="9" t="n"/>
      <c r="AW65" s="8" t="n"/>
      <c r="AX65" s="9" t="n"/>
      <c r="AY65" s="9" t="n"/>
      <c r="AZ65" s="9" t="n"/>
      <c r="BA65" s="9" t="n"/>
      <c r="BB65" s="9" t="n"/>
      <c r="BC65" s="9" t="n"/>
      <c r="BD65" s="9" t="n"/>
      <c r="BE65" s="9" t="n"/>
      <c r="BF65" s="9" t="n"/>
      <c r="BG65" s="9" t="n"/>
      <c r="BH65" s="9" t="n"/>
      <c r="BI65" s="9" t="n"/>
      <c r="BJ65" s="9" t="n"/>
      <c r="BK65" s="9" t="n"/>
      <c r="BL65" s="9" t="n"/>
      <c r="BM65" s="9" t="n"/>
      <c r="BN65" s="9" t="n"/>
      <c r="BO65" s="8" t="n"/>
      <c r="BP65" s="9" t="n"/>
      <c r="BQ65" s="9" t="n"/>
      <c r="BR65" s="12">
        <f>IF(AND(AI65="Y",AK65="Y",AL65="Y",AM65="Y",AY65="Y",AZ65="Y",BA65="Y",BB65="Y",BC65="Y",BE65&lt;&gt;"Y",AX65&lt;&gt;"Y",BL65&lt;&gt;"Y",IF(AS65="Y",AV65="Y",TRUE)),"Y","N")</f>
        <v/>
      </c>
      <c r="BS65" s="12">
        <f>IF(AND(BR65="Y",OR(AND(BJ65="Y",BM65="Y"),AND(BK65="Y",BN65="Y"),AND(BJ65&lt;&gt;"Y",BK65&lt;&gt;"Y",OR(BM65="Y",BN65="Y")))),"Y","N")</f>
        <v/>
      </c>
      <c r="BT65" s="10" t="n"/>
      <c r="BU65" s="13" t="n"/>
      <c r="BV65" s="13" t="n"/>
      <c r="BW65" s="13" t="n"/>
      <c r="BX65" s="13" t="n"/>
      <c r="BY65" s="13" t="n"/>
      <c r="BZ65" s="13" t="n"/>
      <c r="CA65" s="14" t="n"/>
      <c r="CB65" s="13" t="n"/>
      <c r="CC65" s="9" t="n"/>
      <c r="CD65" s="9" t="n"/>
      <c r="CE65" s="9" t="n"/>
      <c r="CF65" s="9" t="n"/>
      <c r="CG65" s="9" t="n"/>
      <c r="CH65" s="9" t="n"/>
    </row>
    <row r="66">
      <c r="A66" s="8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8" t="n"/>
      <c r="L66" s="9" t="n"/>
      <c r="M66" s="8" t="n"/>
      <c r="N66" s="8" t="n"/>
      <c r="O66" s="8" t="n"/>
      <c r="P66" s="8" t="n"/>
      <c r="Q66" s="8" t="n"/>
      <c r="R66" s="9" t="n"/>
      <c r="S66" s="9" t="n"/>
      <c r="T66" s="10" t="n"/>
      <c r="U66" s="10" t="n"/>
      <c r="V66" s="9" t="n"/>
      <c r="W66" s="9" t="n"/>
      <c r="X66" s="9" t="n"/>
      <c r="Y66" s="9" t="n"/>
      <c r="Z66" s="11" t="n"/>
      <c r="AA66" s="11" t="n"/>
      <c r="AB66" s="11" t="n"/>
      <c r="AC66" s="11" t="n"/>
      <c r="AD66" s="11" t="n"/>
      <c r="AE66" s="11" t="n"/>
      <c r="AF66" s="9" t="n"/>
      <c r="AG66" s="9" t="n"/>
      <c r="AH66" s="9" t="n"/>
      <c r="AI66" s="9" t="n"/>
      <c r="AJ66" s="8" t="n"/>
      <c r="AK66" s="9" t="n"/>
      <c r="AL66" s="9" t="n"/>
      <c r="AM66" s="9" t="n"/>
      <c r="AN66" s="9" t="n"/>
      <c r="AO66" s="9" t="n"/>
      <c r="AP66" s="9" t="n"/>
      <c r="AQ66" s="9" t="n"/>
      <c r="AR66" s="9" t="n"/>
      <c r="AS66" s="9" t="n"/>
      <c r="AT66" s="8" t="n"/>
      <c r="AU66" s="8" t="n"/>
      <c r="AV66" s="9" t="n"/>
      <c r="AW66" s="8" t="n"/>
      <c r="AX66" s="9" t="n"/>
      <c r="AY66" s="9" t="n"/>
      <c r="AZ66" s="9" t="n"/>
      <c r="BA66" s="9" t="n"/>
      <c r="BB66" s="9" t="n"/>
      <c r="BC66" s="9" t="n"/>
      <c r="BD66" s="9" t="n"/>
      <c r="BE66" s="9" t="n"/>
      <c r="BF66" s="9" t="n"/>
      <c r="BG66" s="9" t="n"/>
      <c r="BH66" s="9" t="n"/>
      <c r="BI66" s="9" t="n"/>
      <c r="BJ66" s="9" t="n"/>
      <c r="BK66" s="9" t="n"/>
      <c r="BL66" s="9" t="n"/>
      <c r="BM66" s="9" t="n"/>
      <c r="BN66" s="9" t="n"/>
      <c r="BO66" s="8" t="n"/>
      <c r="BP66" s="9" t="n"/>
      <c r="BQ66" s="9" t="n"/>
      <c r="BR66" s="12">
        <f>IF(AND(AI66="Y",AK66="Y",AL66="Y",AM66="Y",AY66="Y",AZ66="Y",BA66="Y",BB66="Y",BC66="Y",BE66&lt;&gt;"Y",AX66&lt;&gt;"Y",BL66&lt;&gt;"Y",IF(AS66="Y",AV66="Y",TRUE)),"Y","N")</f>
        <v/>
      </c>
      <c r="BS66" s="12">
        <f>IF(AND(BR66="Y",OR(AND(BJ66="Y",BM66="Y"),AND(BK66="Y",BN66="Y"),AND(BJ66&lt;&gt;"Y",BK66&lt;&gt;"Y",OR(BM66="Y",BN66="Y")))),"Y","N")</f>
        <v/>
      </c>
      <c r="BT66" s="10" t="n"/>
      <c r="BU66" s="13" t="n"/>
      <c r="BV66" s="13" t="n"/>
      <c r="BW66" s="13" t="n"/>
      <c r="BX66" s="13" t="n"/>
      <c r="BY66" s="13" t="n"/>
      <c r="BZ66" s="13" t="n"/>
      <c r="CA66" s="14" t="n"/>
      <c r="CB66" s="13" t="n"/>
      <c r="CC66" s="9" t="n"/>
      <c r="CD66" s="9" t="n"/>
      <c r="CE66" s="9" t="n"/>
      <c r="CF66" s="9" t="n"/>
      <c r="CG66" s="9" t="n"/>
      <c r="CH66" s="9" t="n"/>
    </row>
    <row r="67">
      <c r="A67" s="8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8" t="n"/>
      <c r="L67" s="9" t="n"/>
      <c r="M67" s="8" t="n"/>
      <c r="N67" s="8" t="n"/>
      <c r="O67" s="8" t="n"/>
      <c r="P67" s="8" t="n"/>
      <c r="Q67" s="8" t="n"/>
      <c r="R67" s="9" t="n"/>
      <c r="S67" s="9" t="n"/>
      <c r="T67" s="10" t="n"/>
      <c r="U67" s="10" t="n"/>
      <c r="V67" s="9" t="n"/>
      <c r="W67" s="9" t="n"/>
      <c r="X67" s="9" t="n"/>
      <c r="Y67" s="9" t="n"/>
      <c r="Z67" s="11" t="n"/>
      <c r="AA67" s="11" t="n"/>
      <c r="AB67" s="11" t="n"/>
      <c r="AC67" s="11" t="n"/>
      <c r="AD67" s="11" t="n"/>
      <c r="AE67" s="11" t="n"/>
      <c r="AF67" s="9" t="n"/>
      <c r="AG67" s="9" t="n"/>
      <c r="AH67" s="9" t="n"/>
      <c r="AI67" s="9" t="n"/>
      <c r="AJ67" s="8" t="n"/>
      <c r="AK67" s="9" t="n"/>
      <c r="AL67" s="9" t="n"/>
      <c r="AM67" s="9" t="n"/>
      <c r="AN67" s="9" t="n"/>
      <c r="AO67" s="9" t="n"/>
      <c r="AP67" s="9" t="n"/>
      <c r="AQ67" s="9" t="n"/>
      <c r="AR67" s="9" t="n"/>
      <c r="AS67" s="9" t="n"/>
      <c r="AT67" s="8" t="n"/>
      <c r="AU67" s="8" t="n"/>
      <c r="AV67" s="9" t="n"/>
      <c r="AW67" s="8" t="n"/>
      <c r="AX67" s="9" t="n"/>
      <c r="AY67" s="9" t="n"/>
      <c r="AZ67" s="9" t="n"/>
      <c r="BA67" s="9" t="n"/>
      <c r="BB67" s="9" t="n"/>
      <c r="BC67" s="9" t="n"/>
      <c r="BD67" s="9" t="n"/>
      <c r="BE67" s="9" t="n"/>
      <c r="BF67" s="9" t="n"/>
      <c r="BG67" s="9" t="n"/>
      <c r="BH67" s="9" t="n"/>
      <c r="BI67" s="9" t="n"/>
      <c r="BJ67" s="9" t="n"/>
      <c r="BK67" s="9" t="n"/>
      <c r="BL67" s="9" t="n"/>
      <c r="BM67" s="9" t="n"/>
      <c r="BN67" s="9" t="n"/>
      <c r="BO67" s="8" t="n"/>
      <c r="BP67" s="9" t="n"/>
      <c r="BQ67" s="9" t="n"/>
      <c r="BR67" s="12">
        <f>IF(AND(AI67="Y",AK67="Y",AL67="Y",AM67="Y",AY67="Y",AZ67="Y",BA67="Y",BB67="Y",BC67="Y",BE67&lt;&gt;"Y",AX67&lt;&gt;"Y",BL67&lt;&gt;"Y",IF(AS67="Y",AV67="Y",TRUE)),"Y","N")</f>
        <v/>
      </c>
      <c r="BS67" s="12">
        <f>IF(AND(BR67="Y",OR(AND(BJ67="Y",BM67="Y"),AND(BK67="Y",BN67="Y"),AND(BJ67&lt;&gt;"Y",BK67&lt;&gt;"Y",OR(BM67="Y",BN67="Y")))),"Y","N")</f>
        <v/>
      </c>
      <c r="BT67" s="10" t="n"/>
      <c r="BU67" s="13" t="n"/>
      <c r="BV67" s="13" t="n"/>
      <c r="BW67" s="13" t="n"/>
      <c r="BX67" s="13" t="n"/>
      <c r="BY67" s="13" t="n"/>
      <c r="BZ67" s="13" t="n"/>
      <c r="CA67" s="14" t="n"/>
      <c r="CB67" s="13" t="n"/>
      <c r="CC67" s="9" t="n"/>
      <c r="CD67" s="9" t="n"/>
      <c r="CE67" s="9" t="n"/>
      <c r="CF67" s="9" t="n"/>
      <c r="CG67" s="9" t="n"/>
      <c r="CH67" s="9" t="n"/>
    </row>
    <row r="68">
      <c r="A68" s="8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8" t="n"/>
      <c r="L68" s="9" t="n"/>
      <c r="M68" s="8" t="n"/>
      <c r="N68" s="8" t="n"/>
      <c r="O68" s="8" t="n"/>
      <c r="P68" s="8" t="n"/>
      <c r="Q68" s="8" t="n"/>
      <c r="R68" s="9" t="n"/>
      <c r="S68" s="9" t="n"/>
      <c r="T68" s="10" t="n"/>
      <c r="U68" s="10" t="n"/>
      <c r="V68" s="9" t="n"/>
      <c r="W68" s="9" t="n"/>
      <c r="X68" s="9" t="n"/>
      <c r="Y68" s="9" t="n"/>
      <c r="Z68" s="11" t="n"/>
      <c r="AA68" s="11" t="n"/>
      <c r="AB68" s="11" t="n"/>
      <c r="AC68" s="11" t="n"/>
      <c r="AD68" s="11" t="n"/>
      <c r="AE68" s="11" t="n"/>
      <c r="AF68" s="9" t="n"/>
      <c r="AG68" s="9" t="n"/>
      <c r="AH68" s="9" t="n"/>
      <c r="AI68" s="9" t="n"/>
      <c r="AJ68" s="8" t="n"/>
      <c r="AK68" s="9" t="n"/>
      <c r="AL68" s="9" t="n"/>
      <c r="AM68" s="9" t="n"/>
      <c r="AN68" s="9" t="n"/>
      <c r="AO68" s="9" t="n"/>
      <c r="AP68" s="9" t="n"/>
      <c r="AQ68" s="9" t="n"/>
      <c r="AR68" s="9" t="n"/>
      <c r="AS68" s="9" t="n"/>
      <c r="AT68" s="8" t="n"/>
      <c r="AU68" s="8" t="n"/>
      <c r="AV68" s="9" t="n"/>
      <c r="AW68" s="8" t="n"/>
      <c r="AX68" s="9" t="n"/>
      <c r="AY68" s="9" t="n"/>
      <c r="AZ68" s="9" t="n"/>
      <c r="BA68" s="9" t="n"/>
      <c r="BB68" s="9" t="n"/>
      <c r="BC68" s="9" t="n"/>
      <c r="BD68" s="9" t="n"/>
      <c r="BE68" s="9" t="n"/>
      <c r="BF68" s="9" t="n"/>
      <c r="BG68" s="9" t="n"/>
      <c r="BH68" s="9" t="n"/>
      <c r="BI68" s="9" t="n"/>
      <c r="BJ68" s="9" t="n"/>
      <c r="BK68" s="9" t="n"/>
      <c r="BL68" s="9" t="n"/>
      <c r="BM68" s="9" t="n"/>
      <c r="BN68" s="9" t="n"/>
      <c r="BO68" s="8" t="n"/>
      <c r="BP68" s="9" t="n"/>
      <c r="BQ68" s="9" t="n"/>
      <c r="BR68" s="12">
        <f>IF(AND(AI68="Y",AK68="Y",AL68="Y",AM68="Y",AY68="Y",AZ68="Y",BA68="Y",BB68="Y",BC68="Y",BE68&lt;&gt;"Y",AX68&lt;&gt;"Y",BL68&lt;&gt;"Y",IF(AS68="Y",AV68="Y",TRUE)),"Y","N")</f>
        <v/>
      </c>
      <c r="BS68" s="12">
        <f>IF(AND(BR68="Y",OR(AND(BJ68="Y",BM68="Y"),AND(BK68="Y",BN68="Y"),AND(BJ68&lt;&gt;"Y",BK68&lt;&gt;"Y",OR(BM68="Y",BN68="Y")))),"Y","N")</f>
        <v/>
      </c>
      <c r="BT68" s="10" t="n"/>
      <c r="BU68" s="13" t="n"/>
      <c r="BV68" s="13" t="n"/>
      <c r="BW68" s="13" t="n"/>
      <c r="BX68" s="13" t="n"/>
      <c r="BY68" s="13" t="n"/>
      <c r="BZ68" s="13" t="n"/>
      <c r="CA68" s="14" t="n"/>
      <c r="CB68" s="13" t="n"/>
      <c r="CC68" s="9" t="n"/>
      <c r="CD68" s="9" t="n"/>
      <c r="CE68" s="9" t="n"/>
      <c r="CF68" s="9" t="n"/>
      <c r="CG68" s="9" t="n"/>
      <c r="CH68" s="9" t="n"/>
    </row>
    <row r="69">
      <c r="A69" s="8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8" t="n"/>
      <c r="L69" s="9" t="n"/>
      <c r="M69" s="8" t="n"/>
      <c r="N69" s="8" t="n"/>
      <c r="O69" s="8" t="n"/>
      <c r="P69" s="8" t="n"/>
      <c r="Q69" s="8" t="n"/>
      <c r="R69" s="9" t="n"/>
      <c r="S69" s="9" t="n"/>
      <c r="T69" s="10" t="n"/>
      <c r="U69" s="10" t="n"/>
      <c r="V69" s="9" t="n"/>
      <c r="W69" s="9" t="n"/>
      <c r="X69" s="9" t="n"/>
      <c r="Y69" s="9" t="n"/>
      <c r="Z69" s="11" t="n"/>
      <c r="AA69" s="11" t="n"/>
      <c r="AB69" s="11" t="n"/>
      <c r="AC69" s="11" t="n"/>
      <c r="AD69" s="11" t="n"/>
      <c r="AE69" s="11" t="n"/>
      <c r="AF69" s="9" t="n"/>
      <c r="AG69" s="9" t="n"/>
      <c r="AH69" s="9" t="n"/>
      <c r="AI69" s="9" t="n"/>
      <c r="AJ69" s="8" t="n"/>
      <c r="AK69" s="9" t="n"/>
      <c r="AL69" s="9" t="n"/>
      <c r="AM69" s="9" t="n"/>
      <c r="AN69" s="9" t="n"/>
      <c r="AO69" s="9" t="n"/>
      <c r="AP69" s="9" t="n"/>
      <c r="AQ69" s="9" t="n"/>
      <c r="AR69" s="9" t="n"/>
      <c r="AS69" s="9" t="n"/>
      <c r="AT69" s="8" t="n"/>
      <c r="AU69" s="8" t="n"/>
      <c r="AV69" s="9" t="n"/>
      <c r="AW69" s="8" t="n"/>
      <c r="AX69" s="9" t="n"/>
      <c r="AY69" s="9" t="n"/>
      <c r="AZ69" s="9" t="n"/>
      <c r="BA69" s="9" t="n"/>
      <c r="BB69" s="9" t="n"/>
      <c r="BC69" s="9" t="n"/>
      <c r="BD69" s="9" t="n"/>
      <c r="BE69" s="9" t="n"/>
      <c r="BF69" s="9" t="n"/>
      <c r="BG69" s="9" t="n"/>
      <c r="BH69" s="9" t="n"/>
      <c r="BI69" s="9" t="n"/>
      <c r="BJ69" s="9" t="n"/>
      <c r="BK69" s="9" t="n"/>
      <c r="BL69" s="9" t="n"/>
      <c r="BM69" s="9" t="n"/>
      <c r="BN69" s="9" t="n"/>
      <c r="BO69" s="8" t="n"/>
      <c r="BP69" s="9" t="n"/>
      <c r="BQ69" s="9" t="n"/>
      <c r="BR69" s="12">
        <f>IF(AND(AI69="Y",AK69="Y",AL69="Y",AM69="Y",AY69="Y",AZ69="Y",BA69="Y",BB69="Y",BC69="Y",BE69&lt;&gt;"Y",AX69&lt;&gt;"Y",BL69&lt;&gt;"Y",IF(AS69="Y",AV69="Y",TRUE)),"Y","N")</f>
        <v/>
      </c>
      <c r="BS69" s="12">
        <f>IF(AND(BR69="Y",OR(AND(BJ69="Y",BM69="Y"),AND(BK69="Y",BN69="Y"),AND(BJ69&lt;&gt;"Y",BK69&lt;&gt;"Y",OR(BM69="Y",BN69="Y")))),"Y","N")</f>
        <v/>
      </c>
      <c r="BT69" s="10" t="n"/>
      <c r="BU69" s="13" t="n"/>
      <c r="BV69" s="13" t="n"/>
      <c r="BW69" s="13" t="n"/>
      <c r="BX69" s="13" t="n"/>
      <c r="BY69" s="13" t="n"/>
      <c r="BZ69" s="13" t="n"/>
      <c r="CA69" s="14" t="n"/>
      <c r="CB69" s="13" t="n"/>
      <c r="CC69" s="9" t="n"/>
      <c r="CD69" s="9" t="n"/>
      <c r="CE69" s="9" t="n"/>
      <c r="CF69" s="9" t="n"/>
      <c r="CG69" s="9" t="n"/>
      <c r="CH69" s="9" t="n"/>
    </row>
    <row r="70">
      <c r="A70" s="8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8" t="n"/>
      <c r="L70" s="9" t="n"/>
      <c r="M70" s="8" t="n"/>
      <c r="N70" s="8" t="n"/>
      <c r="O70" s="8" t="n"/>
      <c r="P70" s="8" t="n"/>
      <c r="Q70" s="8" t="n"/>
      <c r="R70" s="9" t="n"/>
      <c r="S70" s="9" t="n"/>
      <c r="T70" s="10" t="n"/>
      <c r="U70" s="10" t="n"/>
      <c r="V70" s="9" t="n"/>
      <c r="W70" s="9" t="n"/>
      <c r="X70" s="9" t="n"/>
      <c r="Y70" s="9" t="n"/>
      <c r="Z70" s="11" t="n"/>
      <c r="AA70" s="11" t="n"/>
      <c r="AB70" s="11" t="n"/>
      <c r="AC70" s="11" t="n"/>
      <c r="AD70" s="11" t="n"/>
      <c r="AE70" s="11" t="n"/>
      <c r="AF70" s="9" t="n"/>
      <c r="AG70" s="9" t="n"/>
      <c r="AH70" s="9" t="n"/>
      <c r="AI70" s="9" t="n"/>
      <c r="AJ70" s="8" t="n"/>
      <c r="AK70" s="9" t="n"/>
      <c r="AL70" s="9" t="n"/>
      <c r="AM70" s="9" t="n"/>
      <c r="AN70" s="9" t="n"/>
      <c r="AO70" s="9" t="n"/>
      <c r="AP70" s="9" t="n"/>
      <c r="AQ70" s="9" t="n"/>
      <c r="AR70" s="9" t="n"/>
      <c r="AS70" s="9" t="n"/>
      <c r="AT70" s="8" t="n"/>
      <c r="AU70" s="8" t="n"/>
      <c r="AV70" s="9" t="n"/>
      <c r="AW70" s="8" t="n"/>
      <c r="AX70" s="9" t="n"/>
      <c r="AY70" s="9" t="n"/>
      <c r="AZ70" s="9" t="n"/>
      <c r="BA70" s="9" t="n"/>
      <c r="BB70" s="9" t="n"/>
      <c r="BC70" s="9" t="n"/>
      <c r="BD70" s="9" t="n"/>
      <c r="BE70" s="9" t="n"/>
      <c r="BF70" s="9" t="n"/>
      <c r="BG70" s="9" t="n"/>
      <c r="BH70" s="9" t="n"/>
      <c r="BI70" s="9" t="n"/>
      <c r="BJ70" s="9" t="n"/>
      <c r="BK70" s="9" t="n"/>
      <c r="BL70" s="9" t="n"/>
      <c r="BM70" s="9" t="n"/>
      <c r="BN70" s="9" t="n"/>
      <c r="BO70" s="8" t="n"/>
      <c r="BP70" s="9" t="n"/>
      <c r="BQ70" s="9" t="n"/>
      <c r="BR70" s="12">
        <f>IF(AND(AI70="Y",AK70="Y",AL70="Y",AM70="Y",AY70="Y",AZ70="Y",BA70="Y",BB70="Y",BC70="Y",BE70&lt;&gt;"Y",AX70&lt;&gt;"Y",BL70&lt;&gt;"Y",IF(AS70="Y",AV70="Y",TRUE)),"Y","N")</f>
        <v/>
      </c>
      <c r="BS70" s="12">
        <f>IF(AND(BR70="Y",OR(AND(BJ70="Y",BM70="Y"),AND(BK70="Y",BN70="Y"),AND(BJ70&lt;&gt;"Y",BK70&lt;&gt;"Y",OR(BM70="Y",BN70="Y")))),"Y","N")</f>
        <v/>
      </c>
      <c r="BT70" s="10" t="n"/>
      <c r="BU70" s="13" t="n"/>
      <c r="BV70" s="13" t="n"/>
      <c r="BW70" s="13" t="n"/>
      <c r="BX70" s="13" t="n"/>
      <c r="BY70" s="13" t="n"/>
      <c r="BZ70" s="13" t="n"/>
      <c r="CA70" s="14" t="n"/>
      <c r="CB70" s="13" t="n"/>
      <c r="CC70" s="9" t="n"/>
      <c r="CD70" s="9" t="n"/>
      <c r="CE70" s="9" t="n"/>
      <c r="CF70" s="9" t="n"/>
      <c r="CG70" s="9" t="n"/>
      <c r="CH70" s="9" t="n"/>
    </row>
    <row r="71">
      <c r="A71" s="8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8" t="n"/>
      <c r="L71" s="9" t="n"/>
      <c r="M71" s="8" t="n"/>
      <c r="N71" s="8" t="n"/>
      <c r="O71" s="8" t="n"/>
      <c r="P71" s="8" t="n"/>
      <c r="Q71" s="8" t="n"/>
      <c r="R71" s="9" t="n"/>
      <c r="S71" s="9" t="n"/>
      <c r="T71" s="10" t="n"/>
      <c r="U71" s="10" t="n"/>
      <c r="V71" s="9" t="n"/>
      <c r="W71" s="9" t="n"/>
      <c r="X71" s="9" t="n"/>
      <c r="Y71" s="9" t="n"/>
      <c r="Z71" s="11" t="n"/>
      <c r="AA71" s="11" t="n"/>
      <c r="AB71" s="11" t="n"/>
      <c r="AC71" s="11" t="n"/>
      <c r="AD71" s="11" t="n"/>
      <c r="AE71" s="11" t="n"/>
      <c r="AF71" s="9" t="n"/>
      <c r="AG71" s="9" t="n"/>
      <c r="AH71" s="9" t="n"/>
      <c r="AI71" s="9" t="n"/>
      <c r="AJ71" s="8" t="n"/>
      <c r="AK71" s="9" t="n"/>
      <c r="AL71" s="9" t="n"/>
      <c r="AM71" s="9" t="n"/>
      <c r="AN71" s="9" t="n"/>
      <c r="AO71" s="9" t="n"/>
      <c r="AP71" s="9" t="n"/>
      <c r="AQ71" s="9" t="n"/>
      <c r="AR71" s="9" t="n"/>
      <c r="AS71" s="9" t="n"/>
      <c r="AT71" s="8" t="n"/>
      <c r="AU71" s="8" t="n"/>
      <c r="AV71" s="9" t="n"/>
      <c r="AW71" s="8" t="n"/>
      <c r="AX71" s="9" t="n"/>
      <c r="AY71" s="9" t="n"/>
      <c r="AZ71" s="9" t="n"/>
      <c r="BA71" s="9" t="n"/>
      <c r="BB71" s="9" t="n"/>
      <c r="BC71" s="9" t="n"/>
      <c r="BD71" s="9" t="n"/>
      <c r="BE71" s="9" t="n"/>
      <c r="BF71" s="9" t="n"/>
      <c r="BG71" s="9" t="n"/>
      <c r="BH71" s="9" t="n"/>
      <c r="BI71" s="9" t="n"/>
      <c r="BJ71" s="9" t="n"/>
      <c r="BK71" s="9" t="n"/>
      <c r="BL71" s="9" t="n"/>
      <c r="BM71" s="9" t="n"/>
      <c r="BN71" s="9" t="n"/>
      <c r="BO71" s="8" t="n"/>
      <c r="BP71" s="9" t="n"/>
      <c r="BQ71" s="9" t="n"/>
      <c r="BR71" s="12">
        <f>IF(AND(AI71="Y",AK71="Y",AL71="Y",AM71="Y",AY71="Y",AZ71="Y",BA71="Y",BB71="Y",BC71="Y",BE71&lt;&gt;"Y",AX71&lt;&gt;"Y",BL71&lt;&gt;"Y",IF(AS71="Y",AV71="Y",TRUE)),"Y","N")</f>
        <v/>
      </c>
      <c r="BS71" s="12">
        <f>IF(AND(BR71="Y",OR(AND(BJ71="Y",BM71="Y"),AND(BK71="Y",BN71="Y"),AND(BJ71&lt;&gt;"Y",BK71&lt;&gt;"Y",OR(BM71="Y",BN71="Y")))),"Y","N")</f>
        <v/>
      </c>
      <c r="BT71" s="10" t="n"/>
      <c r="BU71" s="13" t="n"/>
      <c r="BV71" s="13" t="n"/>
      <c r="BW71" s="13" t="n"/>
      <c r="BX71" s="13" t="n"/>
      <c r="BY71" s="13" t="n"/>
      <c r="BZ71" s="13" t="n"/>
      <c r="CA71" s="14" t="n"/>
      <c r="CB71" s="13" t="n"/>
      <c r="CC71" s="9" t="n"/>
      <c r="CD71" s="9" t="n"/>
      <c r="CE71" s="9" t="n"/>
      <c r="CF71" s="9" t="n"/>
      <c r="CG71" s="9" t="n"/>
      <c r="CH71" s="9" t="n"/>
    </row>
    <row r="72">
      <c r="A72" s="8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8" t="n"/>
      <c r="L72" s="9" t="n"/>
      <c r="M72" s="8" t="n"/>
      <c r="N72" s="8" t="n"/>
      <c r="O72" s="8" t="n"/>
      <c r="P72" s="8" t="n"/>
      <c r="Q72" s="8" t="n"/>
      <c r="R72" s="9" t="n"/>
      <c r="S72" s="9" t="n"/>
      <c r="T72" s="10" t="n"/>
      <c r="U72" s="10" t="n"/>
      <c r="V72" s="9" t="n"/>
      <c r="W72" s="9" t="n"/>
      <c r="X72" s="9" t="n"/>
      <c r="Y72" s="9" t="n"/>
      <c r="Z72" s="11" t="n"/>
      <c r="AA72" s="11" t="n"/>
      <c r="AB72" s="11" t="n"/>
      <c r="AC72" s="11" t="n"/>
      <c r="AD72" s="11" t="n"/>
      <c r="AE72" s="11" t="n"/>
      <c r="AF72" s="9" t="n"/>
      <c r="AG72" s="9" t="n"/>
      <c r="AH72" s="9" t="n"/>
      <c r="AI72" s="9" t="n"/>
      <c r="AJ72" s="8" t="n"/>
      <c r="AK72" s="9" t="n"/>
      <c r="AL72" s="9" t="n"/>
      <c r="AM72" s="9" t="n"/>
      <c r="AN72" s="9" t="n"/>
      <c r="AO72" s="9" t="n"/>
      <c r="AP72" s="9" t="n"/>
      <c r="AQ72" s="9" t="n"/>
      <c r="AR72" s="9" t="n"/>
      <c r="AS72" s="9" t="n"/>
      <c r="AT72" s="8" t="n"/>
      <c r="AU72" s="8" t="n"/>
      <c r="AV72" s="9" t="n"/>
      <c r="AW72" s="8" t="n"/>
      <c r="AX72" s="9" t="n"/>
      <c r="AY72" s="9" t="n"/>
      <c r="AZ72" s="9" t="n"/>
      <c r="BA72" s="9" t="n"/>
      <c r="BB72" s="9" t="n"/>
      <c r="BC72" s="9" t="n"/>
      <c r="BD72" s="9" t="n"/>
      <c r="BE72" s="9" t="n"/>
      <c r="BF72" s="9" t="n"/>
      <c r="BG72" s="9" t="n"/>
      <c r="BH72" s="9" t="n"/>
      <c r="BI72" s="9" t="n"/>
      <c r="BJ72" s="9" t="n"/>
      <c r="BK72" s="9" t="n"/>
      <c r="BL72" s="9" t="n"/>
      <c r="BM72" s="9" t="n"/>
      <c r="BN72" s="9" t="n"/>
      <c r="BO72" s="8" t="n"/>
      <c r="BP72" s="9" t="n"/>
      <c r="BQ72" s="9" t="n"/>
      <c r="BR72" s="12">
        <f>IF(AND(AI72="Y",AK72="Y",AL72="Y",AM72="Y",AY72="Y",AZ72="Y",BA72="Y",BB72="Y",BC72="Y",BE72&lt;&gt;"Y",AX72&lt;&gt;"Y",BL72&lt;&gt;"Y",IF(AS72="Y",AV72="Y",TRUE)),"Y","N")</f>
        <v/>
      </c>
      <c r="BS72" s="12">
        <f>IF(AND(BR72="Y",OR(AND(BJ72="Y",BM72="Y"),AND(BK72="Y",BN72="Y"),AND(BJ72&lt;&gt;"Y",BK72&lt;&gt;"Y",OR(BM72="Y",BN72="Y")))),"Y","N")</f>
        <v/>
      </c>
      <c r="BT72" s="10" t="n"/>
      <c r="BU72" s="13" t="n"/>
      <c r="BV72" s="13" t="n"/>
      <c r="BW72" s="13" t="n"/>
      <c r="BX72" s="13" t="n"/>
      <c r="BY72" s="13" t="n"/>
      <c r="BZ72" s="13" t="n"/>
      <c r="CA72" s="14" t="n"/>
      <c r="CB72" s="13" t="n"/>
      <c r="CC72" s="9" t="n"/>
      <c r="CD72" s="9" t="n"/>
      <c r="CE72" s="9" t="n"/>
      <c r="CF72" s="9" t="n"/>
      <c r="CG72" s="9" t="n"/>
      <c r="CH72" s="9" t="n"/>
    </row>
    <row r="73">
      <c r="A73" s="8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8" t="n"/>
      <c r="L73" s="9" t="n"/>
      <c r="M73" s="8" t="n"/>
      <c r="N73" s="8" t="n"/>
      <c r="O73" s="8" t="n"/>
      <c r="P73" s="8" t="n"/>
      <c r="Q73" s="8" t="n"/>
      <c r="R73" s="9" t="n"/>
      <c r="S73" s="9" t="n"/>
      <c r="T73" s="10" t="n"/>
      <c r="U73" s="10" t="n"/>
      <c r="V73" s="9" t="n"/>
      <c r="W73" s="9" t="n"/>
      <c r="X73" s="9" t="n"/>
      <c r="Y73" s="9" t="n"/>
      <c r="Z73" s="11" t="n"/>
      <c r="AA73" s="11" t="n"/>
      <c r="AB73" s="11" t="n"/>
      <c r="AC73" s="11" t="n"/>
      <c r="AD73" s="11" t="n"/>
      <c r="AE73" s="11" t="n"/>
      <c r="AF73" s="9" t="n"/>
      <c r="AG73" s="9" t="n"/>
      <c r="AH73" s="9" t="n"/>
      <c r="AI73" s="9" t="n"/>
      <c r="AJ73" s="8" t="n"/>
      <c r="AK73" s="9" t="n"/>
      <c r="AL73" s="9" t="n"/>
      <c r="AM73" s="9" t="n"/>
      <c r="AN73" s="9" t="n"/>
      <c r="AO73" s="9" t="n"/>
      <c r="AP73" s="9" t="n"/>
      <c r="AQ73" s="9" t="n"/>
      <c r="AR73" s="9" t="n"/>
      <c r="AS73" s="9" t="n"/>
      <c r="AT73" s="8" t="n"/>
      <c r="AU73" s="8" t="n"/>
      <c r="AV73" s="9" t="n"/>
      <c r="AW73" s="8" t="n"/>
      <c r="AX73" s="9" t="n"/>
      <c r="AY73" s="9" t="n"/>
      <c r="AZ73" s="9" t="n"/>
      <c r="BA73" s="9" t="n"/>
      <c r="BB73" s="9" t="n"/>
      <c r="BC73" s="9" t="n"/>
      <c r="BD73" s="9" t="n"/>
      <c r="BE73" s="9" t="n"/>
      <c r="BF73" s="9" t="n"/>
      <c r="BG73" s="9" t="n"/>
      <c r="BH73" s="9" t="n"/>
      <c r="BI73" s="9" t="n"/>
      <c r="BJ73" s="9" t="n"/>
      <c r="BK73" s="9" t="n"/>
      <c r="BL73" s="9" t="n"/>
      <c r="BM73" s="9" t="n"/>
      <c r="BN73" s="9" t="n"/>
      <c r="BO73" s="8" t="n"/>
      <c r="BP73" s="9" t="n"/>
      <c r="BQ73" s="9" t="n"/>
      <c r="BR73" s="12">
        <f>IF(AND(AI73="Y",AK73="Y",AL73="Y",AM73="Y",AY73="Y",AZ73="Y",BA73="Y",BB73="Y",BC73="Y",BE73&lt;&gt;"Y",AX73&lt;&gt;"Y",BL73&lt;&gt;"Y",IF(AS73="Y",AV73="Y",TRUE)),"Y","N")</f>
        <v/>
      </c>
      <c r="BS73" s="12">
        <f>IF(AND(BR73="Y",OR(AND(BJ73="Y",BM73="Y"),AND(BK73="Y",BN73="Y"),AND(BJ73&lt;&gt;"Y",BK73&lt;&gt;"Y",OR(BM73="Y",BN73="Y")))),"Y","N")</f>
        <v/>
      </c>
      <c r="BT73" s="10" t="n"/>
      <c r="BU73" s="13" t="n"/>
      <c r="BV73" s="13" t="n"/>
      <c r="BW73" s="13" t="n"/>
      <c r="BX73" s="13" t="n"/>
      <c r="BY73" s="13" t="n"/>
      <c r="BZ73" s="13" t="n"/>
      <c r="CA73" s="14" t="n"/>
      <c r="CB73" s="13" t="n"/>
      <c r="CC73" s="9" t="n"/>
      <c r="CD73" s="9" t="n"/>
      <c r="CE73" s="9" t="n"/>
      <c r="CF73" s="9" t="n"/>
      <c r="CG73" s="9" t="n"/>
      <c r="CH73" s="9" t="n"/>
    </row>
    <row r="74">
      <c r="A74" s="8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8" t="n"/>
      <c r="L74" s="9" t="n"/>
      <c r="M74" s="8" t="n"/>
      <c r="N74" s="8" t="n"/>
      <c r="O74" s="8" t="n"/>
      <c r="P74" s="8" t="n"/>
      <c r="Q74" s="8" t="n"/>
      <c r="R74" s="9" t="n"/>
      <c r="S74" s="9" t="n"/>
      <c r="T74" s="10" t="n"/>
      <c r="U74" s="10" t="n"/>
      <c r="V74" s="9" t="n"/>
      <c r="W74" s="9" t="n"/>
      <c r="X74" s="9" t="n"/>
      <c r="Y74" s="9" t="n"/>
      <c r="Z74" s="11" t="n"/>
      <c r="AA74" s="11" t="n"/>
      <c r="AB74" s="11" t="n"/>
      <c r="AC74" s="11" t="n"/>
      <c r="AD74" s="11" t="n"/>
      <c r="AE74" s="11" t="n"/>
      <c r="AF74" s="9" t="n"/>
      <c r="AG74" s="9" t="n"/>
      <c r="AH74" s="9" t="n"/>
      <c r="AI74" s="9" t="n"/>
      <c r="AJ74" s="8" t="n"/>
      <c r="AK74" s="9" t="n"/>
      <c r="AL74" s="9" t="n"/>
      <c r="AM74" s="9" t="n"/>
      <c r="AN74" s="9" t="n"/>
      <c r="AO74" s="9" t="n"/>
      <c r="AP74" s="9" t="n"/>
      <c r="AQ74" s="9" t="n"/>
      <c r="AR74" s="9" t="n"/>
      <c r="AS74" s="9" t="n"/>
      <c r="AT74" s="8" t="n"/>
      <c r="AU74" s="8" t="n"/>
      <c r="AV74" s="9" t="n"/>
      <c r="AW74" s="8" t="n"/>
      <c r="AX74" s="9" t="n"/>
      <c r="AY74" s="9" t="n"/>
      <c r="AZ74" s="9" t="n"/>
      <c r="BA74" s="9" t="n"/>
      <c r="BB74" s="9" t="n"/>
      <c r="BC74" s="9" t="n"/>
      <c r="BD74" s="9" t="n"/>
      <c r="BE74" s="9" t="n"/>
      <c r="BF74" s="9" t="n"/>
      <c r="BG74" s="9" t="n"/>
      <c r="BH74" s="9" t="n"/>
      <c r="BI74" s="9" t="n"/>
      <c r="BJ74" s="9" t="n"/>
      <c r="BK74" s="9" t="n"/>
      <c r="BL74" s="9" t="n"/>
      <c r="BM74" s="9" t="n"/>
      <c r="BN74" s="9" t="n"/>
      <c r="BO74" s="8" t="n"/>
      <c r="BP74" s="9" t="n"/>
      <c r="BQ74" s="9" t="n"/>
      <c r="BR74" s="12">
        <f>IF(AND(AI74="Y",AK74="Y",AL74="Y",AM74="Y",AY74="Y",AZ74="Y",BA74="Y",BB74="Y",BC74="Y",BE74&lt;&gt;"Y",AX74&lt;&gt;"Y",BL74&lt;&gt;"Y",IF(AS74="Y",AV74="Y",TRUE)),"Y","N")</f>
        <v/>
      </c>
      <c r="BS74" s="12">
        <f>IF(AND(BR74="Y",OR(AND(BJ74="Y",BM74="Y"),AND(BK74="Y",BN74="Y"),AND(BJ74&lt;&gt;"Y",BK74&lt;&gt;"Y",OR(BM74="Y",BN74="Y")))),"Y","N")</f>
        <v/>
      </c>
      <c r="BT74" s="10" t="n"/>
      <c r="BU74" s="13" t="n"/>
      <c r="BV74" s="13" t="n"/>
      <c r="BW74" s="13" t="n"/>
      <c r="BX74" s="13" t="n"/>
      <c r="BY74" s="13" t="n"/>
      <c r="BZ74" s="13" t="n"/>
      <c r="CA74" s="14" t="n"/>
      <c r="CB74" s="13" t="n"/>
      <c r="CC74" s="9" t="n"/>
      <c r="CD74" s="9" t="n"/>
      <c r="CE74" s="9" t="n"/>
      <c r="CF74" s="9" t="n"/>
      <c r="CG74" s="9" t="n"/>
      <c r="CH74" s="9" t="n"/>
    </row>
    <row r="75">
      <c r="A75" s="8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8" t="n"/>
      <c r="L75" s="9" t="n"/>
      <c r="M75" s="8" t="n"/>
      <c r="N75" s="8" t="n"/>
      <c r="O75" s="8" t="n"/>
      <c r="P75" s="8" t="n"/>
      <c r="Q75" s="8" t="n"/>
      <c r="R75" s="9" t="n"/>
      <c r="S75" s="9" t="n"/>
      <c r="T75" s="10" t="n"/>
      <c r="U75" s="10" t="n"/>
      <c r="V75" s="9" t="n"/>
      <c r="W75" s="9" t="n"/>
      <c r="X75" s="9" t="n"/>
      <c r="Y75" s="9" t="n"/>
      <c r="Z75" s="11" t="n"/>
      <c r="AA75" s="11" t="n"/>
      <c r="AB75" s="11" t="n"/>
      <c r="AC75" s="11" t="n"/>
      <c r="AD75" s="11" t="n"/>
      <c r="AE75" s="11" t="n"/>
      <c r="AF75" s="9" t="n"/>
      <c r="AG75" s="9" t="n"/>
      <c r="AH75" s="9" t="n"/>
      <c r="AI75" s="9" t="n"/>
      <c r="AJ75" s="8" t="n"/>
      <c r="AK75" s="9" t="n"/>
      <c r="AL75" s="9" t="n"/>
      <c r="AM75" s="9" t="n"/>
      <c r="AN75" s="9" t="n"/>
      <c r="AO75" s="9" t="n"/>
      <c r="AP75" s="9" t="n"/>
      <c r="AQ75" s="9" t="n"/>
      <c r="AR75" s="9" t="n"/>
      <c r="AS75" s="9" t="n"/>
      <c r="AT75" s="8" t="n"/>
      <c r="AU75" s="8" t="n"/>
      <c r="AV75" s="9" t="n"/>
      <c r="AW75" s="8" t="n"/>
      <c r="AX75" s="9" t="n"/>
      <c r="AY75" s="9" t="n"/>
      <c r="AZ75" s="9" t="n"/>
      <c r="BA75" s="9" t="n"/>
      <c r="BB75" s="9" t="n"/>
      <c r="BC75" s="9" t="n"/>
      <c r="BD75" s="9" t="n"/>
      <c r="BE75" s="9" t="n"/>
      <c r="BF75" s="9" t="n"/>
      <c r="BG75" s="9" t="n"/>
      <c r="BH75" s="9" t="n"/>
      <c r="BI75" s="9" t="n"/>
      <c r="BJ75" s="9" t="n"/>
      <c r="BK75" s="9" t="n"/>
      <c r="BL75" s="9" t="n"/>
      <c r="BM75" s="9" t="n"/>
      <c r="BN75" s="9" t="n"/>
      <c r="BO75" s="8" t="n"/>
      <c r="BP75" s="9" t="n"/>
      <c r="BQ75" s="9" t="n"/>
      <c r="BR75" s="12">
        <f>IF(AND(AI75="Y",AK75="Y",AL75="Y",AM75="Y",AY75="Y",AZ75="Y",BA75="Y",BB75="Y",BC75="Y",BE75&lt;&gt;"Y",AX75&lt;&gt;"Y",BL75&lt;&gt;"Y",IF(AS75="Y",AV75="Y",TRUE)),"Y","N")</f>
        <v/>
      </c>
      <c r="BS75" s="12">
        <f>IF(AND(BR75="Y",OR(AND(BJ75="Y",BM75="Y"),AND(BK75="Y",BN75="Y"),AND(BJ75&lt;&gt;"Y",BK75&lt;&gt;"Y",OR(BM75="Y",BN75="Y")))),"Y","N")</f>
        <v/>
      </c>
      <c r="BT75" s="10" t="n"/>
      <c r="BU75" s="13" t="n"/>
      <c r="BV75" s="13" t="n"/>
      <c r="BW75" s="13" t="n"/>
      <c r="BX75" s="13" t="n"/>
      <c r="BY75" s="13" t="n"/>
      <c r="BZ75" s="13" t="n"/>
      <c r="CA75" s="14" t="n"/>
      <c r="CB75" s="13" t="n"/>
      <c r="CC75" s="9" t="n"/>
      <c r="CD75" s="9" t="n"/>
      <c r="CE75" s="9" t="n"/>
      <c r="CF75" s="9" t="n"/>
      <c r="CG75" s="9" t="n"/>
      <c r="CH75" s="9" t="n"/>
    </row>
    <row r="76">
      <c r="A76" s="8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8" t="n"/>
      <c r="L76" s="9" t="n"/>
      <c r="M76" s="8" t="n"/>
      <c r="N76" s="8" t="n"/>
      <c r="O76" s="8" t="n"/>
      <c r="P76" s="8" t="n"/>
      <c r="Q76" s="8" t="n"/>
      <c r="R76" s="9" t="n"/>
      <c r="S76" s="9" t="n"/>
      <c r="T76" s="10" t="n"/>
      <c r="U76" s="10" t="n"/>
      <c r="V76" s="9" t="n"/>
      <c r="W76" s="9" t="n"/>
      <c r="X76" s="9" t="n"/>
      <c r="Y76" s="9" t="n"/>
      <c r="Z76" s="11" t="n"/>
      <c r="AA76" s="11" t="n"/>
      <c r="AB76" s="11" t="n"/>
      <c r="AC76" s="11" t="n"/>
      <c r="AD76" s="11" t="n"/>
      <c r="AE76" s="11" t="n"/>
      <c r="AF76" s="9" t="n"/>
      <c r="AG76" s="9" t="n"/>
      <c r="AH76" s="9" t="n"/>
      <c r="AI76" s="9" t="n"/>
      <c r="AJ76" s="8" t="n"/>
      <c r="AK76" s="9" t="n"/>
      <c r="AL76" s="9" t="n"/>
      <c r="AM76" s="9" t="n"/>
      <c r="AN76" s="9" t="n"/>
      <c r="AO76" s="9" t="n"/>
      <c r="AP76" s="9" t="n"/>
      <c r="AQ76" s="9" t="n"/>
      <c r="AR76" s="9" t="n"/>
      <c r="AS76" s="9" t="n"/>
      <c r="AT76" s="8" t="n"/>
      <c r="AU76" s="8" t="n"/>
      <c r="AV76" s="9" t="n"/>
      <c r="AW76" s="8" t="n"/>
      <c r="AX76" s="9" t="n"/>
      <c r="AY76" s="9" t="n"/>
      <c r="AZ76" s="9" t="n"/>
      <c r="BA76" s="9" t="n"/>
      <c r="BB76" s="9" t="n"/>
      <c r="BC76" s="9" t="n"/>
      <c r="BD76" s="9" t="n"/>
      <c r="BE76" s="9" t="n"/>
      <c r="BF76" s="9" t="n"/>
      <c r="BG76" s="9" t="n"/>
      <c r="BH76" s="9" t="n"/>
      <c r="BI76" s="9" t="n"/>
      <c r="BJ76" s="9" t="n"/>
      <c r="BK76" s="9" t="n"/>
      <c r="BL76" s="9" t="n"/>
      <c r="BM76" s="9" t="n"/>
      <c r="BN76" s="9" t="n"/>
      <c r="BO76" s="8" t="n"/>
      <c r="BP76" s="9" t="n"/>
      <c r="BQ76" s="9" t="n"/>
      <c r="BR76" s="12">
        <f>IF(AND(AI76="Y",AK76="Y",AL76="Y",AM76="Y",AY76="Y",AZ76="Y",BA76="Y",BB76="Y",BC76="Y",BE76&lt;&gt;"Y",AX76&lt;&gt;"Y",BL76&lt;&gt;"Y",IF(AS76="Y",AV76="Y",TRUE)),"Y","N")</f>
        <v/>
      </c>
      <c r="BS76" s="12">
        <f>IF(AND(BR76="Y",OR(AND(BJ76="Y",BM76="Y"),AND(BK76="Y",BN76="Y"),AND(BJ76&lt;&gt;"Y",BK76&lt;&gt;"Y",OR(BM76="Y",BN76="Y")))),"Y","N")</f>
        <v/>
      </c>
      <c r="BT76" s="10" t="n"/>
      <c r="BU76" s="13" t="n"/>
      <c r="BV76" s="13" t="n"/>
      <c r="BW76" s="13" t="n"/>
      <c r="BX76" s="13" t="n"/>
      <c r="BY76" s="13" t="n"/>
      <c r="BZ76" s="13" t="n"/>
      <c r="CA76" s="14" t="n"/>
      <c r="CB76" s="13" t="n"/>
      <c r="CC76" s="9" t="n"/>
      <c r="CD76" s="9" t="n"/>
      <c r="CE76" s="9" t="n"/>
      <c r="CF76" s="9" t="n"/>
      <c r="CG76" s="9" t="n"/>
      <c r="CH76" s="9" t="n"/>
    </row>
    <row r="77">
      <c r="A77" s="8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8" t="n"/>
      <c r="L77" s="9" t="n"/>
      <c r="M77" s="8" t="n"/>
      <c r="N77" s="8" t="n"/>
      <c r="O77" s="8" t="n"/>
      <c r="P77" s="8" t="n"/>
      <c r="Q77" s="8" t="n"/>
      <c r="R77" s="9" t="n"/>
      <c r="S77" s="9" t="n"/>
      <c r="T77" s="10" t="n"/>
      <c r="U77" s="10" t="n"/>
      <c r="V77" s="9" t="n"/>
      <c r="W77" s="9" t="n"/>
      <c r="X77" s="9" t="n"/>
      <c r="Y77" s="9" t="n"/>
      <c r="Z77" s="11" t="n"/>
      <c r="AA77" s="11" t="n"/>
      <c r="AB77" s="11" t="n"/>
      <c r="AC77" s="11" t="n"/>
      <c r="AD77" s="11" t="n"/>
      <c r="AE77" s="11" t="n"/>
      <c r="AF77" s="9" t="n"/>
      <c r="AG77" s="9" t="n"/>
      <c r="AH77" s="9" t="n"/>
      <c r="AI77" s="9" t="n"/>
      <c r="AJ77" s="8" t="n"/>
      <c r="AK77" s="9" t="n"/>
      <c r="AL77" s="9" t="n"/>
      <c r="AM77" s="9" t="n"/>
      <c r="AN77" s="9" t="n"/>
      <c r="AO77" s="9" t="n"/>
      <c r="AP77" s="9" t="n"/>
      <c r="AQ77" s="9" t="n"/>
      <c r="AR77" s="9" t="n"/>
      <c r="AS77" s="9" t="n"/>
      <c r="AT77" s="8" t="n"/>
      <c r="AU77" s="8" t="n"/>
      <c r="AV77" s="9" t="n"/>
      <c r="AW77" s="8" t="n"/>
      <c r="AX77" s="9" t="n"/>
      <c r="AY77" s="9" t="n"/>
      <c r="AZ77" s="9" t="n"/>
      <c r="BA77" s="9" t="n"/>
      <c r="BB77" s="9" t="n"/>
      <c r="BC77" s="9" t="n"/>
      <c r="BD77" s="9" t="n"/>
      <c r="BE77" s="9" t="n"/>
      <c r="BF77" s="9" t="n"/>
      <c r="BG77" s="9" t="n"/>
      <c r="BH77" s="9" t="n"/>
      <c r="BI77" s="9" t="n"/>
      <c r="BJ77" s="9" t="n"/>
      <c r="BK77" s="9" t="n"/>
      <c r="BL77" s="9" t="n"/>
      <c r="BM77" s="9" t="n"/>
      <c r="BN77" s="9" t="n"/>
      <c r="BO77" s="8" t="n"/>
      <c r="BP77" s="9" t="n"/>
      <c r="BQ77" s="9" t="n"/>
      <c r="BR77" s="12">
        <f>IF(AND(AI77="Y",AK77="Y",AL77="Y",AM77="Y",AY77="Y",AZ77="Y",BA77="Y",BB77="Y",BC77="Y",BE77&lt;&gt;"Y",AX77&lt;&gt;"Y",BL77&lt;&gt;"Y",IF(AS77="Y",AV77="Y",TRUE)),"Y","N")</f>
        <v/>
      </c>
      <c r="BS77" s="12">
        <f>IF(AND(BR77="Y",OR(AND(BJ77="Y",BM77="Y"),AND(BK77="Y",BN77="Y"),AND(BJ77&lt;&gt;"Y",BK77&lt;&gt;"Y",OR(BM77="Y",BN77="Y")))),"Y","N")</f>
        <v/>
      </c>
      <c r="BT77" s="10" t="n"/>
      <c r="BU77" s="13" t="n"/>
      <c r="BV77" s="13" t="n"/>
      <c r="BW77" s="13" t="n"/>
      <c r="BX77" s="13" t="n"/>
      <c r="BY77" s="13" t="n"/>
      <c r="BZ77" s="13" t="n"/>
      <c r="CA77" s="14" t="n"/>
      <c r="CB77" s="13" t="n"/>
      <c r="CC77" s="9" t="n"/>
      <c r="CD77" s="9" t="n"/>
      <c r="CE77" s="9" t="n"/>
      <c r="CF77" s="9" t="n"/>
      <c r="CG77" s="9" t="n"/>
      <c r="CH77" s="9" t="n"/>
    </row>
    <row r="78">
      <c r="A78" s="8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8" t="n"/>
      <c r="L78" s="9" t="n"/>
      <c r="M78" s="8" t="n"/>
      <c r="N78" s="8" t="n"/>
      <c r="O78" s="8" t="n"/>
      <c r="P78" s="8" t="n"/>
      <c r="Q78" s="8" t="n"/>
      <c r="R78" s="9" t="n"/>
      <c r="S78" s="9" t="n"/>
      <c r="T78" s="10" t="n"/>
      <c r="U78" s="10" t="n"/>
      <c r="V78" s="9" t="n"/>
      <c r="W78" s="9" t="n"/>
      <c r="X78" s="9" t="n"/>
      <c r="Y78" s="9" t="n"/>
      <c r="Z78" s="11" t="n"/>
      <c r="AA78" s="11" t="n"/>
      <c r="AB78" s="11" t="n"/>
      <c r="AC78" s="11" t="n"/>
      <c r="AD78" s="11" t="n"/>
      <c r="AE78" s="11" t="n"/>
      <c r="AF78" s="9" t="n"/>
      <c r="AG78" s="9" t="n"/>
      <c r="AH78" s="9" t="n"/>
      <c r="AI78" s="9" t="n"/>
      <c r="AJ78" s="8" t="n"/>
      <c r="AK78" s="9" t="n"/>
      <c r="AL78" s="9" t="n"/>
      <c r="AM78" s="9" t="n"/>
      <c r="AN78" s="9" t="n"/>
      <c r="AO78" s="9" t="n"/>
      <c r="AP78" s="9" t="n"/>
      <c r="AQ78" s="9" t="n"/>
      <c r="AR78" s="9" t="n"/>
      <c r="AS78" s="9" t="n"/>
      <c r="AT78" s="8" t="n"/>
      <c r="AU78" s="8" t="n"/>
      <c r="AV78" s="9" t="n"/>
      <c r="AW78" s="8" t="n"/>
      <c r="AX78" s="9" t="n"/>
      <c r="AY78" s="9" t="n"/>
      <c r="AZ78" s="9" t="n"/>
      <c r="BA78" s="9" t="n"/>
      <c r="BB78" s="9" t="n"/>
      <c r="BC78" s="9" t="n"/>
      <c r="BD78" s="9" t="n"/>
      <c r="BE78" s="9" t="n"/>
      <c r="BF78" s="9" t="n"/>
      <c r="BG78" s="9" t="n"/>
      <c r="BH78" s="9" t="n"/>
      <c r="BI78" s="9" t="n"/>
      <c r="BJ78" s="9" t="n"/>
      <c r="BK78" s="9" t="n"/>
      <c r="BL78" s="9" t="n"/>
      <c r="BM78" s="9" t="n"/>
      <c r="BN78" s="9" t="n"/>
      <c r="BO78" s="8" t="n"/>
      <c r="BP78" s="9" t="n"/>
      <c r="BQ78" s="9" t="n"/>
      <c r="BR78" s="12">
        <f>IF(AND(AI78="Y",AK78="Y",AL78="Y",AM78="Y",AY78="Y",AZ78="Y",BA78="Y",BB78="Y",BC78="Y",BE78&lt;&gt;"Y",AX78&lt;&gt;"Y",BL78&lt;&gt;"Y",IF(AS78="Y",AV78="Y",TRUE)),"Y","N")</f>
        <v/>
      </c>
      <c r="BS78" s="12">
        <f>IF(AND(BR78="Y",OR(AND(BJ78="Y",BM78="Y"),AND(BK78="Y",BN78="Y"),AND(BJ78&lt;&gt;"Y",BK78&lt;&gt;"Y",OR(BM78="Y",BN78="Y")))),"Y","N")</f>
        <v/>
      </c>
      <c r="BT78" s="10" t="n"/>
      <c r="BU78" s="13" t="n"/>
      <c r="BV78" s="13" t="n"/>
      <c r="BW78" s="13" t="n"/>
      <c r="BX78" s="13" t="n"/>
      <c r="BY78" s="13" t="n"/>
      <c r="BZ78" s="13" t="n"/>
      <c r="CA78" s="14" t="n"/>
      <c r="CB78" s="13" t="n"/>
      <c r="CC78" s="9" t="n"/>
      <c r="CD78" s="9" t="n"/>
      <c r="CE78" s="9" t="n"/>
      <c r="CF78" s="9" t="n"/>
      <c r="CG78" s="9" t="n"/>
      <c r="CH78" s="9" t="n"/>
    </row>
    <row r="79">
      <c r="A79" s="8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8" t="n"/>
      <c r="L79" s="9" t="n"/>
      <c r="M79" s="8" t="n"/>
      <c r="N79" s="8" t="n"/>
      <c r="O79" s="8" t="n"/>
      <c r="P79" s="8" t="n"/>
      <c r="Q79" s="8" t="n"/>
      <c r="R79" s="9" t="n"/>
      <c r="S79" s="9" t="n"/>
      <c r="T79" s="10" t="n"/>
      <c r="U79" s="10" t="n"/>
      <c r="V79" s="9" t="n"/>
      <c r="W79" s="9" t="n"/>
      <c r="X79" s="9" t="n"/>
      <c r="Y79" s="9" t="n"/>
      <c r="Z79" s="11" t="n"/>
      <c r="AA79" s="11" t="n"/>
      <c r="AB79" s="11" t="n"/>
      <c r="AC79" s="11" t="n"/>
      <c r="AD79" s="11" t="n"/>
      <c r="AE79" s="11" t="n"/>
      <c r="AF79" s="9" t="n"/>
      <c r="AG79" s="9" t="n"/>
      <c r="AH79" s="9" t="n"/>
      <c r="AI79" s="9" t="n"/>
      <c r="AJ79" s="8" t="n"/>
      <c r="AK79" s="9" t="n"/>
      <c r="AL79" s="9" t="n"/>
      <c r="AM79" s="9" t="n"/>
      <c r="AN79" s="9" t="n"/>
      <c r="AO79" s="9" t="n"/>
      <c r="AP79" s="9" t="n"/>
      <c r="AQ79" s="9" t="n"/>
      <c r="AR79" s="9" t="n"/>
      <c r="AS79" s="9" t="n"/>
      <c r="AT79" s="8" t="n"/>
      <c r="AU79" s="8" t="n"/>
      <c r="AV79" s="9" t="n"/>
      <c r="AW79" s="8" t="n"/>
      <c r="AX79" s="9" t="n"/>
      <c r="AY79" s="9" t="n"/>
      <c r="AZ79" s="9" t="n"/>
      <c r="BA79" s="9" t="n"/>
      <c r="BB79" s="9" t="n"/>
      <c r="BC79" s="9" t="n"/>
      <c r="BD79" s="9" t="n"/>
      <c r="BE79" s="9" t="n"/>
      <c r="BF79" s="9" t="n"/>
      <c r="BG79" s="9" t="n"/>
      <c r="BH79" s="9" t="n"/>
      <c r="BI79" s="9" t="n"/>
      <c r="BJ79" s="9" t="n"/>
      <c r="BK79" s="9" t="n"/>
      <c r="BL79" s="9" t="n"/>
      <c r="BM79" s="9" t="n"/>
      <c r="BN79" s="9" t="n"/>
      <c r="BO79" s="8" t="n"/>
      <c r="BP79" s="9" t="n"/>
      <c r="BQ79" s="9" t="n"/>
      <c r="BR79" s="12">
        <f>IF(AND(AI79="Y",AK79="Y",AL79="Y",AM79="Y",AY79="Y",AZ79="Y",BA79="Y",BB79="Y",BC79="Y",BE79&lt;&gt;"Y",AX79&lt;&gt;"Y",BL79&lt;&gt;"Y",IF(AS79="Y",AV79="Y",TRUE)),"Y","N")</f>
        <v/>
      </c>
      <c r="BS79" s="12">
        <f>IF(AND(BR79="Y",OR(AND(BJ79="Y",BM79="Y"),AND(BK79="Y",BN79="Y"),AND(BJ79&lt;&gt;"Y",BK79&lt;&gt;"Y",OR(BM79="Y",BN79="Y")))),"Y","N")</f>
        <v/>
      </c>
      <c r="BT79" s="10" t="n"/>
      <c r="BU79" s="13" t="n"/>
      <c r="BV79" s="13" t="n"/>
      <c r="BW79" s="13" t="n"/>
      <c r="BX79" s="13" t="n"/>
      <c r="BY79" s="13" t="n"/>
      <c r="BZ79" s="13" t="n"/>
      <c r="CA79" s="14" t="n"/>
      <c r="CB79" s="13" t="n"/>
      <c r="CC79" s="9" t="n"/>
      <c r="CD79" s="9" t="n"/>
      <c r="CE79" s="9" t="n"/>
      <c r="CF79" s="9" t="n"/>
      <c r="CG79" s="9" t="n"/>
      <c r="CH79" s="9" t="n"/>
    </row>
    <row r="80">
      <c r="A80" s="8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8" t="n"/>
      <c r="L80" s="9" t="n"/>
      <c r="M80" s="8" t="n"/>
      <c r="N80" s="8" t="n"/>
      <c r="O80" s="8" t="n"/>
      <c r="P80" s="8" t="n"/>
      <c r="Q80" s="8" t="n"/>
      <c r="R80" s="9" t="n"/>
      <c r="S80" s="9" t="n"/>
      <c r="T80" s="10" t="n"/>
      <c r="U80" s="10" t="n"/>
      <c r="V80" s="9" t="n"/>
      <c r="W80" s="9" t="n"/>
      <c r="X80" s="9" t="n"/>
      <c r="Y80" s="9" t="n"/>
      <c r="Z80" s="11" t="n"/>
      <c r="AA80" s="11" t="n"/>
      <c r="AB80" s="11" t="n"/>
      <c r="AC80" s="11" t="n"/>
      <c r="AD80" s="11" t="n"/>
      <c r="AE80" s="11" t="n"/>
      <c r="AF80" s="9" t="n"/>
      <c r="AG80" s="9" t="n"/>
      <c r="AH80" s="9" t="n"/>
      <c r="AI80" s="9" t="n"/>
      <c r="AJ80" s="8" t="n"/>
      <c r="AK80" s="9" t="n"/>
      <c r="AL80" s="9" t="n"/>
      <c r="AM80" s="9" t="n"/>
      <c r="AN80" s="9" t="n"/>
      <c r="AO80" s="9" t="n"/>
      <c r="AP80" s="9" t="n"/>
      <c r="AQ80" s="9" t="n"/>
      <c r="AR80" s="9" t="n"/>
      <c r="AS80" s="9" t="n"/>
      <c r="AT80" s="8" t="n"/>
      <c r="AU80" s="8" t="n"/>
      <c r="AV80" s="9" t="n"/>
      <c r="AW80" s="8" t="n"/>
      <c r="AX80" s="9" t="n"/>
      <c r="AY80" s="9" t="n"/>
      <c r="AZ80" s="9" t="n"/>
      <c r="BA80" s="9" t="n"/>
      <c r="BB80" s="9" t="n"/>
      <c r="BC80" s="9" t="n"/>
      <c r="BD80" s="9" t="n"/>
      <c r="BE80" s="9" t="n"/>
      <c r="BF80" s="9" t="n"/>
      <c r="BG80" s="9" t="n"/>
      <c r="BH80" s="9" t="n"/>
      <c r="BI80" s="9" t="n"/>
      <c r="BJ80" s="9" t="n"/>
      <c r="BK80" s="9" t="n"/>
      <c r="BL80" s="9" t="n"/>
      <c r="BM80" s="9" t="n"/>
      <c r="BN80" s="9" t="n"/>
      <c r="BO80" s="8" t="n"/>
      <c r="BP80" s="9" t="n"/>
      <c r="BQ80" s="9" t="n"/>
      <c r="BR80" s="12">
        <f>IF(AND(AI80="Y",AK80="Y",AL80="Y",AM80="Y",AY80="Y",AZ80="Y",BA80="Y",BB80="Y",BC80="Y",BE80&lt;&gt;"Y",AX80&lt;&gt;"Y",BL80&lt;&gt;"Y",IF(AS80="Y",AV80="Y",TRUE)),"Y","N")</f>
        <v/>
      </c>
      <c r="BS80" s="12">
        <f>IF(AND(BR80="Y",OR(AND(BJ80="Y",BM80="Y"),AND(BK80="Y",BN80="Y"),AND(BJ80&lt;&gt;"Y",BK80&lt;&gt;"Y",OR(BM80="Y",BN80="Y")))),"Y","N")</f>
        <v/>
      </c>
      <c r="BT80" s="10" t="n"/>
      <c r="BU80" s="13" t="n"/>
      <c r="BV80" s="13" t="n"/>
      <c r="BW80" s="13" t="n"/>
      <c r="BX80" s="13" t="n"/>
      <c r="BY80" s="13" t="n"/>
      <c r="BZ80" s="13" t="n"/>
      <c r="CA80" s="14" t="n"/>
      <c r="CB80" s="13" t="n"/>
      <c r="CC80" s="9" t="n"/>
      <c r="CD80" s="9" t="n"/>
      <c r="CE80" s="9" t="n"/>
      <c r="CF80" s="9" t="n"/>
      <c r="CG80" s="9" t="n"/>
      <c r="CH80" s="9" t="n"/>
    </row>
    <row r="81">
      <c r="A81" s="8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8" t="n"/>
      <c r="L81" s="9" t="n"/>
      <c r="M81" s="8" t="n"/>
      <c r="N81" s="8" t="n"/>
      <c r="O81" s="8" t="n"/>
      <c r="P81" s="8" t="n"/>
      <c r="Q81" s="8" t="n"/>
      <c r="R81" s="9" t="n"/>
      <c r="S81" s="9" t="n"/>
      <c r="T81" s="10" t="n"/>
      <c r="U81" s="10" t="n"/>
      <c r="V81" s="9" t="n"/>
      <c r="W81" s="9" t="n"/>
      <c r="X81" s="9" t="n"/>
      <c r="Y81" s="9" t="n"/>
      <c r="Z81" s="11" t="n"/>
      <c r="AA81" s="11" t="n"/>
      <c r="AB81" s="11" t="n"/>
      <c r="AC81" s="11" t="n"/>
      <c r="AD81" s="11" t="n"/>
      <c r="AE81" s="11" t="n"/>
      <c r="AF81" s="9" t="n"/>
      <c r="AG81" s="9" t="n"/>
      <c r="AH81" s="9" t="n"/>
      <c r="AI81" s="9" t="n"/>
      <c r="AJ81" s="8" t="n"/>
      <c r="AK81" s="9" t="n"/>
      <c r="AL81" s="9" t="n"/>
      <c r="AM81" s="9" t="n"/>
      <c r="AN81" s="9" t="n"/>
      <c r="AO81" s="9" t="n"/>
      <c r="AP81" s="9" t="n"/>
      <c r="AQ81" s="9" t="n"/>
      <c r="AR81" s="9" t="n"/>
      <c r="AS81" s="9" t="n"/>
      <c r="AT81" s="8" t="n"/>
      <c r="AU81" s="8" t="n"/>
      <c r="AV81" s="9" t="n"/>
      <c r="AW81" s="8" t="n"/>
      <c r="AX81" s="9" t="n"/>
      <c r="AY81" s="9" t="n"/>
      <c r="AZ81" s="9" t="n"/>
      <c r="BA81" s="9" t="n"/>
      <c r="BB81" s="9" t="n"/>
      <c r="BC81" s="9" t="n"/>
      <c r="BD81" s="9" t="n"/>
      <c r="BE81" s="9" t="n"/>
      <c r="BF81" s="9" t="n"/>
      <c r="BG81" s="9" t="n"/>
      <c r="BH81" s="9" t="n"/>
      <c r="BI81" s="9" t="n"/>
      <c r="BJ81" s="9" t="n"/>
      <c r="BK81" s="9" t="n"/>
      <c r="BL81" s="9" t="n"/>
      <c r="BM81" s="9" t="n"/>
      <c r="BN81" s="9" t="n"/>
      <c r="BO81" s="8" t="n"/>
      <c r="BP81" s="9" t="n"/>
      <c r="BQ81" s="9" t="n"/>
      <c r="BR81" s="12">
        <f>IF(AND(AI81="Y",AK81="Y",AL81="Y",AM81="Y",AY81="Y",AZ81="Y",BA81="Y",BB81="Y",BC81="Y",BE81&lt;&gt;"Y",AX81&lt;&gt;"Y",BL81&lt;&gt;"Y",IF(AS81="Y",AV81="Y",TRUE)),"Y","N")</f>
        <v/>
      </c>
      <c r="BS81" s="12">
        <f>IF(AND(BR81="Y",OR(AND(BJ81="Y",BM81="Y"),AND(BK81="Y",BN81="Y"),AND(BJ81&lt;&gt;"Y",BK81&lt;&gt;"Y",OR(BM81="Y",BN81="Y")))),"Y","N")</f>
        <v/>
      </c>
      <c r="BT81" s="10" t="n"/>
      <c r="BU81" s="13" t="n"/>
      <c r="BV81" s="13" t="n"/>
      <c r="BW81" s="13" t="n"/>
      <c r="BX81" s="13" t="n"/>
      <c r="BY81" s="13" t="n"/>
      <c r="BZ81" s="13" t="n"/>
      <c r="CA81" s="14" t="n"/>
      <c r="CB81" s="13" t="n"/>
      <c r="CC81" s="9" t="n"/>
      <c r="CD81" s="9" t="n"/>
      <c r="CE81" s="9" t="n"/>
      <c r="CF81" s="9" t="n"/>
      <c r="CG81" s="9" t="n"/>
      <c r="CH81" s="9" t="n"/>
    </row>
    <row r="82">
      <c r="A82" s="8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8" t="n"/>
      <c r="L82" s="9" t="n"/>
      <c r="M82" s="8" t="n"/>
      <c r="N82" s="8" t="n"/>
      <c r="O82" s="8" t="n"/>
      <c r="P82" s="8" t="n"/>
      <c r="Q82" s="8" t="n"/>
      <c r="R82" s="9" t="n"/>
      <c r="S82" s="9" t="n"/>
      <c r="T82" s="10" t="n"/>
      <c r="U82" s="10" t="n"/>
      <c r="V82" s="9" t="n"/>
      <c r="W82" s="9" t="n"/>
      <c r="X82" s="9" t="n"/>
      <c r="Y82" s="9" t="n"/>
      <c r="Z82" s="11" t="n"/>
      <c r="AA82" s="11" t="n"/>
      <c r="AB82" s="11" t="n"/>
      <c r="AC82" s="11" t="n"/>
      <c r="AD82" s="11" t="n"/>
      <c r="AE82" s="11" t="n"/>
      <c r="AF82" s="9" t="n"/>
      <c r="AG82" s="9" t="n"/>
      <c r="AH82" s="9" t="n"/>
      <c r="AI82" s="9" t="n"/>
      <c r="AJ82" s="8" t="n"/>
      <c r="AK82" s="9" t="n"/>
      <c r="AL82" s="9" t="n"/>
      <c r="AM82" s="9" t="n"/>
      <c r="AN82" s="9" t="n"/>
      <c r="AO82" s="9" t="n"/>
      <c r="AP82" s="9" t="n"/>
      <c r="AQ82" s="9" t="n"/>
      <c r="AR82" s="9" t="n"/>
      <c r="AS82" s="9" t="n"/>
      <c r="AT82" s="8" t="n"/>
      <c r="AU82" s="8" t="n"/>
      <c r="AV82" s="9" t="n"/>
      <c r="AW82" s="8" t="n"/>
      <c r="AX82" s="9" t="n"/>
      <c r="AY82" s="9" t="n"/>
      <c r="AZ82" s="9" t="n"/>
      <c r="BA82" s="9" t="n"/>
      <c r="BB82" s="9" t="n"/>
      <c r="BC82" s="9" t="n"/>
      <c r="BD82" s="9" t="n"/>
      <c r="BE82" s="9" t="n"/>
      <c r="BF82" s="9" t="n"/>
      <c r="BG82" s="9" t="n"/>
      <c r="BH82" s="9" t="n"/>
      <c r="BI82" s="9" t="n"/>
      <c r="BJ82" s="9" t="n"/>
      <c r="BK82" s="9" t="n"/>
      <c r="BL82" s="9" t="n"/>
      <c r="BM82" s="9" t="n"/>
      <c r="BN82" s="9" t="n"/>
      <c r="BO82" s="8" t="n"/>
      <c r="BP82" s="9" t="n"/>
      <c r="BQ82" s="9" t="n"/>
      <c r="BR82" s="12">
        <f>IF(AND(AI82="Y",AK82="Y",AL82="Y",AM82="Y",AY82="Y",AZ82="Y",BA82="Y",BB82="Y",BC82="Y",BE82&lt;&gt;"Y",AX82&lt;&gt;"Y",BL82&lt;&gt;"Y",IF(AS82="Y",AV82="Y",TRUE)),"Y","N")</f>
        <v/>
      </c>
      <c r="BS82" s="12">
        <f>IF(AND(BR82="Y",OR(AND(BJ82="Y",BM82="Y"),AND(BK82="Y",BN82="Y"),AND(BJ82&lt;&gt;"Y",BK82&lt;&gt;"Y",OR(BM82="Y",BN82="Y")))),"Y","N")</f>
        <v/>
      </c>
      <c r="BT82" s="10" t="n"/>
      <c r="BU82" s="13" t="n"/>
      <c r="BV82" s="13" t="n"/>
      <c r="BW82" s="13" t="n"/>
      <c r="BX82" s="13" t="n"/>
      <c r="BY82" s="13" t="n"/>
      <c r="BZ82" s="13" t="n"/>
      <c r="CA82" s="14" t="n"/>
      <c r="CB82" s="13" t="n"/>
      <c r="CC82" s="9" t="n"/>
      <c r="CD82" s="9" t="n"/>
      <c r="CE82" s="9" t="n"/>
      <c r="CF82" s="9" t="n"/>
      <c r="CG82" s="9" t="n"/>
      <c r="CH82" s="9" t="n"/>
    </row>
    <row r="83">
      <c r="A83" s="8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8" t="n"/>
      <c r="L83" s="9" t="n"/>
      <c r="M83" s="8" t="n"/>
      <c r="N83" s="8" t="n"/>
      <c r="O83" s="8" t="n"/>
      <c r="P83" s="8" t="n"/>
      <c r="Q83" s="8" t="n"/>
      <c r="R83" s="9" t="n"/>
      <c r="S83" s="9" t="n"/>
      <c r="T83" s="10" t="n"/>
      <c r="U83" s="10" t="n"/>
      <c r="V83" s="9" t="n"/>
      <c r="W83" s="9" t="n"/>
      <c r="X83" s="9" t="n"/>
      <c r="Y83" s="9" t="n"/>
      <c r="Z83" s="11" t="n"/>
      <c r="AA83" s="11" t="n"/>
      <c r="AB83" s="11" t="n"/>
      <c r="AC83" s="11" t="n"/>
      <c r="AD83" s="11" t="n"/>
      <c r="AE83" s="11" t="n"/>
      <c r="AF83" s="9" t="n"/>
      <c r="AG83" s="9" t="n"/>
      <c r="AH83" s="9" t="n"/>
      <c r="AI83" s="9" t="n"/>
      <c r="AJ83" s="8" t="n"/>
      <c r="AK83" s="9" t="n"/>
      <c r="AL83" s="9" t="n"/>
      <c r="AM83" s="9" t="n"/>
      <c r="AN83" s="9" t="n"/>
      <c r="AO83" s="9" t="n"/>
      <c r="AP83" s="9" t="n"/>
      <c r="AQ83" s="9" t="n"/>
      <c r="AR83" s="9" t="n"/>
      <c r="AS83" s="9" t="n"/>
      <c r="AT83" s="8" t="n"/>
      <c r="AU83" s="8" t="n"/>
      <c r="AV83" s="9" t="n"/>
      <c r="AW83" s="8" t="n"/>
      <c r="AX83" s="9" t="n"/>
      <c r="AY83" s="9" t="n"/>
      <c r="AZ83" s="9" t="n"/>
      <c r="BA83" s="9" t="n"/>
      <c r="BB83" s="9" t="n"/>
      <c r="BC83" s="9" t="n"/>
      <c r="BD83" s="9" t="n"/>
      <c r="BE83" s="9" t="n"/>
      <c r="BF83" s="9" t="n"/>
      <c r="BG83" s="9" t="n"/>
      <c r="BH83" s="9" t="n"/>
      <c r="BI83" s="9" t="n"/>
      <c r="BJ83" s="9" t="n"/>
      <c r="BK83" s="9" t="n"/>
      <c r="BL83" s="9" t="n"/>
      <c r="BM83" s="9" t="n"/>
      <c r="BN83" s="9" t="n"/>
      <c r="BO83" s="8" t="n"/>
      <c r="BP83" s="9" t="n"/>
      <c r="BQ83" s="9" t="n"/>
      <c r="BR83" s="12">
        <f>IF(AND(AI83="Y",AK83="Y",AL83="Y",AM83="Y",AY83="Y",AZ83="Y",BA83="Y",BB83="Y",BC83="Y",BE83&lt;&gt;"Y",AX83&lt;&gt;"Y",BL83&lt;&gt;"Y",IF(AS83="Y",AV83="Y",TRUE)),"Y","N")</f>
        <v/>
      </c>
      <c r="BS83" s="12">
        <f>IF(AND(BR83="Y",OR(AND(BJ83="Y",BM83="Y"),AND(BK83="Y",BN83="Y"),AND(BJ83&lt;&gt;"Y",BK83&lt;&gt;"Y",OR(BM83="Y",BN83="Y")))),"Y","N")</f>
        <v/>
      </c>
      <c r="BT83" s="10" t="n"/>
      <c r="BU83" s="13" t="n"/>
      <c r="BV83" s="13" t="n"/>
      <c r="BW83" s="13" t="n"/>
      <c r="BX83" s="13" t="n"/>
      <c r="BY83" s="13" t="n"/>
      <c r="BZ83" s="13" t="n"/>
      <c r="CA83" s="14" t="n"/>
      <c r="CB83" s="13" t="n"/>
      <c r="CC83" s="9" t="n"/>
      <c r="CD83" s="9" t="n"/>
      <c r="CE83" s="9" t="n"/>
      <c r="CF83" s="9" t="n"/>
      <c r="CG83" s="9" t="n"/>
      <c r="CH83" s="9" t="n"/>
    </row>
    <row r="84">
      <c r="A84" s="8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8" t="n"/>
      <c r="L84" s="9" t="n"/>
      <c r="M84" s="8" t="n"/>
      <c r="N84" s="8" t="n"/>
      <c r="O84" s="8" t="n"/>
      <c r="P84" s="8" t="n"/>
      <c r="Q84" s="8" t="n"/>
      <c r="R84" s="9" t="n"/>
      <c r="S84" s="9" t="n"/>
      <c r="T84" s="10" t="n"/>
      <c r="U84" s="10" t="n"/>
      <c r="V84" s="9" t="n"/>
      <c r="W84" s="9" t="n"/>
      <c r="X84" s="9" t="n"/>
      <c r="Y84" s="9" t="n"/>
      <c r="Z84" s="11" t="n"/>
      <c r="AA84" s="11" t="n"/>
      <c r="AB84" s="11" t="n"/>
      <c r="AC84" s="11" t="n"/>
      <c r="AD84" s="11" t="n"/>
      <c r="AE84" s="11" t="n"/>
      <c r="AF84" s="9" t="n"/>
      <c r="AG84" s="9" t="n"/>
      <c r="AH84" s="9" t="n"/>
      <c r="AI84" s="9" t="n"/>
      <c r="AJ84" s="8" t="n"/>
      <c r="AK84" s="9" t="n"/>
      <c r="AL84" s="9" t="n"/>
      <c r="AM84" s="9" t="n"/>
      <c r="AN84" s="9" t="n"/>
      <c r="AO84" s="9" t="n"/>
      <c r="AP84" s="9" t="n"/>
      <c r="AQ84" s="9" t="n"/>
      <c r="AR84" s="9" t="n"/>
      <c r="AS84" s="9" t="n"/>
      <c r="AT84" s="8" t="n"/>
      <c r="AU84" s="8" t="n"/>
      <c r="AV84" s="9" t="n"/>
      <c r="AW84" s="8" t="n"/>
      <c r="AX84" s="9" t="n"/>
      <c r="AY84" s="9" t="n"/>
      <c r="AZ84" s="9" t="n"/>
      <c r="BA84" s="9" t="n"/>
      <c r="BB84" s="9" t="n"/>
      <c r="BC84" s="9" t="n"/>
      <c r="BD84" s="9" t="n"/>
      <c r="BE84" s="9" t="n"/>
      <c r="BF84" s="9" t="n"/>
      <c r="BG84" s="9" t="n"/>
      <c r="BH84" s="9" t="n"/>
      <c r="BI84" s="9" t="n"/>
      <c r="BJ84" s="9" t="n"/>
      <c r="BK84" s="9" t="n"/>
      <c r="BL84" s="9" t="n"/>
      <c r="BM84" s="9" t="n"/>
      <c r="BN84" s="9" t="n"/>
      <c r="BO84" s="8" t="n"/>
      <c r="BP84" s="9" t="n"/>
      <c r="BQ84" s="9" t="n"/>
      <c r="BR84" s="12">
        <f>IF(AND(AI84="Y",AK84="Y",AL84="Y",AM84="Y",AY84="Y",AZ84="Y",BA84="Y",BB84="Y",BC84="Y",BE84&lt;&gt;"Y",AX84&lt;&gt;"Y",BL84&lt;&gt;"Y",IF(AS84="Y",AV84="Y",TRUE)),"Y","N")</f>
        <v/>
      </c>
      <c r="BS84" s="12">
        <f>IF(AND(BR84="Y",OR(AND(BJ84="Y",BM84="Y"),AND(BK84="Y",BN84="Y"),AND(BJ84&lt;&gt;"Y",BK84&lt;&gt;"Y",OR(BM84="Y",BN84="Y")))),"Y","N")</f>
        <v/>
      </c>
      <c r="BT84" s="10" t="n"/>
      <c r="BU84" s="13" t="n"/>
      <c r="BV84" s="13" t="n"/>
      <c r="BW84" s="13" t="n"/>
      <c r="BX84" s="13" t="n"/>
      <c r="BY84" s="13" t="n"/>
      <c r="BZ84" s="13" t="n"/>
      <c r="CA84" s="14" t="n"/>
      <c r="CB84" s="13" t="n"/>
      <c r="CC84" s="9" t="n"/>
      <c r="CD84" s="9" t="n"/>
      <c r="CE84" s="9" t="n"/>
      <c r="CF84" s="9" t="n"/>
      <c r="CG84" s="9" t="n"/>
      <c r="CH84" s="9" t="n"/>
    </row>
    <row r="85">
      <c r="A85" s="8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8" t="n"/>
      <c r="L85" s="9" t="n"/>
      <c r="M85" s="8" t="n"/>
      <c r="N85" s="8" t="n"/>
      <c r="O85" s="8" t="n"/>
      <c r="P85" s="8" t="n"/>
      <c r="Q85" s="8" t="n"/>
      <c r="R85" s="9" t="n"/>
      <c r="S85" s="9" t="n"/>
      <c r="T85" s="10" t="n"/>
      <c r="U85" s="10" t="n"/>
      <c r="V85" s="9" t="n"/>
      <c r="W85" s="9" t="n"/>
      <c r="X85" s="9" t="n"/>
      <c r="Y85" s="9" t="n"/>
      <c r="Z85" s="11" t="n"/>
      <c r="AA85" s="11" t="n"/>
      <c r="AB85" s="11" t="n"/>
      <c r="AC85" s="11" t="n"/>
      <c r="AD85" s="11" t="n"/>
      <c r="AE85" s="11" t="n"/>
      <c r="AF85" s="9" t="n"/>
      <c r="AG85" s="9" t="n"/>
      <c r="AH85" s="9" t="n"/>
      <c r="AI85" s="9" t="n"/>
      <c r="AJ85" s="8" t="n"/>
      <c r="AK85" s="9" t="n"/>
      <c r="AL85" s="9" t="n"/>
      <c r="AM85" s="9" t="n"/>
      <c r="AN85" s="9" t="n"/>
      <c r="AO85" s="9" t="n"/>
      <c r="AP85" s="9" t="n"/>
      <c r="AQ85" s="9" t="n"/>
      <c r="AR85" s="9" t="n"/>
      <c r="AS85" s="9" t="n"/>
      <c r="AT85" s="8" t="n"/>
      <c r="AU85" s="8" t="n"/>
      <c r="AV85" s="9" t="n"/>
      <c r="AW85" s="8" t="n"/>
      <c r="AX85" s="9" t="n"/>
      <c r="AY85" s="9" t="n"/>
      <c r="AZ85" s="9" t="n"/>
      <c r="BA85" s="9" t="n"/>
      <c r="BB85" s="9" t="n"/>
      <c r="BC85" s="9" t="n"/>
      <c r="BD85" s="9" t="n"/>
      <c r="BE85" s="9" t="n"/>
      <c r="BF85" s="9" t="n"/>
      <c r="BG85" s="9" t="n"/>
      <c r="BH85" s="9" t="n"/>
      <c r="BI85" s="9" t="n"/>
      <c r="BJ85" s="9" t="n"/>
      <c r="BK85" s="9" t="n"/>
      <c r="BL85" s="9" t="n"/>
      <c r="BM85" s="9" t="n"/>
      <c r="BN85" s="9" t="n"/>
      <c r="BO85" s="8" t="n"/>
      <c r="BP85" s="9" t="n"/>
      <c r="BQ85" s="9" t="n"/>
      <c r="BR85" s="12">
        <f>IF(AND(AI85="Y",AK85="Y",AL85="Y",AM85="Y",AY85="Y",AZ85="Y",BA85="Y",BB85="Y",BC85="Y",BE85&lt;&gt;"Y",AX85&lt;&gt;"Y",BL85&lt;&gt;"Y",IF(AS85="Y",AV85="Y",TRUE)),"Y","N")</f>
        <v/>
      </c>
      <c r="BS85" s="12">
        <f>IF(AND(BR85="Y",OR(AND(BJ85="Y",BM85="Y"),AND(BK85="Y",BN85="Y"),AND(BJ85&lt;&gt;"Y",BK85&lt;&gt;"Y",OR(BM85="Y",BN85="Y")))),"Y","N")</f>
        <v/>
      </c>
      <c r="BT85" s="10" t="n"/>
      <c r="BU85" s="13" t="n"/>
      <c r="BV85" s="13" t="n"/>
      <c r="BW85" s="13" t="n"/>
      <c r="BX85" s="13" t="n"/>
      <c r="BY85" s="13" t="n"/>
      <c r="BZ85" s="13" t="n"/>
      <c r="CA85" s="14" t="n"/>
      <c r="CB85" s="13" t="n"/>
      <c r="CC85" s="9" t="n"/>
      <c r="CD85" s="9" t="n"/>
      <c r="CE85" s="9" t="n"/>
      <c r="CF85" s="9" t="n"/>
      <c r="CG85" s="9" t="n"/>
      <c r="CH85" s="9" t="n"/>
    </row>
    <row r="86">
      <c r="A86" s="8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8" t="n"/>
      <c r="L86" s="9" t="n"/>
      <c r="M86" s="8" t="n"/>
      <c r="N86" s="8" t="n"/>
      <c r="O86" s="8" t="n"/>
      <c r="P86" s="8" t="n"/>
      <c r="Q86" s="8" t="n"/>
      <c r="R86" s="9" t="n"/>
      <c r="S86" s="9" t="n"/>
      <c r="T86" s="10" t="n"/>
      <c r="U86" s="10" t="n"/>
      <c r="V86" s="9" t="n"/>
      <c r="W86" s="9" t="n"/>
      <c r="X86" s="9" t="n"/>
      <c r="Y86" s="9" t="n"/>
      <c r="Z86" s="11" t="n"/>
      <c r="AA86" s="11" t="n"/>
      <c r="AB86" s="11" t="n"/>
      <c r="AC86" s="11" t="n"/>
      <c r="AD86" s="11" t="n"/>
      <c r="AE86" s="11" t="n"/>
      <c r="AF86" s="9" t="n"/>
      <c r="AG86" s="9" t="n"/>
      <c r="AH86" s="9" t="n"/>
      <c r="AI86" s="9" t="n"/>
      <c r="AJ86" s="8" t="n"/>
      <c r="AK86" s="9" t="n"/>
      <c r="AL86" s="9" t="n"/>
      <c r="AM86" s="9" t="n"/>
      <c r="AN86" s="9" t="n"/>
      <c r="AO86" s="9" t="n"/>
      <c r="AP86" s="9" t="n"/>
      <c r="AQ86" s="9" t="n"/>
      <c r="AR86" s="9" t="n"/>
      <c r="AS86" s="9" t="n"/>
      <c r="AT86" s="8" t="n"/>
      <c r="AU86" s="8" t="n"/>
      <c r="AV86" s="9" t="n"/>
      <c r="AW86" s="8" t="n"/>
      <c r="AX86" s="9" t="n"/>
      <c r="AY86" s="9" t="n"/>
      <c r="AZ86" s="9" t="n"/>
      <c r="BA86" s="9" t="n"/>
      <c r="BB86" s="9" t="n"/>
      <c r="BC86" s="9" t="n"/>
      <c r="BD86" s="9" t="n"/>
      <c r="BE86" s="9" t="n"/>
      <c r="BF86" s="9" t="n"/>
      <c r="BG86" s="9" t="n"/>
      <c r="BH86" s="9" t="n"/>
      <c r="BI86" s="9" t="n"/>
      <c r="BJ86" s="9" t="n"/>
      <c r="BK86" s="9" t="n"/>
      <c r="BL86" s="9" t="n"/>
      <c r="BM86" s="9" t="n"/>
      <c r="BN86" s="9" t="n"/>
      <c r="BO86" s="8" t="n"/>
      <c r="BP86" s="9" t="n"/>
      <c r="BQ86" s="9" t="n"/>
      <c r="BR86" s="12">
        <f>IF(AND(AI86="Y",AK86="Y",AL86="Y",AM86="Y",AY86="Y",AZ86="Y",BA86="Y",BB86="Y",BC86="Y",BE86&lt;&gt;"Y",AX86&lt;&gt;"Y",BL86&lt;&gt;"Y",IF(AS86="Y",AV86="Y",TRUE)),"Y","N")</f>
        <v/>
      </c>
      <c r="BS86" s="12">
        <f>IF(AND(BR86="Y",OR(AND(BJ86="Y",BM86="Y"),AND(BK86="Y",BN86="Y"),AND(BJ86&lt;&gt;"Y",BK86&lt;&gt;"Y",OR(BM86="Y",BN86="Y")))),"Y","N")</f>
        <v/>
      </c>
      <c r="BT86" s="10" t="n"/>
      <c r="BU86" s="13" t="n"/>
      <c r="BV86" s="13" t="n"/>
      <c r="BW86" s="13" t="n"/>
      <c r="BX86" s="13" t="n"/>
      <c r="BY86" s="13" t="n"/>
      <c r="BZ86" s="13" t="n"/>
      <c r="CA86" s="14" t="n"/>
      <c r="CB86" s="13" t="n"/>
      <c r="CC86" s="9" t="n"/>
      <c r="CD86" s="9" t="n"/>
      <c r="CE86" s="9" t="n"/>
      <c r="CF86" s="9" t="n"/>
      <c r="CG86" s="9" t="n"/>
      <c r="CH86" s="9" t="n"/>
    </row>
    <row r="87">
      <c r="A87" s="8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8" t="n"/>
      <c r="L87" s="9" t="n"/>
      <c r="M87" s="8" t="n"/>
      <c r="N87" s="8" t="n"/>
      <c r="O87" s="8" t="n"/>
      <c r="P87" s="8" t="n"/>
      <c r="Q87" s="8" t="n"/>
      <c r="R87" s="9" t="n"/>
      <c r="S87" s="9" t="n"/>
      <c r="T87" s="10" t="n"/>
      <c r="U87" s="10" t="n"/>
      <c r="V87" s="9" t="n"/>
      <c r="W87" s="9" t="n"/>
      <c r="X87" s="9" t="n"/>
      <c r="Y87" s="9" t="n"/>
      <c r="Z87" s="11" t="n"/>
      <c r="AA87" s="11" t="n"/>
      <c r="AB87" s="11" t="n"/>
      <c r="AC87" s="11" t="n"/>
      <c r="AD87" s="11" t="n"/>
      <c r="AE87" s="11" t="n"/>
      <c r="AF87" s="9" t="n"/>
      <c r="AG87" s="9" t="n"/>
      <c r="AH87" s="9" t="n"/>
      <c r="AI87" s="9" t="n"/>
      <c r="AJ87" s="8" t="n"/>
      <c r="AK87" s="9" t="n"/>
      <c r="AL87" s="9" t="n"/>
      <c r="AM87" s="9" t="n"/>
      <c r="AN87" s="9" t="n"/>
      <c r="AO87" s="9" t="n"/>
      <c r="AP87" s="9" t="n"/>
      <c r="AQ87" s="9" t="n"/>
      <c r="AR87" s="9" t="n"/>
      <c r="AS87" s="9" t="n"/>
      <c r="AT87" s="8" t="n"/>
      <c r="AU87" s="8" t="n"/>
      <c r="AV87" s="9" t="n"/>
      <c r="AW87" s="8" t="n"/>
      <c r="AX87" s="9" t="n"/>
      <c r="AY87" s="9" t="n"/>
      <c r="AZ87" s="9" t="n"/>
      <c r="BA87" s="9" t="n"/>
      <c r="BB87" s="9" t="n"/>
      <c r="BC87" s="9" t="n"/>
      <c r="BD87" s="9" t="n"/>
      <c r="BE87" s="9" t="n"/>
      <c r="BF87" s="9" t="n"/>
      <c r="BG87" s="9" t="n"/>
      <c r="BH87" s="9" t="n"/>
      <c r="BI87" s="9" t="n"/>
      <c r="BJ87" s="9" t="n"/>
      <c r="BK87" s="9" t="n"/>
      <c r="BL87" s="9" t="n"/>
      <c r="BM87" s="9" t="n"/>
      <c r="BN87" s="9" t="n"/>
      <c r="BO87" s="8" t="n"/>
      <c r="BP87" s="9" t="n"/>
      <c r="BQ87" s="9" t="n"/>
      <c r="BR87" s="12">
        <f>IF(AND(AI87="Y",AK87="Y",AL87="Y",AM87="Y",AY87="Y",AZ87="Y",BA87="Y",BB87="Y",BC87="Y",BE87&lt;&gt;"Y",AX87&lt;&gt;"Y",BL87&lt;&gt;"Y",IF(AS87="Y",AV87="Y",TRUE)),"Y","N")</f>
        <v/>
      </c>
      <c r="BS87" s="12">
        <f>IF(AND(BR87="Y",OR(AND(BJ87="Y",BM87="Y"),AND(BK87="Y",BN87="Y"),AND(BJ87&lt;&gt;"Y",BK87&lt;&gt;"Y",OR(BM87="Y",BN87="Y")))),"Y","N")</f>
        <v/>
      </c>
      <c r="BT87" s="10" t="n"/>
      <c r="BU87" s="13" t="n"/>
      <c r="BV87" s="13" t="n"/>
      <c r="BW87" s="13" t="n"/>
      <c r="BX87" s="13" t="n"/>
      <c r="BY87" s="13" t="n"/>
      <c r="BZ87" s="13" t="n"/>
      <c r="CA87" s="14" t="n"/>
      <c r="CB87" s="13" t="n"/>
      <c r="CC87" s="9" t="n"/>
      <c r="CD87" s="9" t="n"/>
      <c r="CE87" s="9" t="n"/>
      <c r="CF87" s="9" t="n"/>
      <c r="CG87" s="9" t="n"/>
      <c r="CH87" s="9" t="n"/>
    </row>
    <row r="88">
      <c r="A88" s="8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8" t="n"/>
      <c r="L88" s="9" t="n"/>
      <c r="M88" s="8" t="n"/>
      <c r="N88" s="8" t="n"/>
      <c r="O88" s="8" t="n"/>
      <c r="P88" s="8" t="n"/>
      <c r="Q88" s="8" t="n"/>
      <c r="R88" s="9" t="n"/>
      <c r="S88" s="9" t="n"/>
      <c r="T88" s="10" t="n"/>
      <c r="U88" s="10" t="n"/>
      <c r="V88" s="9" t="n"/>
      <c r="W88" s="9" t="n"/>
      <c r="X88" s="9" t="n"/>
      <c r="Y88" s="9" t="n"/>
      <c r="Z88" s="11" t="n"/>
      <c r="AA88" s="11" t="n"/>
      <c r="AB88" s="11" t="n"/>
      <c r="AC88" s="11" t="n"/>
      <c r="AD88" s="11" t="n"/>
      <c r="AE88" s="11" t="n"/>
      <c r="AF88" s="9" t="n"/>
      <c r="AG88" s="9" t="n"/>
      <c r="AH88" s="9" t="n"/>
      <c r="AI88" s="9" t="n"/>
      <c r="AJ88" s="8" t="n"/>
      <c r="AK88" s="9" t="n"/>
      <c r="AL88" s="9" t="n"/>
      <c r="AM88" s="9" t="n"/>
      <c r="AN88" s="9" t="n"/>
      <c r="AO88" s="9" t="n"/>
      <c r="AP88" s="9" t="n"/>
      <c r="AQ88" s="9" t="n"/>
      <c r="AR88" s="9" t="n"/>
      <c r="AS88" s="9" t="n"/>
      <c r="AT88" s="8" t="n"/>
      <c r="AU88" s="8" t="n"/>
      <c r="AV88" s="9" t="n"/>
      <c r="AW88" s="8" t="n"/>
      <c r="AX88" s="9" t="n"/>
      <c r="AY88" s="9" t="n"/>
      <c r="AZ88" s="9" t="n"/>
      <c r="BA88" s="9" t="n"/>
      <c r="BB88" s="9" t="n"/>
      <c r="BC88" s="9" t="n"/>
      <c r="BD88" s="9" t="n"/>
      <c r="BE88" s="9" t="n"/>
      <c r="BF88" s="9" t="n"/>
      <c r="BG88" s="9" t="n"/>
      <c r="BH88" s="9" t="n"/>
      <c r="BI88" s="9" t="n"/>
      <c r="BJ88" s="9" t="n"/>
      <c r="BK88" s="9" t="n"/>
      <c r="BL88" s="9" t="n"/>
      <c r="BM88" s="9" t="n"/>
      <c r="BN88" s="9" t="n"/>
      <c r="BO88" s="8" t="n"/>
      <c r="BP88" s="9" t="n"/>
      <c r="BQ88" s="9" t="n"/>
      <c r="BR88" s="12">
        <f>IF(AND(AI88="Y",AK88="Y",AL88="Y",AM88="Y",AY88="Y",AZ88="Y",BA88="Y",BB88="Y",BC88="Y",BE88&lt;&gt;"Y",AX88&lt;&gt;"Y",BL88&lt;&gt;"Y",IF(AS88="Y",AV88="Y",TRUE)),"Y","N")</f>
        <v/>
      </c>
      <c r="BS88" s="12">
        <f>IF(AND(BR88="Y",OR(AND(BJ88="Y",BM88="Y"),AND(BK88="Y",BN88="Y"),AND(BJ88&lt;&gt;"Y",BK88&lt;&gt;"Y",OR(BM88="Y",BN88="Y")))),"Y","N")</f>
        <v/>
      </c>
      <c r="BT88" s="10" t="n"/>
      <c r="BU88" s="13" t="n"/>
      <c r="BV88" s="13" t="n"/>
      <c r="BW88" s="13" t="n"/>
      <c r="BX88" s="13" t="n"/>
      <c r="BY88" s="13" t="n"/>
      <c r="BZ88" s="13" t="n"/>
      <c r="CA88" s="14" t="n"/>
      <c r="CB88" s="13" t="n"/>
      <c r="CC88" s="9" t="n"/>
      <c r="CD88" s="9" t="n"/>
      <c r="CE88" s="9" t="n"/>
      <c r="CF88" s="9" t="n"/>
      <c r="CG88" s="9" t="n"/>
      <c r="CH88" s="9" t="n"/>
    </row>
    <row r="89">
      <c r="A89" s="8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8" t="n"/>
      <c r="L89" s="9" t="n"/>
      <c r="M89" s="8" t="n"/>
      <c r="N89" s="8" t="n"/>
      <c r="O89" s="8" t="n"/>
      <c r="P89" s="8" t="n"/>
      <c r="Q89" s="8" t="n"/>
      <c r="R89" s="9" t="n"/>
      <c r="S89" s="9" t="n"/>
      <c r="T89" s="10" t="n"/>
      <c r="U89" s="10" t="n"/>
      <c r="V89" s="9" t="n"/>
      <c r="W89" s="9" t="n"/>
      <c r="X89" s="9" t="n"/>
      <c r="Y89" s="9" t="n"/>
      <c r="Z89" s="11" t="n"/>
      <c r="AA89" s="11" t="n"/>
      <c r="AB89" s="11" t="n"/>
      <c r="AC89" s="11" t="n"/>
      <c r="AD89" s="11" t="n"/>
      <c r="AE89" s="11" t="n"/>
      <c r="AF89" s="9" t="n"/>
      <c r="AG89" s="9" t="n"/>
      <c r="AH89" s="9" t="n"/>
      <c r="AI89" s="9" t="n"/>
      <c r="AJ89" s="8" t="n"/>
      <c r="AK89" s="9" t="n"/>
      <c r="AL89" s="9" t="n"/>
      <c r="AM89" s="9" t="n"/>
      <c r="AN89" s="9" t="n"/>
      <c r="AO89" s="9" t="n"/>
      <c r="AP89" s="9" t="n"/>
      <c r="AQ89" s="9" t="n"/>
      <c r="AR89" s="9" t="n"/>
      <c r="AS89" s="9" t="n"/>
      <c r="AT89" s="8" t="n"/>
      <c r="AU89" s="8" t="n"/>
      <c r="AV89" s="9" t="n"/>
      <c r="AW89" s="8" t="n"/>
      <c r="AX89" s="9" t="n"/>
      <c r="AY89" s="9" t="n"/>
      <c r="AZ89" s="9" t="n"/>
      <c r="BA89" s="9" t="n"/>
      <c r="BB89" s="9" t="n"/>
      <c r="BC89" s="9" t="n"/>
      <c r="BD89" s="9" t="n"/>
      <c r="BE89" s="9" t="n"/>
      <c r="BF89" s="9" t="n"/>
      <c r="BG89" s="9" t="n"/>
      <c r="BH89" s="9" t="n"/>
      <c r="BI89" s="9" t="n"/>
      <c r="BJ89" s="9" t="n"/>
      <c r="BK89" s="9" t="n"/>
      <c r="BL89" s="9" t="n"/>
      <c r="BM89" s="9" t="n"/>
      <c r="BN89" s="9" t="n"/>
      <c r="BO89" s="8" t="n"/>
      <c r="BP89" s="9" t="n"/>
      <c r="BQ89" s="9" t="n"/>
      <c r="BR89" s="12">
        <f>IF(AND(AI89="Y",AK89="Y",AL89="Y",AM89="Y",AY89="Y",AZ89="Y",BA89="Y",BB89="Y",BC89="Y",BE89&lt;&gt;"Y",AX89&lt;&gt;"Y",BL89&lt;&gt;"Y",IF(AS89="Y",AV89="Y",TRUE)),"Y","N")</f>
        <v/>
      </c>
      <c r="BS89" s="12">
        <f>IF(AND(BR89="Y",OR(AND(BJ89="Y",BM89="Y"),AND(BK89="Y",BN89="Y"),AND(BJ89&lt;&gt;"Y",BK89&lt;&gt;"Y",OR(BM89="Y",BN89="Y")))),"Y","N")</f>
        <v/>
      </c>
      <c r="BT89" s="10" t="n"/>
      <c r="BU89" s="13" t="n"/>
      <c r="BV89" s="13" t="n"/>
      <c r="BW89" s="13" t="n"/>
      <c r="BX89" s="13" t="n"/>
      <c r="BY89" s="13" t="n"/>
      <c r="BZ89" s="13" t="n"/>
      <c r="CA89" s="14" t="n"/>
      <c r="CB89" s="13" t="n"/>
      <c r="CC89" s="9" t="n"/>
      <c r="CD89" s="9" t="n"/>
      <c r="CE89" s="9" t="n"/>
      <c r="CF89" s="9" t="n"/>
      <c r="CG89" s="9" t="n"/>
      <c r="CH89" s="9" t="n"/>
    </row>
    <row r="90">
      <c r="A90" s="8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8" t="n"/>
      <c r="L90" s="9" t="n"/>
      <c r="M90" s="8" t="n"/>
      <c r="N90" s="8" t="n"/>
      <c r="O90" s="8" t="n"/>
      <c r="P90" s="8" t="n"/>
      <c r="Q90" s="8" t="n"/>
      <c r="R90" s="9" t="n"/>
      <c r="S90" s="9" t="n"/>
      <c r="T90" s="10" t="n"/>
      <c r="U90" s="10" t="n"/>
      <c r="V90" s="9" t="n"/>
      <c r="W90" s="9" t="n"/>
      <c r="X90" s="9" t="n"/>
      <c r="Y90" s="9" t="n"/>
      <c r="Z90" s="11" t="n"/>
      <c r="AA90" s="11" t="n"/>
      <c r="AB90" s="11" t="n"/>
      <c r="AC90" s="11" t="n"/>
      <c r="AD90" s="11" t="n"/>
      <c r="AE90" s="11" t="n"/>
      <c r="AF90" s="9" t="n"/>
      <c r="AG90" s="9" t="n"/>
      <c r="AH90" s="9" t="n"/>
      <c r="AI90" s="9" t="n"/>
      <c r="AJ90" s="8" t="n"/>
      <c r="AK90" s="9" t="n"/>
      <c r="AL90" s="9" t="n"/>
      <c r="AM90" s="9" t="n"/>
      <c r="AN90" s="9" t="n"/>
      <c r="AO90" s="9" t="n"/>
      <c r="AP90" s="9" t="n"/>
      <c r="AQ90" s="9" t="n"/>
      <c r="AR90" s="9" t="n"/>
      <c r="AS90" s="9" t="n"/>
      <c r="AT90" s="8" t="n"/>
      <c r="AU90" s="8" t="n"/>
      <c r="AV90" s="9" t="n"/>
      <c r="AW90" s="8" t="n"/>
      <c r="AX90" s="9" t="n"/>
      <c r="AY90" s="9" t="n"/>
      <c r="AZ90" s="9" t="n"/>
      <c r="BA90" s="9" t="n"/>
      <c r="BB90" s="9" t="n"/>
      <c r="BC90" s="9" t="n"/>
      <c r="BD90" s="9" t="n"/>
      <c r="BE90" s="9" t="n"/>
      <c r="BF90" s="9" t="n"/>
      <c r="BG90" s="9" t="n"/>
      <c r="BH90" s="9" t="n"/>
      <c r="BI90" s="9" t="n"/>
      <c r="BJ90" s="9" t="n"/>
      <c r="BK90" s="9" t="n"/>
      <c r="BL90" s="9" t="n"/>
      <c r="BM90" s="9" t="n"/>
      <c r="BN90" s="9" t="n"/>
      <c r="BO90" s="8" t="n"/>
      <c r="BP90" s="9" t="n"/>
      <c r="BQ90" s="9" t="n"/>
      <c r="BR90" s="12">
        <f>IF(AND(AI90="Y",AK90="Y",AL90="Y",AM90="Y",AY90="Y",AZ90="Y",BA90="Y",BB90="Y",BC90="Y",BE90&lt;&gt;"Y",AX90&lt;&gt;"Y",BL90&lt;&gt;"Y",IF(AS90="Y",AV90="Y",TRUE)),"Y","N")</f>
        <v/>
      </c>
      <c r="BS90" s="12">
        <f>IF(AND(BR90="Y",OR(AND(BJ90="Y",BM90="Y"),AND(BK90="Y",BN90="Y"),AND(BJ90&lt;&gt;"Y",BK90&lt;&gt;"Y",OR(BM90="Y",BN90="Y")))),"Y","N")</f>
        <v/>
      </c>
      <c r="BT90" s="10" t="n"/>
      <c r="BU90" s="13" t="n"/>
      <c r="BV90" s="13" t="n"/>
      <c r="BW90" s="13" t="n"/>
      <c r="BX90" s="13" t="n"/>
      <c r="BY90" s="13" t="n"/>
      <c r="BZ90" s="13" t="n"/>
      <c r="CA90" s="14" t="n"/>
      <c r="CB90" s="13" t="n"/>
      <c r="CC90" s="9" t="n"/>
      <c r="CD90" s="9" t="n"/>
      <c r="CE90" s="9" t="n"/>
      <c r="CF90" s="9" t="n"/>
      <c r="CG90" s="9" t="n"/>
      <c r="CH90" s="9" t="n"/>
    </row>
    <row r="91">
      <c r="A91" s="8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8" t="n"/>
      <c r="L91" s="9" t="n"/>
      <c r="M91" s="8" t="n"/>
      <c r="N91" s="8" t="n"/>
      <c r="O91" s="8" t="n"/>
      <c r="P91" s="8" t="n"/>
      <c r="Q91" s="8" t="n"/>
      <c r="R91" s="9" t="n"/>
      <c r="S91" s="9" t="n"/>
      <c r="T91" s="10" t="n"/>
      <c r="U91" s="10" t="n"/>
      <c r="V91" s="9" t="n"/>
      <c r="W91" s="9" t="n"/>
      <c r="X91" s="9" t="n"/>
      <c r="Y91" s="9" t="n"/>
      <c r="Z91" s="11" t="n"/>
      <c r="AA91" s="11" t="n"/>
      <c r="AB91" s="11" t="n"/>
      <c r="AC91" s="11" t="n"/>
      <c r="AD91" s="11" t="n"/>
      <c r="AE91" s="11" t="n"/>
      <c r="AF91" s="9" t="n"/>
      <c r="AG91" s="9" t="n"/>
      <c r="AH91" s="9" t="n"/>
      <c r="AI91" s="9" t="n"/>
      <c r="AJ91" s="8" t="n"/>
      <c r="AK91" s="9" t="n"/>
      <c r="AL91" s="9" t="n"/>
      <c r="AM91" s="9" t="n"/>
      <c r="AN91" s="9" t="n"/>
      <c r="AO91" s="9" t="n"/>
      <c r="AP91" s="9" t="n"/>
      <c r="AQ91" s="9" t="n"/>
      <c r="AR91" s="9" t="n"/>
      <c r="AS91" s="9" t="n"/>
      <c r="AT91" s="8" t="n"/>
      <c r="AU91" s="8" t="n"/>
      <c r="AV91" s="9" t="n"/>
      <c r="AW91" s="8" t="n"/>
      <c r="AX91" s="9" t="n"/>
      <c r="AY91" s="9" t="n"/>
      <c r="AZ91" s="9" t="n"/>
      <c r="BA91" s="9" t="n"/>
      <c r="BB91" s="9" t="n"/>
      <c r="BC91" s="9" t="n"/>
      <c r="BD91" s="9" t="n"/>
      <c r="BE91" s="9" t="n"/>
      <c r="BF91" s="9" t="n"/>
      <c r="BG91" s="9" t="n"/>
      <c r="BH91" s="9" t="n"/>
      <c r="BI91" s="9" t="n"/>
      <c r="BJ91" s="9" t="n"/>
      <c r="BK91" s="9" t="n"/>
      <c r="BL91" s="9" t="n"/>
      <c r="BM91" s="9" t="n"/>
      <c r="BN91" s="9" t="n"/>
      <c r="BO91" s="8" t="n"/>
      <c r="BP91" s="9" t="n"/>
      <c r="BQ91" s="9" t="n"/>
      <c r="BR91" s="12">
        <f>IF(AND(AI91="Y",AK91="Y",AL91="Y",AM91="Y",AY91="Y",AZ91="Y",BA91="Y",BB91="Y",BC91="Y",BE91&lt;&gt;"Y",AX91&lt;&gt;"Y",BL91&lt;&gt;"Y",IF(AS91="Y",AV91="Y",TRUE)),"Y","N")</f>
        <v/>
      </c>
      <c r="BS91" s="12">
        <f>IF(AND(BR91="Y",OR(AND(BJ91="Y",BM91="Y"),AND(BK91="Y",BN91="Y"),AND(BJ91&lt;&gt;"Y",BK91&lt;&gt;"Y",OR(BM91="Y",BN91="Y")))),"Y","N")</f>
        <v/>
      </c>
      <c r="BT91" s="10" t="n"/>
      <c r="BU91" s="13" t="n"/>
      <c r="BV91" s="13" t="n"/>
      <c r="BW91" s="13" t="n"/>
      <c r="BX91" s="13" t="n"/>
      <c r="BY91" s="13" t="n"/>
      <c r="BZ91" s="13" t="n"/>
      <c r="CA91" s="14" t="n"/>
      <c r="CB91" s="13" t="n"/>
      <c r="CC91" s="9" t="n"/>
      <c r="CD91" s="9" t="n"/>
      <c r="CE91" s="9" t="n"/>
      <c r="CF91" s="9" t="n"/>
      <c r="CG91" s="9" t="n"/>
      <c r="CH91" s="9" t="n"/>
    </row>
    <row r="92">
      <c r="A92" s="8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8" t="n"/>
      <c r="L92" s="9" t="n"/>
      <c r="M92" s="8" t="n"/>
      <c r="N92" s="8" t="n"/>
      <c r="O92" s="8" t="n"/>
      <c r="P92" s="8" t="n"/>
      <c r="Q92" s="8" t="n"/>
      <c r="R92" s="9" t="n"/>
      <c r="S92" s="9" t="n"/>
      <c r="T92" s="10" t="n"/>
      <c r="U92" s="10" t="n"/>
      <c r="V92" s="9" t="n"/>
      <c r="W92" s="9" t="n"/>
      <c r="X92" s="9" t="n"/>
      <c r="Y92" s="9" t="n"/>
      <c r="Z92" s="11" t="n"/>
      <c r="AA92" s="11" t="n"/>
      <c r="AB92" s="11" t="n"/>
      <c r="AC92" s="11" t="n"/>
      <c r="AD92" s="11" t="n"/>
      <c r="AE92" s="11" t="n"/>
      <c r="AF92" s="9" t="n"/>
      <c r="AG92" s="9" t="n"/>
      <c r="AH92" s="9" t="n"/>
      <c r="AI92" s="9" t="n"/>
      <c r="AJ92" s="8" t="n"/>
      <c r="AK92" s="9" t="n"/>
      <c r="AL92" s="9" t="n"/>
      <c r="AM92" s="9" t="n"/>
      <c r="AN92" s="9" t="n"/>
      <c r="AO92" s="9" t="n"/>
      <c r="AP92" s="9" t="n"/>
      <c r="AQ92" s="9" t="n"/>
      <c r="AR92" s="9" t="n"/>
      <c r="AS92" s="9" t="n"/>
      <c r="AT92" s="8" t="n"/>
      <c r="AU92" s="8" t="n"/>
      <c r="AV92" s="9" t="n"/>
      <c r="AW92" s="8" t="n"/>
      <c r="AX92" s="9" t="n"/>
      <c r="AY92" s="9" t="n"/>
      <c r="AZ92" s="9" t="n"/>
      <c r="BA92" s="9" t="n"/>
      <c r="BB92" s="9" t="n"/>
      <c r="BC92" s="9" t="n"/>
      <c r="BD92" s="9" t="n"/>
      <c r="BE92" s="9" t="n"/>
      <c r="BF92" s="9" t="n"/>
      <c r="BG92" s="9" t="n"/>
      <c r="BH92" s="9" t="n"/>
      <c r="BI92" s="9" t="n"/>
      <c r="BJ92" s="9" t="n"/>
      <c r="BK92" s="9" t="n"/>
      <c r="BL92" s="9" t="n"/>
      <c r="BM92" s="9" t="n"/>
      <c r="BN92" s="9" t="n"/>
      <c r="BO92" s="8" t="n"/>
      <c r="BP92" s="9" t="n"/>
      <c r="BQ92" s="9" t="n"/>
      <c r="BR92" s="12">
        <f>IF(AND(AI92="Y",AK92="Y",AL92="Y",AM92="Y",AY92="Y",AZ92="Y",BA92="Y",BB92="Y",BC92="Y",BE92&lt;&gt;"Y",AX92&lt;&gt;"Y",BL92&lt;&gt;"Y",IF(AS92="Y",AV92="Y",TRUE)),"Y","N")</f>
        <v/>
      </c>
      <c r="BS92" s="12">
        <f>IF(AND(BR92="Y",OR(AND(BJ92="Y",BM92="Y"),AND(BK92="Y",BN92="Y"),AND(BJ92&lt;&gt;"Y",BK92&lt;&gt;"Y",OR(BM92="Y",BN92="Y")))),"Y","N")</f>
        <v/>
      </c>
      <c r="BT92" s="10" t="n"/>
      <c r="BU92" s="13" t="n"/>
      <c r="BV92" s="13" t="n"/>
      <c r="BW92" s="13" t="n"/>
      <c r="BX92" s="13" t="n"/>
      <c r="BY92" s="13" t="n"/>
      <c r="BZ92" s="13" t="n"/>
      <c r="CA92" s="14" t="n"/>
      <c r="CB92" s="13" t="n"/>
      <c r="CC92" s="9" t="n"/>
      <c r="CD92" s="9" t="n"/>
      <c r="CE92" s="9" t="n"/>
      <c r="CF92" s="9" t="n"/>
      <c r="CG92" s="9" t="n"/>
      <c r="CH92" s="9" t="n"/>
    </row>
    <row r="93">
      <c r="A93" s="8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8" t="n"/>
      <c r="L93" s="9" t="n"/>
      <c r="M93" s="8" t="n"/>
      <c r="N93" s="8" t="n"/>
      <c r="O93" s="8" t="n"/>
      <c r="P93" s="8" t="n"/>
      <c r="Q93" s="8" t="n"/>
      <c r="R93" s="9" t="n"/>
      <c r="S93" s="9" t="n"/>
      <c r="T93" s="10" t="n"/>
      <c r="U93" s="10" t="n"/>
      <c r="V93" s="9" t="n"/>
      <c r="W93" s="9" t="n"/>
      <c r="X93" s="9" t="n"/>
      <c r="Y93" s="9" t="n"/>
      <c r="Z93" s="11" t="n"/>
      <c r="AA93" s="11" t="n"/>
      <c r="AB93" s="11" t="n"/>
      <c r="AC93" s="11" t="n"/>
      <c r="AD93" s="11" t="n"/>
      <c r="AE93" s="11" t="n"/>
      <c r="AF93" s="9" t="n"/>
      <c r="AG93" s="9" t="n"/>
      <c r="AH93" s="9" t="n"/>
      <c r="AI93" s="9" t="n"/>
      <c r="AJ93" s="8" t="n"/>
      <c r="AK93" s="9" t="n"/>
      <c r="AL93" s="9" t="n"/>
      <c r="AM93" s="9" t="n"/>
      <c r="AN93" s="9" t="n"/>
      <c r="AO93" s="9" t="n"/>
      <c r="AP93" s="9" t="n"/>
      <c r="AQ93" s="9" t="n"/>
      <c r="AR93" s="9" t="n"/>
      <c r="AS93" s="9" t="n"/>
      <c r="AT93" s="8" t="n"/>
      <c r="AU93" s="8" t="n"/>
      <c r="AV93" s="9" t="n"/>
      <c r="AW93" s="8" t="n"/>
      <c r="AX93" s="9" t="n"/>
      <c r="AY93" s="9" t="n"/>
      <c r="AZ93" s="9" t="n"/>
      <c r="BA93" s="9" t="n"/>
      <c r="BB93" s="9" t="n"/>
      <c r="BC93" s="9" t="n"/>
      <c r="BD93" s="9" t="n"/>
      <c r="BE93" s="9" t="n"/>
      <c r="BF93" s="9" t="n"/>
      <c r="BG93" s="9" t="n"/>
      <c r="BH93" s="9" t="n"/>
      <c r="BI93" s="9" t="n"/>
      <c r="BJ93" s="9" t="n"/>
      <c r="BK93" s="9" t="n"/>
      <c r="BL93" s="9" t="n"/>
      <c r="BM93" s="9" t="n"/>
      <c r="BN93" s="9" t="n"/>
      <c r="BO93" s="8" t="n"/>
      <c r="BP93" s="9" t="n"/>
      <c r="BQ93" s="9" t="n"/>
      <c r="BR93" s="12">
        <f>IF(AND(AI93="Y",AK93="Y",AL93="Y",AM93="Y",AY93="Y",AZ93="Y",BA93="Y",BB93="Y",BC93="Y",BE93&lt;&gt;"Y",AX93&lt;&gt;"Y",BL93&lt;&gt;"Y",IF(AS93="Y",AV93="Y",TRUE)),"Y","N")</f>
        <v/>
      </c>
      <c r="BS93" s="12">
        <f>IF(AND(BR93="Y",OR(AND(BJ93="Y",BM93="Y"),AND(BK93="Y",BN93="Y"),AND(BJ93&lt;&gt;"Y",BK93&lt;&gt;"Y",OR(BM93="Y",BN93="Y")))),"Y","N")</f>
        <v/>
      </c>
      <c r="BT93" s="10" t="n"/>
      <c r="BU93" s="13" t="n"/>
      <c r="BV93" s="13" t="n"/>
      <c r="BW93" s="13" t="n"/>
      <c r="BX93" s="13" t="n"/>
      <c r="BY93" s="13" t="n"/>
      <c r="BZ93" s="13" t="n"/>
      <c r="CA93" s="14" t="n"/>
      <c r="CB93" s="13" t="n"/>
      <c r="CC93" s="9" t="n"/>
      <c r="CD93" s="9" t="n"/>
      <c r="CE93" s="9" t="n"/>
      <c r="CF93" s="9" t="n"/>
      <c r="CG93" s="9" t="n"/>
      <c r="CH93" s="9" t="n"/>
    </row>
    <row r="94">
      <c r="A94" s="8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8" t="n"/>
      <c r="L94" s="9" t="n"/>
      <c r="M94" s="8" t="n"/>
      <c r="N94" s="8" t="n"/>
      <c r="O94" s="8" t="n"/>
      <c r="P94" s="8" t="n"/>
      <c r="Q94" s="8" t="n"/>
      <c r="R94" s="9" t="n"/>
      <c r="S94" s="9" t="n"/>
      <c r="T94" s="10" t="n"/>
      <c r="U94" s="10" t="n"/>
      <c r="V94" s="9" t="n"/>
      <c r="W94" s="9" t="n"/>
      <c r="X94" s="9" t="n"/>
      <c r="Y94" s="9" t="n"/>
      <c r="Z94" s="11" t="n"/>
      <c r="AA94" s="11" t="n"/>
      <c r="AB94" s="11" t="n"/>
      <c r="AC94" s="11" t="n"/>
      <c r="AD94" s="11" t="n"/>
      <c r="AE94" s="11" t="n"/>
      <c r="AF94" s="9" t="n"/>
      <c r="AG94" s="9" t="n"/>
      <c r="AH94" s="9" t="n"/>
      <c r="AI94" s="9" t="n"/>
      <c r="AJ94" s="8" t="n"/>
      <c r="AK94" s="9" t="n"/>
      <c r="AL94" s="9" t="n"/>
      <c r="AM94" s="9" t="n"/>
      <c r="AN94" s="9" t="n"/>
      <c r="AO94" s="9" t="n"/>
      <c r="AP94" s="9" t="n"/>
      <c r="AQ94" s="9" t="n"/>
      <c r="AR94" s="9" t="n"/>
      <c r="AS94" s="9" t="n"/>
      <c r="AT94" s="8" t="n"/>
      <c r="AU94" s="8" t="n"/>
      <c r="AV94" s="9" t="n"/>
      <c r="AW94" s="8" t="n"/>
      <c r="AX94" s="9" t="n"/>
      <c r="AY94" s="9" t="n"/>
      <c r="AZ94" s="9" t="n"/>
      <c r="BA94" s="9" t="n"/>
      <c r="BB94" s="9" t="n"/>
      <c r="BC94" s="9" t="n"/>
      <c r="BD94" s="9" t="n"/>
      <c r="BE94" s="9" t="n"/>
      <c r="BF94" s="9" t="n"/>
      <c r="BG94" s="9" t="n"/>
      <c r="BH94" s="9" t="n"/>
      <c r="BI94" s="9" t="n"/>
      <c r="BJ94" s="9" t="n"/>
      <c r="BK94" s="9" t="n"/>
      <c r="BL94" s="9" t="n"/>
      <c r="BM94" s="9" t="n"/>
      <c r="BN94" s="9" t="n"/>
      <c r="BO94" s="8" t="n"/>
      <c r="BP94" s="9" t="n"/>
      <c r="BQ94" s="9" t="n"/>
      <c r="BR94" s="12">
        <f>IF(AND(AI94="Y",AK94="Y",AL94="Y",AM94="Y",AY94="Y",AZ94="Y",BA94="Y",BB94="Y",BC94="Y",BE94&lt;&gt;"Y",AX94&lt;&gt;"Y",BL94&lt;&gt;"Y",IF(AS94="Y",AV94="Y",TRUE)),"Y","N")</f>
        <v/>
      </c>
      <c r="BS94" s="12">
        <f>IF(AND(BR94="Y",OR(AND(BJ94="Y",BM94="Y"),AND(BK94="Y",BN94="Y"),AND(BJ94&lt;&gt;"Y",BK94&lt;&gt;"Y",OR(BM94="Y",BN94="Y")))),"Y","N")</f>
        <v/>
      </c>
      <c r="BT94" s="10" t="n"/>
      <c r="BU94" s="13" t="n"/>
      <c r="BV94" s="13" t="n"/>
      <c r="BW94" s="13" t="n"/>
      <c r="BX94" s="13" t="n"/>
      <c r="BY94" s="13" t="n"/>
      <c r="BZ94" s="13" t="n"/>
      <c r="CA94" s="14" t="n"/>
      <c r="CB94" s="13" t="n"/>
      <c r="CC94" s="9" t="n"/>
      <c r="CD94" s="9" t="n"/>
      <c r="CE94" s="9" t="n"/>
      <c r="CF94" s="9" t="n"/>
      <c r="CG94" s="9" t="n"/>
      <c r="CH94" s="9" t="n"/>
    </row>
    <row r="95">
      <c r="A95" s="8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8" t="n"/>
      <c r="L95" s="9" t="n"/>
      <c r="M95" s="8" t="n"/>
      <c r="N95" s="8" t="n"/>
      <c r="O95" s="8" t="n"/>
      <c r="P95" s="8" t="n"/>
      <c r="Q95" s="8" t="n"/>
      <c r="R95" s="9" t="n"/>
      <c r="S95" s="9" t="n"/>
      <c r="T95" s="10" t="n"/>
      <c r="U95" s="10" t="n"/>
      <c r="V95" s="9" t="n"/>
      <c r="W95" s="9" t="n"/>
      <c r="X95" s="9" t="n"/>
      <c r="Y95" s="9" t="n"/>
      <c r="Z95" s="11" t="n"/>
      <c r="AA95" s="11" t="n"/>
      <c r="AB95" s="11" t="n"/>
      <c r="AC95" s="11" t="n"/>
      <c r="AD95" s="11" t="n"/>
      <c r="AE95" s="11" t="n"/>
      <c r="AF95" s="9" t="n"/>
      <c r="AG95" s="9" t="n"/>
      <c r="AH95" s="9" t="n"/>
      <c r="AI95" s="9" t="n"/>
      <c r="AJ95" s="8" t="n"/>
      <c r="AK95" s="9" t="n"/>
      <c r="AL95" s="9" t="n"/>
      <c r="AM95" s="9" t="n"/>
      <c r="AN95" s="9" t="n"/>
      <c r="AO95" s="9" t="n"/>
      <c r="AP95" s="9" t="n"/>
      <c r="AQ95" s="9" t="n"/>
      <c r="AR95" s="9" t="n"/>
      <c r="AS95" s="9" t="n"/>
      <c r="AT95" s="8" t="n"/>
      <c r="AU95" s="8" t="n"/>
      <c r="AV95" s="9" t="n"/>
      <c r="AW95" s="8" t="n"/>
      <c r="AX95" s="9" t="n"/>
      <c r="AY95" s="9" t="n"/>
      <c r="AZ95" s="9" t="n"/>
      <c r="BA95" s="9" t="n"/>
      <c r="BB95" s="9" t="n"/>
      <c r="BC95" s="9" t="n"/>
      <c r="BD95" s="9" t="n"/>
      <c r="BE95" s="9" t="n"/>
      <c r="BF95" s="9" t="n"/>
      <c r="BG95" s="9" t="n"/>
      <c r="BH95" s="9" t="n"/>
      <c r="BI95" s="9" t="n"/>
      <c r="BJ95" s="9" t="n"/>
      <c r="BK95" s="9" t="n"/>
      <c r="BL95" s="9" t="n"/>
      <c r="BM95" s="9" t="n"/>
      <c r="BN95" s="9" t="n"/>
      <c r="BO95" s="8" t="n"/>
      <c r="BP95" s="9" t="n"/>
      <c r="BQ95" s="9" t="n"/>
      <c r="BR95" s="12">
        <f>IF(AND(AI95="Y",AK95="Y",AL95="Y",AM95="Y",AY95="Y",AZ95="Y",BA95="Y",BB95="Y",BC95="Y",BE95&lt;&gt;"Y",AX95&lt;&gt;"Y",BL95&lt;&gt;"Y",IF(AS95="Y",AV95="Y",TRUE)),"Y","N")</f>
        <v/>
      </c>
      <c r="BS95" s="12">
        <f>IF(AND(BR95="Y",OR(AND(BJ95="Y",BM95="Y"),AND(BK95="Y",BN95="Y"),AND(BJ95&lt;&gt;"Y",BK95&lt;&gt;"Y",OR(BM95="Y",BN95="Y")))),"Y","N")</f>
        <v/>
      </c>
      <c r="BT95" s="10" t="n"/>
      <c r="BU95" s="13" t="n"/>
      <c r="BV95" s="13" t="n"/>
      <c r="BW95" s="13" t="n"/>
      <c r="BX95" s="13" t="n"/>
      <c r="BY95" s="13" t="n"/>
      <c r="BZ95" s="13" t="n"/>
      <c r="CA95" s="14" t="n"/>
      <c r="CB95" s="13" t="n"/>
      <c r="CC95" s="9" t="n"/>
      <c r="CD95" s="9" t="n"/>
      <c r="CE95" s="9" t="n"/>
      <c r="CF95" s="9" t="n"/>
      <c r="CG95" s="9" t="n"/>
      <c r="CH95" s="9" t="n"/>
    </row>
    <row r="96">
      <c r="A96" s="8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8" t="n"/>
      <c r="L96" s="9" t="n"/>
      <c r="M96" s="8" t="n"/>
      <c r="N96" s="8" t="n"/>
      <c r="O96" s="8" t="n"/>
      <c r="P96" s="8" t="n"/>
      <c r="Q96" s="8" t="n"/>
      <c r="R96" s="9" t="n"/>
      <c r="S96" s="9" t="n"/>
      <c r="T96" s="10" t="n"/>
      <c r="U96" s="10" t="n"/>
      <c r="V96" s="9" t="n"/>
      <c r="W96" s="9" t="n"/>
      <c r="X96" s="9" t="n"/>
      <c r="Y96" s="9" t="n"/>
      <c r="Z96" s="11" t="n"/>
      <c r="AA96" s="11" t="n"/>
      <c r="AB96" s="11" t="n"/>
      <c r="AC96" s="11" t="n"/>
      <c r="AD96" s="11" t="n"/>
      <c r="AE96" s="11" t="n"/>
      <c r="AF96" s="9" t="n"/>
      <c r="AG96" s="9" t="n"/>
      <c r="AH96" s="9" t="n"/>
      <c r="AI96" s="9" t="n"/>
      <c r="AJ96" s="8" t="n"/>
      <c r="AK96" s="9" t="n"/>
      <c r="AL96" s="9" t="n"/>
      <c r="AM96" s="9" t="n"/>
      <c r="AN96" s="9" t="n"/>
      <c r="AO96" s="9" t="n"/>
      <c r="AP96" s="9" t="n"/>
      <c r="AQ96" s="9" t="n"/>
      <c r="AR96" s="9" t="n"/>
      <c r="AS96" s="9" t="n"/>
      <c r="AT96" s="8" t="n"/>
      <c r="AU96" s="8" t="n"/>
      <c r="AV96" s="9" t="n"/>
      <c r="AW96" s="8" t="n"/>
      <c r="AX96" s="9" t="n"/>
      <c r="AY96" s="9" t="n"/>
      <c r="AZ96" s="9" t="n"/>
      <c r="BA96" s="9" t="n"/>
      <c r="BB96" s="9" t="n"/>
      <c r="BC96" s="9" t="n"/>
      <c r="BD96" s="9" t="n"/>
      <c r="BE96" s="9" t="n"/>
      <c r="BF96" s="9" t="n"/>
      <c r="BG96" s="9" t="n"/>
      <c r="BH96" s="9" t="n"/>
      <c r="BI96" s="9" t="n"/>
      <c r="BJ96" s="9" t="n"/>
      <c r="BK96" s="9" t="n"/>
      <c r="BL96" s="9" t="n"/>
      <c r="BM96" s="9" t="n"/>
      <c r="BN96" s="9" t="n"/>
      <c r="BO96" s="8" t="n"/>
      <c r="BP96" s="9" t="n"/>
      <c r="BQ96" s="9" t="n"/>
      <c r="BR96" s="12">
        <f>IF(AND(AI96="Y",AK96="Y",AL96="Y",AM96="Y",AY96="Y",AZ96="Y",BA96="Y",BB96="Y",BC96="Y",BE96&lt;&gt;"Y",AX96&lt;&gt;"Y",BL96&lt;&gt;"Y",IF(AS96="Y",AV96="Y",TRUE)),"Y","N")</f>
        <v/>
      </c>
      <c r="BS96" s="12">
        <f>IF(AND(BR96="Y",OR(AND(BJ96="Y",BM96="Y"),AND(BK96="Y",BN96="Y"),AND(BJ96&lt;&gt;"Y",BK96&lt;&gt;"Y",OR(BM96="Y",BN96="Y")))),"Y","N")</f>
        <v/>
      </c>
      <c r="BT96" s="10" t="n"/>
      <c r="BU96" s="13" t="n"/>
      <c r="BV96" s="13" t="n"/>
      <c r="BW96" s="13" t="n"/>
      <c r="BX96" s="13" t="n"/>
      <c r="BY96" s="13" t="n"/>
      <c r="BZ96" s="13" t="n"/>
      <c r="CA96" s="14" t="n"/>
      <c r="CB96" s="13" t="n"/>
      <c r="CC96" s="9" t="n"/>
      <c r="CD96" s="9" t="n"/>
      <c r="CE96" s="9" t="n"/>
      <c r="CF96" s="9" t="n"/>
      <c r="CG96" s="9" t="n"/>
      <c r="CH96" s="9" t="n"/>
    </row>
    <row r="97">
      <c r="A97" s="8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8" t="n"/>
      <c r="L97" s="9" t="n"/>
      <c r="M97" s="8" t="n"/>
      <c r="N97" s="8" t="n"/>
      <c r="O97" s="8" t="n"/>
      <c r="P97" s="8" t="n"/>
      <c r="Q97" s="8" t="n"/>
      <c r="R97" s="9" t="n"/>
      <c r="S97" s="9" t="n"/>
      <c r="T97" s="10" t="n"/>
      <c r="U97" s="10" t="n"/>
      <c r="V97" s="9" t="n"/>
      <c r="W97" s="9" t="n"/>
      <c r="X97" s="9" t="n"/>
      <c r="Y97" s="9" t="n"/>
      <c r="Z97" s="11" t="n"/>
      <c r="AA97" s="11" t="n"/>
      <c r="AB97" s="11" t="n"/>
      <c r="AC97" s="11" t="n"/>
      <c r="AD97" s="11" t="n"/>
      <c r="AE97" s="11" t="n"/>
      <c r="AF97" s="9" t="n"/>
      <c r="AG97" s="9" t="n"/>
      <c r="AH97" s="9" t="n"/>
      <c r="AI97" s="9" t="n"/>
      <c r="AJ97" s="8" t="n"/>
      <c r="AK97" s="9" t="n"/>
      <c r="AL97" s="9" t="n"/>
      <c r="AM97" s="9" t="n"/>
      <c r="AN97" s="9" t="n"/>
      <c r="AO97" s="9" t="n"/>
      <c r="AP97" s="9" t="n"/>
      <c r="AQ97" s="9" t="n"/>
      <c r="AR97" s="9" t="n"/>
      <c r="AS97" s="9" t="n"/>
      <c r="AT97" s="8" t="n"/>
      <c r="AU97" s="8" t="n"/>
      <c r="AV97" s="9" t="n"/>
      <c r="AW97" s="8" t="n"/>
      <c r="AX97" s="9" t="n"/>
      <c r="AY97" s="9" t="n"/>
      <c r="AZ97" s="9" t="n"/>
      <c r="BA97" s="9" t="n"/>
      <c r="BB97" s="9" t="n"/>
      <c r="BC97" s="9" t="n"/>
      <c r="BD97" s="9" t="n"/>
      <c r="BE97" s="9" t="n"/>
      <c r="BF97" s="9" t="n"/>
      <c r="BG97" s="9" t="n"/>
      <c r="BH97" s="9" t="n"/>
      <c r="BI97" s="9" t="n"/>
      <c r="BJ97" s="9" t="n"/>
      <c r="BK97" s="9" t="n"/>
      <c r="BL97" s="9" t="n"/>
      <c r="BM97" s="9" t="n"/>
      <c r="BN97" s="9" t="n"/>
      <c r="BO97" s="8" t="n"/>
      <c r="BP97" s="9" t="n"/>
      <c r="BQ97" s="9" t="n"/>
      <c r="BR97" s="12">
        <f>IF(AND(AI97="Y",AK97="Y",AL97="Y",AM97="Y",AY97="Y",AZ97="Y",BA97="Y",BB97="Y",BC97="Y",BE97&lt;&gt;"Y",AX97&lt;&gt;"Y",BL97&lt;&gt;"Y",IF(AS97="Y",AV97="Y",TRUE)),"Y","N")</f>
        <v/>
      </c>
      <c r="BS97" s="12">
        <f>IF(AND(BR97="Y",OR(AND(BJ97="Y",BM97="Y"),AND(BK97="Y",BN97="Y"),AND(BJ97&lt;&gt;"Y",BK97&lt;&gt;"Y",OR(BM97="Y",BN97="Y")))),"Y","N")</f>
        <v/>
      </c>
      <c r="BT97" s="10" t="n"/>
      <c r="BU97" s="13" t="n"/>
      <c r="BV97" s="13" t="n"/>
      <c r="BW97" s="13" t="n"/>
      <c r="BX97" s="13" t="n"/>
      <c r="BY97" s="13" t="n"/>
      <c r="BZ97" s="13" t="n"/>
      <c r="CA97" s="14" t="n"/>
      <c r="CB97" s="13" t="n"/>
      <c r="CC97" s="9" t="n"/>
      <c r="CD97" s="9" t="n"/>
      <c r="CE97" s="9" t="n"/>
      <c r="CF97" s="9" t="n"/>
      <c r="CG97" s="9" t="n"/>
      <c r="CH97" s="9" t="n"/>
    </row>
    <row r="98">
      <c r="A98" s="8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8" t="n"/>
      <c r="L98" s="9" t="n"/>
      <c r="M98" s="8" t="n"/>
      <c r="N98" s="8" t="n"/>
      <c r="O98" s="8" t="n"/>
      <c r="P98" s="8" t="n"/>
      <c r="Q98" s="8" t="n"/>
      <c r="R98" s="9" t="n"/>
      <c r="S98" s="9" t="n"/>
      <c r="T98" s="10" t="n"/>
      <c r="U98" s="10" t="n"/>
      <c r="V98" s="9" t="n"/>
      <c r="W98" s="9" t="n"/>
      <c r="X98" s="9" t="n"/>
      <c r="Y98" s="9" t="n"/>
      <c r="Z98" s="11" t="n"/>
      <c r="AA98" s="11" t="n"/>
      <c r="AB98" s="11" t="n"/>
      <c r="AC98" s="11" t="n"/>
      <c r="AD98" s="11" t="n"/>
      <c r="AE98" s="11" t="n"/>
      <c r="AF98" s="9" t="n"/>
      <c r="AG98" s="9" t="n"/>
      <c r="AH98" s="9" t="n"/>
      <c r="AI98" s="9" t="n"/>
      <c r="AJ98" s="8" t="n"/>
      <c r="AK98" s="9" t="n"/>
      <c r="AL98" s="9" t="n"/>
      <c r="AM98" s="9" t="n"/>
      <c r="AN98" s="9" t="n"/>
      <c r="AO98" s="9" t="n"/>
      <c r="AP98" s="9" t="n"/>
      <c r="AQ98" s="9" t="n"/>
      <c r="AR98" s="9" t="n"/>
      <c r="AS98" s="9" t="n"/>
      <c r="AT98" s="8" t="n"/>
      <c r="AU98" s="8" t="n"/>
      <c r="AV98" s="9" t="n"/>
      <c r="AW98" s="8" t="n"/>
      <c r="AX98" s="9" t="n"/>
      <c r="AY98" s="9" t="n"/>
      <c r="AZ98" s="9" t="n"/>
      <c r="BA98" s="9" t="n"/>
      <c r="BB98" s="9" t="n"/>
      <c r="BC98" s="9" t="n"/>
      <c r="BD98" s="9" t="n"/>
      <c r="BE98" s="9" t="n"/>
      <c r="BF98" s="9" t="n"/>
      <c r="BG98" s="9" t="n"/>
      <c r="BH98" s="9" t="n"/>
      <c r="BI98" s="9" t="n"/>
      <c r="BJ98" s="9" t="n"/>
      <c r="BK98" s="9" t="n"/>
      <c r="BL98" s="9" t="n"/>
      <c r="BM98" s="9" t="n"/>
      <c r="BN98" s="9" t="n"/>
      <c r="BO98" s="8" t="n"/>
      <c r="BP98" s="9" t="n"/>
      <c r="BQ98" s="9" t="n"/>
      <c r="BR98" s="12">
        <f>IF(AND(AI98="Y",AK98="Y",AL98="Y",AM98="Y",AY98="Y",AZ98="Y",BA98="Y",BB98="Y",BC98="Y",BE98&lt;&gt;"Y",AX98&lt;&gt;"Y",BL98&lt;&gt;"Y",IF(AS98="Y",AV98="Y",TRUE)),"Y","N")</f>
        <v/>
      </c>
      <c r="BS98" s="12">
        <f>IF(AND(BR98="Y",OR(AND(BJ98="Y",BM98="Y"),AND(BK98="Y",BN98="Y"),AND(BJ98&lt;&gt;"Y",BK98&lt;&gt;"Y",OR(BM98="Y",BN98="Y")))),"Y","N")</f>
        <v/>
      </c>
      <c r="BT98" s="10" t="n"/>
      <c r="BU98" s="13" t="n"/>
      <c r="BV98" s="13" t="n"/>
      <c r="BW98" s="13" t="n"/>
      <c r="BX98" s="13" t="n"/>
      <c r="BY98" s="13" t="n"/>
      <c r="BZ98" s="13" t="n"/>
      <c r="CA98" s="14" t="n"/>
      <c r="CB98" s="13" t="n"/>
      <c r="CC98" s="9" t="n"/>
      <c r="CD98" s="9" t="n"/>
      <c r="CE98" s="9" t="n"/>
      <c r="CF98" s="9" t="n"/>
      <c r="CG98" s="9" t="n"/>
      <c r="CH98" s="9" t="n"/>
    </row>
    <row r="99">
      <c r="A99" s="8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8" t="n"/>
      <c r="L99" s="9" t="n"/>
      <c r="M99" s="8" t="n"/>
      <c r="N99" s="8" t="n"/>
      <c r="O99" s="8" t="n"/>
      <c r="P99" s="8" t="n"/>
      <c r="Q99" s="8" t="n"/>
      <c r="R99" s="9" t="n"/>
      <c r="S99" s="9" t="n"/>
      <c r="T99" s="10" t="n"/>
      <c r="U99" s="10" t="n"/>
      <c r="V99" s="9" t="n"/>
      <c r="W99" s="9" t="n"/>
      <c r="X99" s="9" t="n"/>
      <c r="Y99" s="9" t="n"/>
      <c r="Z99" s="11" t="n"/>
      <c r="AA99" s="11" t="n"/>
      <c r="AB99" s="11" t="n"/>
      <c r="AC99" s="11" t="n"/>
      <c r="AD99" s="11" t="n"/>
      <c r="AE99" s="11" t="n"/>
      <c r="AF99" s="9" t="n"/>
      <c r="AG99" s="9" t="n"/>
      <c r="AH99" s="9" t="n"/>
      <c r="AI99" s="9" t="n"/>
      <c r="AJ99" s="8" t="n"/>
      <c r="AK99" s="9" t="n"/>
      <c r="AL99" s="9" t="n"/>
      <c r="AM99" s="9" t="n"/>
      <c r="AN99" s="9" t="n"/>
      <c r="AO99" s="9" t="n"/>
      <c r="AP99" s="9" t="n"/>
      <c r="AQ99" s="9" t="n"/>
      <c r="AR99" s="9" t="n"/>
      <c r="AS99" s="9" t="n"/>
      <c r="AT99" s="8" t="n"/>
      <c r="AU99" s="8" t="n"/>
      <c r="AV99" s="9" t="n"/>
      <c r="AW99" s="8" t="n"/>
      <c r="AX99" s="9" t="n"/>
      <c r="AY99" s="9" t="n"/>
      <c r="AZ99" s="9" t="n"/>
      <c r="BA99" s="9" t="n"/>
      <c r="BB99" s="9" t="n"/>
      <c r="BC99" s="9" t="n"/>
      <c r="BD99" s="9" t="n"/>
      <c r="BE99" s="9" t="n"/>
      <c r="BF99" s="9" t="n"/>
      <c r="BG99" s="9" t="n"/>
      <c r="BH99" s="9" t="n"/>
      <c r="BI99" s="9" t="n"/>
      <c r="BJ99" s="9" t="n"/>
      <c r="BK99" s="9" t="n"/>
      <c r="BL99" s="9" t="n"/>
      <c r="BM99" s="9" t="n"/>
      <c r="BN99" s="9" t="n"/>
      <c r="BO99" s="8" t="n"/>
      <c r="BP99" s="9" t="n"/>
      <c r="BQ99" s="9" t="n"/>
      <c r="BR99" s="12">
        <f>IF(AND(AI99="Y",AK99="Y",AL99="Y",AM99="Y",AY99="Y",AZ99="Y",BA99="Y",BB99="Y",BC99="Y",BE99&lt;&gt;"Y",AX99&lt;&gt;"Y",BL99&lt;&gt;"Y",IF(AS99="Y",AV99="Y",TRUE)),"Y","N")</f>
        <v/>
      </c>
      <c r="BS99" s="12">
        <f>IF(AND(BR99="Y",OR(AND(BJ99="Y",BM99="Y"),AND(BK99="Y",BN99="Y"),AND(BJ99&lt;&gt;"Y",BK99&lt;&gt;"Y",OR(BM99="Y",BN99="Y")))),"Y","N")</f>
        <v/>
      </c>
      <c r="BT99" s="10" t="n"/>
      <c r="BU99" s="13" t="n"/>
      <c r="BV99" s="13" t="n"/>
      <c r="BW99" s="13" t="n"/>
      <c r="BX99" s="13" t="n"/>
      <c r="BY99" s="13" t="n"/>
      <c r="BZ99" s="13" t="n"/>
      <c r="CA99" s="14" t="n"/>
      <c r="CB99" s="13" t="n"/>
      <c r="CC99" s="9" t="n"/>
      <c r="CD99" s="9" t="n"/>
      <c r="CE99" s="9" t="n"/>
      <c r="CF99" s="9" t="n"/>
      <c r="CG99" s="9" t="n"/>
      <c r="CH99" s="9" t="n"/>
    </row>
    <row r="100">
      <c r="A100" s="8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8" t="n"/>
      <c r="L100" s="9" t="n"/>
      <c r="M100" s="8" t="n"/>
      <c r="N100" s="8" t="n"/>
      <c r="O100" s="8" t="n"/>
      <c r="P100" s="8" t="n"/>
      <c r="Q100" s="8" t="n"/>
      <c r="R100" s="9" t="n"/>
      <c r="S100" s="9" t="n"/>
      <c r="T100" s="10" t="n"/>
      <c r="U100" s="10" t="n"/>
      <c r="V100" s="9" t="n"/>
      <c r="W100" s="9" t="n"/>
      <c r="X100" s="9" t="n"/>
      <c r="Y100" s="9" t="n"/>
      <c r="Z100" s="11" t="n"/>
      <c r="AA100" s="11" t="n"/>
      <c r="AB100" s="11" t="n"/>
      <c r="AC100" s="11" t="n"/>
      <c r="AD100" s="11" t="n"/>
      <c r="AE100" s="11" t="n"/>
      <c r="AF100" s="9" t="n"/>
      <c r="AG100" s="9" t="n"/>
      <c r="AH100" s="9" t="n"/>
      <c r="AI100" s="9" t="n"/>
      <c r="AJ100" s="8" t="n"/>
      <c r="AK100" s="9" t="n"/>
      <c r="AL100" s="9" t="n"/>
      <c r="AM100" s="9" t="n"/>
      <c r="AN100" s="9" t="n"/>
      <c r="AO100" s="9" t="n"/>
      <c r="AP100" s="9" t="n"/>
      <c r="AQ100" s="9" t="n"/>
      <c r="AR100" s="9" t="n"/>
      <c r="AS100" s="9" t="n"/>
      <c r="AT100" s="8" t="n"/>
      <c r="AU100" s="8" t="n"/>
      <c r="AV100" s="9" t="n"/>
      <c r="AW100" s="8" t="n"/>
      <c r="AX100" s="9" t="n"/>
      <c r="AY100" s="9" t="n"/>
      <c r="AZ100" s="9" t="n"/>
      <c r="BA100" s="9" t="n"/>
      <c r="BB100" s="9" t="n"/>
      <c r="BC100" s="9" t="n"/>
      <c r="BD100" s="9" t="n"/>
      <c r="BE100" s="9" t="n"/>
      <c r="BF100" s="9" t="n"/>
      <c r="BG100" s="9" t="n"/>
      <c r="BH100" s="9" t="n"/>
      <c r="BI100" s="9" t="n"/>
      <c r="BJ100" s="9" t="n"/>
      <c r="BK100" s="9" t="n"/>
      <c r="BL100" s="9" t="n"/>
      <c r="BM100" s="9" t="n"/>
      <c r="BN100" s="9" t="n"/>
      <c r="BO100" s="8" t="n"/>
      <c r="BP100" s="9" t="n"/>
      <c r="BQ100" s="9" t="n"/>
      <c r="BR100" s="12">
        <f>IF(AND(AI100="Y",AK100="Y",AL100="Y",AM100="Y",AY100="Y",AZ100="Y",BA100="Y",BB100="Y",BC100="Y",BE100&lt;&gt;"Y",AX100&lt;&gt;"Y",BL100&lt;&gt;"Y",IF(AS100="Y",AV100="Y",TRUE)),"Y","N")</f>
        <v/>
      </c>
      <c r="BS100" s="12">
        <f>IF(AND(BR100="Y",OR(AND(BJ100="Y",BM100="Y"),AND(BK100="Y",BN100="Y"),AND(BJ100&lt;&gt;"Y",BK100&lt;&gt;"Y",OR(BM100="Y",BN100="Y")))),"Y","N")</f>
        <v/>
      </c>
      <c r="BT100" s="10" t="n"/>
      <c r="BU100" s="13" t="n"/>
      <c r="BV100" s="13" t="n"/>
      <c r="BW100" s="13" t="n"/>
      <c r="BX100" s="13" t="n"/>
      <c r="BY100" s="13" t="n"/>
      <c r="BZ100" s="13" t="n"/>
      <c r="CA100" s="14" t="n"/>
      <c r="CB100" s="13" t="n"/>
      <c r="CC100" s="9" t="n"/>
      <c r="CD100" s="9" t="n"/>
      <c r="CE100" s="9" t="n"/>
      <c r="CF100" s="9" t="n"/>
      <c r="CG100" s="9" t="n"/>
      <c r="CH100" s="9" t="n"/>
    </row>
    <row r="101">
      <c r="A101" s="8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8" t="n"/>
      <c r="L101" s="9" t="n"/>
      <c r="M101" s="8" t="n"/>
      <c r="N101" s="8" t="n"/>
      <c r="O101" s="8" t="n"/>
      <c r="P101" s="8" t="n"/>
      <c r="Q101" s="8" t="n"/>
      <c r="R101" s="9" t="n"/>
      <c r="S101" s="9" t="n"/>
      <c r="T101" s="10" t="n"/>
      <c r="U101" s="10" t="n"/>
      <c r="V101" s="9" t="n"/>
      <c r="W101" s="9" t="n"/>
      <c r="X101" s="9" t="n"/>
      <c r="Y101" s="9" t="n"/>
      <c r="Z101" s="11" t="n"/>
      <c r="AA101" s="11" t="n"/>
      <c r="AB101" s="11" t="n"/>
      <c r="AC101" s="11" t="n"/>
      <c r="AD101" s="11" t="n"/>
      <c r="AE101" s="11" t="n"/>
      <c r="AF101" s="9" t="n"/>
      <c r="AG101" s="9" t="n"/>
      <c r="AH101" s="9" t="n"/>
      <c r="AI101" s="9" t="n"/>
      <c r="AJ101" s="8" t="n"/>
      <c r="AK101" s="9" t="n"/>
      <c r="AL101" s="9" t="n"/>
      <c r="AM101" s="9" t="n"/>
      <c r="AN101" s="9" t="n"/>
      <c r="AO101" s="9" t="n"/>
      <c r="AP101" s="9" t="n"/>
      <c r="AQ101" s="9" t="n"/>
      <c r="AR101" s="9" t="n"/>
      <c r="AS101" s="9" t="n"/>
      <c r="AT101" s="8" t="n"/>
      <c r="AU101" s="8" t="n"/>
      <c r="AV101" s="9" t="n"/>
      <c r="AW101" s="8" t="n"/>
      <c r="AX101" s="9" t="n"/>
      <c r="AY101" s="9" t="n"/>
      <c r="AZ101" s="9" t="n"/>
      <c r="BA101" s="9" t="n"/>
      <c r="BB101" s="9" t="n"/>
      <c r="BC101" s="9" t="n"/>
      <c r="BD101" s="9" t="n"/>
      <c r="BE101" s="9" t="n"/>
      <c r="BF101" s="9" t="n"/>
      <c r="BG101" s="9" t="n"/>
      <c r="BH101" s="9" t="n"/>
      <c r="BI101" s="9" t="n"/>
      <c r="BJ101" s="9" t="n"/>
      <c r="BK101" s="9" t="n"/>
      <c r="BL101" s="9" t="n"/>
      <c r="BM101" s="9" t="n"/>
      <c r="BN101" s="9" t="n"/>
      <c r="BO101" s="8" t="n"/>
      <c r="BP101" s="9" t="n"/>
      <c r="BQ101" s="9" t="n"/>
      <c r="BR101" s="12">
        <f>IF(AND(AI101="Y",AK101="Y",AL101="Y",AM101="Y",AY101="Y",AZ101="Y",BA101="Y",BB101="Y",BC101="Y",BE101&lt;&gt;"Y",AX101&lt;&gt;"Y",BL101&lt;&gt;"Y",IF(AS101="Y",AV101="Y",TRUE)),"Y","N")</f>
        <v/>
      </c>
      <c r="BS101" s="12">
        <f>IF(AND(BR101="Y",OR(AND(BJ101="Y",BM101="Y"),AND(BK101="Y",BN101="Y"),AND(BJ101&lt;&gt;"Y",BK101&lt;&gt;"Y",OR(BM101="Y",BN101="Y")))),"Y","N")</f>
        <v/>
      </c>
      <c r="BT101" s="10" t="n"/>
      <c r="BU101" s="13" t="n"/>
      <c r="BV101" s="13" t="n"/>
      <c r="BW101" s="13" t="n"/>
      <c r="BX101" s="13" t="n"/>
      <c r="BY101" s="13" t="n"/>
      <c r="BZ101" s="13" t="n"/>
      <c r="CA101" s="14" t="n"/>
      <c r="CB101" s="13" t="n"/>
      <c r="CC101" s="9" t="n"/>
      <c r="CD101" s="9" t="n"/>
      <c r="CE101" s="9" t="n"/>
      <c r="CF101" s="9" t="n"/>
      <c r="CG101" s="9" t="n"/>
      <c r="CH101" s="9" t="n"/>
    </row>
    <row r="102">
      <c r="A102" s="8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8" t="n"/>
      <c r="L102" s="9" t="n"/>
      <c r="M102" s="8" t="n"/>
      <c r="N102" s="8" t="n"/>
      <c r="O102" s="8" t="n"/>
      <c r="P102" s="8" t="n"/>
      <c r="Q102" s="8" t="n"/>
      <c r="R102" s="9" t="n"/>
      <c r="S102" s="9" t="n"/>
      <c r="T102" s="10" t="n"/>
      <c r="U102" s="10" t="n"/>
      <c r="V102" s="9" t="n"/>
      <c r="W102" s="9" t="n"/>
      <c r="X102" s="9" t="n"/>
      <c r="Y102" s="9" t="n"/>
      <c r="Z102" s="11" t="n"/>
      <c r="AA102" s="11" t="n"/>
      <c r="AB102" s="11" t="n"/>
      <c r="AC102" s="11" t="n"/>
      <c r="AD102" s="11" t="n"/>
      <c r="AE102" s="11" t="n"/>
      <c r="AF102" s="9" t="n"/>
      <c r="AG102" s="9" t="n"/>
      <c r="AH102" s="9" t="n"/>
      <c r="AI102" s="9" t="n"/>
      <c r="AJ102" s="8" t="n"/>
      <c r="AK102" s="9" t="n"/>
      <c r="AL102" s="9" t="n"/>
      <c r="AM102" s="9" t="n"/>
      <c r="AN102" s="9" t="n"/>
      <c r="AO102" s="9" t="n"/>
      <c r="AP102" s="9" t="n"/>
      <c r="AQ102" s="9" t="n"/>
      <c r="AR102" s="9" t="n"/>
      <c r="AS102" s="9" t="n"/>
      <c r="AT102" s="8" t="n"/>
      <c r="AU102" s="8" t="n"/>
      <c r="AV102" s="9" t="n"/>
      <c r="AW102" s="8" t="n"/>
      <c r="AX102" s="9" t="n"/>
      <c r="AY102" s="9" t="n"/>
      <c r="AZ102" s="9" t="n"/>
      <c r="BA102" s="9" t="n"/>
      <c r="BB102" s="9" t="n"/>
      <c r="BC102" s="9" t="n"/>
      <c r="BD102" s="9" t="n"/>
      <c r="BE102" s="9" t="n"/>
      <c r="BF102" s="9" t="n"/>
      <c r="BG102" s="9" t="n"/>
      <c r="BH102" s="9" t="n"/>
      <c r="BI102" s="9" t="n"/>
      <c r="BJ102" s="9" t="n"/>
      <c r="BK102" s="9" t="n"/>
      <c r="BL102" s="9" t="n"/>
      <c r="BM102" s="9" t="n"/>
      <c r="BN102" s="9" t="n"/>
      <c r="BO102" s="8" t="n"/>
      <c r="BP102" s="9" t="n"/>
      <c r="BQ102" s="9" t="n"/>
      <c r="BR102" s="12">
        <f>IF(AND(AI102="Y",AK102="Y",AL102="Y",AM102="Y",AY102="Y",AZ102="Y",BA102="Y",BB102="Y",BC102="Y",BE102&lt;&gt;"Y",AX102&lt;&gt;"Y",BL102&lt;&gt;"Y",IF(AS102="Y",AV102="Y",TRUE)),"Y","N")</f>
        <v/>
      </c>
      <c r="BS102" s="12">
        <f>IF(AND(BR102="Y",OR(AND(BJ102="Y",BM102="Y"),AND(BK102="Y",BN102="Y"),AND(BJ102&lt;&gt;"Y",BK102&lt;&gt;"Y",OR(BM102="Y",BN102="Y")))),"Y","N")</f>
        <v/>
      </c>
      <c r="BT102" s="10" t="n"/>
      <c r="BU102" s="13" t="n"/>
      <c r="BV102" s="13" t="n"/>
      <c r="BW102" s="13" t="n"/>
      <c r="BX102" s="13" t="n"/>
      <c r="BY102" s="13" t="n"/>
      <c r="BZ102" s="13" t="n"/>
      <c r="CA102" s="14" t="n"/>
      <c r="CB102" s="13" t="n"/>
      <c r="CC102" s="9" t="n"/>
      <c r="CD102" s="9" t="n"/>
      <c r="CE102" s="9" t="n"/>
      <c r="CF102" s="9" t="n"/>
      <c r="CG102" s="9" t="n"/>
      <c r="CH102" s="9" t="n"/>
    </row>
    <row r="103">
      <c r="A103" s="8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8" t="n"/>
      <c r="L103" s="9" t="n"/>
      <c r="M103" s="8" t="n"/>
      <c r="N103" s="8" t="n"/>
      <c r="O103" s="8" t="n"/>
      <c r="P103" s="8" t="n"/>
      <c r="Q103" s="8" t="n"/>
      <c r="R103" s="9" t="n"/>
      <c r="S103" s="9" t="n"/>
      <c r="T103" s="10" t="n"/>
      <c r="U103" s="10" t="n"/>
      <c r="V103" s="9" t="n"/>
      <c r="W103" s="9" t="n"/>
      <c r="X103" s="9" t="n"/>
      <c r="Y103" s="9" t="n"/>
      <c r="Z103" s="11" t="n"/>
      <c r="AA103" s="11" t="n"/>
      <c r="AB103" s="11" t="n"/>
      <c r="AC103" s="11" t="n"/>
      <c r="AD103" s="11" t="n"/>
      <c r="AE103" s="11" t="n"/>
      <c r="AF103" s="9" t="n"/>
      <c r="AG103" s="9" t="n"/>
      <c r="AH103" s="9" t="n"/>
      <c r="AI103" s="9" t="n"/>
      <c r="AJ103" s="8" t="n"/>
      <c r="AK103" s="9" t="n"/>
      <c r="AL103" s="9" t="n"/>
      <c r="AM103" s="9" t="n"/>
      <c r="AN103" s="9" t="n"/>
      <c r="AO103" s="9" t="n"/>
      <c r="AP103" s="9" t="n"/>
      <c r="AQ103" s="9" t="n"/>
      <c r="AR103" s="9" t="n"/>
      <c r="AS103" s="9" t="n"/>
      <c r="AT103" s="8" t="n"/>
      <c r="AU103" s="8" t="n"/>
      <c r="AV103" s="9" t="n"/>
      <c r="AW103" s="8" t="n"/>
      <c r="AX103" s="9" t="n"/>
      <c r="AY103" s="9" t="n"/>
      <c r="AZ103" s="9" t="n"/>
      <c r="BA103" s="9" t="n"/>
      <c r="BB103" s="9" t="n"/>
      <c r="BC103" s="9" t="n"/>
      <c r="BD103" s="9" t="n"/>
      <c r="BE103" s="9" t="n"/>
      <c r="BF103" s="9" t="n"/>
      <c r="BG103" s="9" t="n"/>
      <c r="BH103" s="9" t="n"/>
      <c r="BI103" s="9" t="n"/>
      <c r="BJ103" s="9" t="n"/>
      <c r="BK103" s="9" t="n"/>
      <c r="BL103" s="9" t="n"/>
      <c r="BM103" s="9" t="n"/>
      <c r="BN103" s="9" t="n"/>
      <c r="BO103" s="8" t="n"/>
      <c r="BP103" s="9" t="n"/>
      <c r="BQ103" s="9" t="n"/>
      <c r="BR103" s="12">
        <f>IF(AND(AI103="Y",AK103="Y",AL103="Y",AM103="Y",AY103="Y",AZ103="Y",BA103="Y",BB103="Y",BC103="Y",BE103&lt;&gt;"Y",AX103&lt;&gt;"Y",BL103&lt;&gt;"Y",IF(AS103="Y",AV103="Y",TRUE)),"Y","N")</f>
        <v/>
      </c>
      <c r="BS103" s="12">
        <f>IF(AND(BR103="Y",OR(AND(BJ103="Y",BM103="Y"),AND(BK103="Y",BN103="Y"),AND(BJ103&lt;&gt;"Y",BK103&lt;&gt;"Y",OR(BM103="Y",BN103="Y")))),"Y","N")</f>
        <v/>
      </c>
      <c r="BT103" s="10" t="n"/>
      <c r="BU103" s="13" t="n"/>
      <c r="BV103" s="13" t="n"/>
      <c r="BW103" s="13" t="n"/>
      <c r="BX103" s="13" t="n"/>
      <c r="BY103" s="13" t="n"/>
      <c r="BZ103" s="13" t="n"/>
      <c r="CA103" s="14" t="n"/>
      <c r="CB103" s="13" t="n"/>
      <c r="CC103" s="9" t="n"/>
      <c r="CD103" s="9" t="n"/>
      <c r="CE103" s="9" t="n"/>
      <c r="CF103" s="9" t="n"/>
      <c r="CG103" s="9" t="n"/>
      <c r="CH103" s="9" t="n"/>
    </row>
    <row r="104">
      <c r="A104" s="8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8" t="n"/>
      <c r="L104" s="9" t="n"/>
      <c r="M104" s="8" t="n"/>
      <c r="N104" s="8" t="n"/>
      <c r="O104" s="8" t="n"/>
      <c r="P104" s="8" t="n"/>
      <c r="Q104" s="8" t="n"/>
      <c r="R104" s="9" t="n"/>
      <c r="S104" s="9" t="n"/>
      <c r="T104" s="10" t="n"/>
      <c r="U104" s="10" t="n"/>
      <c r="V104" s="9" t="n"/>
      <c r="W104" s="9" t="n"/>
      <c r="X104" s="9" t="n"/>
      <c r="Y104" s="9" t="n"/>
      <c r="Z104" s="11" t="n"/>
      <c r="AA104" s="11" t="n"/>
      <c r="AB104" s="11" t="n"/>
      <c r="AC104" s="11" t="n"/>
      <c r="AD104" s="11" t="n"/>
      <c r="AE104" s="11" t="n"/>
      <c r="AF104" s="9" t="n"/>
      <c r="AG104" s="9" t="n"/>
      <c r="AH104" s="9" t="n"/>
      <c r="AI104" s="9" t="n"/>
      <c r="AJ104" s="8" t="n"/>
      <c r="AK104" s="9" t="n"/>
      <c r="AL104" s="9" t="n"/>
      <c r="AM104" s="9" t="n"/>
      <c r="AN104" s="9" t="n"/>
      <c r="AO104" s="9" t="n"/>
      <c r="AP104" s="9" t="n"/>
      <c r="AQ104" s="9" t="n"/>
      <c r="AR104" s="9" t="n"/>
      <c r="AS104" s="9" t="n"/>
      <c r="AT104" s="8" t="n"/>
      <c r="AU104" s="8" t="n"/>
      <c r="AV104" s="9" t="n"/>
      <c r="AW104" s="8" t="n"/>
      <c r="AX104" s="9" t="n"/>
      <c r="AY104" s="9" t="n"/>
      <c r="AZ104" s="9" t="n"/>
      <c r="BA104" s="9" t="n"/>
      <c r="BB104" s="9" t="n"/>
      <c r="BC104" s="9" t="n"/>
      <c r="BD104" s="9" t="n"/>
      <c r="BE104" s="9" t="n"/>
      <c r="BF104" s="9" t="n"/>
      <c r="BG104" s="9" t="n"/>
      <c r="BH104" s="9" t="n"/>
      <c r="BI104" s="9" t="n"/>
      <c r="BJ104" s="9" t="n"/>
      <c r="BK104" s="9" t="n"/>
      <c r="BL104" s="9" t="n"/>
      <c r="BM104" s="9" t="n"/>
      <c r="BN104" s="9" t="n"/>
      <c r="BO104" s="8" t="n"/>
      <c r="BP104" s="9" t="n"/>
      <c r="BQ104" s="9" t="n"/>
      <c r="BR104" s="12">
        <f>IF(AND(AI104="Y",AK104="Y",AL104="Y",AM104="Y",AY104="Y",AZ104="Y",BA104="Y",BB104="Y",BC104="Y",BE104&lt;&gt;"Y",AX104&lt;&gt;"Y",BL104&lt;&gt;"Y",IF(AS104="Y",AV104="Y",TRUE)),"Y","N")</f>
        <v/>
      </c>
      <c r="BS104" s="12">
        <f>IF(AND(BR104="Y",OR(AND(BJ104="Y",BM104="Y"),AND(BK104="Y",BN104="Y"),AND(BJ104&lt;&gt;"Y",BK104&lt;&gt;"Y",OR(BM104="Y",BN104="Y")))),"Y","N")</f>
        <v/>
      </c>
      <c r="BT104" s="10" t="n"/>
      <c r="BU104" s="13" t="n"/>
      <c r="BV104" s="13" t="n"/>
      <c r="BW104" s="13" t="n"/>
      <c r="BX104" s="13" t="n"/>
      <c r="BY104" s="13" t="n"/>
      <c r="BZ104" s="13" t="n"/>
      <c r="CA104" s="14" t="n"/>
      <c r="CB104" s="13" t="n"/>
      <c r="CC104" s="9" t="n"/>
      <c r="CD104" s="9" t="n"/>
      <c r="CE104" s="9" t="n"/>
      <c r="CF104" s="9" t="n"/>
      <c r="CG104" s="9" t="n"/>
      <c r="CH104" s="9" t="n"/>
    </row>
    <row r="105">
      <c r="A105" s="8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8" t="n"/>
      <c r="L105" s="9" t="n"/>
      <c r="M105" s="8" t="n"/>
      <c r="N105" s="8" t="n"/>
      <c r="O105" s="8" t="n"/>
      <c r="P105" s="8" t="n"/>
      <c r="Q105" s="8" t="n"/>
      <c r="R105" s="9" t="n"/>
      <c r="S105" s="9" t="n"/>
      <c r="T105" s="10" t="n"/>
      <c r="U105" s="10" t="n"/>
      <c r="V105" s="9" t="n"/>
      <c r="W105" s="9" t="n"/>
      <c r="X105" s="9" t="n"/>
      <c r="Y105" s="9" t="n"/>
      <c r="Z105" s="11" t="n"/>
      <c r="AA105" s="11" t="n"/>
      <c r="AB105" s="11" t="n"/>
      <c r="AC105" s="11" t="n"/>
      <c r="AD105" s="11" t="n"/>
      <c r="AE105" s="11" t="n"/>
      <c r="AF105" s="9" t="n"/>
      <c r="AG105" s="9" t="n"/>
      <c r="AH105" s="9" t="n"/>
      <c r="AI105" s="9" t="n"/>
      <c r="AJ105" s="8" t="n"/>
      <c r="AK105" s="9" t="n"/>
      <c r="AL105" s="9" t="n"/>
      <c r="AM105" s="9" t="n"/>
      <c r="AN105" s="9" t="n"/>
      <c r="AO105" s="9" t="n"/>
      <c r="AP105" s="9" t="n"/>
      <c r="AQ105" s="9" t="n"/>
      <c r="AR105" s="9" t="n"/>
      <c r="AS105" s="9" t="n"/>
      <c r="AT105" s="8" t="n"/>
      <c r="AU105" s="8" t="n"/>
      <c r="AV105" s="9" t="n"/>
      <c r="AW105" s="8" t="n"/>
      <c r="AX105" s="9" t="n"/>
      <c r="AY105" s="9" t="n"/>
      <c r="AZ105" s="9" t="n"/>
      <c r="BA105" s="9" t="n"/>
      <c r="BB105" s="9" t="n"/>
      <c r="BC105" s="9" t="n"/>
      <c r="BD105" s="9" t="n"/>
      <c r="BE105" s="9" t="n"/>
      <c r="BF105" s="9" t="n"/>
      <c r="BG105" s="9" t="n"/>
      <c r="BH105" s="9" t="n"/>
      <c r="BI105" s="9" t="n"/>
      <c r="BJ105" s="9" t="n"/>
      <c r="BK105" s="9" t="n"/>
      <c r="BL105" s="9" t="n"/>
      <c r="BM105" s="9" t="n"/>
      <c r="BN105" s="9" t="n"/>
      <c r="BO105" s="8" t="n"/>
      <c r="BP105" s="9" t="n"/>
      <c r="BQ105" s="9" t="n"/>
      <c r="BR105" s="12">
        <f>IF(AND(AI105="Y",AK105="Y",AL105="Y",AM105="Y",AY105="Y",AZ105="Y",BA105="Y",BB105="Y",BC105="Y",BE105&lt;&gt;"Y",AX105&lt;&gt;"Y",BL105&lt;&gt;"Y",IF(AS105="Y",AV105="Y",TRUE)),"Y","N")</f>
        <v/>
      </c>
      <c r="BS105" s="12">
        <f>IF(AND(BR105="Y",OR(AND(BJ105="Y",BM105="Y"),AND(BK105="Y",BN105="Y"),AND(BJ105&lt;&gt;"Y",BK105&lt;&gt;"Y",OR(BM105="Y",BN105="Y")))),"Y","N")</f>
        <v/>
      </c>
      <c r="BT105" s="10" t="n"/>
      <c r="BU105" s="13" t="n"/>
      <c r="BV105" s="13" t="n"/>
      <c r="BW105" s="13" t="n"/>
      <c r="BX105" s="13" t="n"/>
      <c r="BY105" s="13" t="n"/>
      <c r="BZ105" s="13" t="n"/>
      <c r="CA105" s="14" t="n"/>
      <c r="CB105" s="13" t="n"/>
      <c r="CC105" s="9" t="n"/>
      <c r="CD105" s="9" t="n"/>
      <c r="CE105" s="9" t="n"/>
      <c r="CF105" s="9" t="n"/>
      <c r="CG105" s="9" t="n"/>
      <c r="CH105" s="9" t="n"/>
    </row>
    <row r="106">
      <c r="A106" s="8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8" t="n"/>
      <c r="L106" s="9" t="n"/>
      <c r="M106" s="8" t="n"/>
      <c r="N106" s="8" t="n"/>
      <c r="O106" s="8" t="n"/>
      <c r="P106" s="8" t="n"/>
      <c r="Q106" s="8" t="n"/>
      <c r="R106" s="9" t="n"/>
      <c r="S106" s="9" t="n"/>
      <c r="T106" s="10" t="n"/>
      <c r="U106" s="10" t="n"/>
      <c r="V106" s="9" t="n"/>
      <c r="W106" s="9" t="n"/>
      <c r="X106" s="9" t="n"/>
      <c r="Y106" s="9" t="n"/>
      <c r="Z106" s="11" t="n"/>
      <c r="AA106" s="11" t="n"/>
      <c r="AB106" s="11" t="n"/>
      <c r="AC106" s="11" t="n"/>
      <c r="AD106" s="11" t="n"/>
      <c r="AE106" s="11" t="n"/>
      <c r="AF106" s="9" t="n"/>
      <c r="AG106" s="9" t="n"/>
      <c r="AH106" s="9" t="n"/>
      <c r="AI106" s="9" t="n"/>
      <c r="AJ106" s="8" t="n"/>
      <c r="AK106" s="9" t="n"/>
      <c r="AL106" s="9" t="n"/>
      <c r="AM106" s="9" t="n"/>
      <c r="AN106" s="9" t="n"/>
      <c r="AO106" s="9" t="n"/>
      <c r="AP106" s="9" t="n"/>
      <c r="AQ106" s="9" t="n"/>
      <c r="AR106" s="9" t="n"/>
      <c r="AS106" s="9" t="n"/>
      <c r="AT106" s="8" t="n"/>
      <c r="AU106" s="8" t="n"/>
      <c r="AV106" s="9" t="n"/>
      <c r="AW106" s="8" t="n"/>
      <c r="AX106" s="9" t="n"/>
      <c r="AY106" s="9" t="n"/>
      <c r="AZ106" s="9" t="n"/>
      <c r="BA106" s="9" t="n"/>
      <c r="BB106" s="9" t="n"/>
      <c r="BC106" s="9" t="n"/>
      <c r="BD106" s="9" t="n"/>
      <c r="BE106" s="9" t="n"/>
      <c r="BF106" s="9" t="n"/>
      <c r="BG106" s="9" t="n"/>
      <c r="BH106" s="9" t="n"/>
      <c r="BI106" s="9" t="n"/>
      <c r="BJ106" s="9" t="n"/>
      <c r="BK106" s="9" t="n"/>
      <c r="BL106" s="9" t="n"/>
      <c r="BM106" s="9" t="n"/>
      <c r="BN106" s="9" t="n"/>
      <c r="BO106" s="8" t="n"/>
      <c r="BP106" s="9" t="n"/>
      <c r="BQ106" s="9" t="n"/>
      <c r="BR106" s="12">
        <f>IF(AND(AI106="Y",AK106="Y",AL106="Y",AM106="Y",AY106="Y",AZ106="Y",BA106="Y",BB106="Y",BC106="Y",BE106&lt;&gt;"Y",AX106&lt;&gt;"Y",BL106&lt;&gt;"Y",IF(AS106="Y",AV106="Y",TRUE)),"Y","N")</f>
        <v/>
      </c>
      <c r="BS106" s="12">
        <f>IF(AND(BR106="Y",OR(AND(BJ106="Y",BM106="Y"),AND(BK106="Y",BN106="Y"),AND(BJ106&lt;&gt;"Y",BK106&lt;&gt;"Y",OR(BM106="Y",BN106="Y")))),"Y","N")</f>
        <v/>
      </c>
      <c r="BT106" s="10" t="n"/>
      <c r="BU106" s="13" t="n"/>
      <c r="BV106" s="13" t="n"/>
      <c r="BW106" s="13" t="n"/>
      <c r="BX106" s="13" t="n"/>
      <c r="BY106" s="13" t="n"/>
      <c r="BZ106" s="13" t="n"/>
      <c r="CA106" s="14" t="n"/>
      <c r="CB106" s="13" t="n"/>
      <c r="CC106" s="9" t="n"/>
      <c r="CD106" s="9" t="n"/>
      <c r="CE106" s="9" t="n"/>
      <c r="CF106" s="9" t="n"/>
      <c r="CG106" s="9" t="n"/>
      <c r="CH106" s="9" t="n"/>
    </row>
    <row r="107">
      <c r="A107" s="8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8" t="n"/>
      <c r="L107" s="9" t="n"/>
      <c r="M107" s="8" t="n"/>
      <c r="N107" s="8" t="n"/>
      <c r="O107" s="8" t="n"/>
      <c r="P107" s="8" t="n"/>
      <c r="Q107" s="8" t="n"/>
      <c r="R107" s="9" t="n"/>
      <c r="S107" s="9" t="n"/>
      <c r="T107" s="10" t="n"/>
      <c r="U107" s="10" t="n"/>
      <c r="V107" s="9" t="n"/>
      <c r="W107" s="9" t="n"/>
      <c r="X107" s="9" t="n"/>
      <c r="Y107" s="9" t="n"/>
      <c r="Z107" s="11" t="n"/>
      <c r="AA107" s="11" t="n"/>
      <c r="AB107" s="11" t="n"/>
      <c r="AC107" s="11" t="n"/>
      <c r="AD107" s="11" t="n"/>
      <c r="AE107" s="11" t="n"/>
      <c r="AF107" s="9" t="n"/>
      <c r="AG107" s="9" t="n"/>
      <c r="AH107" s="9" t="n"/>
      <c r="AI107" s="9" t="n"/>
      <c r="AJ107" s="8" t="n"/>
      <c r="AK107" s="9" t="n"/>
      <c r="AL107" s="9" t="n"/>
      <c r="AM107" s="9" t="n"/>
      <c r="AN107" s="9" t="n"/>
      <c r="AO107" s="9" t="n"/>
      <c r="AP107" s="9" t="n"/>
      <c r="AQ107" s="9" t="n"/>
      <c r="AR107" s="9" t="n"/>
      <c r="AS107" s="9" t="n"/>
      <c r="AT107" s="8" t="n"/>
      <c r="AU107" s="8" t="n"/>
      <c r="AV107" s="9" t="n"/>
      <c r="AW107" s="8" t="n"/>
      <c r="AX107" s="9" t="n"/>
      <c r="AY107" s="9" t="n"/>
      <c r="AZ107" s="9" t="n"/>
      <c r="BA107" s="9" t="n"/>
      <c r="BB107" s="9" t="n"/>
      <c r="BC107" s="9" t="n"/>
      <c r="BD107" s="9" t="n"/>
      <c r="BE107" s="9" t="n"/>
      <c r="BF107" s="9" t="n"/>
      <c r="BG107" s="9" t="n"/>
      <c r="BH107" s="9" t="n"/>
      <c r="BI107" s="9" t="n"/>
      <c r="BJ107" s="9" t="n"/>
      <c r="BK107" s="9" t="n"/>
      <c r="BL107" s="9" t="n"/>
      <c r="BM107" s="9" t="n"/>
      <c r="BN107" s="9" t="n"/>
      <c r="BO107" s="8" t="n"/>
      <c r="BP107" s="9" t="n"/>
      <c r="BQ107" s="9" t="n"/>
      <c r="BR107" s="12">
        <f>IF(AND(AI107="Y",AK107="Y",AL107="Y",AM107="Y",AY107="Y",AZ107="Y",BA107="Y",BB107="Y",BC107="Y",BE107&lt;&gt;"Y",AX107&lt;&gt;"Y",BL107&lt;&gt;"Y",IF(AS107="Y",AV107="Y",TRUE)),"Y","N")</f>
        <v/>
      </c>
      <c r="BS107" s="12">
        <f>IF(AND(BR107="Y",OR(AND(BJ107="Y",BM107="Y"),AND(BK107="Y",BN107="Y"),AND(BJ107&lt;&gt;"Y",BK107&lt;&gt;"Y",OR(BM107="Y",BN107="Y")))),"Y","N")</f>
        <v/>
      </c>
      <c r="BT107" s="10" t="n"/>
      <c r="BU107" s="13" t="n"/>
      <c r="BV107" s="13" t="n"/>
      <c r="BW107" s="13" t="n"/>
      <c r="BX107" s="13" t="n"/>
      <c r="BY107" s="13" t="n"/>
      <c r="BZ107" s="13" t="n"/>
      <c r="CA107" s="14" t="n"/>
      <c r="CB107" s="13" t="n"/>
      <c r="CC107" s="9" t="n"/>
      <c r="CD107" s="9" t="n"/>
      <c r="CE107" s="9" t="n"/>
      <c r="CF107" s="9" t="n"/>
      <c r="CG107" s="9" t="n"/>
      <c r="CH107" s="9" t="n"/>
    </row>
    <row r="108">
      <c r="A108" s="8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8" t="n"/>
      <c r="L108" s="9" t="n"/>
      <c r="M108" s="8" t="n"/>
      <c r="N108" s="8" t="n"/>
      <c r="O108" s="8" t="n"/>
      <c r="P108" s="8" t="n"/>
      <c r="Q108" s="8" t="n"/>
      <c r="R108" s="9" t="n"/>
      <c r="S108" s="9" t="n"/>
      <c r="T108" s="10" t="n"/>
      <c r="U108" s="10" t="n"/>
      <c r="V108" s="9" t="n"/>
      <c r="W108" s="9" t="n"/>
      <c r="X108" s="9" t="n"/>
      <c r="Y108" s="9" t="n"/>
      <c r="Z108" s="11" t="n"/>
      <c r="AA108" s="11" t="n"/>
      <c r="AB108" s="11" t="n"/>
      <c r="AC108" s="11" t="n"/>
      <c r="AD108" s="11" t="n"/>
      <c r="AE108" s="11" t="n"/>
      <c r="AF108" s="9" t="n"/>
      <c r="AG108" s="9" t="n"/>
      <c r="AH108" s="9" t="n"/>
      <c r="AI108" s="9" t="n"/>
      <c r="AJ108" s="8" t="n"/>
      <c r="AK108" s="9" t="n"/>
      <c r="AL108" s="9" t="n"/>
      <c r="AM108" s="9" t="n"/>
      <c r="AN108" s="9" t="n"/>
      <c r="AO108" s="9" t="n"/>
      <c r="AP108" s="9" t="n"/>
      <c r="AQ108" s="9" t="n"/>
      <c r="AR108" s="9" t="n"/>
      <c r="AS108" s="9" t="n"/>
      <c r="AT108" s="8" t="n"/>
      <c r="AU108" s="8" t="n"/>
      <c r="AV108" s="9" t="n"/>
      <c r="AW108" s="8" t="n"/>
      <c r="AX108" s="9" t="n"/>
      <c r="AY108" s="9" t="n"/>
      <c r="AZ108" s="9" t="n"/>
      <c r="BA108" s="9" t="n"/>
      <c r="BB108" s="9" t="n"/>
      <c r="BC108" s="9" t="n"/>
      <c r="BD108" s="9" t="n"/>
      <c r="BE108" s="9" t="n"/>
      <c r="BF108" s="9" t="n"/>
      <c r="BG108" s="9" t="n"/>
      <c r="BH108" s="9" t="n"/>
      <c r="BI108" s="9" t="n"/>
      <c r="BJ108" s="9" t="n"/>
      <c r="BK108" s="9" t="n"/>
      <c r="BL108" s="9" t="n"/>
      <c r="BM108" s="9" t="n"/>
      <c r="BN108" s="9" t="n"/>
      <c r="BO108" s="8" t="n"/>
      <c r="BP108" s="9" t="n"/>
      <c r="BQ108" s="9" t="n"/>
      <c r="BR108" s="12">
        <f>IF(AND(AI108="Y",AK108="Y",AL108="Y",AM108="Y",AY108="Y",AZ108="Y",BA108="Y",BB108="Y",BC108="Y",BE108&lt;&gt;"Y",AX108&lt;&gt;"Y",BL108&lt;&gt;"Y",IF(AS108="Y",AV108="Y",TRUE)),"Y","N")</f>
        <v/>
      </c>
      <c r="BS108" s="12">
        <f>IF(AND(BR108="Y",OR(AND(BJ108="Y",BM108="Y"),AND(BK108="Y",BN108="Y"),AND(BJ108&lt;&gt;"Y",BK108&lt;&gt;"Y",OR(BM108="Y",BN108="Y")))),"Y","N")</f>
        <v/>
      </c>
      <c r="BT108" s="10" t="n"/>
      <c r="BU108" s="13" t="n"/>
      <c r="BV108" s="13" t="n"/>
      <c r="BW108" s="13" t="n"/>
      <c r="BX108" s="13" t="n"/>
      <c r="BY108" s="13" t="n"/>
      <c r="BZ108" s="13" t="n"/>
      <c r="CA108" s="14" t="n"/>
      <c r="CB108" s="13" t="n"/>
      <c r="CC108" s="9" t="n"/>
      <c r="CD108" s="9" t="n"/>
      <c r="CE108" s="9" t="n"/>
      <c r="CF108" s="9" t="n"/>
      <c r="CG108" s="9" t="n"/>
      <c r="CH108" s="9" t="n"/>
    </row>
    <row r="109">
      <c r="A109" s="8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8" t="n"/>
      <c r="L109" s="9" t="n"/>
      <c r="M109" s="8" t="n"/>
      <c r="N109" s="8" t="n"/>
      <c r="O109" s="8" t="n"/>
      <c r="P109" s="8" t="n"/>
      <c r="Q109" s="8" t="n"/>
      <c r="R109" s="9" t="n"/>
      <c r="S109" s="9" t="n"/>
      <c r="T109" s="10" t="n"/>
      <c r="U109" s="10" t="n"/>
      <c r="V109" s="9" t="n"/>
      <c r="W109" s="9" t="n"/>
      <c r="X109" s="9" t="n"/>
      <c r="Y109" s="9" t="n"/>
      <c r="Z109" s="11" t="n"/>
      <c r="AA109" s="11" t="n"/>
      <c r="AB109" s="11" t="n"/>
      <c r="AC109" s="11" t="n"/>
      <c r="AD109" s="11" t="n"/>
      <c r="AE109" s="11" t="n"/>
      <c r="AF109" s="9" t="n"/>
      <c r="AG109" s="9" t="n"/>
      <c r="AH109" s="9" t="n"/>
      <c r="AI109" s="9" t="n"/>
      <c r="AJ109" s="8" t="n"/>
      <c r="AK109" s="9" t="n"/>
      <c r="AL109" s="9" t="n"/>
      <c r="AM109" s="9" t="n"/>
      <c r="AN109" s="9" t="n"/>
      <c r="AO109" s="9" t="n"/>
      <c r="AP109" s="9" t="n"/>
      <c r="AQ109" s="9" t="n"/>
      <c r="AR109" s="9" t="n"/>
      <c r="AS109" s="9" t="n"/>
      <c r="AT109" s="8" t="n"/>
      <c r="AU109" s="8" t="n"/>
      <c r="AV109" s="9" t="n"/>
      <c r="AW109" s="8" t="n"/>
      <c r="AX109" s="9" t="n"/>
      <c r="AY109" s="9" t="n"/>
      <c r="AZ109" s="9" t="n"/>
      <c r="BA109" s="9" t="n"/>
      <c r="BB109" s="9" t="n"/>
      <c r="BC109" s="9" t="n"/>
      <c r="BD109" s="9" t="n"/>
      <c r="BE109" s="9" t="n"/>
      <c r="BF109" s="9" t="n"/>
      <c r="BG109" s="9" t="n"/>
      <c r="BH109" s="9" t="n"/>
      <c r="BI109" s="9" t="n"/>
      <c r="BJ109" s="9" t="n"/>
      <c r="BK109" s="9" t="n"/>
      <c r="BL109" s="9" t="n"/>
      <c r="BM109" s="9" t="n"/>
      <c r="BN109" s="9" t="n"/>
      <c r="BO109" s="8" t="n"/>
      <c r="BP109" s="9" t="n"/>
      <c r="BQ109" s="9" t="n"/>
      <c r="BR109" s="12">
        <f>IF(AND(AI109="Y",AK109="Y",AL109="Y",AM109="Y",AY109="Y",AZ109="Y",BA109="Y",BB109="Y",BC109="Y",BE109&lt;&gt;"Y",AX109&lt;&gt;"Y",BL109&lt;&gt;"Y",IF(AS109="Y",AV109="Y",TRUE)),"Y","N")</f>
        <v/>
      </c>
      <c r="BS109" s="12">
        <f>IF(AND(BR109="Y",OR(AND(BJ109="Y",BM109="Y"),AND(BK109="Y",BN109="Y"),AND(BJ109&lt;&gt;"Y",BK109&lt;&gt;"Y",OR(BM109="Y",BN109="Y")))),"Y","N")</f>
        <v/>
      </c>
      <c r="BT109" s="10" t="n"/>
      <c r="BU109" s="13" t="n"/>
      <c r="BV109" s="13" t="n"/>
      <c r="BW109" s="13" t="n"/>
      <c r="BX109" s="13" t="n"/>
      <c r="BY109" s="13" t="n"/>
      <c r="BZ109" s="13" t="n"/>
      <c r="CA109" s="14" t="n"/>
      <c r="CB109" s="13" t="n"/>
      <c r="CC109" s="9" t="n"/>
      <c r="CD109" s="9" t="n"/>
      <c r="CE109" s="9" t="n"/>
      <c r="CF109" s="9" t="n"/>
      <c r="CG109" s="9" t="n"/>
      <c r="CH109" s="9" t="n"/>
    </row>
    <row r="110">
      <c r="A110" s="8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8" t="n"/>
      <c r="L110" s="9" t="n"/>
      <c r="M110" s="8" t="n"/>
      <c r="N110" s="8" t="n"/>
      <c r="O110" s="8" t="n"/>
      <c r="P110" s="8" t="n"/>
      <c r="Q110" s="8" t="n"/>
      <c r="R110" s="9" t="n"/>
      <c r="S110" s="9" t="n"/>
      <c r="T110" s="10" t="n"/>
      <c r="U110" s="10" t="n"/>
      <c r="V110" s="9" t="n"/>
      <c r="W110" s="9" t="n"/>
      <c r="X110" s="9" t="n"/>
      <c r="Y110" s="9" t="n"/>
      <c r="Z110" s="11" t="n"/>
      <c r="AA110" s="11" t="n"/>
      <c r="AB110" s="11" t="n"/>
      <c r="AC110" s="11" t="n"/>
      <c r="AD110" s="11" t="n"/>
      <c r="AE110" s="11" t="n"/>
      <c r="AF110" s="9" t="n"/>
      <c r="AG110" s="9" t="n"/>
      <c r="AH110" s="9" t="n"/>
      <c r="AI110" s="9" t="n"/>
      <c r="AJ110" s="8" t="n"/>
      <c r="AK110" s="9" t="n"/>
      <c r="AL110" s="9" t="n"/>
      <c r="AM110" s="9" t="n"/>
      <c r="AN110" s="9" t="n"/>
      <c r="AO110" s="9" t="n"/>
      <c r="AP110" s="9" t="n"/>
      <c r="AQ110" s="9" t="n"/>
      <c r="AR110" s="9" t="n"/>
      <c r="AS110" s="9" t="n"/>
      <c r="AT110" s="8" t="n"/>
      <c r="AU110" s="8" t="n"/>
      <c r="AV110" s="9" t="n"/>
      <c r="AW110" s="8" t="n"/>
      <c r="AX110" s="9" t="n"/>
      <c r="AY110" s="9" t="n"/>
      <c r="AZ110" s="9" t="n"/>
      <c r="BA110" s="9" t="n"/>
      <c r="BB110" s="9" t="n"/>
      <c r="BC110" s="9" t="n"/>
      <c r="BD110" s="9" t="n"/>
      <c r="BE110" s="9" t="n"/>
      <c r="BF110" s="9" t="n"/>
      <c r="BG110" s="9" t="n"/>
      <c r="BH110" s="9" t="n"/>
      <c r="BI110" s="9" t="n"/>
      <c r="BJ110" s="9" t="n"/>
      <c r="BK110" s="9" t="n"/>
      <c r="BL110" s="9" t="n"/>
      <c r="BM110" s="9" t="n"/>
      <c r="BN110" s="9" t="n"/>
      <c r="BO110" s="8" t="n"/>
      <c r="BP110" s="9" t="n"/>
      <c r="BQ110" s="9" t="n"/>
      <c r="BR110" s="12">
        <f>IF(AND(AI110="Y",AK110="Y",AL110="Y",AM110="Y",AY110="Y",AZ110="Y",BA110="Y",BB110="Y",BC110="Y",BE110&lt;&gt;"Y",AX110&lt;&gt;"Y",BL110&lt;&gt;"Y",IF(AS110="Y",AV110="Y",TRUE)),"Y","N")</f>
        <v/>
      </c>
      <c r="BS110" s="12">
        <f>IF(AND(BR110="Y",OR(AND(BJ110="Y",BM110="Y"),AND(BK110="Y",BN110="Y"),AND(BJ110&lt;&gt;"Y",BK110&lt;&gt;"Y",OR(BM110="Y",BN110="Y")))),"Y","N")</f>
        <v/>
      </c>
      <c r="BT110" s="10" t="n"/>
      <c r="BU110" s="13" t="n"/>
      <c r="BV110" s="13" t="n"/>
      <c r="BW110" s="13" t="n"/>
      <c r="BX110" s="13" t="n"/>
      <c r="BY110" s="13" t="n"/>
      <c r="BZ110" s="13" t="n"/>
      <c r="CA110" s="14" t="n"/>
      <c r="CB110" s="13" t="n"/>
      <c r="CC110" s="9" t="n"/>
      <c r="CD110" s="9" t="n"/>
      <c r="CE110" s="9" t="n"/>
      <c r="CF110" s="9" t="n"/>
      <c r="CG110" s="9" t="n"/>
      <c r="CH110" s="9" t="n"/>
    </row>
    <row r="111">
      <c r="A111" s="8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8" t="n"/>
      <c r="L111" s="9" t="n"/>
      <c r="M111" s="8" t="n"/>
      <c r="N111" s="8" t="n"/>
      <c r="O111" s="8" t="n"/>
      <c r="P111" s="8" t="n"/>
      <c r="Q111" s="8" t="n"/>
      <c r="R111" s="9" t="n"/>
      <c r="S111" s="9" t="n"/>
      <c r="T111" s="10" t="n"/>
      <c r="U111" s="10" t="n"/>
      <c r="V111" s="9" t="n"/>
      <c r="W111" s="9" t="n"/>
      <c r="X111" s="9" t="n"/>
      <c r="Y111" s="9" t="n"/>
      <c r="Z111" s="11" t="n"/>
      <c r="AA111" s="11" t="n"/>
      <c r="AB111" s="11" t="n"/>
      <c r="AC111" s="11" t="n"/>
      <c r="AD111" s="11" t="n"/>
      <c r="AE111" s="11" t="n"/>
      <c r="AF111" s="9" t="n"/>
      <c r="AG111" s="9" t="n"/>
      <c r="AH111" s="9" t="n"/>
      <c r="AI111" s="9" t="n"/>
      <c r="AJ111" s="8" t="n"/>
      <c r="AK111" s="9" t="n"/>
      <c r="AL111" s="9" t="n"/>
      <c r="AM111" s="9" t="n"/>
      <c r="AN111" s="9" t="n"/>
      <c r="AO111" s="9" t="n"/>
      <c r="AP111" s="9" t="n"/>
      <c r="AQ111" s="9" t="n"/>
      <c r="AR111" s="9" t="n"/>
      <c r="AS111" s="9" t="n"/>
      <c r="AT111" s="8" t="n"/>
      <c r="AU111" s="8" t="n"/>
      <c r="AV111" s="9" t="n"/>
      <c r="AW111" s="8" t="n"/>
      <c r="AX111" s="9" t="n"/>
      <c r="AY111" s="9" t="n"/>
      <c r="AZ111" s="9" t="n"/>
      <c r="BA111" s="9" t="n"/>
      <c r="BB111" s="9" t="n"/>
      <c r="BC111" s="9" t="n"/>
      <c r="BD111" s="9" t="n"/>
      <c r="BE111" s="9" t="n"/>
      <c r="BF111" s="9" t="n"/>
      <c r="BG111" s="9" t="n"/>
      <c r="BH111" s="9" t="n"/>
      <c r="BI111" s="9" t="n"/>
      <c r="BJ111" s="9" t="n"/>
      <c r="BK111" s="9" t="n"/>
      <c r="BL111" s="9" t="n"/>
      <c r="BM111" s="9" t="n"/>
      <c r="BN111" s="9" t="n"/>
      <c r="BO111" s="8" t="n"/>
      <c r="BP111" s="9" t="n"/>
      <c r="BQ111" s="9" t="n"/>
      <c r="BR111" s="12">
        <f>IF(AND(AI111="Y",AK111="Y",AL111="Y",AM111="Y",AY111="Y",AZ111="Y",BA111="Y",BB111="Y",BC111="Y",BE111&lt;&gt;"Y",AX111&lt;&gt;"Y",BL111&lt;&gt;"Y",IF(AS111="Y",AV111="Y",TRUE)),"Y","N")</f>
        <v/>
      </c>
      <c r="BS111" s="12">
        <f>IF(AND(BR111="Y",OR(AND(BJ111="Y",BM111="Y"),AND(BK111="Y",BN111="Y"),AND(BJ111&lt;&gt;"Y",BK111&lt;&gt;"Y",OR(BM111="Y",BN111="Y")))),"Y","N")</f>
        <v/>
      </c>
      <c r="BT111" s="10" t="n"/>
      <c r="BU111" s="13" t="n"/>
      <c r="BV111" s="13" t="n"/>
      <c r="BW111" s="13" t="n"/>
      <c r="BX111" s="13" t="n"/>
      <c r="BY111" s="13" t="n"/>
      <c r="BZ111" s="13" t="n"/>
      <c r="CA111" s="14" t="n"/>
      <c r="CB111" s="13" t="n"/>
      <c r="CC111" s="9" t="n"/>
      <c r="CD111" s="9" t="n"/>
      <c r="CE111" s="9" t="n"/>
      <c r="CF111" s="9" t="n"/>
      <c r="CG111" s="9" t="n"/>
      <c r="CH111" s="9" t="n"/>
    </row>
    <row r="112">
      <c r="A112" s="8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8" t="n"/>
      <c r="L112" s="9" t="n"/>
      <c r="M112" s="8" t="n"/>
      <c r="N112" s="8" t="n"/>
      <c r="O112" s="8" t="n"/>
      <c r="P112" s="8" t="n"/>
      <c r="Q112" s="8" t="n"/>
      <c r="R112" s="9" t="n"/>
      <c r="S112" s="9" t="n"/>
      <c r="T112" s="10" t="n"/>
      <c r="U112" s="10" t="n"/>
      <c r="V112" s="9" t="n"/>
      <c r="W112" s="9" t="n"/>
      <c r="X112" s="9" t="n"/>
      <c r="Y112" s="9" t="n"/>
      <c r="Z112" s="11" t="n"/>
      <c r="AA112" s="11" t="n"/>
      <c r="AB112" s="11" t="n"/>
      <c r="AC112" s="11" t="n"/>
      <c r="AD112" s="11" t="n"/>
      <c r="AE112" s="11" t="n"/>
      <c r="AF112" s="9" t="n"/>
      <c r="AG112" s="9" t="n"/>
      <c r="AH112" s="9" t="n"/>
      <c r="AI112" s="9" t="n"/>
      <c r="AJ112" s="8" t="n"/>
      <c r="AK112" s="9" t="n"/>
      <c r="AL112" s="9" t="n"/>
      <c r="AM112" s="9" t="n"/>
      <c r="AN112" s="9" t="n"/>
      <c r="AO112" s="9" t="n"/>
      <c r="AP112" s="9" t="n"/>
      <c r="AQ112" s="9" t="n"/>
      <c r="AR112" s="9" t="n"/>
      <c r="AS112" s="9" t="n"/>
      <c r="AT112" s="8" t="n"/>
      <c r="AU112" s="8" t="n"/>
      <c r="AV112" s="9" t="n"/>
      <c r="AW112" s="8" t="n"/>
      <c r="AX112" s="9" t="n"/>
      <c r="AY112" s="9" t="n"/>
      <c r="AZ112" s="9" t="n"/>
      <c r="BA112" s="9" t="n"/>
      <c r="BB112" s="9" t="n"/>
      <c r="BC112" s="9" t="n"/>
      <c r="BD112" s="9" t="n"/>
      <c r="BE112" s="9" t="n"/>
      <c r="BF112" s="9" t="n"/>
      <c r="BG112" s="9" t="n"/>
      <c r="BH112" s="9" t="n"/>
      <c r="BI112" s="9" t="n"/>
      <c r="BJ112" s="9" t="n"/>
      <c r="BK112" s="9" t="n"/>
      <c r="BL112" s="9" t="n"/>
      <c r="BM112" s="9" t="n"/>
      <c r="BN112" s="9" t="n"/>
      <c r="BO112" s="8" t="n"/>
      <c r="BP112" s="9" t="n"/>
      <c r="BQ112" s="9" t="n"/>
      <c r="BR112" s="12">
        <f>IF(AND(AI112="Y",AK112="Y",AL112="Y",AM112="Y",AY112="Y",AZ112="Y",BA112="Y",BB112="Y",BC112="Y",BE112&lt;&gt;"Y",AX112&lt;&gt;"Y",BL112&lt;&gt;"Y",IF(AS112="Y",AV112="Y",TRUE)),"Y","N")</f>
        <v/>
      </c>
      <c r="BS112" s="12">
        <f>IF(AND(BR112="Y",OR(AND(BJ112="Y",BM112="Y"),AND(BK112="Y",BN112="Y"),AND(BJ112&lt;&gt;"Y",BK112&lt;&gt;"Y",OR(BM112="Y",BN112="Y")))),"Y","N")</f>
        <v/>
      </c>
      <c r="BT112" s="10" t="n"/>
      <c r="BU112" s="13" t="n"/>
      <c r="BV112" s="13" t="n"/>
      <c r="BW112" s="13" t="n"/>
      <c r="BX112" s="13" t="n"/>
      <c r="BY112" s="13" t="n"/>
      <c r="BZ112" s="13" t="n"/>
      <c r="CA112" s="14" t="n"/>
      <c r="CB112" s="13" t="n"/>
      <c r="CC112" s="9" t="n"/>
      <c r="CD112" s="9" t="n"/>
      <c r="CE112" s="9" t="n"/>
      <c r="CF112" s="9" t="n"/>
      <c r="CG112" s="9" t="n"/>
      <c r="CH112" s="9" t="n"/>
    </row>
    <row r="113">
      <c r="A113" s="8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8" t="n"/>
      <c r="L113" s="9" t="n"/>
      <c r="M113" s="8" t="n"/>
      <c r="N113" s="8" t="n"/>
      <c r="O113" s="8" t="n"/>
      <c r="P113" s="8" t="n"/>
      <c r="Q113" s="8" t="n"/>
      <c r="R113" s="9" t="n"/>
      <c r="S113" s="9" t="n"/>
      <c r="T113" s="10" t="n"/>
      <c r="U113" s="10" t="n"/>
      <c r="V113" s="9" t="n"/>
      <c r="W113" s="9" t="n"/>
      <c r="X113" s="9" t="n"/>
      <c r="Y113" s="9" t="n"/>
      <c r="Z113" s="11" t="n"/>
      <c r="AA113" s="11" t="n"/>
      <c r="AB113" s="11" t="n"/>
      <c r="AC113" s="11" t="n"/>
      <c r="AD113" s="11" t="n"/>
      <c r="AE113" s="11" t="n"/>
      <c r="AF113" s="9" t="n"/>
      <c r="AG113" s="9" t="n"/>
      <c r="AH113" s="9" t="n"/>
      <c r="AI113" s="9" t="n"/>
      <c r="AJ113" s="8" t="n"/>
      <c r="AK113" s="9" t="n"/>
      <c r="AL113" s="9" t="n"/>
      <c r="AM113" s="9" t="n"/>
      <c r="AN113" s="9" t="n"/>
      <c r="AO113" s="9" t="n"/>
      <c r="AP113" s="9" t="n"/>
      <c r="AQ113" s="9" t="n"/>
      <c r="AR113" s="9" t="n"/>
      <c r="AS113" s="9" t="n"/>
      <c r="AT113" s="8" t="n"/>
      <c r="AU113" s="8" t="n"/>
      <c r="AV113" s="9" t="n"/>
      <c r="AW113" s="8" t="n"/>
      <c r="AX113" s="9" t="n"/>
      <c r="AY113" s="9" t="n"/>
      <c r="AZ113" s="9" t="n"/>
      <c r="BA113" s="9" t="n"/>
      <c r="BB113" s="9" t="n"/>
      <c r="BC113" s="9" t="n"/>
      <c r="BD113" s="9" t="n"/>
      <c r="BE113" s="9" t="n"/>
      <c r="BF113" s="9" t="n"/>
      <c r="BG113" s="9" t="n"/>
      <c r="BH113" s="9" t="n"/>
      <c r="BI113" s="9" t="n"/>
      <c r="BJ113" s="9" t="n"/>
      <c r="BK113" s="9" t="n"/>
      <c r="BL113" s="9" t="n"/>
      <c r="BM113" s="9" t="n"/>
      <c r="BN113" s="9" t="n"/>
      <c r="BO113" s="8" t="n"/>
      <c r="BP113" s="9" t="n"/>
      <c r="BQ113" s="9" t="n"/>
      <c r="BR113" s="12">
        <f>IF(AND(AI113="Y",AK113="Y",AL113="Y",AM113="Y",AY113="Y",AZ113="Y",BA113="Y",BB113="Y",BC113="Y",BE113&lt;&gt;"Y",AX113&lt;&gt;"Y",BL113&lt;&gt;"Y",IF(AS113="Y",AV113="Y",TRUE)),"Y","N")</f>
        <v/>
      </c>
      <c r="BS113" s="12">
        <f>IF(AND(BR113="Y",OR(AND(BJ113="Y",BM113="Y"),AND(BK113="Y",BN113="Y"),AND(BJ113&lt;&gt;"Y",BK113&lt;&gt;"Y",OR(BM113="Y",BN113="Y")))),"Y","N")</f>
        <v/>
      </c>
      <c r="BT113" s="10" t="n"/>
      <c r="BU113" s="13" t="n"/>
      <c r="BV113" s="13" t="n"/>
      <c r="BW113" s="13" t="n"/>
      <c r="BX113" s="13" t="n"/>
      <c r="BY113" s="13" t="n"/>
      <c r="BZ113" s="13" t="n"/>
      <c r="CA113" s="14" t="n"/>
      <c r="CB113" s="13" t="n"/>
      <c r="CC113" s="9" t="n"/>
      <c r="CD113" s="9" t="n"/>
      <c r="CE113" s="9" t="n"/>
      <c r="CF113" s="9" t="n"/>
      <c r="CG113" s="9" t="n"/>
      <c r="CH113" s="9" t="n"/>
    </row>
    <row r="114">
      <c r="A114" s="8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8" t="n"/>
      <c r="L114" s="9" t="n"/>
      <c r="M114" s="8" t="n"/>
      <c r="N114" s="8" t="n"/>
      <c r="O114" s="8" t="n"/>
      <c r="P114" s="8" t="n"/>
      <c r="Q114" s="8" t="n"/>
      <c r="R114" s="9" t="n"/>
      <c r="S114" s="9" t="n"/>
      <c r="T114" s="10" t="n"/>
      <c r="U114" s="10" t="n"/>
      <c r="V114" s="9" t="n"/>
      <c r="W114" s="9" t="n"/>
      <c r="X114" s="9" t="n"/>
      <c r="Y114" s="9" t="n"/>
      <c r="Z114" s="11" t="n"/>
      <c r="AA114" s="11" t="n"/>
      <c r="AB114" s="11" t="n"/>
      <c r="AC114" s="11" t="n"/>
      <c r="AD114" s="11" t="n"/>
      <c r="AE114" s="11" t="n"/>
      <c r="AF114" s="9" t="n"/>
      <c r="AG114" s="9" t="n"/>
      <c r="AH114" s="9" t="n"/>
      <c r="AI114" s="9" t="n"/>
      <c r="AJ114" s="8" t="n"/>
      <c r="AK114" s="9" t="n"/>
      <c r="AL114" s="9" t="n"/>
      <c r="AM114" s="9" t="n"/>
      <c r="AN114" s="9" t="n"/>
      <c r="AO114" s="9" t="n"/>
      <c r="AP114" s="9" t="n"/>
      <c r="AQ114" s="9" t="n"/>
      <c r="AR114" s="9" t="n"/>
      <c r="AS114" s="9" t="n"/>
      <c r="AT114" s="8" t="n"/>
      <c r="AU114" s="8" t="n"/>
      <c r="AV114" s="9" t="n"/>
      <c r="AW114" s="8" t="n"/>
      <c r="AX114" s="9" t="n"/>
      <c r="AY114" s="9" t="n"/>
      <c r="AZ114" s="9" t="n"/>
      <c r="BA114" s="9" t="n"/>
      <c r="BB114" s="9" t="n"/>
      <c r="BC114" s="9" t="n"/>
      <c r="BD114" s="9" t="n"/>
      <c r="BE114" s="9" t="n"/>
      <c r="BF114" s="9" t="n"/>
      <c r="BG114" s="9" t="n"/>
      <c r="BH114" s="9" t="n"/>
      <c r="BI114" s="9" t="n"/>
      <c r="BJ114" s="9" t="n"/>
      <c r="BK114" s="9" t="n"/>
      <c r="BL114" s="9" t="n"/>
      <c r="BM114" s="9" t="n"/>
      <c r="BN114" s="9" t="n"/>
      <c r="BO114" s="8" t="n"/>
      <c r="BP114" s="9" t="n"/>
      <c r="BQ114" s="9" t="n"/>
      <c r="BR114" s="12">
        <f>IF(AND(AI114="Y",AK114="Y",AL114="Y",AM114="Y",AY114="Y",AZ114="Y",BA114="Y",BB114="Y",BC114="Y",BE114&lt;&gt;"Y",AX114&lt;&gt;"Y",BL114&lt;&gt;"Y",IF(AS114="Y",AV114="Y",TRUE)),"Y","N")</f>
        <v/>
      </c>
      <c r="BS114" s="12">
        <f>IF(AND(BR114="Y",OR(AND(BJ114="Y",BM114="Y"),AND(BK114="Y",BN114="Y"),AND(BJ114&lt;&gt;"Y",BK114&lt;&gt;"Y",OR(BM114="Y",BN114="Y")))),"Y","N")</f>
        <v/>
      </c>
      <c r="BT114" s="10" t="n"/>
      <c r="BU114" s="13" t="n"/>
      <c r="BV114" s="13" t="n"/>
      <c r="BW114" s="13" t="n"/>
      <c r="BX114" s="13" t="n"/>
      <c r="BY114" s="13" t="n"/>
      <c r="BZ114" s="13" t="n"/>
      <c r="CA114" s="14" t="n"/>
      <c r="CB114" s="13" t="n"/>
      <c r="CC114" s="9" t="n"/>
      <c r="CD114" s="9" t="n"/>
      <c r="CE114" s="9" t="n"/>
      <c r="CF114" s="9" t="n"/>
      <c r="CG114" s="9" t="n"/>
      <c r="CH114" s="9" t="n"/>
    </row>
    <row r="115">
      <c r="A115" s="8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8" t="n"/>
      <c r="L115" s="9" t="n"/>
      <c r="M115" s="8" t="n"/>
      <c r="N115" s="8" t="n"/>
      <c r="O115" s="8" t="n"/>
      <c r="P115" s="8" t="n"/>
      <c r="Q115" s="8" t="n"/>
      <c r="R115" s="9" t="n"/>
      <c r="S115" s="9" t="n"/>
      <c r="T115" s="10" t="n"/>
      <c r="U115" s="10" t="n"/>
      <c r="V115" s="9" t="n"/>
      <c r="W115" s="9" t="n"/>
      <c r="X115" s="9" t="n"/>
      <c r="Y115" s="9" t="n"/>
      <c r="Z115" s="11" t="n"/>
      <c r="AA115" s="11" t="n"/>
      <c r="AB115" s="11" t="n"/>
      <c r="AC115" s="11" t="n"/>
      <c r="AD115" s="11" t="n"/>
      <c r="AE115" s="11" t="n"/>
      <c r="AF115" s="9" t="n"/>
      <c r="AG115" s="9" t="n"/>
      <c r="AH115" s="9" t="n"/>
      <c r="AI115" s="9" t="n"/>
      <c r="AJ115" s="8" t="n"/>
      <c r="AK115" s="9" t="n"/>
      <c r="AL115" s="9" t="n"/>
      <c r="AM115" s="9" t="n"/>
      <c r="AN115" s="9" t="n"/>
      <c r="AO115" s="9" t="n"/>
      <c r="AP115" s="9" t="n"/>
      <c r="AQ115" s="9" t="n"/>
      <c r="AR115" s="9" t="n"/>
      <c r="AS115" s="9" t="n"/>
      <c r="AT115" s="8" t="n"/>
      <c r="AU115" s="8" t="n"/>
      <c r="AV115" s="9" t="n"/>
      <c r="AW115" s="8" t="n"/>
      <c r="AX115" s="9" t="n"/>
      <c r="AY115" s="9" t="n"/>
      <c r="AZ115" s="9" t="n"/>
      <c r="BA115" s="9" t="n"/>
      <c r="BB115" s="9" t="n"/>
      <c r="BC115" s="9" t="n"/>
      <c r="BD115" s="9" t="n"/>
      <c r="BE115" s="9" t="n"/>
      <c r="BF115" s="9" t="n"/>
      <c r="BG115" s="9" t="n"/>
      <c r="BH115" s="9" t="n"/>
      <c r="BI115" s="9" t="n"/>
      <c r="BJ115" s="9" t="n"/>
      <c r="BK115" s="9" t="n"/>
      <c r="BL115" s="9" t="n"/>
      <c r="BM115" s="9" t="n"/>
      <c r="BN115" s="9" t="n"/>
      <c r="BO115" s="8" t="n"/>
      <c r="BP115" s="9" t="n"/>
      <c r="BQ115" s="9" t="n"/>
      <c r="BR115" s="12">
        <f>IF(AND(AI115="Y",AK115="Y",AL115="Y",AM115="Y",AY115="Y",AZ115="Y",BA115="Y",BB115="Y",BC115="Y",BE115&lt;&gt;"Y",AX115&lt;&gt;"Y",BL115&lt;&gt;"Y",IF(AS115="Y",AV115="Y",TRUE)),"Y","N")</f>
        <v/>
      </c>
      <c r="BS115" s="12">
        <f>IF(AND(BR115="Y",OR(AND(BJ115="Y",BM115="Y"),AND(BK115="Y",BN115="Y"),AND(BJ115&lt;&gt;"Y",BK115&lt;&gt;"Y",OR(BM115="Y",BN115="Y")))),"Y","N")</f>
        <v/>
      </c>
      <c r="BT115" s="10" t="n"/>
      <c r="BU115" s="13" t="n"/>
      <c r="BV115" s="13" t="n"/>
      <c r="BW115" s="13" t="n"/>
      <c r="BX115" s="13" t="n"/>
      <c r="BY115" s="13" t="n"/>
      <c r="BZ115" s="13" t="n"/>
      <c r="CA115" s="14" t="n"/>
      <c r="CB115" s="13" t="n"/>
      <c r="CC115" s="9" t="n"/>
      <c r="CD115" s="9" t="n"/>
      <c r="CE115" s="9" t="n"/>
      <c r="CF115" s="9" t="n"/>
      <c r="CG115" s="9" t="n"/>
      <c r="CH115" s="9" t="n"/>
    </row>
    <row r="116">
      <c r="A116" s="8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8" t="n"/>
      <c r="L116" s="9" t="n"/>
      <c r="M116" s="8" t="n"/>
      <c r="N116" s="8" t="n"/>
      <c r="O116" s="8" t="n"/>
      <c r="P116" s="8" t="n"/>
      <c r="Q116" s="8" t="n"/>
      <c r="R116" s="9" t="n"/>
      <c r="S116" s="9" t="n"/>
      <c r="T116" s="10" t="n"/>
      <c r="U116" s="10" t="n"/>
      <c r="V116" s="9" t="n"/>
      <c r="W116" s="9" t="n"/>
      <c r="X116" s="9" t="n"/>
      <c r="Y116" s="9" t="n"/>
      <c r="Z116" s="11" t="n"/>
      <c r="AA116" s="11" t="n"/>
      <c r="AB116" s="11" t="n"/>
      <c r="AC116" s="11" t="n"/>
      <c r="AD116" s="11" t="n"/>
      <c r="AE116" s="11" t="n"/>
      <c r="AF116" s="9" t="n"/>
      <c r="AG116" s="9" t="n"/>
      <c r="AH116" s="9" t="n"/>
      <c r="AI116" s="9" t="n"/>
      <c r="AJ116" s="8" t="n"/>
      <c r="AK116" s="9" t="n"/>
      <c r="AL116" s="9" t="n"/>
      <c r="AM116" s="9" t="n"/>
      <c r="AN116" s="9" t="n"/>
      <c r="AO116" s="9" t="n"/>
      <c r="AP116" s="9" t="n"/>
      <c r="AQ116" s="9" t="n"/>
      <c r="AR116" s="9" t="n"/>
      <c r="AS116" s="9" t="n"/>
      <c r="AT116" s="8" t="n"/>
      <c r="AU116" s="8" t="n"/>
      <c r="AV116" s="9" t="n"/>
      <c r="AW116" s="8" t="n"/>
      <c r="AX116" s="9" t="n"/>
      <c r="AY116" s="9" t="n"/>
      <c r="AZ116" s="9" t="n"/>
      <c r="BA116" s="9" t="n"/>
      <c r="BB116" s="9" t="n"/>
      <c r="BC116" s="9" t="n"/>
      <c r="BD116" s="9" t="n"/>
      <c r="BE116" s="9" t="n"/>
      <c r="BF116" s="9" t="n"/>
      <c r="BG116" s="9" t="n"/>
      <c r="BH116" s="9" t="n"/>
      <c r="BI116" s="9" t="n"/>
      <c r="BJ116" s="9" t="n"/>
      <c r="BK116" s="9" t="n"/>
      <c r="BL116" s="9" t="n"/>
      <c r="BM116" s="9" t="n"/>
      <c r="BN116" s="9" t="n"/>
      <c r="BO116" s="8" t="n"/>
      <c r="BP116" s="9" t="n"/>
      <c r="BQ116" s="9" t="n"/>
      <c r="BR116" s="12">
        <f>IF(AND(AI116="Y",AK116="Y",AL116="Y",AM116="Y",AY116="Y",AZ116="Y",BA116="Y",BB116="Y",BC116="Y",BE116&lt;&gt;"Y",AX116&lt;&gt;"Y",BL116&lt;&gt;"Y",IF(AS116="Y",AV116="Y",TRUE)),"Y","N")</f>
        <v/>
      </c>
      <c r="BS116" s="12">
        <f>IF(AND(BR116="Y",OR(AND(BJ116="Y",BM116="Y"),AND(BK116="Y",BN116="Y"),AND(BJ116&lt;&gt;"Y",BK116&lt;&gt;"Y",OR(BM116="Y",BN116="Y")))),"Y","N")</f>
        <v/>
      </c>
      <c r="BT116" s="10" t="n"/>
      <c r="BU116" s="13" t="n"/>
      <c r="BV116" s="13" t="n"/>
      <c r="BW116" s="13" t="n"/>
      <c r="BX116" s="13" t="n"/>
      <c r="BY116" s="13" t="n"/>
      <c r="BZ116" s="13" t="n"/>
      <c r="CA116" s="14" t="n"/>
      <c r="CB116" s="13" t="n"/>
      <c r="CC116" s="9" t="n"/>
      <c r="CD116" s="9" t="n"/>
      <c r="CE116" s="9" t="n"/>
      <c r="CF116" s="9" t="n"/>
      <c r="CG116" s="9" t="n"/>
      <c r="CH116" s="9" t="n"/>
    </row>
    <row r="117">
      <c r="A117" s="8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8" t="n"/>
      <c r="L117" s="9" t="n"/>
      <c r="M117" s="8" t="n"/>
      <c r="N117" s="8" t="n"/>
      <c r="O117" s="8" t="n"/>
      <c r="P117" s="8" t="n"/>
      <c r="Q117" s="8" t="n"/>
      <c r="R117" s="9" t="n"/>
      <c r="S117" s="9" t="n"/>
      <c r="T117" s="10" t="n"/>
      <c r="U117" s="10" t="n"/>
      <c r="V117" s="9" t="n"/>
      <c r="W117" s="9" t="n"/>
      <c r="X117" s="9" t="n"/>
      <c r="Y117" s="9" t="n"/>
      <c r="Z117" s="11" t="n"/>
      <c r="AA117" s="11" t="n"/>
      <c r="AB117" s="11" t="n"/>
      <c r="AC117" s="11" t="n"/>
      <c r="AD117" s="11" t="n"/>
      <c r="AE117" s="11" t="n"/>
      <c r="AF117" s="9" t="n"/>
      <c r="AG117" s="9" t="n"/>
      <c r="AH117" s="9" t="n"/>
      <c r="AI117" s="9" t="n"/>
      <c r="AJ117" s="8" t="n"/>
      <c r="AK117" s="9" t="n"/>
      <c r="AL117" s="9" t="n"/>
      <c r="AM117" s="9" t="n"/>
      <c r="AN117" s="9" t="n"/>
      <c r="AO117" s="9" t="n"/>
      <c r="AP117" s="9" t="n"/>
      <c r="AQ117" s="9" t="n"/>
      <c r="AR117" s="9" t="n"/>
      <c r="AS117" s="9" t="n"/>
      <c r="AT117" s="8" t="n"/>
      <c r="AU117" s="8" t="n"/>
      <c r="AV117" s="9" t="n"/>
      <c r="AW117" s="8" t="n"/>
      <c r="AX117" s="9" t="n"/>
      <c r="AY117" s="9" t="n"/>
      <c r="AZ117" s="9" t="n"/>
      <c r="BA117" s="9" t="n"/>
      <c r="BB117" s="9" t="n"/>
      <c r="BC117" s="9" t="n"/>
      <c r="BD117" s="9" t="n"/>
      <c r="BE117" s="9" t="n"/>
      <c r="BF117" s="9" t="n"/>
      <c r="BG117" s="9" t="n"/>
      <c r="BH117" s="9" t="n"/>
      <c r="BI117" s="9" t="n"/>
      <c r="BJ117" s="9" t="n"/>
      <c r="BK117" s="9" t="n"/>
      <c r="BL117" s="9" t="n"/>
      <c r="BM117" s="9" t="n"/>
      <c r="BN117" s="9" t="n"/>
      <c r="BO117" s="8" t="n"/>
      <c r="BP117" s="9" t="n"/>
      <c r="BQ117" s="9" t="n"/>
      <c r="BR117" s="12">
        <f>IF(AND(AI117="Y",AK117="Y",AL117="Y",AM117="Y",AY117="Y",AZ117="Y",BA117="Y",BB117="Y",BC117="Y",BE117&lt;&gt;"Y",AX117&lt;&gt;"Y",BL117&lt;&gt;"Y",IF(AS117="Y",AV117="Y",TRUE)),"Y","N")</f>
        <v/>
      </c>
      <c r="BS117" s="12">
        <f>IF(AND(BR117="Y",OR(AND(BJ117="Y",BM117="Y"),AND(BK117="Y",BN117="Y"),AND(BJ117&lt;&gt;"Y",BK117&lt;&gt;"Y",OR(BM117="Y",BN117="Y")))),"Y","N")</f>
        <v/>
      </c>
      <c r="BT117" s="10" t="n"/>
      <c r="BU117" s="13" t="n"/>
      <c r="BV117" s="13" t="n"/>
      <c r="BW117" s="13" t="n"/>
      <c r="BX117" s="13" t="n"/>
      <c r="BY117" s="13" t="n"/>
      <c r="BZ117" s="13" t="n"/>
      <c r="CA117" s="14" t="n"/>
      <c r="CB117" s="13" t="n"/>
      <c r="CC117" s="9" t="n"/>
      <c r="CD117" s="9" t="n"/>
      <c r="CE117" s="9" t="n"/>
      <c r="CF117" s="9" t="n"/>
      <c r="CG117" s="9" t="n"/>
      <c r="CH117" s="9" t="n"/>
    </row>
    <row r="118">
      <c r="A118" s="8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8" t="n"/>
      <c r="L118" s="9" t="n"/>
      <c r="M118" s="8" t="n"/>
      <c r="N118" s="8" t="n"/>
      <c r="O118" s="8" t="n"/>
      <c r="P118" s="8" t="n"/>
      <c r="Q118" s="8" t="n"/>
      <c r="R118" s="9" t="n"/>
      <c r="S118" s="9" t="n"/>
      <c r="T118" s="10" t="n"/>
      <c r="U118" s="10" t="n"/>
      <c r="V118" s="9" t="n"/>
      <c r="W118" s="9" t="n"/>
      <c r="X118" s="9" t="n"/>
      <c r="Y118" s="9" t="n"/>
      <c r="Z118" s="11" t="n"/>
      <c r="AA118" s="11" t="n"/>
      <c r="AB118" s="11" t="n"/>
      <c r="AC118" s="11" t="n"/>
      <c r="AD118" s="11" t="n"/>
      <c r="AE118" s="11" t="n"/>
      <c r="AF118" s="9" t="n"/>
      <c r="AG118" s="9" t="n"/>
      <c r="AH118" s="9" t="n"/>
      <c r="AI118" s="9" t="n"/>
      <c r="AJ118" s="8" t="n"/>
      <c r="AK118" s="9" t="n"/>
      <c r="AL118" s="9" t="n"/>
      <c r="AM118" s="9" t="n"/>
      <c r="AN118" s="9" t="n"/>
      <c r="AO118" s="9" t="n"/>
      <c r="AP118" s="9" t="n"/>
      <c r="AQ118" s="9" t="n"/>
      <c r="AR118" s="9" t="n"/>
      <c r="AS118" s="9" t="n"/>
      <c r="AT118" s="8" t="n"/>
      <c r="AU118" s="8" t="n"/>
      <c r="AV118" s="9" t="n"/>
      <c r="AW118" s="8" t="n"/>
      <c r="AX118" s="9" t="n"/>
      <c r="AY118" s="9" t="n"/>
      <c r="AZ118" s="9" t="n"/>
      <c r="BA118" s="9" t="n"/>
      <c r="BB118" s="9" t="n"/>
      <c r="BC118" s="9" t="n"/>
      <c r="BD118" s="9" t="n"/>
      <c r="BE118" s="9" t="n"/>
      <c r="BF118" s="9" t="n"/>
      <c r="BG118" s="9" t="n"/>
      <c r="BH118" s="9" t="n"/>
      <c r="BI118" s="9" t="n"/>
      <c r="BJ118" s="9" t="n"/>
      <c r="BK118" s="9" t="n"/>
      <c r="BL118" s="9" t="n"/>
      <c r="BM118" s="9" t="n"/>
      <c r="BN118" s="9" t="n"/>
      <c r="BO118" s="8" t="n"/>
      <c r="BP118" s="9" t="n"/>
      <c r="BQ118" s="9" t="n"/>
      <c r="BR118" s="12">
        <f>IF(AND(AI118="Y",AK118="Y",AL118="Y",AM118="Y",AY118="Y",AZ118="Y",BA118="Y",BB118="Y",BC118="Y",BE118&lt;&gt;"Y",AX118&lt;&gt;"Y",BL118&lt;&gt;"Y",IF(AS118="Y",AV118="Y",TRUE)),"Y","N")</f>
        <v/>
      </c>
      <c r="BS118" s="12">
        <f>IF(AND(BR118="Y",OR(AND(BJ118="Y",BM118="Y"),AND(BK118="Y",BN118="Y"),AND(BJ118&lt;&gt;"Y",BK118&lt;&gt;"Y",OR(BM118="Y",BN118="Y")))),"Y","N")</f>
        <v/>
      </c>
      <c r="BT118" s="10" t="n"/>
      <c r="BU118" s="13" t="n"/>
      <c r="BV118" s="13" t="n"/>
      <c r="BW118" s="13" t="n"/>
      <c r="BX118" s="13" t="n"/>
      <c r="BY118" s="13" t="n"/>
      <c r="BZ118" s="13" t="n"/>
      <c r="CA118" s="14" t="n"/>
      <c r="CB118" s="13" t="n"/>
      <c r="CC118" s="9" t="n"/>
      <c r="CD118" s="9" t="n"/>
      <c r="CE118" s="9" t="n"/>
      <c r="CF118" s="9" t="n"/>
      <c r="CG118" s="9" t="n"/>
      <c r="CH118" s="9" t="n"/>
    </row>
    <row r="119">
      <c r="A119" s="8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8" t="n"/>
      <c r="L119" s="9" t="n"/>
      <c r="M119" s="8" t="n"/>
      <c r="N119" s="8" t="n"/>
      <c r="O119" s="8" t="n"/>
      <c r="P119" s="8" t="n"/>
      <c r="Q119" s="8" t="n"/>
      <c r="R119" s="9" t="n"/>
      <c r="S119" s="9" t="n"/>
      <c r="T119" s="10" t="n"/>
      <c r="U119" s="10" t="n"/>
      <c r="V119" s="9" t="n"/>
      <c r="W119" s="9" t="n"/>
      <c r="X119" s="9" t="n"/>
      <c r="Y119" s="9" t="n"/>
      <c r="Z119" s="11" t="n"/>
      <c r="AA119" s="11" t="n"/>
      <c r="AB119" s="11" t="n"/>
      <c r="AC119" s="11" t="n"/>
      <c r="AD119" s="11" t="n"/>
      <c r="AE119" s="11" t="n"/>
      <c r="AF119" s="9" t="n"/>
      <c r="AG119" s="9" t="n"/>
      <c r="AH119" s="9" t="n"/>
      <c r="AI119" s="9" t="n"/>
      <c r="AJ119" s="8" t="n"/>
      <c r="AK119" s="9" t="n"/>
      <c r="AL119" s="9" t="n"/>
      <c r="AM119" s="9" t="n"/>
      <c r="AN119" s="9" t="n"/>
      <c r="AO119" s="9" t="n"/>
      <c r="AP119" s="9" t="n"/>
      <c r="AQ119" s="9" t="n"/>
      <c r="AR119" s="9" t="n"/>
      <c r="AS119" s="9" t="n"/>
      <c r="AT119" s="8" t="n"/>
      <c r="AU119" s="8" t="n"/>
      <c r="AV119" s="9" t="n"/>
      <c r="AW119" s="8" t="n"/>
      <c r="AX119" s="9" t="n"/>
      <c r="AY119" s="9" t="n"/>
      <c r="AZ119" s="9" t="n"/>
      <c r="BA119" s="9" t="n"/>
      <c r="BB119" s="9" t="n"/>
      <c r="BC119" s="9" t="n"/>
      <c r="BD119" s="9" t="n"/>
      <c r="BE119" s="9" t="n"/>
      <c r="BF119" s="9" t="n"/>
      <c r="BG119" s="9" t="n"/>
      <c r="BH119" s="9" t="n"/>
      <c r="BI119" s="9" t="n"/>
      <c r="BJ119" s="9" t="n"/>
      <c r="BK119" s="9" t="n"/>
      <c r="BL119" s="9" t="n"/>
      <c r="BM119" s="9" t="n"/>
      <c r="BN119" s="9" t="n"/>
      <c r="BO119" s="8" t="n"/>
      <c r="BP119" s="9" t="n"/>
      <c r="BQ119" s="9" t="n"/>
      <c r="BR119" s="12">
        <f>IF(AND(AI119="Y",AK119="Y",AL119="Y",AM119="Y",AY119="Y",AZ119="Y",BA119="Y",BB119="Y",BC119="Y",BE119&lt;&gt;"Y",AX119&lt;&gt;"Y",BL119&lt;&gt;"Y",IF(AS119="Y",AV119="Y",TRUE)),"Y","N")</f>
        <v/>
      </c>
      <c r="BS119" s="12">
        <f>IF(AND(BR119="Y",OR(AND(BJ119="Y",BM119="Y"),AND(BK119="Y",BN119="Y"),AND(BJ119&lt;&gt;"Y",BK119&lt;&gt;"Y",OR(BM119="Y",BN119="Y")))),"Y","N")</f>
        <v/>
      </c>
      <c r="BT119" s="10" t="n"/>
      <c r="BU119" s="13" t="n"/>
      <c r="BV119" s="13" t="n"/>
      <c r="BW119" s="13" t="n"/>
      <c r="BX119" s="13" t="n"/>
      <c r="BY119" s="13" t="n"/>
      <c r="BZ119" s="13" t="n"/>
      <c r="CA119" s="14" t="n"/>
      <c r="CB119" s="13" t="n"/>
      <c r="CC119" s="9" t="n"/>
      <c r="CD119" s="9" t="n"/>
      <c r="CE119" s="9" t="n"/>
      <c r="CF119" s="9" t="n"/>
      <c r="CG119" s="9" t="n"/>
      <c r="CH119" s="9" t="n"/>
    </row>
    <row r="120">
      <c r="A120" s="8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8" t="n"/>
      <c r="L120" s="9" t="n"/>
      <c r="M120" s="8" t="n"/>
      <c r="N120" s="8" t="n"/>
      <c r="O120" s="8" t="n"/>
      <c r="P120" s="8" t="n"/>
      <c r="Q120" s="8" t="n"/>
      <c r="R120" s="9" t="n"/>
      <c r="S120" s="9" t="n"/>
      <c r="T120" s="10" t="n"/>
      <c r="U120" s="10" t="n"/>
      <c r="V120" s="9" t="n"/>
      <c r="W120" s="9" t="n"/>
      <c r="X120" s="9" t="n"/>
      <c r="Y120" s="9" t="n"/>
      <c r="Z120" s="11" t="n"/>
      <c r="AA120" s="11" t="n"/>
      <c r="AB120" s="11" t="n"/>
      <c r="AC120" s="11" t="n"/>
      <c r="AD120" s="11" t="n"/>
      <c r="AE120" s="11" t="n"/>
      <c r="AF120" s="9" t="n"/>
      <c r="AG120" s="9" t="n"/>
      <c r="AH120" s="9" t="n"/>
      <c r="AI120" s="9" t="n"/>
      <c r="AJ120" s="8" t="n"/>
      <c r="AK120" s="9" t="n"/>
      <c r="AL120" s="9" t="n"/>
      <c r="AM120" s="9" t="n"/>
      <c r="AN120" s="9" t="n"/>
      <c r="AO120" s="9" t="n"/>
      <c r="AP120" s="9" t="n"/>
      <c r="AQ120" s="9" t="n"/>
      <c r="AR120" s="9" t="n"/>
      <c r="AS120" s="9" t="n"/>
      <c r="AT120" s="8" t="n"/>
      <c r="AU120" s="8" t="n"/>
      <c r="AV120" s="9" t="n"/>
      <c r="AW120" s="8" t="n"/>
      <c r="AX120" s="9" t="n"/>
      <c r="AY120" s="9" t="n"/>
      <c r="AZ120" s="9" t="n"/>
      <c r="BA120" s="9" t="n"/>
      <c r="BB120" s="9" t="n"/>
      <c r="BC120" s="9" t="n"/>
      <c r="BD120" s="9" t="n"/>
      <c r="BE120" s="9" t="n"/>
      <c r="BF120" s="9" t="n"/>
      <c r="BG120" s="9" t="n"/>
      <c r="BH120" s="9" t="n"/>
      <c r="BI120" s="9" t="n"/>
      <c r="BJ120" s="9" t="n"/>
      <c r="BK120" s="9" t="n"/>
      <c r="BL120" s="9" t="n"/>
      <c r="BM120" s="9" t="n"/>
      <c r="BN120" s="9" t="n"/>
      <c r="BO120" s="8" t="n"/>
      <c r="BP120" s="9" t="n"/>
      <c r="BQ120" s="9" t="n"/>
      <c r="BR120" s="12">
        <f>IF(AND(AI120="Y",AK120="Y",AL120="Y",AM120="Y",AY120="Y",AZ120="Y",BA120="Y",BB120="Y",BC120="Y",BE120&lt;&gt;"Y",AX120&lt;&gt;"Y",BL120&lt;&gt;"Y",IF(AS120="Y",AV120="Y",TRUE)),"Y","N")</f>
        <v/>
      </c>
      <c r="BS120" s="12">
        <f>IF(AND(BR120="Y",OR(AND(BJ120="Y",BM120="Y"),AND(BK120="Y",BN120="Y"),AND(BJ120&lt;&gt;"Y",BK120&lt;&gt;"Y",OR(BM120="Y",BN120="Y")))),"Y","N")</f>
        <v/>
      </c>
      <c r="BT120" s="10" t="n"/>
      <c r="BU120" s="13" t="n"/>
      <c r="BV120" s="13" t="n"/>
      <c r="BW120" s="13" t="n"/>
      <c r="BX120" s="13" t="n"/>
      <c r="BY120" s="13" t="n"/>
      <c r="BZ120" s="13" t="n"/>
      <c r="CA120" s="14" t="n"/>
      <c r="CB120" s="13" t="n"/>
      <c r="CC120" s="9" t="n"/>
      <c r="CD120" s="9" t="n"/>
      <c r="CE120" s="9" t="n"/>
      <c r="CF120" s="9" t="n"/>
      <c r="CG120" s="9" t="n"/>
      <c r="CH120" s="9" t="n"/>
    </row>
    <row r="121">
      <c r="A121" s="8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8" t="n"/>
      <c r="L121" s="9" t="n"/>
      <c r="M121" s="8" t="n"/>
      <c r="N121" s="8" t="n"/>
      <c r="O121" s="8" t="n"/>
      <c r="P121" s="8" t="n"/>
      <c r="Q121" s="8" t="n"/>
      <c r="R121" s="9" t="n"/>
      <c r="S121" s="9" t="n"/>
      <c r="T121" s="10" t="n"/>
      <c r="U121" s="10" t="n"/>
      <c r="V121" s="9" t="n"/>
      <c r="W121" s="9" t="n"/>
      <c r="X121" s="9" t="n"/>
      <c r="Y121" s="9" t="n"/>
      <c r="Z121" s="11" t="n"/>
      <c r="AA121" s="11" t="n"/>
      <c r="AB121" s="11" t="n"/>
      <c r="AC121" s="11" t="n"/>
      <c r="AD121" s="11" t="n"/>
      <c r="AE121" s="11" t="n"/>
      <c r="AF121" s="9" t="n"/>
      <c r="AG121" s="9" t="n"/>
      <c r="AH121" s="9" t="n"/>
      <c r="AI121" s="9" t="n"/>
      <c r="AJ121" s="8" t="n"/>
      <c r="AK121" s="9" t="n"/>
      <c r="AL121" s="9" t="n"/>
      <c r="AM121" s="9" t="n"/>
      <c r="AN121" s="9" t="n"/>
      <c r="AO121" s="9" t="n"/>
      <c r="AP121" s="9" t="n"/>
      <c r="AQ121" s="9" t="n"/>
      <c r="AR121" s="9" t="n"/>
      <c r="AS121" s="9" t="n"/>
      <c r="AT121" s="8" t="n"/>
      <c r="AU121" s="8" t="n"/>
      <c r="AV121" s="9" t="n"/>
      <c r="AW121" s="8" t="n"/>
      <c r="AX121" s="9" t="n"/>
      <c r="AY121" s="9" t="n"/>
      <c r="AZ121" s="9" t="n"/>
      <c r="BA121" s="9" t="n"/>
      <c r="BB121" s="9" t="n"/>
      <c r="BC121" s="9" t="n"/>
      <c r="BD121" s="9" t="n"/>
      <c r="BE121" s="9" t="n"/>
      <c r="BF121" s="9" t="n"/>
      <c r="BG121" s="9" t="n"/>
      <c r="BH121" s="9" t="n"/>
      <c r="BI121" s="9" t="n"/>
      <c r="BJ121" s="9" t="n"/>
      <c r="BK121" s="9" t="n"/>
      <c r="BL121" s="9" t="n"/>
      <c r="BM121" s="9" t="n"/>
      <c r="BN121" s="9" t="n"/>
      <c r="BO121" s="8" t="n"/>
      <c r="BP121" s="9" t="n"/>
      <c r="BQ121" s="9" t="n"/>
      <c r="BR121" s="12">
        <f>IF(AND(AI121="Y",AK121="Y",AL121="Y",AM121="Y",AY121="Y",AZ121="Y",BA121="Y",BB121="Y",BC121="Y",BE121&lt;&gt;"Y",AX121&lt;&gt;"Y",BL121&lt;&gt;"Y",IF(AS121="Y",AV121="Y",TRUE)),"Y","N")</f>
        <v/>
      </c>
      <c r="BS121" s="12">
        <f>IF(AND(BR121="Y",OR(AND(BJ121="Y",BM121="Y"),AND(BK121="Y",BN121="Y"),AND(BJ121&lt;&gt;"Y",BK121&lt;&gt;"Y",OR(BM121="Y",BN121="Y")))),"Y","N")</f>
        <v/>
      </c>
      <c r="BT121" s="10" t="n"/>
      <c r="BU121" s="13" t="n"/>
      <c r="BV121" s="13" t="n"/>
      <c r="BW121" s="13" t="n"/>
      <c r="BX121" s="13" t="n"/>
      <c r="BY121" s="13" t="n"/>
      <c r="BZ121" s="13" t="n"/>
      <c r="CA121" s="14" t="n"/>
      <c r="CB121" s="13" t="n"/>
      <c r="CC121" s="9" t="n"/>
      <c r="CD121" s="9" t="n"/>
      <c r="CE121" s="9" t="n"/>
      <c r="CF121" s="9" t="n"/>
      <c r="CG121" s="9" t="n"/>
      <c r="CH121" s="9" t="n"/>
    </row>
    <row r="122">
      <c r="A122" s="8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8" t="n"/>
      <c r="L122" s="9" t="n"/>
      <c r="M122" s="8" t="n"/>
      <c r="N122" s="8" t="n"/>
      <c r="O122" s="8" t="n"/>
      <c r="P122" s="8" t="n"/>
      <c r="Q122" s="8" t="n"/>
      <c r="R122" s="9" t="n"/>
      <c r="S122" s="9" t="n"/>
      <c r="T122" s="10" t="n"/>
      <c r="U122" s="10" t="n"/>
      <c r="V122" s="9" t="n"/>
      <c r="W122" s="9" t="n"/>
      <c r="X122" s="9" t="n"/>
      <c r="Y122" s="9" t="n"/>
      <c r="Z122" s="11" t="n"/>
      <c r="AA122" s="11" t="n"/>
      <c r="AB122" s="11" t="n"/>
      <c r="AC122" s="11" t="n"/>
      <c r="AD122" s="11" t="n"/>
      <c r="AE122" s="11" t="n"/>
      <c r="AF122" s="9" t="n"/>
      <c r="AG122" s="9" t="n"/>
      <c r="AH122" s="9" t="n"/>
      <c r="AI122" s="9" t="n"/>
      <c r="AJ122" s="8" t="n"/>
      <c r="AK122" s="9" t="n"/>
      <c r="AL122" s="9" t="n"/>
      <c r="AM122" s="9" t="n"/>
      <c r="AN122" s="9" t="n"/>
      <c r="AO122" s="9" t="n"/>
      <c r="AP122" s="9" t="n"/>
      <c r="AQ122" s="9" t="n"/>
      <c r="AR122" s="9" t="n"/>
      <c r="AS122" s="9" t="n"/>
      <c r="AT122" s="8" t="n"/>
      <c r="AU122" s="8" t="n"/>
      <c r="AV122" s="9" t="n"/>
      <c r="AW122" s="8" t="n"/>
      <c r="AX122" s="9" t="n"/>
      <c r="AY122" s="9" t="n"/>
      <c r="AZ122" s="9" t="n"/>
      <c r="BA122" s="9" t="n"/>
      <c r="BB122" s="9" t="n"/>
      <c r="BC122" s="9" t="n"/>
      <c r="BD122" s="9" t="n"/>
      <c r="BE122" s="9" t="n"/>
      <c r="BF122" s="9" t="n"/>
      <c r="BG122" s="9" t="n"/>
      <c r="BH122" s="9" t="n"/>
      <c r="BI122" s="9" t="n"/>
      <c r="BJ122" s="9" t="n"/>
      <c r="BK122" s="9" t="n"/>
      <c r="BL122" s="9" t="n"/>
      <c r="BM122" s="9" t="n"/>
      <c r="BN122" s="9" t="n"/>
      <c r="BO122" s="8" t="n"/>
      <c r="BP122" s="9" t="n"/>
      <c r="BQ122" s="9" t="n"/>
      <c r="BR122" s="12">
        <f>IF(AND(AI122="Y",AK122="Y",AL122="Y",AM122="Y",AY122="Y",AZ122="Y",BA122="Y",BB122="Y",BC122="Y",BE122&lt;&gt;"Y",AX122&lt;&gt;"Y",BL122&lt;&gt;"Y",IF(AS122="Y",AV122="Y",TRUE)),"Y","N")</f>
        <v/>
      </c>
      <c r="BS122" s="12">
        <f>IF(AND(BR122="Y",OR(AND(BJ122="Y",BM122="Y"),AND(BK122="Y",BN122="Y"),AND(BJ122&lt;&gt;"Y",BK122&lt;&gt;"Y",OR(BM122="Y",BN122="Y")))),"Y","N")</f>
        <v/>
      </c>
      <c r="BT122" s="10" t="n"/>
      <c r="BU122" s="13" t="n"/>
      <c r="BV122" s="13" t="n"/>
      <c r="BW122" s="13" t="n"/>
      <c r="BX122" s="13" t="n"/>
      <c r="BY122" s="13" t="n"/>
      <c r="BZ122" s="13" t="n"/>
      <c r="CA122" s="14" t="n"/>
      <c r="CB122" s="13" t="n"/>
      <c r="CC122" s="9" t="n"/>
      <c r="CD122" s="9" t="n"/>
      <c r="CE122" s="9" t="n"/>
      <c r="CF122" s="9" t="n"/>
      <c r="CG122" s="9" t="n"/>
      <c r="CH122" s="9" t="n"/>
    </row>
    <row r="123">
      <c r="A123" s="8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8" t="n"/>
      <c r="L123" s="9" t="n"/>
      <c r="M123" s="8" t="n"/>
      <c r="N123" s="8" t="n"/>
      <c r="O123" s="8" t="n"/>
      <c r="P123" s="8" t="n"/>
      <c r="Q123" s="8" t="n"/>
      <c r="R123" s="9" t="n"/>
      <c r="S123" s="9" t="n"/>
      <c r="T123" s="10" t="n"/>
      <c r="U123" s="10" t="n"/>
      <c r="V123" s="9" t="n"/>
      <c r="W123" s="9" t="n"/>
      <c r="X123" s="9" t="n"/>
      <c r="Y123" s="9" t="n"/>
      <c r="Z123" s="11" t="n"/>
      <c r="AA123" s="11" t="n"/>
      <c r="AB123" s="11" t="n"/>
      <c r="AC123" s="11" t="n"/>
      <c r="AD123" s="11" t="n"/>
      <c r="AE123" s="11" t="n"/>
      <c r="AF123" s="9" t="n"/>
      <c r="AG123" s="9" t="n"/>
      <c r="AH123" s="9" t="n"/>
      <c r="AI123" s="9" t="n"/>
      <c r="AJ123" s="8" t="n"/>
      <c r="AK123" s="9" t="n"/>
      <c r="AL123" s="9" t="n"/>
      <c r="AM123" s="9" t="n"/>
      <c r="AN123" s="9" t="n"/>
      <c r="AO123" s="9" t="n"/>
      <c r="AP123" s="9" t="n"/>
      <c r="AQ123" s="9" t="n"/>
      <c r="AR123" s="9" t="n"/>
      <c r="AS123" s="9" t="n"/>
      <c r="AT123" s="8" t="n"/>
      <c r="AU123" s="8" t="n"/>
      <c r="AV123" s="9" t="n"/>
      <c r="AW123" s="8" t="n"/>
      <c r="AX123" s="9" t="n"/>
      <c r="AY123" s="9" t="n"/>
      <c r="AZ123" s="9" t="n"/>
      <c r="BA123" s="9" t="n"/>
      <c r="BB123" s="9" t="n"/>
      <c r="BC123" s="9" t="n"/>
      <c r="BD123" s="9" t="n"/>
      <c r="BE123" s="9" t="n"/>
      <c r="BF123" s="9" t="n"/>
      <c r="BG123" s="9" t="n"/>
      <c r="BH123" s="9" t="n"/>
      <c r="BI123" s="9" t="n"/>
      <c r="BJ123" s="9" t="n"/>
      <c r="BK123" s="9" t="n"/>
      <c r="BL123" s="9" t="n"/>
      <c r="BM123" s="9" t="n"/>
      <c r="BN123" s="9" t="n"/>
      <c r="BO123" s="8" t="n"/>
      <c r="BP123" s="9" t="n"/>
      <c r="BQ123" s="9" t="n"/>
      <c r="BR123" s="12">
        <f>IF(AND(AI123="Y",AK123="Y",AL123="Y",AM123="Y",AY123="Y",AZ123="Y",BA123="Y",BB123="Y",BC123="Y",BE123&lt;&gt;"Y",AX123&lt;&gt;"Y",BL123&lt;&gt;"Y",IF(AS123="Y",AV123="Y",TRUE)),"Y","N")</f>
        <v/>
      </c>
      <c r="BS123" s="12">
        <f>IF(AND(BR123="Y",OR(AND(BJ123="Y",BM123="Y"),AND(BK123="Y",BN123="Y"),AND(BJ123&lt;&gt;"Y",BK123&lt;&gt;"Y",OR(BM123="Y",BN123="Y")))),"Y","N")</f>
        <v/>
      </c>
      <c r="BT123" s="10" t="n"/>
      <c r="BU123" s="13" t="n"/>
      <c r="BV123" s="13" t="n"/>
      <c r="BW123" s="13" t="n"/>
      <c r="BX123" s="13" t="n"/>
      <c r="BY123" s="13" t="n"/>
      <c r="BZ123" s="13" t="n"/>
      <c r="CA123" s="14" t="n"/>
      <c r="CB123" s="13" t="n"/>
      <c r="CC123" s="9" t="n"/>
      <c r="CD123" s="9" t="n"/>
      <c r="CE123" s="9" t="n"/>
      <c r="CF123" s="9" t="n"/>
      <c r="CG123" s="9" t="n"/>
      <c r="CH123" s="9" t="n"/>
    </row>
    <row r="124">
      <c r="A124" s="8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8" t="n"/>
      <c r="L124" s="9" t="n"/>
      <c r="M124" s="8" t="n"/>
      <c r="N124" s="8" t="n"/>
      <c r="O124" s="8" t="n"/>
      <c r="P124" s="8" t="n"/>
      <c r="Q124" s="8" t="n"/>
      <c r="R124" s="9" t="n"/>
      <c r="S124" s="9" t="n"/>
      <c r="T124" s="10" t="n"/>
      <c r="U124" s="10" t="n"/>
      <c r="V124" s="9" t="n"/>
      <c r="W124" s="9" t="n"/>
      <c r="X124" s="9" t="n"/>
      <c r="Y124" s="9" t="n"/>
      <c r="Z124" s="11" t="n"/>
      <c r="AA124" s="11" t="n"/>
      <c r="AB124" s="11" t="n"/>
      <c r="AC124" s="11" t="n"/>
      <c r="AD124" s="11" t="n"/>
      <c r="AE124" s="11" t="n"/>
      <c r="AF124" s="9" t="n"/>
      <c r="AG124" s="9" t="n"/>
      <c r="AH124" s="9" t="n"/>
      <c r="AI124" s="9" t="n"/>
      <c r="AJ124" s="8" t="n"/>
      <c r="AK124" s="9" t="n"/>
      <c r="AL124" s="9" t="n"/>
      <c r="AM124" s="9" t="n"/>
      <c r="AN124" s="9" t="n"/>
      <c r="AO124" s="9" t="n"/>
      <c r="AP124" s="9" t="n"/>
      <c r="AQ124" s="9" t="n"/>
      <c r="AR124" s="9" t="n"/>
      <c r="AS124" s="9" t="n"/>
      <c r="AT124" s="8" t="n"/>
      <c r="AU124" s="8" t="n"/>
      <c r="AV124" s="9" t="n"/>
      <c r="AW124" s="8" t="n"/>
      <c r="AX124" s="9" t="n"/>
      <c r="AY124" s="9" t="n"/>
      <c r="AZ124" s="9" t="n"/>
      <c r="BA124" s="9" t="n"/>
      <c r="BB124" s="9" t="n"/>
      <c r="BC124" s="9" t="n"/>
      <c r="BD124" s="9" t="n"/>
      <c r="BE124" s="9" t="n"/>
      <c r="BF124" s="9" t="n"/>
      <c r="BG124" s="9" t="n"/>
      <c r="BH124" s="9" t="n"/>
      <c r="BI124" s="9" t="n"/>
      <c r="BJ124" s="9" t="n"/>
      <c r="BK124" s="9" t="n"/>
      <c r="BL124" s="9" t="n"/>
      <c r="BM124" s="9" t="n"/>
      <c r="BN124" s="9" t="n"/>
      <c r="BO124" s="8" t="n"/>
      <c r="BP124" s="9" t="n"/>
      <c r="BQ124" s="9" t="n"/>
      <c r="BR124" s="12">
        <f>IF(AND(AI124="Y",AK124="Y",AL124="Y",AM124="Y",AY124="Y",AZ124="Y",BA124="Y",BB124="Y",BC124="Y",BE124&lt;&gt;"Y",AX124&lt;&gt;"Y",BL124&lt;&gt;"Y",IF(AS124="Y",AV124="Y",TRUE)),"Y","N")</f>
        <v/>
      </c>
      <c r="BS124" s="12">
        <f>IF(AND(BR124="Y",OR(AND(BJ124="Y",BM124="Y"),AND(BK124="Y",BN124="Y"),AND(BJ124&lt;&gt;"Y",BK124&lt;&gt;"Y",OR(BM124="Y",BN124="Y")))),"Y","N")</f>
        <v/>
      </c>
      <c r="BT124" s="10" t="n"/>
      <c r="BU124" s="13" t="n"/>
      <c r="BV124" s="13" t="n"/>
      <c r="BW124" s="13" t="n"/>
      <c r="BX124" s="13" t="n"/>
      <c r="BY124" s="13" t="n"/>
      <c r="BZ124" s="13" t="n"/>
      <c r="CA124" s="14" t="n"/>
      <c r="CB124" s="13" t="n"/>
      <c r="CC124" s="9" t="n"/>
      <c r="CD124" s="9" t="n"/>
      <c r="CE124" s="9" t="n"/>
      <c r="CF124" s="9" t="n"/>
      <c r="CG124" s="9" t="n"/>
      <c r="CH124" s="9" t="n"/>
    </row>
    <row r="125">
      <c r="A125" s="8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8" t="n"/>
      <c r="L125" s="9" t="n"/>
      <c r="M125" s="8" t="n"/>
      <c r="N125" s="8" t="n"/>
      <c r="O125" s="8" t="n"/>
      <c r="P125" s="8" t="n"/>
      <c r="Q125" s="8" t="n"/>
      <c r="R125" s="9" t="n"/>
      <c r="S125" s="9" t="n"/>
      <c r="T125" s="10" t="n"/>
      <c r="U125" s="10" t="n"/>
      <c r="V125" s="9" t="n"/>
      <c r="W125" s="9" t="n"/>
      <c r="X125" s="9" t="n"/>
      <c r="Y125" s="9" t="n"/>
      <c r="Z125" s="11" t="n"/>
      <c r="AA125" s="11" t="n"/>
      <c r="AB125" s="11" t="n"/>
      <c r="AC125" s="11" t="n"/>
      <c r="AD125" s="11" t="n"/>
      <c r="AE125" s="11" t="n"/>
      <c r="AF125" s="9" t="n"/>
      <c r="AG125" s="9" t="n"/>
      <c r="AH125" s="9" t="n"/>
      <c r="AI125" s="9" t="n"/>
      <c r="AJ125" s="8" t="n"/>
      <c r="AK125" s="9" t="n"/>
      <c r="AL125" s="9" t="n"/>
      <c r="AM125" s="9" t="n"/>
      <c r="AN125" s="9" t="n"/>
      <c r="AO125" s="9" t="n"/>
      <c r="AP125" s="9" t="n"/>
      <c r="AQ125" s="9" t="n"/>
      <c r="AR125" s="9" t="n"/>
      <c r="AS125" s="9" t="n"/>
      <c r="AT125" s="8" t="n"/>
      <c r="AU125" s="8" t="n"/>
      <c r="AV125" s="9" t="n"/>
      <c r="AW125" s="8" t="n"/>
      <c r="AX125" s="9" t="n"/>
      <c r="AY125" s="9" t="n"/>
      <c r="AZ125" s="9" t="n"/>
      <c r="BA125" s="9" t="n"/>
      <c r="BB125" s="9" t="n"/>
      <c r="BC125" s="9" t="n"/>
      <c r="BD125" s="9" t="n"/>
      <c r="BE125" s="9" t="n"/>
      <c r="BF125" s="9" t="n"/>
      <c r="BG125" s="9" t="n"/>
      <c r="BH125" s="9" t="n"/>
      <c r="BI125" s="9" t="n"/>
      <c r="BJ125" s="9" t="n"/>
      <c r="BK125" s="9" t="n"/>
      <c r="BL125" s="9" t="n"/>
      <c r="BM125" s="9" t="n"/>
      <c r="BN125" s="9" t="n"/>
      <c r="BO125" s="8" t="n"/>
      <c r="BP125" s="9" t="n"/>
      <c r="BQ125" s="9" t="n"/>
      <c r="BR125" s="12">
        <f>IF(AND(AI125="Y",AK125="Y",AL125="Y",AM125="Y",AY125="Y",AZ125="Y",BA125="Y",BB125="Y",BC125="Y",BE125&lt;&gt;"Y",AX125&lt;&gt;"Y",BL125&lt;&gt;"Y",IF(AS125="Y",AV125="Y",TRUE)),"Y","N")</f>
        <v/>
      </c>
      <c r="BS125" s="12">
        <f>IF(AND(BR125="Y",OR(AND(BJ125="Y",BM125="Y"),AND(BK125="Y",BN125="Y"),AND(BJ125&lt;&gt;"Y",BK125&lt;&gt;"Y",OR(BM125="Y",BN125="Y")))),"Y","N")</f>
        <v/>
      </c>
      <c r="BT125" s="10" t="n"/>
      <c r="BU125" s="13" t="n"/>
      <c r="BV125" s="13" t="n"/>
      <c r="BW125" s="13" t="n"/>
      <c r="BX125" s="13" t="n"/>
      <c r="BY125" s="13" t="n"/>
      <c r="BZ125" s="13" t="n"/>
      <c r="CA125" s="14" t="n"/>
      <c r="CB125" s="13" t="n"/>
      <c r="CC125" s="9" t="n"/>
      <c r="CD125" s="9" t="n"/>
      <c r="CE125" s="9" t="n"/>
      <c r="CF125" s="9" t="n"/>
      <c r="CG125" s="9" t="n"/>
      <c r="CH125" s="9" t="n"/>
    </row>
    <row r="126">
      <c r="A126" s="8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8" t="n"/>
      <c r="L126" s="9" t="n"/>
      <c r="M126" s="8" t="n"/>
      <c r="N126" s="8" t="n"/>
      <c r="O126" s="8" t="n"/>
      <c r="P126" s="8" t="n"/>
      <c r="Q126" s="8" t="n"/>
      <c r="R126" s="9" t="n"/>
      <c r="S126" s="9" t="n"/>
      <c r="T126" s="10" t="n"/>
      <c r="U126" s="10" t="n"/>
      <c r="V126" s="9" t="n"/>
      <c r="W126" s="9" t="n"/>
      <c r="X126" s="9" t="n"/>
      <c r="Y126" s="9" t="n"/>
      <c r="Z126" s="11" t="n"/>
      <c r="AA126" s="11" t="n"/>
      <c r="AB126" s="11" t="n"/>
      <c r="AC126" s="11" t="n"/>
      <c r="AD126" s="11" t="n"/>
      <c r="AE126" s="11" t="n"/>
      <c r="AF126" s="9" t="n"/>
      <c r="AG126" s="9" t="n"/>
      <c r="AH126" s="9" t="n"/>
      <c r="AI126" s="9" t="n"/>
      <c r="AJ126" s="8" t="n"/>
      <c r="AK126" s="9" t="n"/>
      <c r="AL126" s="9" t="n"/>
      <c r="AM126" s="9" t="n"/>
      <c r="AN126" s="9" t="n"/>
      <c r="AO126" s="9" t="n"/>
      <c r="AP126" s="9" t="n"/>
      <c r="AQ126" s="9" t="n"/>
      <c r="AR126" s="9" t="n"/>
      <c r="AS126" s="9" t="n"/>
      <c r="AT126" s="8" t="n"/>
      <c r="AU126" s="8" t="n"/>
      <c r="AV126" s="9" t="n"/>
      <c r="AW126" s="8" t="n"/>
      <c r="AX126" s="9" t="n"/>
      <c r="AY126" s="9" t="n"/>
      <c r="AZ126" s="9" t="n"/>
      <c r="BA126" s="9" t="n"/>
      <c r="BB126" s="9" t="n"/>
      <c r="BC126" s="9" t="n"/>
      <c r="BD126" s="9" t="n"/>
      <c r="BE126" s="9" t="n"/>
      <c r="BF126" s="9" t="n"/>
      <c r="BG126" s="9" t="n"/>
      <c r="BH126" s="9" t="n"/>
      <c r="BI126" s="9" t="n"/>
      <c r="BJ126" s="9" t="n"/>
      <c r="BK126" s="9" t="n"/>
      <c r="BL126" s="9" t="n"/>
      <c r="BM126" s="9" t="n"/>
      <c r="BN126" s="9" t="n"/>
      <c r="BO126" s="8" t="n"/>
      <c r="BP126" s="9" t="n"/>
      <c r="BQ126" s="9" t="n"/>
      <c r="BR126" s="12">
        <f>IF(AND(AI126="Y",AK126="Y",AL126="Y",AM126="Y",AY126="Y",AZ126="Y",BA126="Y",BB126="Y",BC126="Y",BE126&lt;&gt;"Y",AX126&lt;&gt;"Y",BL126&lt;&gt;"Y",IF(AS126="Y",AV126="Y",TRUE)),"Y","N")</f>
        <v/>
      </c>
      <c r="BS126" s="12">
        <f>IF(AND(BR126="Y",OR(AND(BJ126="Y",BM126="Y"),AND(BK126="Y",BN126="Y"),AND(BJ126&lt;&gt;"Y",BK126&lt;&gt;"Y",OR(BM126="Y",BN126="Y")))),"Y","N")</f>
        <v/>
      </c>
      <c r="BT126" s="10" t="n"/>
      <c r="BU126" s="13" t="n"/>
      <c r="BV126" s="13" t="n"/>
      <c r="BW126" s="13" t="n"/>
      <c r="BX126" s="13" t="n"/>
      <c r="BY126" s="13" t="n"/>
      <c r="BZ126" s="13" t="n"/>
      <c r="CA126" s="14" t="n"/>
      <c r="CB126" s="13" t="n"/>
      <c r="CC126" s="9" t="n"/>
      <c r="CD126" s="9" t="n"/>
      <c r="CE126" s="9" t="n"/>
      <c r="CF126" s="9" t="n"/>
      <c r="CG126" s="9" t="n"/>
      <c r="CH126" s="9" t="n"/>
    </row>
    <row r="127">
      <c r="A127" s="8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8" t="n"/>
      <c r="L127" s="9" t="n"/>
      <c r="M127" s="8" t="n"/>
      <c r="N127" s="8" t="n"/>
      <c r="O127" s="8" t="n"/>
      <c r="P127" s="8" t="n"/>
      <c r="Q127" s="8" t="n"/>
      <c r="R127" s="9" t="n"/>
      <c r="S127" s="9" t="n"/>
      <c r="T127" s="10" t="n"/>
      <c r="U127" s="10" t="n"/>
      <c r="V127" s="9" t="n"/>
      <c r="W127" s="9" t="n"/>
      <c r="X127" s="9" t="n"/>
      <c r="Y127" s="9" t="n"/>
      <c r="Z127" s="11" t="n"/>
      <c r="AA127" s="11" t="n"/>
      <c r="AB127" s="11" t="n"/>
      <c r="AC127" s="11" t="n"/>
      <c r="AD127" s="11" t="n"/>
      <c r="AE127" s="11" t="n"/>
      <c r="AF127" s="9" t="n"/>
      <c r="AG127" s="9" t="n"/>
      <c r="AH127" s="9" t="n"/>
      <c r="AI127" s="9" t="n"/>
      <c r="AJ127" s="8" t="n"/>
      <c r="AK127" s="9" t="n"/>
      <c r="AL127" s="9" t="n"/>
      <c r="AM127" s="9" t="n"/>
      <c r="AN127" s="9" t="n"/>
      <c r="AO127" s="9" t="n"/>
      <c r="AP127" s="9" t="n"/>
      <c r="AQ127" s="9" t="n"/>
      <c r="AR127" s="9" t="n"/>
      <c r="AS127" s="9" t="n"/>
      <c r="AT127" s="8" t="n"/>
      <c r="AU127" s="8" t="n"/>
      <c r="AV127" s="9" t="n"/>
      <c r="AW127" s="8" t="n"/>
      <c r="AX127" s="9" t="n"/>
      <c r="AY127" s="9" t="n"/>
      <c r="AZ127" s="9" t="n"/>
      <c r="BA127" s="9" t="n"/>
      <c r="BB127" s="9" t="n"/>
      <c r="BC127" s="9" t="n"/>
      <c r="BD127" s="9" t="n"/>
      <c r="BE127" s="9" t="n"/>
      <c r="BF127" s="9" t="n"/>
      <c r="BG127" s="9" t="n"/>
      <c r="BH127" s="9" t="n"/>
      <c r="BI127" s="9" t="n"/>
      <c r="BJ127" s="9" t="n"/>
      <c r="BK127" s="9" t="n"/>
      <c r="BL127" s="9" t="n"/>
      <c r="BM127" s="9" t="n"/>
      <c r="BN127" s="9" t="n"/>
      <c r="BO127" s="8" t="n"/>
      <c r="BP127" s="9" t="n"/>
      <c r="BQ127" s="9" t="n"/>
      <c r="BR127" s="12">
        <f>IF(AND(AI127="Y",AK127="Y",AL127="Y",AM127="Y",AY127="Y",AZ127="Y",BA127="Y",BB127="Y",BC127="Y",BE127&lt;&gt;"Y",AX127&lt;&gt;"Y",BL127&lt;&gt;"Y",IF(AS127="Y",AV127="Y",TRUE)),"Y","N")</f>
        <v/>
      </c>
      <c r="BS127" s="12">
        <f>IF(AND(BR127="Y",OR(AND(BJ127="Y",BM127="Y"),AND(BK127="Y",BN127="Y"),AND(BJ127&lt;&gt;"Y",BK127&lt;&gt;"Y",OR(BM127="Y",BN127="Y")))),"Y","N")</f>
        <v/>
      </c>
      <c r="BT127" s="10" t="n"/>
      <c r="BU127" s="13" t="n"/>
      <c r="BV127" s="13" t="n"/>
      <c r="BW127" s="13" t="n"/>
      <c r="BX127" s="13" t="n"/>
      <c r="BY127" s="13" t="n"/>
      <c r="BZ127" s="13" t="n"/>
      <c r="CA127" s="14" t="n"/>
      <c r="CB127" s="13" t="n"/>
      <c r="CC127" s="9" t="n"/>
      <c r="CD127" s="9" t="n"/>
      <c r="CE127" s="9" t="n"/>
      <c r="CF127" s="9" t="n"/>
      <c r="CG127" s="9" t="n"/>
      <c r="CH127" s="9" t="n"/>
    </row>
    <row r="128">
      <c r="A128" s="8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8" t="n"/>
      <c r="L128" s="9" t="n"/>
      <c r="M128" s="8" t="n"/>
      <c r="N128" s="8" t="n"/>
      <c r="O128" s="8" t="n"/>
      <c r="P128" s="8" t="n"/>
      <c r="Q128" s="8" t="n"/>
      <c r="R128" s="9" t="n"/>
      <c r="S128" s="9" t="n"/>
      <c r="T128" s="10" t="n"/>
      <c r="U128" s="10" t="n"/>
      <c r="V128" s="9" t="n"/>
      <c r="W128" s="9" t="n"/>
      <c r="X128" s="9" t="n"/>
      <c r="Y128" s="9" t="n"/>
      <c r="Z128" s="11" t="n"/>
      <c r="AA128" s="11" t="n"/>
      <c r="AB128" s="11" t="n"/>
      <c r="AC128" s="11" t="n"/>
      <c r="AD128" s="11" t="n"/>
      <c r="AE128" s="11" t="n"/>
      <c r="AF128" s="9" t="n"/>
      <c r="AG128" s="9" t="n"/>
      <c r="AH128" s="9" t="n"/>
      <c r="AI128" s="9" t="n"/>
      <c r="AJ128" s="8" t="n"/>
      <c r="AK128" s="9" t="n"/>
      <c r="AL128" s="9" t="n"/>
      <c r="AM128" s="9" t="n"/>
      <c r="AN128" s="9" t="n"/>
      <c r="AO128" s="9" t="n"/>
      <c r="AP128" s="9" t="n"/>
      <c r="AQ128" s="9" t="n"/>
      <c r="AR128" s="9" t="n"/>
      <c r="AS128" s="9" t="n"/>
      <c r="AT128" s="8" t="n"/>
      <c r="AU128" s="8" t="n"/>
      <c r="AV128" s="9" t="n"/>
      <c r="AW128" s="8" t="n"/>
      <c r="AX128" s="9" t="n"/>
      <c r="AY128" s="9" t="n"/>
      <c r="AZ128" s="9" t="n"/>
      <c r="BA128" s="9" t="n"/>
      <c r="BB128" s="9" t="n"/>
      <c r="BC128" s="9" t="n"/>
      <c r="BD128" s="9" t="n"/>
      <c r="BE128" s="9" t="n"/>
      <c r="BF128" s="9" t="n"/>
      <c r="BG128" s="9" t="n"/>
      <c r="BH128" s="9" t="n"/>
      <c r="BI128" s="9" t="n"/>
      <c r="BJ128" s="9" t="n"/>
      <c r="BK128" s="9" t="n"/>
      <c r="BL128" s="9" t="n"/>
      <c r="BM128" s="9" t="n"/>
      <c r="BN128" s="9" t="n"/>
      <c r="BO128" s="8" t="n"/>
      <c r="BP128" s="9" t="n"/>
      <c r="BQ128" s="9" t="n"/>
      <c r="BR128" s="12">
        <f>IF(AND(AI128="Y",AK128="Y",AL128="Y",AM128="Y",AY128="Y",AZ128="Y",BA128="Y",BB128="Y",BC128="Y",BE128&lt;&gt;"Y",AX128&lt;&gt;"Y",BL128&lt;&gt;"Y",IF(AS128="Y",AV128="Y",TRUE)),"Y","N")</f>
        <v/>
      </c>
      <c r="BS128" s="12">
        <f>IF(AND(BR128="Y",OR(AND(BJ128="Y",BM128="Y"),AND(BK128="Y",BN128="Y"),AND(BJ128&lt;&gt;"Y",BK128&lt;&gt;"Y",OR(BM128="Y",BN128="Y")))),"Y","N")</f>
        <v/>
      </c>
      <c r="BT128" s="10" t="n"/>
      <c r="BU128" s="13" t="n"/>
      <c r="BV128" s="13" t="n"/>
      <c r="BW128" s="13" t="n"/>
      <c r="BX128" s="13" t="n"/>
      <c r="BY128" s="13" t="n"/>
      <c r="BZ128" s="13" t="n"/>
      <c r="CA128" s="14" t="n"/>
      <c r="CB128" s="13" t="n"/>
      <c r="CC128" s="9" t="n"/>
      <c r="CD128" s="9" t="n"/>
      <c r="CE128" s="9" t="n"/>
      <c r="CF128" s="9" t="n"/>
      <c r="CG128" s="9" t="n"/>
      <c r="CH128" s="9" t="n"/>
    </row>
    <row r="129">
      <c r="A129" s="8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8" t="n"/>
      <c r="L129" s="9" t="n"/>
      <c r="M129" s="8" t="n"/>
      <c r="N129" s="8" t="n"/>
      <c r="O129" s="8" t="n"/>
      <c r="P129" s="8" t="n"/>
      <c r="Q129" s="8" t="n"/>
      <c r="R129" s="9" t="n"/>
      <c r="S129" s="9" t="n"/>
      <c r="T129" s="10" t="n"/>
      <c r="U129" s="10" t="n"/>
      <c r="V129" s="9" t="n"/>
      <c r="W129" s="9" t="n"/>
      <c r="X129" s="9" t="n"/>
      <c r="Y129" s="9" t="n"/>
      <c r="Z129" s="11" t="n"/>
      <c r="AA129" s="11" t="n"/>
      <c r="AB129" s="11" t="n"/>
      <c r="AC129" s="11" t="n"/>
      <c r="AD129" s="11" t="n"/>
      <c r="AE129" s="11" t="n"/>
      <c r="AF129" s="9" t="n"/>
      <c r="AG129" s="9" t="n"/>
      <c r="AH129" s="9" t="n"/>
      <c r="AI129" s="9" t="n"/>
      <c r="AJ129" s="8" t="n"/>
      <c r="AK129" s="9" t="n"/>
      <c r="AL129" s="9" t="n"/>
      <c r="AM129" s="9" t="n"/>
      <c r="AN129" s="9" t="n"/>
      <c r="AO129" s="9" t="n"/>
      <c r="AP129" s="9" t="n"/>
      <c r="AQ129" s="9" t="n"/>
      <c r="AR129" s="9" t="n"/>
      <c r="AS129" s="9" t="n"/>
      <c r="AT129" s="8" t="n"/>
      <c r="AU129" s="8" t="n"/>
      <c r="AV129" s="9" t="n"/>
      <c r="AW129" s="8" t="n"/>
      <c r="AX129" s="9" t="n"/>
      <c r="AY129" s="9" t="n"/>
      <c r="AZ129" s="9" t="n"/>
      <c r="BA129" s="9" t="n"/>
      <c r="BB129" s="9" t="n"/>
      <c r="BC129" s="9" t="n"/>
      <c r="BD129" s="9" t="n"/>
      <c r="BE129" s="9" t="n"/>
      <c r="BF129" s="9" t="n"/>
      <c r="BG129" s="9" t="n"/>
      <c r="BH129" s="9" t="n"/>
      <c r="BI129" s="9" t="n"/>
      <c r="BJ129" s="9" t="n"/>
      <c r="BK129" s="9" t="n"/>
      <c r="BL129" s="9" t="n"/>
      <c r="BM129" s="9" t="n"/>
      <c r="BN129" s="9" t="n"/>
      <c r="BO129" s="8" t="n"/>
      <c r="BP129" s="9" t="n"/>
      <c r="BQ129" s="9" t="n"/>
      <c r="BR129" s="12">
        <f>IF(AND(AI129="Y",AK129="Y",AL129="Y",AM129="Y",AY129="Y",AZ129="Y",BA129="Y",BB129="Y",BC129="Y",BE129&lt;&gt;"Y",AX129&lt;&gt;"Y",BL129&lt;&gt;"Y",IF(AS129="Y",AV129="Y",TRUE)),"Y","N")</f>
        <v/>
      </c>
      <c r="BS129" s="12">
        <f>IF(AND(BR129="Y",OR(AND(BJ129="Y",BM129="Y"),AND(BK129="Y",BN129="Y"),AND(BJ129&lt;&gt;"Y",BK129&lt;&gt;"Y",OR(BM129="Y",BN129="Y")))),"Y","N")</f>
        <v/>
      </c>
      <c r="BT129" s="10" t="n"/>
      <c r="BU129" s="13" t="n"/>
      <c r="BV129" s="13" t="n"/>
      <c r="BW129" s="13" t="n"/>
      <c r="BX129" s="13" t="n"/>
      <c r="BY129" s="13" t="n"/>
      <c r="BZ129" s="13" t="n"/>
      <c r="CA129" s="14" t="n"/>
      <c r="CB129" s="13" t="n"/>
      <c r="CC129" s="9" t="n"/>
      <c r="CD129" s="9" t="n"/>
      <c r="CE129" s="9" t="n"/>
      <c r="CF129" s="9" t="n"/>
      <c r="CG129" s="9" t="n"/>
      <c r="CH129" s="9" t="n"/>
    </row>
    <row r="130">
      <c r="A130" s="8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8" t="n"/>
      <c r="L130" s="9" t="n"/>
      <c r="M130" s="8" t="n"/>
      <c r="N130" s="8" t="n"/>
      <c r="O130" s="8" t="n"/>
      <c r="P130" s="8" t="n"/>
      <c r="Q130" s="8" t="n"/>
      <c r="R130" s="9" t="n"/>
      <c r="S130" s="9" t="n"/>
      <c r="T130" s="10" t="n"/>
      <c r="U130" s="10" t="n"/>
      <c r="V130" s="9" t="n"/>
      <c r="W130" s="9" t="n"/>
      <c r="X130" s="9" t="n"/>
      <c r="Y130" s="9" t="n"/>
      <c r="Z130" s="11" t="n"/>
      <c r="AA130" s="11" t="n"/>
      <c r="AB130" s="11" t="n"/>
      <c r="AC130" s="11" t="n"/>
      <c r="AD130" s="11" t="n"/>
      <c r="AE130" s="11" t="n"/>
      <c r="AF130" s="9" t="n"/>
      <c r="AG130" s="9" t="n"/>
      <c r="AH130" s="9" t="n"/>
      <c r="AI130" s="9" t="n"/>
      <c r="AJ130" s="8" t="n"/>
      <c r="AK130" s="9" t="n"/>
      <c r="AL130" s="9" t="n"/>
      <c r="AM130" s="9" t="n"/>
      <c r="AN130" s="9" t="n"/>
      <c r="AO130" s="9" t="n"/>
      <c r="AP130" s="9" t="n"/>
      <c r="AQ130" s="9" t="n"/>
      <c r="AR130" s="9" t="n"/>
      <c r="AS130" s="9" t="n"/>
      <c r="AT130" s="8" t="n"/>
      <c r="AU130" s="8" t="n"/>
      <c r="AV130" s="9" t="n"/>
      <c r="AW130" s="8" t="n"/>
      <c r="AX130" s="9" t="n"/>
      <c r="AY130" s="9" t="n"/>
      <c r="AZ130" s="9" t="n"/>
      <c r="BA130" s="9" t="n"/>
      <c r="BB130" s="9" t="n"/>
      <c r="BC130" s="9" t="n"/>
      <c r="BD130" s="9" t="n"/>
      <c r="BE130" s="9" t="n"/>
      <c r="BF130" s="9" t="n"/>
      <c r="BG130" s="9" t="n"/>
      <c r="BH130" s="9" t="n"/>
      <c r="BI130" s="9" t="n"/>
      <c r="BJ130" s="9" t="n"/>
      <c r="BK130" s="9" t="n"/>
      <c r="BL130" s="9" t="n"/>
      <c r="BM130" s="9" t="n"/>
      <c r="BN130" s="9" t="n"/>
      <c r="BO130" s="8" t="n"/>
      <c r="BP130" s="9" t="n"/>
      <c r="BQ130" s="9" t="n"/>
      <c r="BR130" s="12">
        <f>IF(AND(AI130="Y",AK130="Y",AL130="Y",AM130="Y",AY130="Y",AZ130="Y",BA130="Y",BB130="Y",BC130="Y",BE130&lt;&gt;"Y",AX130&lt;&gt;"Y",BL130&lt;&gt;"Y",IF(AS130="Y",AV130="Y",TRUE)),"Y","N")</f>
        <v/>
      </c>
      <c r="BS130" s="12">
        <f>IF(AND(BR130="Y",OR(AND(BJ130="Y",BM130="Y"),AND(BK130="Y",BN130="Y"),AND(BJ130&lt;&gt;"Y",BK130&lt;&gt;"Y",OR(BM130="Y",BN130="Y")))),"Y","N")</f>
        <v/>
      </c>
      <c r="BT130" s="10" t="n"/>
      <c r="BU130" s="13" t="n"/>
      <c r="BV130" s="13" t="n"/>
      <c r="BW130" s="13" t="n"/>
      <c r="BX130" s="13" t="n"/>
      <c r="BY130" s="13" t="n"/>
      <c r="BZ130" s="13" t="n"/>
      <c r="CA130" s="14" t="n"/>
      <c r="CB130" s="13" t="n"/>
      <c r="CC130" s="9" t="n"/>
      <c r="CD130" s="9" t="n"/>
      <c r="CE130" s="9" t="n"/>
      <c r="CF130" s="9" t="n"/>
      <c r="CG130" s="9" t="n"/>
      <c r="CH130" s="9" t="n"/>
    </row>
    <row r="131">
      <c r="A131" s="8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8" t="n"/>
      <c r="L131" s="9" t="n"/>
      <c r="M131" s="8" t="n"/>
      <c r="N131" s="8" t="n"/>
      <c r="O131" s="8" t="n"/>
      <c r="P131" s="8" t="n"/>
      <c r="Q131" s="8" t="n"/>
      <c r="R131" s="9" t="n"/>
      <c r="S131" s="9" t="n"/>
      <c r="T131" s="10" t="n"/>
      <c r="U131" s="10" t="n"/>
      <c r="V131" s="9" t="n"/>
      <c r="W131" s="9" t="n"/>
      <c r="X131" s="9" t="n"/>
      <c r="Y131" s="9" t="n"/>
      <c r="Z131" s="11" t="n"/>
      <c r="AA131" s="11" t="n"/>
      <c r="AB131" s="11" t="n"/>
      <c r="AC131" s="11" t="n"/>
      <c r="AD131" s="11" t="n"/>
      <c r="AE131" s="11" t="n"/>
      <c r="AF131" s="9" t="n"/>
      <c r="AG131" s="9" t="n"/>
      <c r="AH131" s="9" t="n"/>
      <c r="AI131" s="9" t="n"/>
      <c r="AJ131" s="8" t="n"/>
      <c r="AK131" s="9" t="n"/>
      <c r="AL131" s="9" t="n"/>
      <c r="AM131" s="9" t="n"/>
      <c r="AN131" s="9" t="n"/>
      <c r="AO131" s="9" t="n"/>
      <c r="AP131" s="9" t="n"/>
      <c r="AQ131" s="9" t="n"/>
      <c r="AR131" s="9" t="n"/>
      <c r="AS131" s="9" t="n"/>
      <c r="AT131" s="8" t="n"/>
      <c r="AU131" s="8" t="n"/>
      <c r="AV131" s="9" t="n"/>
      <c r="AW131" s="8" t="n"/>
      <c r="AX131" s="9" t="n"/>
      <c r="AY131" s="9" t="n"/>
      <c r="AZ131" s="9" t="n"/>
      <c r="BA131" s="9" t="n"/>
      <c r="BB131" s="9" t="n"/>
      <c r="BC131" s="9" t="n"/>
      <c r="BD131" s="9" t="n"/>
      <c r="BE131" s="9" t="n"/>
      <c r="BF131" s="9" t="n"/>
      <c r="BG131" s="9" t="n"/>
      <c r="BH131" s="9" t="n"/>
      <c r="BI131" s="9" t="n"/>
      <c r="BJ131" s="9" t="n"/>
      <c r="BK131" s="9" t="n"/>
      <c r="BL131" s="9" t="n"/>
      <c r="BM131" s="9" t="n"/>
      <c r="BN131" s="9" t="n"/>
      <c r="BO131" s="8" t="n"/>
      <c r="BP131" s="9" t="n"/>
      <c r="BQ131" s="9" t="n"/>
      <c r="BR131" s="12">
        <f>IF(AND(AI131="Y",AK131="Y",AL131="Y",AM131="Y",AY131="Y",AZ131="Y",BA131="Y",BB131="Y",BC131="Y",BE131&lt;&gt;"Y",AX131&lt;&gt;"Y",BL131&lt;&gt;"Y",IF(AS131="Y",AV131="Y",TRUE)),"Y","N")</f>
        <v/>
      </c>
      <c r="BS131" s="12">
        <f>IF(AND(BR131="Y",OR(AND(BJ131="Y",BM131="Y"),AND(BK131="Y",BN131="Y"),AND(BJ131&lt;&gt;"Y",BK131&lt;&gt;"Y",OR(BM131="Y",BN131="Y")))),"Y","N")</f>
        <v/>
      </c>
      <c r="BT131" s="10" t="n"/>
      <c r="BU131" s="13" t="n"/>
      <c r="BV131" s="13" t="n"/>
      <c r="BW131" s="13" t="n"/>
      <c r="BX131" s="13" t="n"/>
      <c r="BY131" s="13" t="n"/>
      <c r="BZ131" s="13" t="n"/>
      <c r="CA131" s="14" t="n"/>
      <c r="CB131" s="13" t="n"/>
      <c r="CC131" s="9" t="n"/>
      <c r="CD131" s="9" t="n"/>
      <c r="CE131" s="9" t="n"/>
      <c r="CF131" s="9" t="n"/>
      <c r="CG131" s="9" t="n"/>
      <c r="CH131" s="9" t="n"/>
    </row>
    <row r="132">
      <c r="A132" s="8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8" t="n"/>
      <c r="L132" s="9" t="n"/>
      <c r="M132" s="8" t="n"/>
      <c r="N132" s="8" t="n"/>
      <c r="O132" s="8" t="n"/>
      <c r="P132" s="8" t="n"/>
      <c r="Q132" s="8" t="n"/>
      <c r="R132" s="9" t="n"/>
      <c r="S132" s="9" t="n"/>
      <c r="T132" s="10" t="n"/>
      <c r="U132" s="10" t="n"/>
      <c r="V132" s="9" t="n"/>
      <c r="W132" s="9" t="n"/>
      <c r="X132" s="9" t="n"/>
      <c r="Y132" s="9" t="n"/>
      <c r="Z132" s="11" t="n"/>
      <c r="AA132" s="11" t="n"/>
      <c r="AB132" s="11" t="n"/>
      <c r="AC132" s="11" t="n"/>
      <c r="AD132" s="11" t="n"/>
      <c r="AE132" s="11" t="n"/>
      <c r="AF132" s="9" t="n"/>
      <c r="AG132" s="9" t="n"/>
      <c r="AH132" s="9" t="n"/>
      <c r="AI132" s="9" t="n"/>
      <c r="AJ132" s="8" t="n"/>
      <c r="AK132" s="9" t="n"/>
      <c r="AL132" s="9" t="n"/>
      <c r="AM132" s="9" t="n"/>
      <c r="AN132" s="9" t="n"/>
      <c r="AO132" s="9" t="n"/>
      <c r="AP132" s="9" t="n"/>
      <c r="AQ132" s="9" t="n"/>
      <c r="AR132" s="9" t="n"/>
      <c r="AS132" s="9" t="n"/>
      <c r="AT132" s="8" t="n"/>
      <c r="AU132" s="8" t="n"/>
      <c r="AV132" s="9" t="n"/>
      <c r="AW132" s="8" t="n"/>
      <c r="AX132" s="9" t="n"/>
      <c r="AY132" s="9" t="n"/>
      <c r="AZ132" s="9" t="n"/>
      <c r="BA132" s="9" t="n"/>
      <c r="BB132" s="9" t="n"/>
      <c r="BC132" s="9" t="n"/>
      <c r="BD132" s="9" t="n"/>
      <c r="BE132" s="9" t="n"/>
      <c r="BF132" s="9" t="n"/>
      <c r="BG132" s="9" t="n"/>
      <c r="BH132" s="9" t="n"/>
      <c r="BI132" s="9" t="n"/>
      <c r="BJ132" s="9" t="n"/>
      <c r="BK132" s="9" t="n"/>
      <c r="BL132" s="9" t="n"/>
      <c r="BM132" s="9" t="n"/>
      <c r="BN132" s="9" t="n"/>
      <c r="BO132" s="8" t="n"/>
      <c r="BP132" s="9" t="n"/>
      <c r="BQ132" s="9" t="n"/>
      <c r="BR132" s="12">
        <f>IF(AND(AI132="Y",AK132="Y",AL132="Y",AM132="Y",AY132="Y",AZ132="Y",BA132="Y",BB132="Y",BC132="Y",BE132&lt;&gt;"Y",AX132&lt;&gt;"Y",BL132&lt;&gt;"Y",IF(AS132="Y",AV132="Y",TRUE)),"Y","N")</f>
        <v/>
      </c>
      <c r="BS132" s="12">
        <f>IF(AND(BR132="Y",OR(AND(BJ132="Y",BM132="Y"),AND(BK132="Y",BN132="Y"),AND(BJ132&lt;&gt;"Y",BK132&lt;&gt;"Y",OR(BM132="Y",BN132="Y")))),"Y","N")</f>
        <v/>
      </c>
      <c r="BT132" s="10" t="n"/>
      <c r="BU132" s="13" t="n"/>
      <c r="BV132" s="13" t="n"/>
      <c r="BW132" s="13" t="n"/>
      <c r="BX132" s="13" t="n"/>
      <c r="BY132" s="13" t="n"/>
      <c r="BZ132" s="13" t="n"/>
      <c r="CA132" s="14" t="n"/>
      <c r="CB132" s="13" t="n"/>
      <c r="CC132" s="9" t="n"/>
      <c r="CD132" s="9" t="n"/>
      <c r="CE132" s="9" t="n"/>
      <c r="CF132" s="9" t="n"/>
      <c r="CG132" s="9" t="n"/>
      <c r="CH132" s="9" t="n"/>
    </row>
    <row r="133">
      <c r="A133" s="8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8" t="n"/>
      <c r="L133" s="9" t="n"/>
      <c r="M133" s="8" t="n"/>
      <c r="N133" s="8" t="n"/>
      <c r="O133" s="8" t="n"/>
      <c r="P133" s="8" t="n"/>
      <c r="Q133" s="8" t="n"/>
      <c r="R133" s="9" t="n"/>
      <c r="S133" s="9" t="n"/>
      <c r="T133" s="10" t="n"/>
      <c r="U133" s="10" t="n"/>
      <c r="V133" s="9" t="n"/>
      <c r="W133" s="9" t="n"/>
      <c r="X133" s="9" t="n"/>
      <c r="Y133" s="9" t="n"/>
      <c r="Z133" s="11" t="n"/>
      <c r="AA133" s="11" t="n"/>
      <c r="AB133" s="11" t="n"/>
      <c r="AC133" s="11" t="n"/>
      <c r="AD133" s="11" t="n"/>
      <c r="AE133" s="11" t="n"/>
      <c r="AF133" s="9" t="n"/>
      <c r="AG133" s="9" t="n"/>
      <c r="AH133" s="9" t="n"/>
      <c r="AI133" s="9" t="n"/>
      <c r="AJ133" s="8" t="n"/>
      <c r="AK133" s="9" t="n"/>
      <c r="AL133" s="9" t="n"/>
      <c r="AM133" s="9" t="n"/>
      <c r="AN133" s="9" t="n"/>
      <c r="AO133" s="9" t="n"/>
      <c r="AP133" s="9" t="n"/>
      <c r="AQ133" s="9" t="n"/>
      <c r="AR133" s="9" t="n"/>
      <c r="AS133" s="9" t="n"/>
      <c r="AT133" s="8" t="n"/>
      <c r="AU133" s="8" t="n"/>
      <c r="AV133" s="9" t="n"/>
      <c r="AW133" s="8" t="n"/>
      <c r="AX133" s="9" t="n"/>
      <c r="AY133" s="9" t="n"/>
      <c r="AZ133" s="9" t="n"/>
      <c r="BA133" s="9" t="n"/>
      <c r="BB133" s="9" t="n"/>
      <c r="BC133" s="9" t="n"/>
      <c r="BD133" s="9" t="n"/>
      <c r="BE133" s="9" t="n"/>
      <c r="BF133" s="9" t="n"/>
      <c r="BG133" s="9" t="n"/>
      <c r="BH133" s="9" t="n"/>
      <c r="BI133" s="9" t="n"/>
      <c r="BJ133" s="9" t="n"/>
      <c r="BK133" s="9" t="n"/>
      <c r="BL133" s="9" t="n"/>
      <c r="BM133" s="9" t="n"/>
      <c r="BN133" s="9" t="n"/>
      <c r="BO133" s="8" t="n"/>
      <c r="BP133" s="9" t="n"/>
      <c r="BQ133" s="9" t="n"/>
      <c r="BR133" s="12">
        <f>IF(AND(AI133="Y",AK133="Y",AL133="Y",AM133="Y",AY133="Y",AZ133="Y",BA133="Y",BB133="Y",BC133="Y",BE133&lt;&gt;"Y",AX133&lt;&gt;"Y",BL133&lt;&gt;"Y",IF(AS133="Y",AV133="Y",TRUE)),"Y","N")</f>
        <v/>
      </c>
      <c r="BS133" s="12">
        <f>IF(AND(BR133="Y",OR(AND(BJ133="Y",BM133="Y"),AND(BK133="Y",BN133="Y"),AND(BJ133&lt;&gt;"Y",BK133&lt;&gt;"Y",OR(BM133="Y",BN133="Y")))),"Y","N")</f>
        <v/>
      </c>
      <c r="BT133" s="10" t="n"/>
      <c r="BU133" s="13" t="n"/>
      <c r="BV133" s="13" t="n"/>
      <c r="BW133" s="13" t="n"/>
      <c r="BX133" s="13" t="n"/>
      <c r="BY133" s="13" t="n"/>
      <c r="BZ133" s="13" t="n"/>
      <c r="CA133" s="14" t="n"/>
      <c r="CB133" s="13" t="n"/>
      <c r="CC133" s="9" t="n"/>
      <c r="CD133" s="9" t="n"/>
      <c r="CE133" s="9" t="n"/>
      <c r="CF133" s="9" t="n"/>
      <c r="CG133" s="9" t="n"/>
      <c r="CH133" s="9" t="n"/>
    </row>
    <row r="134">
      <c r="A134" s="8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8" t="n"/>
      <c r="L134" s="9" t="n"/>
      <c r="M134" s="8" t="n"/>
      <c r="N134" s="8" t="n"/>
      <c r="O134" s="8" t="n"/>
      <c r="P134" s="8" t="n"/>
      <c r="Q134" s="8" t="n"/>
      <c r="R134" s="9" t="n"/>
      <c r="S134" s="9" t="n"/>
      <c r="T134" s="10" t="n"/>
      <c r="U134" s="10" t="n"/>
      <c r="V134" s="9" t="n"/>
      <c r="W134" s="9" t="n"/>
      <c r="X134" s="9" t="n"/>
      <c r="Y134" s="9" t="n"/>
      <c r="Z134" s="11" t="n"/>
      <c r="AA134" s="11" t="n"/>
      <c r="AB134" s="11" t="n"/>
      <c r="AC134" s="11" t="n"/>
      <c r="AD134" s="11" t="n"/>
      <c r="AE134" s="11" t="n"/>
      <c r="AF134" s="9" t="n"/>
      <c r="AG134" s="9" t="n"/>
      <c r="AH134" s="9" t="n"/>
      <c r="AI134" s="9" t="n"/>
      <c r="AJ134" s="8" t="n"/>
      <c r="AK134" s="9" t="n"/>
      <c r="AL134" s="9" t="n"/>
      <c r="AM134" s="9" t="n"/>
      <c r="AN134" s="9" t="n"/>
      <c r="AO134" s="9" t="n"/>
      <c r="AP134" s="9" t="n"/>
      <c r="AQ134" s="9" t="n"/>
      <c r="AR134" s="9" t="n"/>
      <c r="AS134" s="9" t="n"/>
      <c r="AT134" s="8" t="n"/>
      <c r="AU134" s="8" t="n"/>
      <c r="AV134" s="9" t="n"/>
      <c r="AW134" s="8" t="n"/>
      <c r="AX134" s="9" t="n"/>
      <c r="AY134" s="9" t="n"/>
      <c r="AZ134" s="9" t="n"/>
      <c r="BA134" s="9" t="n"/>
      <c r="BB134" s="9" t="n"/>
      <c r="BC134" s="9" t="n"/>
      <c r="BD134" s="9" t="n"/>
      <c r="BE134" s="9" t="n"/>
      <c r="BF134" s="9" t="n"/>
      <c r="BG134" s="9" t="n"/>
      <c r="BH134" s="9" t="n"/>
      <c r="BI134" s="9" t="n"/>
      <c r="BJ134" s="9" t="n"/>
      <c r="BK134" s="9" t="n"/>
      <c r="BL134" s="9" t="n"/>
      <c r="BM134" s="9" t="n"/>
      <c r="BN134" s="9" t="n"/>
      <c r="BO134" s="8" t="n"/>
      <c r="BP134" s="9" t="n"/>
      <c r="BQ134" s="9" t="n"/>
      <c r="BR134" s="12">
        <f>IF(AND(AI134="Y",AK134="Y",AL134="Y",AM134="Y",AY134="Y",AZ134="Y",BA134="Y",BB134="Y",BC134="Y",BE134&lt;&gt;"Y",AX134&lt;&gt;"Y",BL134&lt;&gt;"Y",IF(AS134="Y",AV134="Y",TRUE)),"Y","N")</f>
        <v/>
      </c>
      <c r="BS134" s="12">
        <f>IF(AND(BR134="Y",OR(AND(BJ134="Y",BM134="Y"),AND(BK134="Y",BN134="Y"),AND(BJ134&lt;&gt;"Y",BK134&lt;&gt;"Y",OR(BM134="Y",BN134="Y")))),"Y","N")</f>
        <v/>
      </c>
      <c r="BT134" s="10" t="n"/>
      <c r="BU134" s="13" t="n"/>
      <c r="BV134" s="13" t="n"/>
      <c r="BW134" s="13" t="n"/>
      <c r="BX134" s="13" t="n"/>
      <c r="BY134" s="13" t="n"/>
      <c r="BZ134" s="13" t="n"/>
      <c r="CA134" s="14" t="n"/>
      <c r="CB134" s="13" t="n"/>
      <c r="CC134" s="9" t="n"/>
      <c r="CD134" s="9" t="n"/>
      <c r="CE134" s="9" t="n"/>
      <c r="CF134" s="9" t="n"/>
      <c r="CG134" s="9" t="n"/>
      <c r="CH134" s="9" t="n"/>
    </row>
    <row r="135">
      <c r="A135" s="8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8" t="n"/>
      <c r="L135" s="9" t="n"/>
      <c r="M135" s="8" t="n"/>
      <c r="N135" s="8" t="n"/>
      <c r="O135" s="8" t="n"/>
      <c r="P135" s="8" t="n"/>
      <c r="Q135" s="8" t="n"/>
      <c r="R135" s="9" t="n"/>
      <c r="S135" s="9" t="n"/>
      <c r="T135" s="10" t="n"/>
      <c r="U135" s="10" t="n"/>
      <c r="V135" s="9" t="n"/>
      <c r="W135" s="9" t="n"/>
      <c r="X135" s="9" t="n"/>
      <c r="Y135" s="9" t="n"/>
      <c r="Z135" s="11" t="n"/>
      <c r="AA135" s="11" t="n"/>
      <c r="AB135" s="11" t="n"/>
      <c r="AC135" s="11" t="n"/>
      <c r="AD135" s="11" t="n"/>
      <c r="AE135" s="11" t="n"/>
      <c r="AF135" s="9" t="n"/>
      <c r="AG135" s="9" t="n"/>
      <c r="AH135" s="9" t="n"/>
      <c r="AI135" s="9" t="n"/>
      <c r="AJ135" s="8" t="n"/>
      <c r="AK135" s="9" t="n"/>
      <c r="AL135" s="9" t="n"/>
      <c r="AM135" s="9" t="n"/>
      <c r="AN135" s="9" t="n"/>
      <c r="AO135" s="9" t="n"/>
      <c r="AP135" s="9" t="n"/>
      <c r="AQ135" s="9" t="n"/>
      <c r="AR135" s="9" t="n"/>
      <c r="AS135" s="9" t="n"/>
      <c r="AT135" s="8" t="n"/>
      <c r="AU135" s="8" t="n"/>
      <c r="AV135" s="9" t="n"/>
      <c r="AW135" s="8" t="n"/>
      <c r="AX135" s="9" t="n"/>
      <c r="AY135" s="9" t="n"/>
      <c r="AZ135" s="9" t="n"/>
      <c r="BA135" s="9" t="n"/>
      <c r="BB135" s="9" t="n"/>
      <c r="BC135" s="9" t="n"/>
      <c r="BD135" s="9" t="n"/>
      <c r="BE135" s="9" t="n"/>
      <c r="BF135" s="9" t="n"/>
      <c r="BG135" s="9" t="n"/>
      <c r="BH135" s="9" t="n"/>
      <c r="BI135" s="9" t="n"/>
      <c r="BJ135" s="9" t="n"/>
      <c r="BK135" s="9" t="n"/>
      <c r="BL135" s="9" t="n"/>
      <c r="BM135" s="9" t="n"/>
      <c r="BN135" s="9" t="n"/>
      <c r="BO135" s="8" t="n"/>
      <c r="BP135" s="9" t="n"/>
      <c r="BQ135" s="9" t="n"/>
      <c r="BR135" s="12">
        <f>IF(AND(AI135="Y",AK135="Y",AL135="Y",AM135="Y",AY135="Y",AZ135="Y",BA135="Y",BB135="Y",BC135="Y",BE135&lt;&gt;"Y",AX135&lt;&gt;"Y",BL135&lt;&gt;"Y",IF(AS135="Y",AV135="Y",TRUE)),"Y","N")</f>
        <v/>
      </c>
      <c r="BS135" s="12">
        <f>IF(AND(BR135="Y",OR(AND(BJ135="Y",BM135="Y"),AND(BK135="Y",BN135="Y"),AND(BJ135&lt;&gt;"Y",BK135&lt;&gt;"Y",OR(BM135="Y",BN135="Y")))),"Y","N")</f>
        <v/>
      </c>
      <c r="BT135" s="10" t="n"/>
      <c r="BU135" s="13" t="n"/>
      <c r="BV135" s="13" t="n"/>
      <c r="BW135" s="13" t="n"/>
      <c r="BX135" s="13" t="n"/>
      <c r="BY135" s="13" t="n"/>
      <c r="BZ135" s="13" t="n"/>
      <c r="CA135" s="14" t="n"/>
      <c r="CB135" s="13" t="n"/>
      <c r="CC135" s="9" t="n"/>
      <c r="CD135" s="9" t="n"/>
      <c r="CE135" s="9" t="n"/>
      <c r="CF135" s="9" t="n"/>
      <c r="CG135" s="9" t="n"/>
      <c r="CH135" s="9" t="n"/>
    </row>
    <row r="136">
      <c r="A136" s="8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8" t="n"/>
      <c r="L136" s="9" t="n"/>
      <c r="M136" s="8" t="n"/>
      <c r="N136" s="8" t="n"/>
      <c r="O136" s="8" t="n"/>
      <c r="P136" s="8" t="n"/>
      <c r="Q136" s="8" t="n"/>
      <c r="R136" s="9" t="n"/>
      <c r="S136" s="9" t="n"/>
      <c r="T136" s="10" t="n"/>
      <c r="U136" s="10" t="n"/>
      <c r="V136" s="9" t="n"/>
      <c r="W136" s="9" t="n"/>
      <c r="X136" s="9" t="n"/>
      <c r="Y136" s="9" t="n"/>
      <c r="Z136" s="11" t="n"/>
      <c r="AA136" s="11" t="n"/>
      <c r="AB136" s="11" t="n"/>
      <c r="AC136" s="11" t="n"/>
      <c r="AD136" s="11" t="n"/>
      <c r="AE136" s="11" t="n"/>
      <c r="AF136" s="9" t="n"/>
      <c r="AG136" s="9" t="n"/>
      <c r="AH136" s="9" t="n"/>
      <c r="AI136" s="9" t="n"/>
      <c r="AJ136" s="8" t="n"/>
      <c r="AK136" s="9" t="n"/>
      <c r="AL136" s="9" t="n"/>
      <c r="AM136" s="9" t="n"/>
      <c r="AN136" s="9" t="n"/>
      <c r="AO136" s="9" t="n"/>
      <c r="AP136" s="9" t="n"/>
      <c r="AQ136" s="9" t="n"/>
      <c r="AR136" s="9" t="n"/>
      <c r="AS136" s="9" t="n"/>
      <c r="AT136" s="8" t="n"/>
      <c r="AU136" s="8" t="n"/>
      <c r="AV136" s="9" t="n"/>
      <c r="AW136" s="8" t="n"/>
      <c r="AX136" s="9" t="n"/>
      <c r="AY136" s="9" t="n"/>
      <c r="AZ136" s="9" t="n"/>
      <c r="BA136" s="9" t="n"/>
      <c r="BB136" s="9" t="n"/>
      <c r="BC136" s="9" t="n"/>
      <c r="BD136" s="9" t="n"/>
      <c r="BE136" s="9" t="n"/>
      <c r="BF136" s="9" t="n"/>
      <c r="BG136" s="9" t="n"/>
      <c r="BH136" s="9" t="n"/>
      <c r="BI136" s="9" t="n"/>
      <c r="BJ136" s="9" t="n"/>
      <c r="BK136" s="9" t="n"/>
      <c r="BL136" s="9" t="n"/>
      <c r="BM136" s="9" t="n"/>
      <c r="BN136" s="9" t="n"/>
      <c r="BO136" s="8" t="n"/>
      <c r="BP136" s="9" t="n"/>
      <c r="BQ136" s="9" t="n"/>
      <c r="BR136" s="12">
        <f>IF(AND(AI136="Y",AK136="Y",AL136="Y",AM136="Y",AY136="Y",AZ136="Y",BA136="Y",BB136="Y",BC136="Y",BE136&lt;&gt;"Y",AX136&lt;&gt;"Y",BL136&lt;&gt;"Y",IF(AS136="Y",AV136="Y",TRUE)),"Y","N")</f>
        <v/>
      </c>
      <c r="BS136" s="12">
        <f>IF(AND(BR136="Y",OR(AND(BJ136="Y",BM136="Y"),AND(BK136="Y",BN136="Y"),AND(BJ136&lt;&gt;"Y",BK136&lt;&gt;"Y",OR(BM136="Y",BN136="Y")))),"Y","N")</f>
        <v/>
      </c>
      <c r="BT136" s="10" t="n"/>
      <c r="BU136" s="13" t="n"/>
      <c r="BV136" s="13" t="n"/>
      <c r="BW136" s="13" t="n"/>
      <c r="BX136" s="13" t="n"/>
      <c r="BY136" s="13" t="n"/>
      <c r="BZ136" s="13" t="n"/>
      <c r="CA136" s="14" t="n"/>
      <c r="CB136" s="13" t="n"/>
      <c r="CC136" s="9" t="n"/>
      <c r="CD136" s="9" t="n"/>
      <c r="CE136" s="9" t="n"/>
      <c r="CF136" s="9" t="n"/>
      <c r="CG136" s="9" t="n"/>
      <c r="CH136" s="9" t="n"/>
    </row>
    <row r="137">
      <c r="A137" s="8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8" t="n"/>
      <c r="L137" s="9" t="n"/>
      <c r="M137" s="8" t="n"/>
      <c r="N137" s="8" t="n"/>
      <c r="O137" s="8" t="n"/>
      <c r="P137" s="8" t="n"/>
      <c r="Q137" s="8" t="n"/>
      <c r="R137" s="9" t="n"/>
      <c r="S137" s="9" t="n"/>
      <c r="T137" s="10" t="n"/>
      <c r="U137" s="10" t="n"/>
      <c r="V137" s="9" t="n"/>
      <c r="W137" s="9" t="n"/>
      <c r="X137" s="9" t="n"/>
      <c r="Y137" s="9" t="n"/>
      <c r="Z137" s="11" t="n"/>
      <c r="AA137" s="11" t="n"/>
      <c r="AB137" s="11" t="n"/>
      <c r="AC137" s="11" t="n"/>
      <c r="AD137" s="11" t="n"/>
      <c r="AE137" s="11" t="n"/>
      <c r="AF137" s="9" t="n"/>
      <c r="AG137" s="9" t="n"/>
      <c r="AH137" s="9" t="n"/>
      <c r="AI137" s="9" t="n"/>
      <c r="AJ137" s="8" t="n"/>
      <c r="AK137" s="9" t="n"/>
      <c r="AL137" s="9" t="n"/>
      <c r="AM137" s="9" t="n"/>
      <c r="AN137" s="9" t="n"/>
      <c r="AO137" s="9" t="n"/>
      <c r="AP137" s="9" t="n"/>
      <c r="AQ137" s="9" t="n"/>
      <c r="AR137" s="9" t="n"/>
      <c r="AS137" s="9" t="n"/>
      <c r="AT137" s="8" t="n"/>
      <c r="AU137" s="8" t="n"/>
      <c r="AV137" s="9" t="n"/>
      <c r="AW137" s="8" t="n"/>
      <c r="AX137" s="9" t="n"/>
      <c r="AY137" s="9" t="n"/>
      <c r="AZ137" s="9" t="n"/>
      <c r="BA137" s="9" t="n"/>
      <c r="BB137" s="9" t="n"/>
      <c r="BC137" s="9" t="n"/>
      <c r="BD137" s="9" t="n"/>
      <c r="BE137" s="9" t="n"/>
      <c r="BF137" s="9" t="n"/>
      <c r="BG137" s="9" t="n"/>
      <c r="BH137" s="9" t="n"/>
      <c r="BI137" s="9" t="n"/>
      <c r="BJ137" s="9" t="n"/>
      <c r="BK137" s="9" t="n"/>
      <c r="BL137" s="9" t="n"/>
      <c r="BM137" s="9" t="n"/>
      <c r="BN137" s="9" t="n"/>
      <c r="BO137" s="8" t="n"/>
      <c r="BP137" s="9" t="n"/>
      <c r="BQ137" s="9" t="n"/>
      <c r="BR137" s="12">
        <f>IF(AND(AI137="Y",AK137="Y",AL137="Y",AM137="Y",AY137="Y",AZ137="Y",BA137="Y",BB137="Y",BC137="Y",BE137&lt;&gt;"Y",AX137&lt;&gt;"Y",BL137&lt;&gt;"Y",IF(AS137="Y",AV137="Y",TRUE)),"Y","N")</f>
        <v/>
      </c>
      <c r="BS137" s="12">
        <f>IF(AND(BR137="Y",OR(AND(BJ137="Y",BM137="Y"),AND(BK137="Y",BN137="Y"),AND(BJ137&lt;&gt;"Y",BK137&lt;&gt;"Y",OR(BM137="Y",BN137="Y")))),"Y","N")</f>
        <v/>
      </c>
      <c r="BT137" s="10" t="n"/>
      <c r="BU137" s="13" t="n"/>
      <c r="BV137" s="13" t="n"/>
      <c r="BW137" s="13" t="n"/>
      <c r="BX137" s="13" t="n"/>
      <c r="BY137" s="13" t="n"/>
      <c r="BZ137" s="13" t="n"/>
      <c r="CA137" s="14" t="n"/>
      <c r="CB137" s="13" t="n"/>
      <c r="CC137" s="9" t="n"/>
      <c r="CD137" s="9" t="n"/>
      <c r="CE137" s="9" t="n"/>
      <c r="CF137" s="9" t="n"/>
      <c r="CG137" s="9" t="n"/>
      <c r="CH137" s="9" t="n"/>
    </row>
    <row r="138">
      <c r="A138" s="8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8" t="n"/>
      <c r="L138" s="9" t="n"/>
      <c r="M138" s="8" t="n"/>
      <c r="N138" s="8" t="n"/>
      <c r="O138" s="8" t="n"/>
      <c r="P138" s="8" t="n"/>
      <c r="Q138" s="8" t="n"/>
      <c r="R138" s="9" t="n"/>
      <c r="S138" s="9" t="n"/>
      <c r="T138" s="10" t="n"/>
      <c r="U138" s="10" t="n"/>
      <c r="V138" s="9" t="n"/>
      <c r="W138" s="9" t="n"/>
      <c r="X138" s="9" t="n"/>
      <c r="Y138" s="9" t="n"/>
      <c r="Z138" s="11" t="n"/>
      <c r="AA138" s="11" t="n"/>
      <c r="AB138" s="11" t="n"/>
      <c r="AC138" s="11" t="n"/>
      <c r="AD138" s="11" t="n"/>
      <c r="AE138" s="11" t="n"/>
      <c r="AF138" s="9" t="n"/>
      <c r="AG138" s="9" t="n"/>
      <c r="AH138" s="9" t="n"/>
      <c r="AI138" s="9" t="n"/>
      <c r="AJ138" s="8" t="n"/>
      <c r="AK138" s="9" t="n"/>
      <c r="AL138" s="9" t="n"/>
      <c r="AM138" s="9" t="n"/>
      <c r="AN138" s="9" t="n"/>
      <c r="AO138" s="9" t="n"/>
      <c r="AP138" s="9" t="n"/>
      <c r="AQ138" s="9" t="n"/>
      <c r="AR138" s="9" t="n"/>
      <c r="AS138" s="9" t="n"/>
      <c r="AT138" s="8" t="n"/>
      <c r="AU138" s="8" t="n"/>
      <c r="AV138" s="9" t="n"/>
      <c r="AW138" s="8" t="n"/>
      <c r="AX138" s="9" t="n"/>
      <c r="AY138" s="9" t="n"/>
      <c r="AZ138" s="9" t="n"/>
      <c r="BA138" s="9" t="n"/>
      <c r="BB138" s="9" t="n"/>
      <c r="BC138" s="9" t="n"/>
      <c r="BD138" s="9" t="n"/>
      <c r="BE138" s="9" t="n"/>
      <c r="BF138" s="9" t="n"/>
      <c r="BG138" s="9" t="n"/>
      <c r="BH138" s="9" t="n"/>
      <c r="BI138" s="9" t="n"/>
      <c r="BJ138" s="9" t="n"/>
      <c r="BK138" s="9" t="n"/>
      <c r="BL138" s="9" t="n"/>
      <c r="BM138" s="9" t="n"/>
      <c r="BN138" s="9" t="n"/>
      <c r="BO138" s="8" t="n"/>
      <c r="BP138" s="9" t="n"/>
      <c r="BQ138" s="9" t="n"/>
      <c r="BR138" s="12">
        <f>IF(AND(AI138="Y",AK138="Y",AL138="Y",AM138="Y",AY138="Y",AZ138="Y",BA138="Y",BB138="Y",BC138="Y",BE138&lt;&gt;"Y",AX138&lt;&gt;"Y",BL138&lt;&gt;"Y",IF(AS138="Y",AV138="Y",TRUE)),"Y","N")</f>
        <v/>
      </c>
      <c r="BS138" s="12">
        <f>IF(AND(BR138="Y",OR(AND(BJ138="Y",BM138="Y"),AND(BK138="Y",BN138="Y"),AND(BJ138&lt;&gt;"Y",BK138&lt;&gt;"Y",OR(BM138="Y",BN138="Y")))),"Y","N")</f>
        <v/>
      </c>
      <c r="BT138" s="10" t="n"/>
      <c r="BU138" s="13" t="n"/>
      <c r="BV138" s="13" t="n"/>
      <c r="BW138" s="13" t="n"/>
      <c r="BX138" s="13" t="n"/>
      <c r="BY138" s="13" t="n"/>
      <c r="BZ138" s="13" t="n"/>
      <c r="CA138" s="14" t="n"/>
      <c r="CB138" s="13" t="n"/>
      <c r="CC138" s="9" t="n"/>
      <c r="CD138" s="9" t="n"/>
      <c r="CE138" s="9" t="n"/>
      <c r="CF138" s="9" t="n"/>
      <c r="CG138" s="9" t="n"/>
      <c r="CH138" s="9" t="n"/>
    </row>
    <row r="139">
      <c r="A139" s="8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8" t="n"/>
      <c r="L139" s="9" t="n"/>
      <c r="M139" s="8" t="n"/>
      <c r="N139" s="8" t="n"/>
      <c r="O139" s="8" t="n"/>
      <c r="P139" s="8" t="n"/>
      <c r="Q139" s="8" t="n"/>
      <c r="R139" s="9" t="n"/>
      <c r="S139" s="9" t="n"/>
      <c r="T139" s="10" t="n"/>
      <c r="U139" s="10" t="n"/>
      <c r="V139" s="9" t="n"/>
      <c r="W139" s="9" t="n"/>
      <c r="X139" s="9" t="n"/>
      <c r="Y139" s="9" t="n"/>
      <c r="Z139" s="11" t="n"/>
      <c r="AA139" s="11" t="n"/>
      <c r="AB139" s="11" t="n"/>
      <c r="AC139" s="11" t="n"/>
      <c r="AD139" s="11" t="n"/>
      <c r="AE139" s="11" t="n"/>
      <c r="AF139" s="9" t="n"/>
      <c r="AG139" s="9" t="n"/>
      <c r="AH139" s="9" t="n"/>
      <c r="AI139" s="9" t="n"/>
      <c r="AJ139" s="8" t="n"/>
      <c r="AK139" s="9" t="n"/>
      <c r="AL139" s="9" t="n"/>
      <c r="AM139" s="9" t="n"/>
      <c r="AN139" s="9" t="n"/>
      <c r="AO139" s="9" t="n"/>
      <c r="AP139" s="9" t="n"/>
      <c r="AQ139" s="9" t="n"/>
      <c r="AR139" s="9" t="n"/>
      <c r="AS139" s="9" t="n"/>
      <c r="AT139" s="8" t="n"/>
      <c r="AU139" s="8" t="n"/>
      <c r="AV139" s="9" t="n"/>
      <c r="AW139" s="8" t="n"/>
      <c r="AX139" s="9" t="n"/>
      <c r="AY139" s="9" t="n"/>
      <c r="AZ139" s="9" t="n"/>
      <c r="BA139" s="9" t="n"/>
      <c r="BB139" s="9" t="n"/>
      <c r="BC139" s="9" t="n"/>
      <c r="BD139" s="9" t="n"/>
      <c r="BE139" s="9" t="n"/>
      <c r="BF139" s="9" t="n"/>
      <c r="BG139" s="9" t="n"/>
      <c r="BH139" s="9" t="n"/>
      <c r="BI139" s="9" t="n"/>
      <c r="BJ139" s="9" t="n"/>
      <c r="BK139" s="9" t="n"/>
      <c r="BL139" s="9" t="n"/>
      <c r="BM139" s="9" t="n"/>
      <c r="BN139" s="9" t="n"/>
      <c r="BO139" s="8" t="n"/>
      <c r="BP139" s="9" t="n"/>
      <c r="BQ139" s="9" t="n"/>
      <c r="BR139" s="12">
        <f>IF(AND(AI139="Y",AK139="Y",AL139="Y",AM139="Y",AY139="Y",AZ139="Y",BA139="Y",BB139="Y",BC139="Y",BE139&lt;&gt;"Y",AX139&lt;&gt;"Y",BL139&lt;&gt;"Y",IF(AS139="Y",AV139="Y",TRUE)),"Y","N")</f>
        <v/>
      </c>
      <c r="BS139" s="12">
        <f>IF(AND(BR139="Y",OR(AND(BJ139="Y",BM139="Y"),AND(BK139="Y",BN139="Y"),AND(BJ139&lt;&gt;"Y",BK139&lt;&gt;"Y",OR(BM139="Y",BN139="Y")))),"Y","N")</f>
        <v/>
      </c>
      <c r="BT139" s="10" t="n"/>
      <c r="BU139" s="13" t="n"/>
      <c r="BV139" s="13" t="n"/>
      <c r="BW139" s="13" t="n"/>
      <c r="BX139" s="13" t="n"/>
      <c r="BY139" s="13" t="n"/>
      <c r="BZ139" s="13" t="n"/>
      <c r="CA139" s="14" t="n"/>
      <c r="CB139" s="13" t="n"/>
      <c r="CC139" s="9" t="n"/>
      <c r="CD139" s="9" t="n"/>
      <c r="CE139" s="9" t="n"/>
      <c r="CF139" s="9" t="n"/>
      <c r="CG139" s="9" t="n"/>
      <c r="CH139" s="9" t="n"/>
    </row>
    <row r="140">
      <c r="A140" s="8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8" t="n"/>
      <c r="L140" s="9" t="n"/>
      <c r="M140" s="8" t="n"/>
      <c r="N140" s="8" t="n"/>
      <c r="O140" s="8" t="n"/>
      <c r="P140" s="8" t="n"/>
      <c r="Q140" s="8" t="n"/>
      <c r="R140" s="9" t="n"/>
      <c r="S140" s="9" t="n"/>
      <c r="T140" s="10" t="n"/>
      <c r="U140" s="10" t="n"/>
      <c r="V140" s="9" t="n"/>
      <c r="W140" s="9" t="n"/>
      <c r="X140" s="9" t="n"/>
      <c r="Y140" s="9" t="n"/>
      <c r="Z140" s="11" t="n"/>
      <c r="AA140" s="11" t="n"/>
      <c r="AB140" s="11" t="n"/>
      <c r="AC140" s="11" t="n"/>
      <c r="AD140" s="11" t="n"/>
      <c r="AE140" s="11" t="n"/>
      <c r="AF140" s="9" t="n"/>
      <c r="AG140" s="9" t="n"/>
      <c r="AH140" s="9" t="n"/>
      <c r="AI140" s="9" t="n"/>
      <c r="AJ140" s="8" t="n"/>
      <c r="AK140" s="9" t="n"/>
      <c r="AL140" s="9" t="n"/>
      <c r="AM140" s="9" t="n"/>
      <c r="AN140" s="9" t="n"/>
      <c r="AO140" s="9" t="n"/>
      <c r="AP140" s="9" t="n"/>
      <c r="AQ140" s="9" t="n"/>
      <c r="AR140" s="9" t="n"/>
      <c r="AS140" s="9" t="n"/>
      <c r="AT140" s="8" t="n"/>
      <c r="AU140" s="8" t="n"/>
      <c r="AV140" s="9" t="n"/>
      <c r="AW140" s="8" t="n"/>
      <c r="AX140" s="9" t="n"/>
      <c r="AY140" s="9" t="n"/>
      <c r="AZ140" s="9" t="n"/>
      <c r="BA140" s="9" t="n"/>
      <c r="BB140" s="9" t="n"/>
      <c r="BC140" s="9" t="n"/>
      <c r="BD140" s="9" t="n"/>
      <c r="BE140" s="9" t="n"/>
      <c r="BF140" s="9" t="n"/>
      <c r="BG140" s="9" t="n"/>
      <c r="BH140" s="9" t="n"/>
      <c r="BI140" s="9" t="n"/>
      <c r="BJ140" s="9" t="n"/>
      <c r="BK140" s="9" t="n"/>
      <c r="BL140" s="9" t="n"/>
      <c r="BM140" s="9" t="n"/>
      <c r="BN140" s="9" t="n"/>
      <c r="BO140" s="8" t="n"/>
      <c r="BP140" s="9" t="n"/>
      <c r="BQ140" s="9" t="n"/>
      <c r="BR140" s="12">
        <f>IF(AND(AI140="Y",AK140="Y",AL140="Y",AM140="Y",AY140="Y",AZ140="Y",BA140="Y",BB140="Y",BC140="Y",BE140&lt;&gt;"Y",AX140&lt;&gt;"Y",BL140&lt;&gt;"Y",IF(AS140="Y",AV140="Y",TRUE)),"Y","N")</f>
        <v/>
      </c>
      <c r="BS140" s="12">
        <f>IF(AND(BR140="Y",OR(AND(BJ140="Y",BM140="Y"),AND(BK140="Y",BN140="Y"),AND(BJ140&lt;&gt;"Y",BK140&lt;&gt;"Y",OR(BM140="Y",BN140="Y")))),"Y","N")</f>
        <v/>
      </c>
      <c r="BT140" s="10" t="n"/>
      <c r="BU140" s="13" t="n"/>
      <c r="BV140" s="13" t="n"/>
      <c r="BW140" s="13" t="n"/>
      <c r="BX140" s="13" t="n"/>
      <c r="BY140" s="13" t="n"/>
      <c r="BZ140" s="13" t="n"/>
      <c r="CA140" s="14" t="n"/>
      <c r="CB140" s="13" t="n"/>
      <c r="CC140" s="9" t="n"/>
      <c r="CD140" s="9" t="n"/>
      <c r="CE140" s="9" t="n"/>
      <c r="CF140" s="9" t="n"/>
      <c r="CG140" s="9" t="n"/>
      <c r="CH140" s="9" t="n"/>
    </row>
    <row r="141">
      <c r="A141" s="8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8" t="n"/>
      <c r="L141" s="9" t="n"/>
      <c r="M141" s="8" t="n"/>
      <c r="N141" s="8" t="n"/>
      <c r="O141" s="8" t="n"/>
      <c r="P141" s="8" t="n"/>
      <c r="Q141" s="8" t="n"/>
      <c r="R141" s="9" t="n"/>
      <c r="S141" s="9" t="n"/>
      <c r="T141" s="10" t="n"/>
      <c r="U141" s="10" t="n"/>
      <c r="V141" s="9" t="n"/>
      <c r="W141" s="9" t="n"/>
      <c r="X141" s="9" t="n"/>
      <c r="Y141" s="9" t="n"/>
      <c r="Z141" s="11" t="n"/>
      <c r="AA141" s="11" t="n"/>
      <c r="AB141" s="11" t="n"/>
      <c r="AC141" s="11" t="n"/>
      <c r="AD141" s="11" t="n"/>
      <c r="AE141" s="11" t="n"/>
      <c r="AF141" s="9" t="n"/>
      <c r="AG141" s="9" t="n"/>
      <c r="AH141" s="9" t="n"/>
      <c r="AI141" s="9" t="n"/>
      <c r="AJ141" s="8" t="n"/>
      <c r="AK141" s="9" t="n"/>
      <c r="AL141" s="9" t="n"/>
      <c r="AM141" s="9" t="n"/>
      <c r="AN141" s="9" t="n"/>
      <c r="AO141" s="9" t="n"/>
      <c r="AP141" s="9" t="n"/>
      <c r="AQ141" s="9" t="n"/>
      <c r="AR141" s="9" t="n"/>
      <c r="AS141" s="9" t="n"/>
      <c r="AT141" s="8" t="n"/>
      <c r="AU141" s="8" t="n"/>
      <c r="AV141" s="9" t="n"/>
      <c r="AW141" s="8" t="n"/>
      <c r="AX141" s="9" t="n"/>
      <c r="AY141" s="9" t="n"/>
      <c r="AZ141" s="9" t="n"/>
      <c r="BA141" s="9" t="n"/>
      <c r="BB141" s="9" t="n"/>
      <c r="BC141" s="9" t="n"/>
      <c r="BD141" s="9" t="n"/>
      <c r="BE141" s="9" t="n"/>
      <c r="BF141" s="9" t="n"/>
      <c r="BG141" s="9" t="n"/>
      <c r="BH141" s="9" t="n"/>
      <c r="BI141" s="9" t="n"/>
      <c r="BJ141" s="9" t="n"/>
      <c r="BK141" s="9" t="n"/>
      <c r="BL141" s="9" t="n"/>
      <c r="BM141" s="9" t="n"/>
      <c r="BN141" s="9" t="n"/>
      <c r="BO141" s="8" t="n"/>
      <c r="BP141" s="9" t="n"/>
      <c r="BQ141" s="9" t="n"/>
      <c r="BR141" s="12">
        <f>IF(AND(AI141="Y",AK141="Y",AL141="Y",AM141="Y",AY141="Y",AZ141="Y",BA141="Y",BB141="Y",BC141="Y",BE141&lt;&gt;"Y",AX141&lt;&gt;"Y",BL141&lt;&gt;"Y",IF(AS141="Y",AV141="Y",TRUE)),"Y","N")</f>
        <v/>
      </c>
      <c r="BS141" s="12">
        <f>IF(AND(BR141="Y",OR(AND(BJ141="Y",BM141="Y"),AND(BK141="Y",BN141="Y"),AND(BJ141&lt;&gt;"Y",BK141&lt;&gt;"Y",OR(BM141="Y",BN141="Y")))),"Y","N")</f>
        <v/>
      </c>
      <c r="BT141" s="10" t="n"/>
      <c r="BU141" s="13" t="n"/>
      <c r="BV141" s="13" t="n"/>
      <c r="BW141" s="13" t="n"/>
      <c r="BX141" s="13" t="n"/>
      <c r="BY141" s="13" t="n"/>
      <c r="BZ141" s="13" t="n"/>
      <c r="CA141" s="14" t="n"/>
      <c r="CB141" s="13" t="n"/>
      <c r="CC141" s="9" t="n"/>
      <c r="CD141" s="9" t="n"/>
      <c r="CE141" s="9" t="n"/>
      <c r="CF141" s="9" t="n"/>
      <c r="CG141" s="9" t="n"/>
      <c r="CH141" s="9" t="n"/>
    </row>
    <row r="142">
      <c r="A142" s="8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8" t="n"/>
      <c r="L142" s="9" t="n"/>
      <c r="M142" s="8" t="n"/>
      <c r="N142" s="8" t="n"/>
      <c r="O142" s="8" t="n"/>
      <c r="P142" s="8" t="n"/>
      <c r="Q142" s="8" t="n"/>
      <c r="R142" s="9" t="n"/>
      <c r="S142" s="9" t="n"/>
      <c r="T142" s="10" t="n"/>
      <c r="U142" s="10" t="n"/>
      <c r="V142" s="9" t="n"/>
      <c r="W142" s="9" t="n"/>
      <c r="X142" s="9" t="n"/>
      <c r="Y142" s="9" t="n"/>
      <c r="Z142" s="11" t="n"/>
      <c r="AA142" s="11" t="n"/>
      <c r="AB142" s="11" t="n"/>
      <c r="AC142" s="11" t="n"/>
      <c r="AD142" s="11" t="n"/>
      <c r="AE142" s="11" t="n"/>
      <c r="AF142" s="9" t="n"/>
      <c r="AG142" s="9" t="n"/>
      <c r="AH142" s="9" t="n"/>
      <c r="AI142" s="9" t="n"/>
      <c r="AJ142" s="8" t="n"/>
      <c r="AK142" s="9" t="n"/>
      <c r="AL142" s="9" t="n"/>
      <c r="AM142" s="9" t="n"/>
      <c r="AN142" s="9" t="n"/>
      <c r="AO142" s="9" t="n"/>
      <c r="AP142" s="9" t="n"/>
      <c r="AQ142" s="9" t="n"/>
      <c r="AR142" s="9" t="n"/>
      <c r="AS142" s="9" t="n"/>
      <c r="AT142" s="8" t="n"/>
      <c r="AU142" s="8" t="n"/>
      <c r="AV142" s="9" t="n"/>
      <c r="AW142" s="8" t="n"/>
      <c r="AX142" s="9" t="n"/>
      <c r="AY142" s="9" t="n"/>
      <c r="AZ142" s="9" t="n"/>
      <c r="BA142" s="9" t="n"/>
      <c r="BB142" s="9" t="n"/>
      <c r="BC142" s="9" t="n"/>
      <c r="BD142" s="9" t="n"/>
      <c r="BE142" s="9" t="n"/>
      <c r="BF142" s="9" t="n"/>
      <c r="BG142" s="9" t="n"/>
      <c r="BH142" s="9" t="n"/>
      <c r="BI142" s="9" t="n"/>
      <c r="BJ142" s="9" t="n"/>
      <c r="BK142" s="9" t="n"/>
      <c r="BL142" s="9" t="n"/>
      <c r="BM142" s="9" t="n"/>
      <c r="BN142" s="9" t="n"/>
      <c r="BO142" s="8" t="n"/>
      <c r="BP142" s="9" t="n"/>
      <c r="BQ142" s="9" t="n"/>
      <c r="BR142" s="12">
        <f>IF(AND(AI142="Y",AK142="Y",AL142="Y",AM142="Y",AY142="Y",AZ142="Y",BA142="Y",BB142="Y",BC142="Y",BE142&lt;&gt;"Y",AX142&lt;&gt;"Y",BL142&lt;&gt;"Y",IF(AS142="Y",AV142="Y",TRUE)),"Y","N")</f>
        <v/>
      </c>
      <c r="BS142" s="12">
        <f>IF(AND(BR142="Y",OR(AND(BJ142="Y",BM142="Y"),AND(BK142="Y",BN142="Y"),AND(BJ142&lt;&gt;"Y",BK142&lt;&gt;"Y",OR(BM142="Y",BN142="Y")))),"Y","N")</f>
        <v/>
      </c>
      <c r="BT142" s="10" t="n"/>
      <c r="BU142" s="13" t="n"/>
      <c r="BV142" s="13" t="n"/>
      <c r="BW142" s="13" t="n"/>
      <c r="BX142" s="13" t="n"/>
      <c r="BY142" s="13" t="n"/>
      <c r="BZ142" s="13" t="n"/>
      <c r="CA142" s="14" t="n"/>
      <c r="CB142" s="13" t="n"/>
      <c r="CC142" s="9" t="n"/>
      <c r="CD142" s="9" t="n"/>
      <c r="CE142" s="9" t="n"/>
      <c r="CF142" s="9" t="n"/>
      <c r="CG142" s="9" t="n"/>
      <c r="CH142" s="9" t="n"/>
    </row>
    <row r="143">
      <c r="A143" s="8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8" t="n"/>
      <c r="L143" s="9" t="n"/>
      <c r="M143" s="8" t="n"/>
      <c r="N143" s="8" t="n"/>
      <c r="O143" s="8" t="n"/>
      <c r="P143" s="8" t="n"/>
      <c r="Q143" s="8" t="n"/>
      <c r="R143" s="9" t="n"/>
      <c r="S143" s="9" t="n"/>
      <c r="T143" s="10" t="n"/>
      <c r="U143" s="10" t="n"/>
      <c r="V143" s="9" t="n"/>
      <c r="W143" s="9" t="n"/>
      <c r="X143" s="9" t="n"/>
      <c r="Y143" s="9" t="n"/>
      <c r="Z143" s="11" t="n"/>
      <c r="AA143" s="11" t="n"/>
      <c r="AB143" s="11" t="n"/>
      <c r="AC143" s="11" t="n"/>
      <c r="AD143" s="11" t="n"/>
      <c r="AE143" s="11" t="n"/>
      <c r="AF143" s="9" t="n"/>
      <c r="AG143" s="9" t="n"/>
      <c r="AH143" s="9" t="n"/>
      <c r="AI143" s="9" t="n"/>
      <c r="AJ143" s="8" t="n"/>
      <c r="AK143" s="9" t="n"/>
      <c r="AL143" s="9" t="n"/>
      <c r="AM143" s="9" t="n"/>
      <c r="AN143" s="9" t="n"/>
      <c r="AO143" s="9" t="n"/>
      <c r="AP143" s="9" t="n"/>
      <c r="AQ143" s="9" t="n"/>
      <c r="AR143" s="9" t="n"/>
      <c r="AS143" s="9" t="n"/>
      <c r="AT143" s="8" t="n"/>
      <c r="AU143" s="8" t="n"/>
      <c r="AV143" s="9" t="n"/>
      <c r="AW143" s="8" t="n"/>
      <c r="AX143" s="9" t="n"/>
      <c r="AY143" s="9" t="n"/>
      <c r="AZ143" s="9" t="n"/>
      <c r="BA143" s="9" t="n"/>
      <c r="BB143" s="9" t="n"/>
      <c r="BC143" s="9" t="n"/>
      <c r="BD143" s="9" t="n"/>
      <c r="BE143" s="9" t="n"/>
      <c r="BF143" s="9" t="n"/>
      <c r="BG143" s="9" t="n"/>
      <c r="BH143" s="9" t="n"/>
      <c r="BI143" s="9" t="n"/>
      <c r="BJ143" s="9" t="n"/>
      <c r="BK143" s="9" t="n"/>
      <c r="BL143" s="9" t="n"/>
      <c r="BM143" s="9" t="n"/>
      <c r="BN143" s="9" t="n"/>
      <c r="BO143" s="8" t="n"/>
      <c r="BP143" s="9" t="n"/>
      <c r="BQ143" s="9" t="n"/>
      <c r="BR143" s="12">
        <f>IF(AND(AI143="Y",AK143="Y",AL143="Y",AM143="Y",AY143="Y",AZ143="Y",BA143="Y",BB143="Y",BC143="Y",BE143&lt;&gt;"Y",AX143&lt;&gt;"Y",BL143&lt;&gt;"Y",IF(AS143="Y",AV143="Y",TRUE)),"Y","N")</f>
        <v/>
      </c>
      <c r="BS143" s="12">
        <f>IF(AND(BR143="Y",OR(AND(BJ143="Y",BM143="Y"),AND(BK143="Y",BN143="Y"),AND(BJ143&lt;&gt;"Y",BK143&lt;&gt;"Y",OR(BM143="Y",BN143="Y")))),"Y","N")</f>
        <v/>
      </c>
      <c r="BT143" s="10" t="n"/>
      <c r="BU143" s="13" t="n"/>
      <c r="BV143" s="13" t="n"/>
      <c r="BW143" s="13" t="n"/>
      <c r="BX143" s="13" t="n"/>
      <c r="BY143" s="13" t="n"/>
      <c r="BZ143" s="13" t="n"/>
      <c r="CA143" s="14" t="n"/>
      <c r="CB143" s="13" t="n"/>
      <c r="CC143" s="9" t="n"/>
      <c r="CD143" s="9" t="n"/>
      <c r="CE143" s="9" t="n"/>
      <c r="CF143" s="9" t="n"/>
      <c r="CG143" s="9" t="n"/>
      <c r="CH143" s="9" t="n"/>
    </row>
    <row r="144">
      <c r="A144" s="8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8" t="n"/>
      <c r="L144" s="9" t="n"/>
      <c r="M144" s="8" t="n"/>
      <c r="N144" s="8" t="n"/>
      <c r="O144" s="8" t="n"/>
      <c r="P144" s="8" t="n"/>
      <c r="Q144" s="8" t="n"/>
      <c r="R144" s="9" t="n"/>
      <c r="S144" s="9" t="n"/>
      <c r="T144" s="10" t="n"/>
      <c r="U144" s="10" t="n"/>
      <c r="V144" s="9" t="n"/>
      <c r="W144" s="9" t="n"/>
      <c r="X144" s="9" t="n"/>
      <c r="Y144" s="9" t="n"/>
      <c r="Z144" s="11" t="n"/>
      <c r="AA144" s="11" t="n"/>
      <c r="AB144" s="11" t="n"/>
      <c r="AC144" s="11" t="n"/>
      <c r="AD144" s="11" t="n"/>
      <c r="AE144" s="11" t="n"/>
      <c r="AF144" s="9" t="n"/>
      <c r="AG144" s="9" t="n"/>
      <c r="AH144" s="9" t="n"/>
      <c r="AI144" s="9" t="n"/>
      <c r="AJ144" s="8" t="n"/>
      <c r="AK144" s="9" t="n"/>
      <c r="AL144" s="9" t="n"/>
      <c r="AM144" s="9" t="n"/>
      <c r="AN144" s="9" t="n"/>
      <c r="AO144" s="9" t="n"/>
      <c r="AP144" s="9" t="n"/>
      <c r="AQ144" s="9" t="n"/>
      <c r="AR144" s="9" t="n"/>
      <c r="AS144" s="9" t="n"/>
      <c r="AT144" s="8" t="n"/>
      <c r="AU144" s="8" t="n"/>
      <c r="AV144" s="9" t="n"/>
      <c r="AW144" s="8" t="n"/>
      <c r="AX144" s="9" t="n"/>
      <c r="AY144" s="9" t="n"/>
      <c r="AZ144" s="9" t="n"/>
      <c r="BA144" s="9" t="n"/>
      <c r="BB144" s="9" t="n"/>
      <c r="BC144" s="9" t="n"/>
      <c r="BD144" s="9" t="n"/>
      <c r="BE144" s="9" t="n"/>
      <c r="BF144" s="9" t="n"/>
      <c r="BG144" s="9" t="n"/>
      <c r="BH144" s="9" t="n"/>
      <c r="BI144" s="9" t="n"/>
      <c r="BJ144" s="9" t="n"/>
      <c r="BK144" s="9" t="n"/>
      <c r="BL144" s="9" t="n"/>
      <c r="BM144" s="9" t="n"/>
      <c r="BN144" s="9" t="n"/>
      <c r="BO144" s="8" t="n"/>
      <c r="BP144" s="9" t="n"/>
      <c r="BQ144" s="9" t="n"/>
      <c r="BR144" s="12">
        <f>IF(AND(AI144="Y",AK144="Y",AL144="Y",AM144="Y",AY144="Y",AZ144="Y",BA144="Y",BB144="Y",BC144="Y",BE144&lt;&gt;"Y",AX144&lt;&gt;"Y",BL144&lt;&gt;"Y",IF(AS144="Y",AV144="Y",TRUE)),"Y","N")</f>
        <v/>
      </c>
      <c r="BS144" s="12">
        <f>IF(AND(BR144="Y",OR(AND(BJ144="Y",BM144="Y"),AND(BK144="Y",BN144="Y"),AND(BJ144&lt;&gt;"Y",BK144&lt;&gt;"Y",OR(BM144="Y",BN144="Y")))),"Y","N")</f>
        <v/>
      </c>
      <c r="BT144" s="10" t="n"/>
      <c r="BU144" s="13" t="n"/>
      <c r="BV144" s="13" t="n"/>
      <c r="BW144" s="13" t="n"/>
      <c r="BX144" s="13" t="n"/>
      <c r="BY144" s="13" t="n"/>
      <c r="BZ144" s="13" t="n"/>
      <c r="CA144" s="14" t="n"/>
      <c r="CB144" s="13" t="n"/>
      <c r="CC144" s="9" t="n"/>
      <c r="CD144" s="9" t="n"/>
      <c r="CE144" s="9" t="n"/>
      <c r="CF144" s="9" t="n"/>
      <c r="CG144" s="9" t="n"/>
      <c r="CH144" s="9" t="n"/>
    </row>
    <row r="145">
      <c r="A145" s="8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8" t="n"/>
      <c r="L145" s="9" t="n"/>
      <c r="M145" s="8" t="n"/>
      <c r="N145" s="8" t="n"/>
      <c r="O145" s="8" t="n"/>
      <c r="P145" s="8" t="n"/>
      <c r="Q145" s="8" t="n"/>
      <c r="R145" s="9" t="n"/>
      <c r="S145" s="9" t="n"/>
      <c r="T145" s="10" t="n"/>
      <c r="U145" s="10" t="n"/>
      <c r="V145" s="9" t="n"/>
      <c r="W145" s="9" t="n"/>
      <c r="X145" s="9" t="n"/>
      <c r="Y145" s="9" t="n"/>
      <c r="Z145" s="11" t="n"/>
      <c r="AA145" s="11" t="n"/>
      <c r="AB145" s="11" t="n"/>
      <c r="AC145" s="11" t="n"/>
      <c r="AD145" s="11" t="n"/>
      <c r="AE145" s="11" t="n"/>
      <c r="AF145" s="9" t="n"/>
      <c r="AG145" s="9" t="n"/>
      <c r="AH145" s="9" t="n"/>
      <c r="AI145" s="9" t="n"/>
      <c r="AJ145" s="8" t="n"/>
      <c r="AK145" s="9" t="n"/>
      <c r="AL145" s="9" t="n"/>
      <c r="AM145" s="9" t="n"/>
      <c r="AN145" s="9" t="n"/>
      <c r="AO145" s="9" t="n"/>
      <c r="AP145" s="9" t="n"/>
      <c r="AQ145" s="9" t="n"/>
      <c r="AR145" s="9" t="n"/>
      <c r="AS145" s="9" t="n"/>
      <c r="AT145" s="8" t="n"/>
      <c r="AU145" s="8" t="n"/>
      <c r="AV145" s="9" t="n"/>
      <c r="AW145" s="8" t="n"/>
      <c r="AX145" s="9" t="n"/>
      <c r="AY145" s="9" t="n"/>
      <c r="AZ145" s="9" t="n"/>
      <c r="BA145" s="9" t="n"/>
      <c r="BB145" s="9" t="n"/>
      <c r="BC145" s="9" t="n"/>
      <c r="BD145" s="9" t="n"/>
      <c r="BE145" s="9" t="n"/>
      <c r="BF145" s="9" t="n"/>
      <c r="BG145" s="9" t="n"/>
      <c r="BH145" s="9" t="n"/>
      <c r="BI145" s="9" t="n"/>
      <c r="BJ145" s="9" t="n"/>
      <c r="BK145" s="9" t="n"/>
      <c r="BL145" s="9" t="n"/>
      <c r="BM145" s="9" t="n"/>
      <c r="BN145" s="9" t="n"/>
      <c r="BO145" s="8" t="n"/>
      <c r="BP145" s="9" t="n"/>
      <c r="BQ145" s="9" t="n"/>
      <c r="BR145" s="12">
        <f>IF(AND(AI145="Y",AK145="Y",AL145="Y",AM145="Y",AY145="Y",AZ145="Y",BA145="Y",BB145="Y",BC145="Y",BE145&lt;&gt;"Y",AX145&lt;&gt;"Y",BL145&lt;&gt;"Y",IF(AS145="Y",AV145="Y",TRUE)),"Y","N")</f>
        <v/>
      </c>
      <c r="BS145" s="12">
        <f>IF(AND(BR145="Y",OR(AND(BJ145="Y",BM145="Y"),AND(BK145="Y",BN145="Y"),AND(BJ145&lt;&gt;"Y",BK145&lt;&gt;"Y",OR(BM145="Y",BN145="Y")))),"Y","N")</f>
        <v/>
      </c>
      <c r="BT145" s="10" t="n"/>
      <c r="BU145" s="13" t="n"/>
      <c r="BV145" s="13" t="n"/>
      <c r="BW145" s="13" t="n"/>
      <c r="BX145" s="13" t="n"/>
      <c r="BY145" s="13" t="n"/>
      <c r="BZ145" s="13" t="n"/>
      <c r="CA145" s="14" t="n"/>
      <c r="CB145" s="13" t="n"/>
      <c r="CC145" s="9" t="n"/>
      <c r="CD145" s="9" t="n"/>
      <c r="CE145" s="9" t="n"/>
      <c r="CF145" s="9" t="n"/>
      <c r="CG145" s="9" t="n"/>
      <c r="CH145" s="9" t="n"/>
    </row>
    <row r="146">
      <c r="A146" s="8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8" t="n"/>
      <c r="L146" s="9" t="n"/>
      <c r="M146" s="8" t="n"/>
      <c r="N146" s="8" t="n"/>
      <c r="O146" s="8" t="n"/>
      <c r="P146" s="8" t="n"/>
      <c r="Q146" s="8" t="n"/>
      <c r="R146" s="9" t="n"/>
      <c r="S146" s="9" t="n"/>
      <c r="T146" s="10" t="n"/>
      <c r="U146" s="10" t="n"/>
      <c r="V146" s="9" t="n"/>
      <c r="W146" s="9" t="n"/>
      <c r="X146" s="9" t="n"/>
      <c r="Y146" s="9" t="n"/>
      <c r="Z146" s="11" t="n"/>
      <c r="AA146" s="11" t="n"/>
      <c r="AB146" s="11" t="n"/>
      <c r="AC146" s="11" t="n"/>
      <c r="AD146" s="11" t="n"/>
      <c r="AE146" s="11" t="n"/>
      <c r="AF146" s="9" t="n"/>
      <c r="AG146" s="9" t="n"/>
      <c r="AH146" s="9" t="n"/>
      <c r="AI146" s="9" t="n"/>
      <c r="AJ146" s="8" t="n"/>
      <c r="AK146" s="9" t="n"/>
      <c r="AL146" s="9" t="n"/>
      <c r="AM146" s="9" t="n"/>
      <c r="AN146" s="9" t="n"/>
      <c r="AO146" s="9" t="n"/>
      <c r="AP146" s="9" t="n"/>
      <c r="AQ146" s="9" t="n"/>
      <c r="AR146" s="9" t="n"/>
      <c r="AS146" s="9" t="n"/>
      <c r="AT146" s="8" t="n"/>
      <c r="AU146" s="8" t="n"/>
      <c r="AV146" s="9" t="n"/>
      <c r="AW146" s="8" t="n"/>
      <c r="AX146" s="9" t="n"/>
      <c r="AY146" s="9" t="n"/>
      <c r="AZ146" s="9" t="n"/>
      <c r="BA146" s="9" t="n"/>
      <c r="BB146" s="9" t="n"/>
      <c r="BC146" s="9" t="n"/>
      <c r="BD146" s="9" t="n"/>
      <c r="BE146" s="9" t="n"/>
      <c r="BF146" s="9" t="n"/>
      <c r="BG146" s="9" t="n"/>
      <c r="BH146" s="9" t="n"/>
      <c r="BI146" s="9" t="n"/>
      <c r="BJ146" s="9" t="n"/>
      <c r="BK146" s="9" t="n"/>
      <c r="BL146" s="9" t="n"/>
      <c r="BM146" s="9" t="n"/>
      <c r="BN146" s="9" t="n"/>
      <c r="BO146" s="8" t="n"/>
      <c r="BP146" s="9" t="n"/>
      <c r="BQ146" s="9" t="n"/>
      <c r="BR146" s="12">
        <f>IF(AND(AI146="Y",AK146="Y",AL146="Y",AM146="Y",AY146="Y",AZ146="Y",BA146="Y",BB146="Y",BC146="Y",BE146&lt;&gt;"Y",AX146&lt;&gt;"Y",BL146&lt;&gt;"Y",IF(AS146="Y",AV146="Y",TRUE)),"Y","N")</f>
        <v/>
      </c>
      <c r="BS146" s="12">
        <f>IF(AND(BR146="Y",OR(AND(BJ146="Y",BM146="Y"),AND(BK146="Y",BN146="Y"),AND(BJ146&lt;&gt;"Y",BK146&lt;&gt;"Y",OR(BM146="Y",BN146="Y")))),"Y","N")</f>
        <v/>
      </c>
      <c r="BT146" s="10" t="n"/>
      <c r="BU146" s="13" t="n"/>
      <c r="BV146" s="13" t="n"/>
      <c r="BW146" s="13" t="n"/>
      <c r="BX146" s="13" t="n"/>
      <c r="BY146" s="13" t="n"/>
      <c r="BZ146" s="13" t="n"/>
      <c r="CA146" s="14" t="n"/>
      <c r="CB146" s="13" t="n"/>
      <c r="CC146" s="9" t="n"/>
      <c r="CD146" s="9" t="n"/>
      <c r="CE146" s="9" t="n"/>
      <c r="CF146" s="9" t="n"/>
      <c r="CG146" s="9" t="n"/>
      <c r="CH146" s="9" t="n"/>
    </row>
    <row r="147">
      <c r="A147" s="8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8" t="n"/>
      <c r="L147" s="9" t="n"/>
      <c r="M147" s="8" t="n"/>
      <c r="N147" s="8" t="n"/>
      <c r="O147" s="8" t="n"/>
      <c r="P147" s="8" t="n"/>
      <c r="Q147" s="8" t="n"/>
      <c r="R147" s="9" t="n"/>
      <c r="S147" s="9" t="n"/>
      <c r="T147" s="10" t="n"/>
      <c r="U147" s="10" t="n"/>
      <c r="V147" s="9" t="n"/>
      <c r="W147" s="9" t="n"/>
      <c r="X147" s="9" t="n"/>
      <c r="Y147" s="9" t="n"/>
      <c r="Z147" s="11" t="n"/>
      <c r="AA147" s="11" t="n"/>
      <c r="AB147" s="11" t="n"/>
      <c r="AC147" s="11" t="n"/>
      <c r="AD147" s="11" t="n"/>
      <c r="AE147" s="11" t="n"/>
      <c r="AF147" s="9" t="n"/>
      <c r="AG147" s="9" t="n"/>
      <c r="AH147" s="9" t="n"/>
      <c r="AI147" s="9" t="n"/>
      <c r="AJ147" s="8" t="n"/>
      <c r="AK147" s="9" t="n"/>
      <c r="AL147" s="9" t="n"/>
      <c r="AM147" s="9" t="n"/>
      <c r="AN147" s="9" t="n"/>
      <c r="AO147" s="9" t="n"/>
      <c r="AP147" s="9" t="n"/>
      <c r="AQ147" s="9" t="n"/>
      <c r="AR147" s="9" t="n"/>
      <c r="AS147" s="9" t="n"/>
      <c r="AT147" s="8" t="n"/>
      <c r="AU147" s="8" t="n"/>
      <c r="AV147" s="9" t="n"/>
      <c r="AW147" s="8" t="n"/>
      <c r="AX147" s="9" t="n"/>
      <c r="AY147" s="9" t="n"/>
      <c r="AZ147" s="9" t="n"/>
      <c r="BA147" s="9" t="n"/>
      <c r="BB147" s="9" t="n"/>
      <c r="BC147" s="9" t="n"/>
      <c r="BD147" s="9" t="n"/>
      <c r="BE147" s="9" t="n"/>
      <c r="BF147" s="9" t="n"/>
      <c r="BG147" s="9" t="n"/>
      <c r="BH147" s="9" t="n"/>
      <c r="BI147" s="9" t="n"/>
      <c r="BJ147" s="9" t="n"/>
      <c r="BK147" s="9" t="n"/>
      <c r="BL147" s="9" t="n"/>
      <c r="BM147" s="9" t="n"/>
      <c r="BN147" s="9" t="n"/>
      <c r="BO147" s="8" t="n"/>
      <c r="BP147" s="9" t="n"/>
      <c r="BQ147" s="9" t="n"/>
      <c r="BR147" s="12">
        <f>IF(AND(AI147="Y",AK147="Y",AL147="Y",AM147="Y",AY147="Y",AZ147="Y",BA147="Y",BB147="Y",BC147="Y",BE147&lt;&gt;"Y",AX147&lt;&gt;"Y",BL147&lt;&gt;"Y",IF(AS147="Y",AV147="Y",TRUE)),"Y","N")</f>
        <v/>
      </c>
      <c r="BS147" s="12">
        <f>IF(AND(BR147="Y",OR(AND(BJ147="Y",BM147="Y"),AND(BK147="Y",BN147="Y"),AND(BJ147&lt;&gt;"Y",BK147&lt;&gt;"Y",OR(BM147="Y",BN147="Y")))),"Y","N")</f>
        <v/>
      </c>
      <c r="BT147" s="10" t="n"/>
      <c r="BU147" s="13" t="n"/>
      <c r="BV147" s="13" t="n"/>
      <c r="BW147" s="13" t="n"/>
      <c r="BX147" s="13" t="n"/>
      <c r="BY147" s="13" t="n"/>
      <c r="BZ147" s="13" t="n"/>
      <c r="CA147" s="14" t="n"/>
      <c r="CB147" s="13" t="n"/>
      <c r="CC147" s="9" t="n"/>
      <c r="CD147" s="9" t="n"/>
      <c r="CE147" s="9" t="n"/>
      <c r="CF147" s="9" t="n"/>
      <c r="CG147" s="9" t="n"/>
      <c r="CH147" s="9" t="n"/>
    </row>
    <row r="148">
      <c r="A148" s="8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8" t="n"/>
      <c r="L148" s="9" t="n"/>
      <c r="M148" s="8" t="n"/>
      <c r="N148" s="8" t="n"/>
      <c r="O148" s="8" t="n"/>
      <c r="P148" s="8" t="n"/>
      <c r="Q148" s="8" t="n"/>
      <c r="R148" s="9" t="n"/>
      <c r="S148" s="9" t="n"/>
      <c r="T148" s="10" t="n"/>
      <c r="U148" s="10" t="n"/>
      <c r="V148" s="9" t="n"/>
      <c r="W148" s="9" t="n"/>
      <c r="X148" s="9" t="n"/>
      <c r="Y148" s="9" t="n"/>
      <c r="Z148" s="11" t="n"/>
      <c r="AA148" s="11" t="n"/>
      <c r="AB148" s="11" t="n"/>
      <c r="AC148" s="11" t="n"/>
      <c r="AD148" s="11" t="n"/>
      <c r="AE148" s="11" t="n"/>
      <c r="AF148" s="9" t="n"/>
      <c r="AG148" s="9" t="n"/>
      <c r="AH148" s="9" t="n"/>
      <c r="AI148" s="9" t="n"/>
      <c r="AJ148" s="8" t="n"/>
      <c r="AK148" s="9" t="n"/>
      <c r="AL148" s="9" t="n"/>
      <c r="AM148" s="9" t="n"/>
      <c r="AN148" s="9" t="n"/>
      <c r="AO148" s="9" t="n"/>
      <c r="AP148" s="9" t="n"/>
      <c r="AQ148" s="9" t="n"/>
      <c r="AR148" s="9" t="n"/>
      <c r="AS148" s="9" t="n"/>
      <c r="AT148" s="8" t="n"/>
      <c r="AU148" s="8" t="n"/>
      <c r="AV148" s="9" t="n"/>
      <c r="AW148" s="8" t="n"/>
      <c r="AX148" s="9" t="n"/>
      <c r="AY148" s="9" t="n"/>
      <c r="AZ148" s="9" t="n"/>
      <c r="BA148" s="9" t="n"/>
      <c r="BB148" s="9" t="n"/>
      <c r="BC148" s="9" t="n"/>
      <c r="BD148" s="9" t="n"/>
      <c r="BE148" s="9" t="n"/>
      <c r="BF148" s="9" t="n"/>
      <c r="BG148" s="9" t="n"/>
      <c r="BH148" s="9" t="n"/>
      <c r="BI148" s="9" t="n"/>
      <c r="BJ148" s="9" t="n"/>
      <c r="BK148" s="9" t="n"/>
      <c r="BL148" s="9" t="n"/>
      <c r="BM148" s="9" t="n"/>
      <c r="BN148" s="9" t="n"/>
      <c r="BO148" s="8" t="n"/>
      <c r="BP148" s="9" t="n"/>
      <c r="BQ148" s="9" t="n"/>
      <c r="BR148" s="12">
        <f>IF(AND(AI148="Y",AK148="Y",AL148="Y",AM148="Y",AY148="Y",AZ148="Y",BA148="Y",BB148="Y",BC148="Y",BE148&lt;&gt;"Y",AX148&lt;&gt;"Y",BL148&lt;&gt;"Y",IF(AS148="Y",AV148="Y",TRUE)),"Y","N")</f>
        <v/>
      </c>
      <c r="BS148" s="12">
        <f>IF(AND(BR148="Y",OR(AND(BJ148="Y",BM148="Y"),AND(BK148="Y",BN148="Y"),AND(BJ148&lt;&gt;"Y",BK148&lt;&gt;"Y",OR(BM148="Y",BN148="Y")))),"Y","N")</f>
        <v/>
      </c>
      <c r="BT148" s="10" t="n"/>
      <c r="BU148" s="13" t="n"/>
      <c r="BV148" s="13" t="n"/>
      <c r="BW148" s="13" t="n"/>
      <c r="BX148" s="13" t="n"/>
      <c r="BY148" s="13" t="n"/>
      <c r="BZ148" s="13" t="n"/>
      <c r="CA148" s="14" t="n"/>
      <c r="CB148" s="13" t="n"/>
      <c r="CC148" s="9" t="n"/>
      <c r="CD148" s="9" t="n"/>
      <c r="CE148" s="9" t="n"/>
      <c r="CF148" s="9" t="n"/>
      <c r="CG148" s="9" t="n"/>
      <c r="CH148" s="9" t="n"/>
    </row>
    <row r="149">
      <c r="A149" s="8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8" t="n"/>
      <c r="L149" s="9" t="n"/>
      <c r="M149" s="8" t="n"/>
      <c r="N149" s="8" t="n"/>
      <c r="O149" s="8" t="n"/>
      <c r="P149" s="8" t="n"/>
      <c r="Q149" s="8" t="n"/>
      <c r="R149" s="9" t="n"/>
      <c r="S149" s="9" t="n"/>
      <c r="T149" s="10" t="n"/>
      <c r="U149" s="10" t="n"/>
      <c r="V149" s="9" t="n"/>
      <c r="W149" s="9" t="n"/>
      <c r="X149" s="9" t="n"/>
      <c r="Y149" s="9" t="n"/>
      <c r="Z149" s="11" t="n"/>
      <c r="AA149" s="11" t="n"/>
      <c r="AB149" s="11" t="n"/>
      <c r="AC149" s="11" t="n"/>
      <c r="AD149" s="11" t="n"/>
      <c r="AE149" s="11" t="n"/>
      <c r="AF149" s="9" t="n"/>
      <c r="AG149" s="9" t="n"/>
      <c r="AH149" s="9" t="n"/>
      <c r="AI149" s="9" t="n"/>
      <c r="AJ149" s="8" t="n"/>
      <c r="AK149" s="9" t="n"/>
      <c r="AL149" s="9" t="n"/>
      <c r="AM149" s="9" t="n"/>
      <c r="AN149" s="9" t="n"/>
      <c r="AO149" s="9" t="n"/>
      <c r="AP149" s="9" t="n"/>
      <c r="AQ149" s="9" t="n"/>
      <c r="AR149" s="9" t="n"/>
      <c r="AS149" s="9" t="n"/>
      <c r="AT149" s="8" t="n"/>
      <c r="AU149" s="8" t="n"/>
      <c r="AV149" s="9" t="n"/>
      <c r="AW149" s="8" t="n"/>
      <c r="AX149" s="9" t="n"/>
      <c r="AY149" s="9" t="n"/>
      <c r="AZ149" s="9" t="n"/>
      <c r="BA149" s="9" t="n"/>
      <c r="BB149" s="9" t="n"/>
      <c r="BC149" s="9" t="n"/>
      <c r="BD149" s="9" t="n"/>
      <c r="BE149" s="9" t="n"/>
      <c r="BF149" s="9" t="n"/>
      <c r="BG149" s="9" t="n"/>
      <c r="BH149" s="9" t="n"/>
      <c r="BI149" s="9" t="n"/>
      <c r="BJ149" s="9" t="n"/>
      <c r="BK149" s="9" t="n"/>
      <c r="BL149" s="9" t="n"/>
      <c r="BM149" s="9" t="n"/>
      <c r="BN149" s="9" t="n"/>
      <c r="BO149" s="8" t="n"/>
      <c r="BP149" s="9" t="n"/>
      <c r="BQ149" s="9" t="n"/>
      <c r="BR149" s="12">
        <f>IF(AND(AI149="Y",AK149="Y",AL149="Y",AM149="Y",AY149="Y",AZ149="Y",BA149="Y",BB149="Y",BC149="Y",BE149&lt;&gt;"Y",AX149&lt;&gt;"Y",BL149&lt;&gt;"Y",IF(AS149="Y",AV149="Y",TRUE)),"Y","N")</f>
        <v/>
      </c>
      <c r="BS149" s="12">
        <f>IF(AND(BR149="Y",OR(AND(BJ149="Y",BM149="Y"),AND(BK149="Y",BN149="Y"),AND(BJ149&lt;&gt;"Y",BK149&lt;&gt;"Y",OR(BM149="Y",BN149="Y")))),"Y","N")</f>
        <v/>
      </c>
      <c r="BT149" s="10" t="n"/>
      <c r="BU149" s="13" t="n"/>
      <c r="BV149" s="13" t="n"/>
      <c r="BW149" s="13" t="n"/>
      <c r="BX149" s="13" t="n"/>
      <c r="BY149" s="13" t="n"/>
      <c r="BZ149" s="13" t="n"/>
      <c r="CA149" s="14" t="n"/>
      <c r="CB149" s="13" t="n"/>
      <c r="CC149" s="9" t="n"/>
      <c r="CD149" s="9" t="n"/>
      <c r="CE149" s="9" t="n"/>
      <c r="CF149" s="9" t="n"/>
      <c r="CG149" s="9" t="n"/>
      <c r="CH149" s="9" t="n"/>
    </row>
    <row r="150">
      <c r="A150" s="8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8" t="n"/>
      <c r="L150" s="9" t="n"/>
      <c r="M150" s="8" t="n"/>
      <c r="N150" s="8" t="n"/>
      <c r="O150" s="8" t="n"/>
      <c r="P150" s="8" t="n"/>
      <c r="Q150" s="8" t="n"/>
      <c r="R150" s="9" t="n"/>
      <c r="S150" s="9" t="n"/>
      <c r="T150" s="10" t="n"/>
      <c r="U150" s="10" t="n"/>
      <c r="V150" s="9" t="n"/>
      <c r="W150" s="9" t="n"/>
      <c r="X150" s="9" t="n"/>
      <c r="Y150" s="9" t="n"/>
      <c r="Z150" s="11" t="n"/>
      <c r="AA150" s="11" t="n"/>
      <c r="AB150" s="11" t="n"/>
      <c r="AC150" s="11" t="n"/>
      <c r="AD150" s="11" t="n"/>
      <c r="AE150" s="11" t="n"/>
      <c r="AF150" s="9" t="n"/>
      <c r="AG150" s="9" t="n"/>
      <c r="AH150" s="9" t="n"/>
      <c r="AI150" s="9" t="n"/>
      <c r="AJ150" s="8" t="n"/>
      <c r="AK150" s="9" t="n"/>
      <c r="AL150" s="9" t="n"/>
      <c r="AM150" s="9" t="n"/>
      <c r="AN150" s="9" t="n"/>
      <c r="AO150" s="9" t="n"/>
      <c r="AP150" s="9" t="n"/>
      <c r="AQ150" s="9" t="n"/>
      <c r="AR150" s="9" t="n"/>
      <c r="AS150" s="9" t="n"/>
      <c r="AT150" s="8" t="n"/>
      <c r="AU150" s="8" t="n"/>
      <c r="AV150" s="9" t="n"/>
      <c r="AW150" s="8" t="n"/>
      <c r="AX150" s="9" t="n"/>
      <c r="AY150" s="9" t="n"/>
      <c r="AZ150" s="9" t="n"/>
      <c r="BA150" s="9" t="n"/>
      <c r="BB150" s="9" t="n"/>
      <c r="BC150" s="9" t="n"/>
      <c r="BD150" s="9" t="n"/>
      <c r="BE150" s="9" t="n"/>
      <c r="BF150" s="9" t="n"/>
      <c r="BG150" s="9" t="n"/>
      <c r="BH150" s="9" t="n"/>
      <c r="BI150" s="9" t="n"/>
      <c r="BJ150" s="9" t="n"/>
      <c r="BK150" s="9" t="n"/>
      <c r="BL150" s="9" t="n"/>
      <c r="BM150" s="9" t="n"/>
      <c r="BN150" s="9" t="n"/>
      <c r="BO150" s="8" t="n"/>
      <c r="BP150" s="9" t="n"/>
      <c r="BQ150" s="9" t="n"/>
      <c r="BR150" s="12">
        <f>IF(AND(AI150="Y",AK150="Y",AL150="Y",AM150="Y",AY150="Y",AZ150="Y",BA150="Y",BB150="Y",BC150="Y",BE150&lt;&gt;"Y",AX150&lt;&gt;"Y",BL150&lt;&gt;"Y",IF(AS150="Y",AV150="Y",TRUE)),"Y","N")</f>
        <v/>
      </c>
      <c r="BS150" s="12">
        <f>IF(AND(BR150="Y",OR(AND(BJ150="Y",BM150="Y"),AND(BK150="Y",BN150="Y"),AND(BJ150&lt;&gt;"Y",BK150&lt;&gt;"Y",OR(BM150="Y",BN150="Y")))),"Y","N")</f>
        <v/>
      </c>
      <c r="BT150" s="10" t="n"/>
      <c r="BU150" s="13" t="n"/>
      <c r="BV150" s="13" t="n"/>
      <c r="BW150" s="13" t="n"/>
      <c r="BX150" s="13" t="n"/>
      <c r="BY150" s="13" t="n"/>
      <c r="BZ150" s="13" t="n"/>
      <c r="CA150" s="14" t="n"/>
      <c r="CB150" s="13" t="n"/>
      <c r="CC150" s="9" t="n"/>
      <c r="CD150" s="9" t="n"/>
      <c r="CE150" s="9" t="n"/>
      <c r="CF150" s="9" t="n"/>
      <c r="CG150" s="9" t="n"/>
      <c r="CH150" s="9" t="n"/>
    </row>
    <row r="151">
      <c r="A151" s="8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8" t="n"/>
      <c r="L151" s="9" t="n"/>
      <c r="M151" s="8" t="n"/>
      <c r="N151" s="8" t="n"/>
      <c r="O151" s="8" t="n"/>
      <c r="P151" s="8" t="n"/>
      <c r="Q151" s="8" t="n"/>
      <c r="R151" s="9" t="n"/>
      <c r="S151" s="9" t="n"/>
      <c r="T151" s="10" t="n"/>
      <c r="U151" s="10" t="n"/>
      <c r="V151" s="9" t="n"/>
      <c r="W151" s="9" t="n"/>
      <c r="X151" s="9" t="n"/>
      <c r="Y151" s="9" t="n"/>
      <c r="Z151" s="11" t="n"/>
      <c r="AA151" s="11" t="n"/>
      <c r="AB151" s="11" t="n"/>
      <c r="AC151" s="11" t="n"/>
      <c r="AD151" s="11" t="n"/>
      <c r="AE151" s="11" t="n"/>
      <c r="AF151" s="9" t="n"/>
      <c r="AG151" s="9" t="n"/>
      <c r="AH151" s="9" t="n"/>
      <c r="AI151" s="9" t="n"/>
      <c r="AJ151" s="8" t="n"/>
      <c r="AK151" s="9" t="n"/>
      <c r="AL151" s="9" t="n"/>
      <c r="AM151" s="9" t="n"/>
      <c r="AN151" s="9" t="n"/>
      <c r="AO151" s="9" t="n"/>
      <c r="AP151" s="9" t="n"/>
      <c r="AQ151" s="9" t="n"/>
      <c r="AR151" s="9" t="n"/>
      <c r="AS151" s="9" t="n"/>
      <c r="AT151" s="8" t="n"/>
      <c r="AU151" s="8" t="n"/>
      <c r="AV151" s="9" t="n"/>
      <c r="AW151" s="8" t="n"/>
      <c r="AX151" s="9" t="n"/>
      <c r="AY151" s="9" t="n"/>
      <c r="AZ151" s="9" t="n"/>
      <c r="BA151" s="9" t="n"/>
      <c r="BB151" s="9" t="n"/>
      <c r="BC151" s="9" t="n"/>
      <c r="BD151" s="9" t="n"/>
      <c r="BE151" s="9" t="n"/>
      <c r="BF151" s="9" t="n"/>
      <c r="BG151" s="9" t="n"/>
      <c r="BH151" s="9" t="n"/>
      <c r="BI151" s="9" t="n"/>
      <c r="BJ151" s="9" t="n"/>
      <c r="BK151" s="9" t="n"/>
      <c r="BL151" s="9" t="n"/>
      <c r="BM151" s="9" t="n"/>
      <c r="BN151" s="9" t="n"/>
      <c r="BO151" s="8" t="n"/>
      <c r="BP151" s="9" t="n"/>
      <c r="BQ151" s="9" t="n"/>
      <c r="BR151" s="12">
        <f>IF(AND(AI151="Y",AK151="Y",AL151="Y",AM151="Y",AY151="Y",AZ151="Y",BA151="Y",BB151="Y",BC151="Y",BE151&lt;&gt;"Y",AX151&lt;&gt;"Y",BL151&lt;&gt;"Y",IF(AS151="Y",AV151="Y",TRUE)),"Y","N")</f>
        <v/>
      </c>
      <c r="BS151" s="12">
        <f>IF(AND(BR151="Y",OR(AND(BJ151="Y",BM151="Y"),AND(BK151="Y",BN151="Y"),AND(BJ151&lt;&gt;"Y",BK151&lt;&gt;"Y",OR(BM151="Y",BN151="Y")))),"Y","N")</f>
        <v/>
      </c>
      <c r="BT151" s="10" t="n"/>
      <c r="BU151" s="13" t="n"/>
      <c r="BV151" s="13" t="n"/>
      <c r="BW151" s="13" t="n"/>
      <c r="BX151" s="13" t="n"/>
      <c r="BY151" s="13" t="n"/>
      <c r="BZ151" s="13" t="n"/>
      <c r="CA151" s="14" t="n"/>
      <c r="CB151" s="13" t="n"/>
      <c r="CC151" s="9" t="n"/>
      <c r="CD151" s="9" t="n"/>
      <c r="CE151" s="9" t="n"/>
      <c r="CF151" s="9" t="n"/>
      <c r="CG151" s="9" t="n"/>
      <c r="CH151" s="9" t="n"/>
    </row>
    <row r="152">
      <c r="A152" s="8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8" t="n"/>
      <c r="L152" s="9" t="n"/>
      <c r="M152" s="8" t="n"/>
      <c r="N152" s="8" t="n"/>
      <c r="O152" s="8" t="n"/>
      <c r="P152" s="8" t="n"/>
      <c r="Q152" s="8" t="n"/>
      <c r="R152" s="9" t="n"/>
      <c r="S152" s="9" t="n"/>
      <c r="T152" s="10" t="n"/>
      <c r="U152" s="10" t="n"/>
      <c r="V152" s="9" t="n"/>
      <c r="W152" s="9" t="n"/>
      <c r="X152" s="9" t="n"/>
      <c r="Y152" s="9" t="n"/>
      <c r="Z152" s="11" t="n"/>
      <c r="AA152" s="11" t="n"/>
      <c r="AB152" s="11" t="n"/>
      <c r="AC152" s="11" t="n"/>
      <c r="AD152" s="11" t="n"/>
      <c r="AE152" s="11" t="n"/>
      <c r="AF152" s="9" t="n"/>
      <c r="AG152" s="9" t="n"/>
      <c r="AH152" s="9" t="n"/>
      <c r="AI152" s="9" t="n"/>
      <c r="AJ152" s="8" t="n"/>
      <c r="AK152" s="9" t="n"/>
      <c r="AL152" s="9" t="n"/>
      <c r="AM152" s="9" t="n"/>
      <c r="AN152" s="9" t="n"/>
      <c r="AO152" s="9" t="n"/>
      <c r="AP152" s="9" t="n"/>
      <c r="AQ152" s="9" t="n"/>
      <c r="AR152" s="9" t="n"/>
      <c r="AS152" s="9" t="n"/>
      <c r="AT152" s="8" t="n"/>
      <c r="AU152" s="8" t="n"/>
      <c r="AV152" s="9" t="n"/>
      <c r="AW152" s="8" t="n"/>
      <c r="AX152" s="9" t="n"/>
      <c r="AY152" s="9" t="n"/>
      <c r="AZ152" s="9" t="n"/>
      <c r="BA152" s="9" t="n"/>
      <c r="BB152" s="9" t="n"/>
      <c r="BC152" s="9" t="n"/>
      <c r="BD152" s="9" t="n"/>
      <c r="BE152" s="9" t="n"/>
      <c r="BF152" s="9" t="n"/>
      <c r="BG152" s="9" t="n"/>
      <c r="BH152" s="9" t="n"/>
      <c r="BI152" s="9" t="n"/>
      <c r="BJ152" s="9" t="n"/>
      <c r="BK152" s="9" t="n"/>
      <c r="BL152" s="9" t="n"/>
      <c r="BM152" s="9" t="n"/>
      <c r="BN152" s="9" t="n"/>
      <c r="BO152" s="8" t="n"/>
      <c r="BP152" s="9" t="n"/>
      <c r="BQ152" s="9" t="n"/>
      <c r="BR152" s="12">
        <f>IF(AND(AI152="Y",AK152="Y",AL152="Y",AM152="Y",AY152="Y",AZ152="Y",BA152="Y",BB152="Y",BC152="Y",BE152&lt;&gt;"Y",AX152&lt;&gt;"Y",BL152&lt;&gt;"Y",IF(AS152="Y",AV152="Y",TRUE)),"Y","N")</f>
        <v/>
      </c>
      <c r="BS152" s="12">
        <f>IF(AND(BR152="Y",OR(AND(BJ152="Y",BM152="Y"),AND(BK152="Y",BN152="Y"),AND(BJ152&lt;&gt;"Y",BK152&lt;&gt;"Y",OR(BM152="Y",BN152="Y")))),"Y","N")</f>
        <v/>
      </c>
      <c r="BT152" s="10" t="n"/>
      <c r="BU152" s="13" t="n"/>
      <c r="BV152" s="13" t="n"/>
      <c r="BW152" s="13" t="n"/>
      <c r="BX152" s="13" t="n"/>
      <c r="BY152" s="13" t="n"/>
      <c r="BZ152" s="13" t="n"/>
      <c r="CA152" s="14" t="n"/>
      <c r="CB152" s="13" t="n"/>
      <c r="CC152" s="9" t="n"/>
      <c r="CD152" s="9" t="n"/>
      <c r="CE152" s="9" t="n"/>
      <c r="CF152" s="9" t="n"/>
      <c r="CG152" s="9" t="n"/>
      <c r="CH152" s="9" t="n"/>
    </row>
    <row r="153">
      <c r="A153" s="8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8" t="n"/>
      <c r="L153" s="9" t="n"/>
      <c r="M153" s="8" t="n"/>
      <c r="N153" s="8" t="n"/>
      <c r="O153" s="8" t="n"/>
      <c r="P153" s="8" t="n"/>
      <c r="Q153" s="8" t="n"/>
      <c r="R153" s="9" t="n"/>
      <c r="S153" s="9" t="n"/>
      <c r="T153" s="10" t="n"/>
      <c r="U153" s="10" t="n"/>
      <c r="V153" s="9" t="n"/>
      <c r="W153" s="9" t="n"/>
      <c r="X153" s="9" t="n"/>
      <c r="Y153" s="9" t="n"/>
      <c r="Z153" s="11" t="n"/>
      <c r="AA153" s="11" t="n"/>
      <c r="AB153" s="11" t="n"/>
      <c r="AC153" s="11" t="n"/>
      <c r="AD153" s="11" t="n"/>
      <c r="AE153" s="11" t="n"/>
      <c r="AF153" s="9" t="n"/>
      <c r="AG153" s="9" t="n"/>
      <c r="AH153" s="9" t="n"/>
      <c r="AI153" s="9" t="n"/>
      <c r="AJ153" s="8" t="n"/>
      <c r="AK153" s="9" t="n"/>
      <c r="AL153" s="9" t="n"/>
      <c r="AM153" s="9" t="n"/>
      <c r="AN153" s="9" t="n"/>
      <c r="AO153" s="9" t="n"/>
      <c r="AP153" s="9" t="n"/>
      <c r="AQ153" s="9" t="n"/>
      <c r="AR153" s="9" t="n"/>
      <c r="AS153" s="9" t="n"/>
      <c r="AT153" s="8" t="n"/>
      <c r="AU153" s="8" t="n"/>
      <c r="AV153" s="9" t="n"/>
      <c r="AW153" s="8" t="n"/>
      <c r="AX153" s="9" t="n"/>
      <c r="AY153" s="9" t="n"/>
      <c r="AZ153" s="9" t="n"/>
      <c r="BA153" s="9" t="n"/>
      <c r="BB153" s="9" t="n"/>
      <c r="BC153" s="9" t="n"/>
      <c r="BD153" s="9" t="n"/>
      <c r="BE153" s="9" t="n"/>
      <c r="BF153" s="9" t="n"/>
      <c r="BG153" s="9" t="n"/>
      <c r="BH153" s="9" t="n"/>
      <c r="BI153" s="9" t="n"/>
      <c r="BJ153" s="9" t="n"/>
      <c r="BK153" s="9" t="n"/>
      <c r="BL153" s="9" t="n"/>
      <c r="BM153" s="9" t="n"/>
      <c r="BN153" s="9" t="n"/>
      <c r="BO153" s="8" t="n"/>
      <c r="BP153" s="9" t="n"/>
      <c r="BQ153" s="9" t="n"/>
      <c r="BR153" s="12">
        <f>IF(AND(AI153="Y",AK153="Y",AL153="Y",AM153="Y",AY153="Y",AZ153="Y",BA153="Y",BB153="Y",BC153="Y",BE153&lt;&gt;"Y",AX153&lt;&gt;"Y",BL153&lt;&gt;"Y",IF(AS153="Y",AV153="Y",TRUE)),"Y","N")</f>
        <v/>
      </c>
      <c r="BS153" s="12">
        <f>IF(AND(BR153="Y",OR(AND(BJ153="Y",BM153="Y"),AND(BK153="Y",BN153="Y"),AND(BJ153&lt;&gt;"Y",BK153&lt;&gt;"Y",OR(BM153="Y",BN153="Y")))),"Y","N")</f>
        <v/>
      </c>
      <c r="BT153" s="10" t="n"/>
      <c r="BU153" s="13" t="n"/>
      <c r="BV153" s="13" t="n"/>
      <c r="BW153" s="13" t="n"/>
      <c r="BX153" s="13" t="n"/>
      <c r="BY153" s="13" t="n"/>
      <c r="BZ153" s="13" t="n"/>
      <c r="CA153" s="14" t="n"/>
      <c r="CB153" s="13" t="n"/>
      <c r="CC153" s="9" t="n"/>
      <c r="CD153" s="9" t="n"/>
      <c r="CE153" s="9" t="n"/>
      <c r="CF153" s="9" t="n"/>
      <c r="CG153" s="9" t="n"/>
      <c r="CH153" s="9" t="n"/>
    </row>
    <row r="154">
      <c r="A154" s="8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8" t="n"/>
      <c r="L154" s="9" t="n"/>
      <c r="M154" s="8" t="n"/>
      <c r="N154" s="8" t="n"/>
      <c r="O154" s="8" t="n"/>
      <c r="P154" s="8" t="n"/>
      <c r="Q154" s="8" t="n"/>
      <c r="R154" s="9" t="n"/>
      <c r="S154" s="9" t="n"/>
      <c r="T154" s="10" t="n"/>
      <c r="U154" s="10" t="n"/>
      <c r="V154" s="9" t="n"/>
      <c r="W154" s="9" t="n"/>
      <c r="X154" s="9" t="n"/>
      <c r="Y154" s="9" t="n"/>
      <c r="Z154" s="11" t="n"/>
      <c r="AA154" s="11" t="n"/>
      <c r="AB154" s="11" t="n"/>
      <c r="AC154" s="11" t="n"/>
      <c r="AD154" s="11" t="n"/>
      <c r="AE154" s="11" t="n"/>
      <c r="AF154" s="9" t="n"/>
      <c r="AG154" s="9" t="n"/>
      <c r="AH154" s="9" t="n"/>
      <c r="AI154" s="9" t="n"/>
      <c r="AJ154" s="8" t="n"/>
      <c r="AK154" s="9" t="n"/>
      <c r="AL154" s="9" t="n"/>
      <c r="AM154" s="9" t="n"/>
      <c r="AN154" s="9" t="n"/>
      <c r="AO154" s="9" t="n"/>
      <c r="AP154" s="9" t="n"/>
      <c r="AQ154" s="9" t="n"/>
      <c r="AR154" s="9" t="n"/>
      <c r="AS154" s="9" t="n"/>
      <c r="AT154" s="8" t="n"/>
      <c r="AU154" s="8" t="n"/>
      <c r="AV154" s="9" t="n"/>
      <c r="AW154" s="8" t="n"/>
      <c r="AX154" s="9" t="n"/>
      <c r="AY154" s="9" t="n"/>
      <c r="AZ154" s="9" t="n"/>
      <c r="BA154" s="9" t="n"/>
      <c r="BB154" s="9" t="n"/>
      <c r="BC154" s="9" t="n"/>
      <c r="BD154" s="9" t="n"/>
      <c r="BE154" s="9" t="n"/>
      <c r="BF154" s="9" t="n"/>
      <c r="BG154" s="9" t="n"/>
      <c r="BH154" s="9" t="n"/>
      <c r="BI154" s="9" t="n"/>
      <c r="BJ154" s="9" t="n"/>
      <c r="BK154" s="9" t="n"/>
      <c r="BL154" s="9" t="n"/>
      <c r="BM154" s="9" t="n"/>
      <c r="BN154" s="9" t="n"/>
      <c r="BO154" s="8" t="n"/>
      <c r="BP154" s="9" t="n"/>
      <c r="BQ154" s="9" t="n"/>
      <c r="BR154" s="12">
        <f>IF(AND(AI154="Y",AK154="Y",AL154="Y",AM154="Y",AY154="Y",AZ154="Y",BA154="Y",BB154="Y",BC154="Y",BE154&lt;&gt;"Y",AX154&lt;&gt;"Y",BL154&lt;&gt;"Y",IF(AS154="Y",AV154="Y",TRUE)),"Y","N")</f>
        <v/>
      </c>
      <c r="BS154" s="12">
        <f>IF(AND(BR154="Y",OR(AND(BJ154="Y",BM154="Y"),AND(BK154="Y",BN154="Y"),AND(BJ154&lt;&gt;"Y",BK154&lt;&gt;"Y",OR(BM154="Y",BN154="Y")))),"Y","N")</f>
        <v/>
      </c>
      <c r="BT154" s="10" t="n"/>
      <c r="BU154" s="13" t="n"/>
      <c r="BV154" s="13" t="n"/>
      <c r="BW154" s="13" t="n"/>
      <c r="BX154" s="13" t="n"/>
      <c r="BY154" s="13" t="n"/>
      <c r="BZ154" s="13" t="n"/>
      <c r="CA154" s="14" t="n"/>
      <c r="CB154" s="13" t="n"/>
      <c r="CC154" s="9" t="n"/>
      <c r="CD154" s="9" t="n"/>
      <c r="CE154" s="9" t="n"/>
      <c r="CF154" s="9" t="n"/>
      <c r="CG154" s="9" t="n"/>
      <c r="CH154" s="9" t="n"/>
    </row>
    <row r="155">
      <c r="A155" s="8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8" t="n"/>
      <c r="L155" s="9" t="n"/>
      <c r="M155" s="8" t="n"/>
      <c r="N155" s="8" t="n"/>
      <c r="O155" s="8" t="n"/>
      <c r="P155" s="8" t="n"/>
      <c r="Q155" s="8" t="n"/>
      <c r="R155" s="9" t="n"/>
      <c r="S155" s="9" t="n"/>
      <c r="T155" s="10" t="n"/>
      <c r="U155" s="10" t="n"/>
      <c r="V155" s="9" t="n"/>
      <c r="W155" s="9" t="n"/>
      <c r="X155" s="9" t="n"/>
      <c r="Y155" s="9" t="n"/>
      <c r="Z155" s="11" t="n"/>
      <c r="AA155" s="11" t="n"/>
      <c r="AB155" s="11" t="n"/>
      <c r="AC155" s="11" t="n"/>
      <c r="AD155" s="11" t="n"/>
      <c r="AE155" s="11" t="n"/>
      <c r="AF155" s="9" t="n"/>
      <c r="AG155" s="9" t="n"/>
      <c r="AH155" s="9" t="n"/>
      <c r="AI155" s="9" t="n"/>
      <c r="AJ155" s="8" t="n"/>
      <c r="AK155" s="9" t="n"/>
      <c r="AL155" s="9" t="n"/>
      <c r="AM155" s="9" t="n"/>
      <c r="AN155" s="9" t="n"/>
      <c r="AO155" s="9" t="n"/>
      <c r="AP155" s="9" t="n"/>
      <c r="AQ155" s="9" t="n"/>
      <c r="AR155" s="9" t="n"/>
      <c r="AS155" s="9" t="n"/>
      <c r="AT155" s="8" t="n"/>
      <c r="AU155" s="8" t="n"/>
      <c r="AV155" s="9" t="n"/>
      <c r="AW155" s="8" t="n"/>
      <c r="AX155" s="9" t="n"/>
      <c r="AY155" s="9" t="n"/>
      <c r="AZ155" s="9" t="n"/>
      <c r="BA155" s="9" t="n"/>
      <c r="BB155" s="9" t="n"/>
      <c r="BC155" s="9" t="n"/>
      <c r="BD155" s="9" t="n"/>
      <c r="BE155" s="9" t="n"/>
      <c r="BF155" s="9" t="n"/>
      <c r="BG155" s="9" t="n"/>
      <c r="BH155" s="9" t="n"/>
      <c r="BI155" s="9" t="n"/>
      <c r="BJ155" s="9" t="n"/>
      <c r="BK155" s="9" t="n"/>
      <c r="BL155" s="9" t="n"/>
      <c r="BM155" s="9" t="n"/>
      <c r="BN155" s="9" t="n"/>
      <c r="BO155" s="8" t="n"/>
      <c r="BP155" s="9" t="n"/>
      <c r="BQ155" s="9" t="n"/>
      <c r="BR155" s="12">
        <f>IF(AND(AI155="Y",AK155="Y",AL155="Y",AM155="Y",AY155="Y",AZ155="Y",BA155="Y",BB155="Y",BC155="Y",BE155&lt;&gt;"Y",AX155&lt;&gt;"Y",BL155&lt;&gt;"Y",IF(AS155="Y",AV155="Y",TRUE)),"Y","N")</f>
        <v/>
      </c>
      <c r="BS155" s="12">
        <f>IF(AND(BR155="Y",OR(AND(BJ155="Y",BM155="Y"),AND(BK155="Y",BN155="Y"),AND(BJ155&lt;&gt;"Y",BK155&lt;&gt;"Y",OR(BM155="Y",BN155="Y")))),"Y","N")</f>
        <v/>
      </c>
      <c r="BT155" s="10" t="n"/>
      <c r="BU155" s="13" t="n"/>
      <c r="BV155" s="13" t="n"/>
      <c r="BW155" s="13" t="n"/>
      <c r="BX155" s="13" t="n"/>
      <c r="BY155" s="13" t="n"/>
      <c r="BZ155" s="13" t="n"/>
      <c r="CA155" s="14" t="n"/>
      <c r="CB155" s="13" t="n"/>
      <c r="CC155" s="9" t="n"/>
      <c r="CD155" s="9" t="n"/>
      <c r="CE155" s="9" t="n"/>
      <c r="CF155" s="9" t="n"/>
      <c r="CG155" s="9" t="n"/>
      <c r="CH155" s="9" t="n"/>
    </row>
    <row r="156">
      <c r="A156" s="8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8" t="n"/>
      <c r="L156" s="9" t="n"/>
      <c r="M156" s="8" t="n"/>
      <c r="N156" s="8" t="n"/>
      <c r="O156" s="8" t="n"/>
      <c r="P156" s="8" t="n"/>
      <c r="Q156" s="8" t="n"/>
      <c r="R156" s="9" t="n"/>
      <c r="S156" s="9" t="n"/>
      <c r="T156" s="10" t="n"/>
      <c r="U156" s="10" t="n"/>
      <c r="V156" s="9" t="n"/>
      <c r="W156" s="9" t="n"/>
      <c r="X156" s="9" t="n"/>
      <c r="Y156" s="9" t="n"/>
      <c r="Z156" s="11" t="n"/>
      <c r="AA156" s="11" t="n"/>
      <c r="AB156" s="11" t="n"/>
      <c r="AC156" s="11" t="n"/>
      <c r="AD156" s="11" t="n"/>
      <c r="AE156" s="11" t="n"/>
      <c r="AF156" s="9" t="n"/>
      <c r="AG156" s="9" t="n"/>
      <c r="AH156" s="9" t="n"/>
      <c r="AI156" s="9" t="n"/>
      <c r="AJ156" s="8" t="n"/>
      <c r="AK156" s="9" t="n"/>
      <c r="AL156" s="9" t="n"/>
      <c r="AM156" s="9" t="n"/>
      <c r="AN156" s="9" t="n"/>
      <c r="AO156" s="9" t="n"/>
      <c r="AP156" s="9" t="n"/>
      <c r="AQ156" s="9" t="n"/>
      <c r="AR156" s="9" t="n"/>
      <c r="AS156" s="9" t="n"/>
      <c r="AT156" s="8" t="n"/>
      <c r="AU156" s="8" t="n"/>
      <c r="AV156" s="9" t="n"/>
      <c r="AW156" s="8" t="n"/>
      <c r="AX156" s="9" t="n"/>
      <c r="AY156" s="9" t="n"/>
      <c r="AZ156" s="9" t="n"/>
      <c r="BA156" s="9" t="n"/>
      <c r="BB156" s="9" t="n"/>
      <c r="BC156" s="9" t="n"/>
      <c r="BD156" s="9" t="n"/>
      <c r="BE156" s="9" t="n"/>
      <c r="BF156" s="9" t="n"/>
      <c r="BG156" s="9" t="n"/>
      <c r="BH156" s="9" t="n"/>
      <c r="BI156" s="9" t="n"/>
      <c r="BJ156" s="9" t="n"/>
      <c r="BK156" s="9" t="n"/>
      <c r="BL156" s="9" t="n"/>
      <c r="BM156" s="9" t="n"/>
      <c r="BN156" s="9" t="n"/>
      <c r="BO156" s="8" t="n"/>
      <c r="BP156" s="9" t="n"/>
      <c r="BQ156" s="9" t="n"/>
      <c r="BR156" s="12">
        <f>IF(AND(AI156="Y",AK156="Y",AL156="Y",AM156="Y",AY156="Y",AZ156="Y",BA156="Y",BB156="Y",BC156="Y",BE156&lt;&gt;"Y",AX156&lt;&gt;"Y",BL156&lt;&gt;"Y",IF(AS156="Y",AV156="Y",TRUE)),"Y","N")</f>
        <v/>
      </c>
      <c r="BS156" s="12">
        <f>IF(AND(BR156="Y",OR(AND(BJ156="Y",BM156="Y"),AND(BK156="Y",BN156="Y"),AND(BJ156&lt;&gt;"Y",BK156&lt;&gt;"Y",OR(BM156="Y",BN156="Y")))),"Y","N")</f>
        <v/>
      </c>
      <c r="BT156" s="10" t="n"/>
      <c r="BU156" s="13" t="n"/>
      <c r="BV156" s="13" t="n"/>
      <c r="BW156" s="13" t="n"/>
      <c r="BX156" s="13" t="n"/>
      <c r="BY156" s="13" t="n"/>
      <c r="BZ156" s="13" t="n"/>
      <c r="CA156" s="14" t="n"/>
      <c r="CB156" s="13" t="n"/>
      <c r="CC156" s="9" t="n"/>
      <c r="CD156" s="9" t="n"/>
      <c r="CE156" s="9" t="n"/>
      <c r="CF156" s="9" t="n"/>
      <c r="CG156" s="9" t="n"/>
      <c r="CH156" s="9" t="n"/>
    </row>
    <row r="157">
      <c r="A157" s="8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8" t="n"/>
      <c r="L157" s="9" t="n"/>
      <c r="M157" s="8" t="n"/>
      <c r="N157" s="8" t="n"/>
      <c r="O157" s="8" t="n"/>
      <c r="P157" s="8" t="n"/>
      <c r="Q157" s="8" t="n"/>
      <c r="R157" s="9" t="n"/>
      <c r="S157" s="9" t="n"/>
      <c r="T157" s="10" t="n"/>
      <c r="U157" s="10" t="n"/>
      <c r="V157" s="9" t="n"/>
      <c r="W157" s="9" t="n"/>
      <c r="X157" s="9" t="n"/>
      <c r="Y157" s="9" t="n"/>
      <c r="Z157" s="11" t="n"/>
      <c r="AA157" s="11" t="n"/>
      <c r="AB157" s="11" t="n"/>
      <c r="AC157" s="11" t="n"/>
      <c r="AD157" s="11" t="n"/>
      <c r="AE157" s="11" t="n"/>
      <c r="AF157" s="9" t="n"/>
      <c r="AG157" s="9" t="n"/>
      <c r="AH157" s="9" t="n"/>
      <c r="AI157" s="9" t="n"/>
      <c r="AJ157" s="8" t="n"/>
      <c r="AK157" s="9" t="n"/>
      <c r="AL157" s="9" t="n"/>
      <c r="AM157" s="9" t="n"/>
      <c r="AN157" s="9" t="n"/>
      <c r="AO157" s="9" t="n"/>
      <c r="AP157" s="9" t="n"/>
      <c r="AQ157" s="9" t="n"/>
      <c r="AR157" s="9" t="n"/>
      <c r="AS157" s="9" t="n"/>
      <c r="AT157" s="8" t="n"/>
      <c r="AU157" s="8" t="n"/>
      <c r="AV157" s="9" t="n"/>
      <c r="AW157" s="8" t="n"/>
      <c r="AX157" s="9" t="n"/>
      <c r="AY157" s="9" t="n"/>
      <c r="AZ157" s="9" t="n"/>
      <c r="BA157" s="9" t="n"/>
      <c r="BB157" s="9" t="n"/>
      <c r="BC157" s="9" t="n"/>
      <c r="BD157" s="9" t="n"/>
      <c r="BE157" s="9" t="n"/>
      <c r="BF157" s="9" t="n"/>
      <c r="BG157" s="9" t="n"/>
      <c r="BH157" s="9" t="n"/>
      <c r="BI157" s="9" t="n"/>
      <c r="BJ157" s="9" t="n"/>
      <c r="BK157" s="9" t="n"/>
      <c r="BL157" s="9" t="n"/>
      <c r="BM157" s="9" t="n"/>
      <c r="BN157" s="9" t="n"/>
      <c r="BO157" s="8" t="n"/>
      <c r="BP157" s="9" t="n"/>
      <c r="BQ157" s="9" t="n"/>
      <c r="BR157" s="12">
        <f>IF(AND(AI157="Y",AK157="Y",AL157="Y",AM157="Y",AY157="Y",AZ157="Y",BA157="Y",BB157="Y",BC157="Y",BE157&lt;&gt;"Y",AX157&lt;&gt;"Y",BL157&lt;&gt;"Y",IF(AS157="Y",AV157="Y",TRUE)),"Y","N")</f>
        <v/>
      </c>
      <c r="BS157" s="12">
        <f>IF(AND(BR157="Y",OR(AND(BJ157="Y",BM157="Y"),AND(BK157="Y",BN157="Y"),AND(BJ157&lt;&gt;"Y",BK157&lt;&gt;"Y",OR(BM157="Y",BN157="Y")))),"Y","N")</f>
        <v/>
      </c>
      <c r="BT157" s="10" t="n"/>
      <c r="BU157" s="13" t="n"/>
      <c r="BV157" s="13" t="n"/>
      <c r="BW157" s="13" t="n"/>
      <c r="BX157" s="13" t="n"/>
      <c r="BY157" s="13" t="n"/>
      <c r="BZ157" s="13" t="n"/>
      <c r="CA157" s="14" t="n"/>
      <c r="CB157" s="13" t="n"/>
      <c r="CC157" s="9" t="n"/>
      <c r="CD157" s="9" t="n"/>
      <c r="CE157" s="9" t="n"/>
      <c r="CF157" s="9" t="n"/>
      <c r="CG157" s="9" t="n"/>
      <c r="CH157" s="9" t="n"/>
    </row>
    <row r="158">
      <c r="A158" s="8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8" t="n"/>
      <c r="L158" s="9" t="n"/>
      <c r="M158" s="8" t="n"/>
      <c r="N158" s="8" t="n"/>
      <c r="O158" s="8" t="n"/>
      <c r="P158" s="8" t="n"/>
      <c r="Q158" s="8" t="n"/>
      <c r="R158" s="9" t="n"/>
      <c r="S158" s="9" t="n"/>
      <c r="T158" s="10" t="n"/>
      <c r="U158" s="10" t="n"/>
      <c r="V158" s="9" t="n"/>
      <c r="W158" s="9" t="n"/>
      <c r="X158" s="9" t="n"/>
      <c r="Y158" s="9" t="n"/>
      <c r="Z158" s="11" t="n"/>
      <c r="AA158" s="11" t="n"/>
      <c r="AB158" s="11" t="n"/>
      <c r="AC158" s="11" t="n"/>
      <c r="AD158" s="11" t="n"/>
      <c r="AE158" s="11" t="n"/>
      <c r="AF158" s="9" t="n"/>
      <c r="AG158" s="9" t="n"/>
      <c r="AH158" s="9" t="n"/>
      <c r="AI158" s="9" t="n"/>
      <c r="AJ158" s="8" t="n"/>
      <c r="AK158" s="9" t="n"/>
      <c r="AL158" s="9" t="n"/>
      <c r="AM158" s="9" t="n"/>
      <c r="AN158" s="9" t="n"/>
      <c r="AO158" s="9" t="n"/>
      <c r="AP158" s="9" t="n"/>
      <c r="AQ158" s="9" t="n"/>
      <c r="AR158" s="9" t="n"/>
      <c r="AS158" s="9" t="n"/>
      <c r="AT158" s="8" t="n"/>
      <c r="AU158" s="8" t="n"/>
      <c r="AV158" s="9" t="n"/>
      <c r="AW158" s="8" t="n"/>
      <c r="AX158" s="9" t="n"/>
      <c r="AY158" s="9" t="n"/>
      <c r="AZ158" s="9" t="n"/>
      <c r="BA158" s="9" t="n"/>
      <c r="BB158" s="9" t="n"/>
      <c r="BC158" s="9" t="n"/>
      <c r="BD158" s="9" t="n"/>
      <c r="BE158" s="9" t="n"/>
      <c r="BF158" s="9" t="n"/>
      <c r="BG158" s="9" t="n"/>
      <c r="BH158" s="9" t="n"/>
      <c r="BI158" s="9" t="n"/>
      <c r="BJ158" s="9" t="n"/>
      <c r="BK158" s="9" t="n"/>
      <c r="BL158" s="9" t="n"/>
      <c r="BM158" s="9" t="n"/>
      <c r="BN158" s="9" t="n"/>
      <c r="BO158" s="8" t="n"/>
      <c r="BP158" s="9" t="n"/>
      <c r="BQ158" s="9" t="n"/>
      <c r="BR158" s="12">
        <f>IF(AND(AI158="Y",AK158="Y",AL158="Y",AM158="Y",AY158="Y",AZ158="Y",BA158="Y",BB158="Y",BC158="Y",BE158&lt;&gt;"Y",AX158&lt;&gt;"Y",BL158&lt;&gt;"Y",IF(AS158="Y",AV158="Y",TRUE)),"Y","N")</f>
        <v/>
      </c>
      <c r="BS158" s="12">
        <f>IF(AND(BR158="Y",OR(AND(BJ158="Y",BM158="Y"),AND(BK158="Y",BN158="Y"),AND(BJ158&lt;&gt;"Y",BK158&lt;&gt;"Y",OR(BM158="Y",BN158="Y")))),"Y","N")</f>
        <v/>
      </c>
      <c r="BT158" s="10" t="n"/>
      <c r="BU158" s="13" t="n"/>
      <c r="BV158" s="13" t="n"/>
      <c r="BW158" s="13" t="n"/>
      <c r="BX158" s="13" t="n"/>
      <c r="BY158" s="13" t="n"/>
      <c r="BZ158" s="13" t="n"/>
      <c r="CA158" s="14" t="n"/>
      <c r="CB158" s="13" t="n"/>
      <c r="CC158" s="9" t="n"/>
      <c r="CD158" s="9" t="n"/>
      <c r="CE158" s="9" t="n"/>
      <c r="CF158" s="9" t="n"/>
      <c r="CG158" s="9" t="n"/>
      <c r="CH158" s="9" t="n"/>
    </row>
    <row r="159">
      <c r="A159" s="8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8" t="n"/>
      <c r="L159" s="9" t="n"/>
      <c r="M159" s="8" t="n"/>
      <c r="N159" s="8" t="n"/>
      <c r="O159" s="8" t="n"/>
      <c r="P159" s="8" t="n"/>
      <c r="Q159" s="8" t="n"/>
      <c r="R159" s="9" t="n"/>
      <c r="S159" s="9" t="n"/>
      <c r="T159" s="10" t="n"/>
      <c r="U159" s="10" t="n"/>
      <c r="V159" s="9" t="n"/>
      <c r="W159" s="9" t="n"/>
      <c r="X159" s="9" t="n"/>
      <c r="Y159" s="9" t="n"/>
      <c r="Z159" s="11" t="n"/>
      <c r="AA159" s="11" t="n"/>
      <c r="AB159" s="11" t="n"/>
      <c r="AC159" s="11" t="n"/>
      <c r="AD159" s="11" t="n"/>
      <c r="AE159" s="11" t="n"/>
      <c r="AF159" s="9" t="n"/>
      <c r="AG159" s="9" t="n"/>
      <c r="AH159" s="9" t="n"/>
      <c r="AI159" s="9" t="n"/>
      <c r="AJ159" s="8" t="n"/>
      <c r="AK159" s="9" t="n"/>
      <c r="AL159" s="9" t="n"/>
      <c r="AM159" s="9" t="n"/>
      <c r="AN159" s="9" t="n"/>
      <c r="AO159" s="9" t="n"/>
      <c r="AP159" s="9" t="n"/>
      <c r="AQ159" s="9" t="n"/>
      <c r="AR159" s="9" t="n"/>
      <c r="AS159" s="9" t="n"/>
      <c r="AT159" s="8" t="n"/>
      <c r="AU159" s="8" t="n"/>
      <c r="AV159" s="9" t="n"/>
      <c r="AW159" s="8" t="n"/>
      <c r="AX159" s="9" t="n"/>
      <c r="AY159" s="9" t="n"/>
      <c r="AZ159" s="9" t="n"/>
      <c r="BA159" s="9" t="n"/>
      <c r="BB159" s="9" t="n"/>
      <c r="BC159" s="9" t="n"/>
      <c r="BD159" s="9" t="n"/>
      <c r="BE159" s="9" t="n"/>
      <c r="BF159" s="9" t="n"/>
      <c r="BG159" s="9" t="n"/>
      <c r="BH159" s="9" t="n"/>
      <c r="BI159" s="9" t="n"/>
      <c r="BJ159" s="9" t="n"/>
      <c r="BK159" s="9" t="n"/>
      <c r="BL159" s="9" t="n"/>
      <c r="BM159" s="9" t="n"/>
      <c r="BN159" s="9" t="n"/>
      <c r="BO159" s="8" t="n"/>
      <c r="BP159" s="9" t="n"/>
      <c r="BQ159" s="9" t="n"/>
      <c r="BR159" s="12">
        <f>IF(AND(AI159="Y",AK159="Y",AL159="Y",AM159="Y",AY159="Y",AZ159="Y",BA159="Y",BB159="Y",BC159="Y",BE159&lt;&gt;"Y",AX159&lt;&gt;"Y",BL159&lt;&gt;"Y",IF(AS159="Y",AV159="Y",TRUE)),"Y","N")</f>
        <v/>
      </c>
      <c r="BS159" s="12">
        <f>IF(AND(BR159="Y",OR(AND(BJ159="Y",BM159="Y"),AND(BK159="Y",BN159="Y"),AND(BJ159&lt;&gt;"Y",BK159&lt;&gt;"Y",OR(BM159="Y",BN159="Y")))),"Y","N")</f>
        <v/>
      </c>
      <c r="BT159" s="10" t="n"/>
      <c r="BU159" s="13" t="n"/>
      <c r="BV159" s="13" t="n"/>
      <c r="BW159" s="13" t="n"/>
      <c r="BX159" s="13" t="n"/>
      <c r="BY159" s="13" t="n"/>
      <c r="BZ159" s="13" t="n"/>
      <c r="CA159" s="14" t="n"/>
      <c r="CB159" s="13" t="n"/>
      <c r="CC159" s="9" t="n"/>
      <c r="CD159" s="9" t="n"/>
      <c r="CE159" s="9" t="n"/>
      <c r="CF159" s="9" t="n"/>
      <c r="CG159" s="9" t="n"/>
      <c r="CH159" s="9" t="n"/>
    </row>
    <row r="160">
      <c r="A160" s="8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8" t="n"/>
      <c r="L160" s="9" t="n"/>
      <c r="M160" s="8" t="n"/>
      <c r="N160" s="8" t="n"/>
      <c r="O160" s="8" t="n"/>
      <c r="P160" s="8" t="n"/>
      <c r="Q160" s="8" t="n"/>
      <c r="R160" s="9" t="n"/>
      <c r="S160" s="9" t="n"/>
      <c r="T160" s="10" t="n"/>
      <c r="U160" s="10" t="n"/>
      <c r="V160" s="9" t="n"/>
      <c r="W160" s="9" t="n"/>
      <c r="X160" s="9" t="n"/>
      <c r="Y160" s="9" t="n"/>
      <c r="Z160" s="11" t="n"/>
      <c r="AA160" s="11" t="n"/>
      <c r="AB160" s="11" t="n"/>
      <c r="AC160" s="11" t="n"/>
      <c r="AD160" s="11" t="n"/>
      <c r="AE160" s="11" t="n"/>
      <c r="AF160" s="9" t="n"/>
      <c r="AG160" s="9" t="n"/>
      <c r="AH160" s="9" t="n"/>
      <c r="AI160" s="9" t="n"/>
      <c r="AJ160" s="8" t="n"/>
      <c r="AK160" s="9" t="n"/>
      <c r="AL160" s="9" t="n"/>
      <c r="AM160" s="9" t="n"/>
      <c r="AN160" s="9" t="n"/>
      <c r="AO160" s="9" t="n"/>
      <c r="AP160" s="9" t="n"/>
      <c r="AQ160" s="9" t="n"/>
      <c r="AR160" s="9" t="n"/>
      <c r="AS160" s="9" t="n"/>
      <c r="AT160" s="8" t="n"/>
      <c r="AU160" s="8" t="n"/>
      <c r="AV160" s="9" t="n"/>
      <c r="AW160" s="8" t="n"/>
      <c r="AX160" s="9" t="n"/>
      <c r="AY160" s="9" t="n"/>
      <c r="AZ160" s="9" t="n"/>
      <c r="BA160" s="9" t="n"/>
      <c r="BB160" s="9" t="n"/>
      <c r="BC160" s="9" t="n"/>
      <c r="BD160" s="9" t="n"/>
      <c r="BE160" s="9" t="n"/>
      <c r="BF160" s="9" t="n"/>
      <c r="BG160" s="9" t="n"/>
      <c r="BH160" s="9" t="n"/>
      <c r="BI160" s="9" t="n"/>
      <c r="BJ160" s="9" t="n"/>
      <c r="BK160" s="9" t="n"/>
      <c r="BL160" s="9" t="n"/>
      <c r="BM160" s="9" t="n"/>
      <c r="BN160" s="9" t="n"/>
      <c r="BO160" s="8" t="n"/>
      <c r="BP160" s="9" t="n"/>
      <c r="BQ160" s="9" t="n"/>
      <c r="BR160" s="12">
        <f>IF(AND(AI160="Y",AK160="Y",AL160="Y",AM160="Y",AY160="Y",AZ160="Y",BA160="Y",BB160="Y",BC160="Y",BE160&lt;&gt;"Y",AX160&lt;&gt;"Y",BL160&lt;&gt;"Y",IF(AS160="Y",AV160="Y",TRUE)),"Y","N")</f>
        <v/>
      </c>
      <c r="BS160" s="12">
        <f>IF(AND(BR160="Y",OR(AND(BJ160="Y",BM160="Y"),AND(BK160="Y",BN160="Y"),AND(BJ160&lt;&gt;"Y",BK160&lt;&gt;"Y",OR(BM160="Y",BN160="Y")))),"Y","N")</f>
        <v/>
      </c>
      <c r="BT160" s="10" t="n"/>
      <c r="BU160" s="13" t="n"/>
      <c r="BV160" s="13" t="n"/>
      <c r="BW160" s="13" t="n"/>
      <c r="BX160" s="13" t="n"/>
      <c r="BY160" s="13" t="n"/>
      <c r="BZ160" s="13" t="n"/>
      <c r="CA160" s="14" t="n"/>
      <c r="CB160" s="13" t="n"/>
      <c r="CC160" s="9" t="n"/>
      <c r="CD160" s="9" t="n"/>
      <c r="CE160" s="9" t="n"/>
      <c r="CF160" s="9" t="n"/>
      <c r="CG160" s="9" t="n"/>
      <c r="CH160" s="9" t="n"/>
    </row>
    <row r="161">
      <c r="A161" s="8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8" t="n"/>
      <c r="L161" s="9" t="n"/>
      <c r="M161" s="8" t="n"/>
      <c r="N161" s="8" t="n"/>
      <c r="O161" s="8" t="n"/>
      <c r="P161" s="8" t="n"/>
      <c r="Q161" s="8" t="n"/>
      <c r="R161" s="9" t="n"/>
      <c r="S161" s="9" t="n"/>
      <c r="T161" s="10" t="n"/>
      <c r="U161" s="10" t="n"/>
      <c r="V161" s="9" t="n"/>
      <c r="W161" s="9" t="n"/>
      <c r="X161" s="9" t="n"/>
      <c r="Y161" s="9" t="n"/>
      <c r="Z161" s="11" t="n"/>
      <c r="AA161" s="11" t="n"/>
      <c r="AB161" s="11" t="n"/>
      <c r="AC161" s="11" t="n"/>
      <c r="AD161" s="11" t="n"/>
      <c r="AE161" s="11" t="n"/>
      <c r="AF161" s="9" t="n"/>
      <c r="AG161" s="9" t="n"/>
      <c r="AH161" s="9" t="n"/>
      <c r="AI161" s="9" t="n"/>
      <c r="AJ161" s="8" t="n"/>
      <c r="AK161" s="9" t="n"/>
      <c r="AL161" s="9" t="n"/>
      <c r="AM161" s="9" t="n"/>
      <c r="AN161" s="9" t="n"/>
      <c r="AO161" s="9" t="n"/>
      <c r="AP161" s="9" t="n"/>
      <c r="AQ161" s="9" t="n"/>
      <c r="AR161" s="9" t="n"/>
      <c r="AS161" s="9" t="n"/>
      <c r="AT161" s="8" t="n"/>
      <c r="AU161" s="8" t="n"/>
      <c r="AV161" s="9" t="n"/>
      <c r="AW161" s="8" t="n"/>
      <c r="AX161" s="9" t="n"/>
      <c r="AY161" s="9" t="n"/>
      <c r="AZ161" s="9" t="n"/>
      <c r="BA161" s="9" t="n"/>
      <c r="BB161" s="9" t="n"/>
      <c r="BC161" s="9" t="n"/>
      <c r="BD161" s="9" t="n"/>
      <c r="BE161" s="9" t="n"/>
      <c r="BF161" s="9" t="n"/>
      <c r="BG161" s="9" t="n"/>
      <c r="BH161" s="9" t="n"/>
      <c r="BI161" s="9" t="n"/>
      <c r="BJ161" s="9" t="n"/>
      <c r="BK161" s="9" t="n"/>
      <c r="BL161" s="9" t="n"/>
      <c r="BM161" s="9" t="n"/>
      <c r="BN161" s="9" t="n"/>
      <c r="BO161" s="8" t="n"/>
      <c r="BP161" s="9" t="n"/>
      <c r="BQ161" s="9" t="n"/>
      <c r="BR161" s="12">
        <f>IF(AND(AI161="Y",AK161="Y",AL161="Y",AM161="Y",AY161="Y",AZ161="Y",BA161="Y",BB161="Y",BC161="Y",BE161&lt;&gt;"Y",AX161&lt;&gt;"Y",BL161&lt;&gt;"Y",IF(AS161="Y",AV161="Y",TRUE)),"Y","N")</f>
        <v/>
      </c>
      <c r="BS161" s="12">
        <f>IF(AND(BR161="Y",OR(AND(BJ161="Y",BM161="Y"),AND(BK161="Y",BN161="Y"),AND(BJ161&lt;&gt;"Y",BK161&lt;&gt;"Y",OR(BM161="Y",BN161="Y")))),"Y","N")</f>
        <v/>
      </c>
      <c r="BT161" s="10" t="n"/>
      <c r="BU161" s="13" t="n"/>
      <c r="BV161" s="13" t="n"/>
      <c r="BW161" s="13" t="n"/>
      <c r="BX161" s="13" t="n"/>
      <c r="BY161" s="13" t="n"/>
      <c r="BZ161" s="13" t="n"/>
      <c r="CA161" s="14" t="n"/>
      <c r="CB161" s="13" t="n"/>
      <c r="CC161" s="9" t="n"/>
      <c r="CD161" s="9" t="n"/>
      <c r="CE161" s="9" t="n"/>
      <c r="CF161" s="9" t="n"/>
      <c r="CG161" s="9" t="n"/>
      <c r="CH161" s="9" t="n"/>
    </row>
    <row r="162">
      <c r="A162" s="8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8" t="n"/>
      <c r="L162" s="9" t="n"/>
      <c r="M162" s="8" t="n"/>
      <c r="N162" s="8" t="n"/>
      <c r="O162" s="8" t="n"/>
      <c r="P162" s="8" t="n"/>
      <c r="Q162" s="8" t="n"/>
      <c r="R162" s="9" t="n"/>
      <c r="S162" s="9" t="n"/>
      <c r="T162" s="10" t="n"/>
      <c r="U162" s="10" t="n"/>
      <c r="V162" s="9" t="n"/>
      <c r="W162" s="9" t="n"/>
      <c r="X162" s="9" t="n"/>
      <c r="Y162" s="9" t="n"/>
      <c r="Z162" s="11" t="n"/>
      <c r="AA162" s="11" t="n"/>
      <c r="AB162" s="11" t="n"/>
      <c r="AC162" s="11" t="n"/>
      <c r="AD162" s="11" t="n"/>
      <c r="AE162" s="11" t="n"/>
      <c r="AF162" s="9" t="n"/>
      <c r="AG162" s="9" t="n"/>
      <c r="AH162" s="9" t="n"/>
      <c r="AI162" s="9" t="n"/>
      <c r="AJ162" s="8" t="n"/>
      <c r="AK162" s="9" t="n"/>
      <c r="AL162" s="9" t="n"/>
      <c r="AM162" s="9" t="n"/>
      <c r="AN162" s="9" t="n"/>
      <c r="AO162" s="9" t="n"/>
      <c r="AP162" s="9" t="n"/>
      <c r="AQ162" s="9" t="n"/>
      <c r="AR162" s="9" t="n"/>
      <c r="AS162" s="9" t="n"/>
      <c r="AT162" s="8" t="n"/>
      <c r="AU162" s="8" t="n"/>
      <c r="AV162" s="9" t="n"/>
      <c r="AW162" s="8" t="n"/>
      <c r="AX162" s="9" t="n"/>
      <c r="AY162" s="9" t="n"/>
      <c r="AZ162" s="9" t="n"/>
      <c r="BA162" s="9" t="n"/>
      <c r="BB162" s="9" t="n"/>
      <c r="BC162" s="9" t="n"/>
      <c r="BD162" s="9" t="n"/>
      <c r="BE162" s="9" t="n"/>
      <c r="BF162" s="9" t="n"/>
      <c r="BG162" s="9" t="n"/>
      <c r="BH162" s="9" t="n"/>
      <c r="BI162" s="9" t="n"/>
      <c r="BJ162" s="9" t="n"/>
      <c r="BK162" s="9" t="n"/>
      <c r="BL162" s="9" t="n"/>
      <c r="BM162" s="9" t="n"/>
      <c r="BN162" s="9" t="n"/>
      <c r="BO162" s="8" t="n"/>
      <c r="BP162" s="9" t="n"/>
      <c r="BQ162" s="9" t="n"/>
      <c r="BR162" s="12">
        <f>IF(AND(AI162="Y",AK162="Y",AL162="Y",AM162="Y",AY162="Y",AZ162="Y",BA162="Y",BB162="Y",BC162="Y",BE162&lt;&gt;"Y",AX162&lt;&gt;"Y",BL162&lt;&gt;"Y",IF(AS162="Y",AV162="Y",TRUE)),"Y","N")</f>
        <v/>
      </c>
      <c r="BS162" s="12">
        <f>IF(AND(BR162="Y",OR(AND(BJ162="Y",BM162="Y"),AND(BK162="Y",BN162="Y"),AND(BJ162&lt;&gt;"Y",BK162&lt;&gt;"Y",OR(BM162="Y",BN162="Y")))),"Y","N")</f>
        <v/>
      </c>
      <c r="BT162" s="10" t="n"/>
      <c r="BU162" s="13" t="n"/>
      <c r="BV162" s="13" t="n"/>
      <c r="BW162" s="13" t="n"/>
      <c r="BX162" s="13" t="n"/>
      <c r="BY162" s="13" t="n"/>
      <c r="BZ162" s="13" t="n"/>
      <c r="CA162" s="14" t="n"/>
      <c r="CB162" s="13" t="n"/>
      <c r="CC162" s="9" t="n"/>
      <c r="CD162" s="9" t="n"/>
      <c r="CE162" s="9" t="n"/>
      <c r="CF162" s="9" t="n"/>
      <c r="CG162" s="9" t="n"/>
      <c r="CH162" s="9" t="n"/>
    </row>
    <row r="163">
      <c r="A163" s="8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8" t="n"/>
      <c r="L163" s="9" t="n"/>
      <c r="M163" s="8" t="n"/>
      <c r="N163" s="8" t="n"/>
      <c r="O163" s="8" t="n"/>
      <c r="P163" s="8" t="n"/>
      <c r="Q163" s="8" t="n"/>
      <c r="R163" s="9" t="n"/>
      <c r="S163" s="9" t="n"/>
      <c r="T163" s="10" t="n"/>
      <c r="U163" s="10" t="n"/>
      <c r="V163" s="9" t="n"/>
      <c r="W163" s="9" t="n"/>
      <c r="X163" s="9" t="n"/>
      <c r="Y163" s="9" t="n"/>
      <c r="Z163" s="11" t="n"/>
      <c r="AA163" s="11" t="n"/>
      <c r="AB163" s="11" t="n"/>
      <c r="AC163" s="11" t="n"/>
      <c r="AD163" s="11" t="n"/>
      <c r="AE163" s="11" t="n"/>
      <c r="AF163" s="9" t="n"/>
      <c r="AG163" s="9" t="n"/>
      <c r="AH163" s="9" t="n"/>
      <c r="AI163" s="9" t="n"/>
      <c r="AJ163" s="8" t="n"/>
      <c r="AK163" s="9" t="n"/>
      <c r="AL163" s="9" t="n"/>
      <c r="AM163" s="9" t="n"/>
      <c r="AN163" s="9" t="n"/>
      <c r="AO163" s="9" t="n"/>
      <c r="AP163" s="9" t="n"/>
      <c r="AQ163" s="9" t="n"/>
      <c r="AR163" s="9" t="n"/>
      <c r="AS163" s="9" t="n"/>
      <c r="AT163" s="8" t="n"/>
      <c r="AU163" s="8" t="n"/>
      <c r="AV163" s="9" t="n"/>
      <c r="AW163" s="8" t="n"/>
      <c r="AX163" s="9" t="n"/>
      <c r="AY163" s="9" t="n"/>
      <c r="AZ163" s="9" t="n"/>
      <c r="BA163" s="9" t="n"/>
      <c r="BB163" s="9" t="n"/>
      <c r="BC163" s="9" t="n"/>
      <c r="BD163" s="9" t="n"/>
      <c r="BE163" s="9" t="n"/>
      <c r="BF163" s="9" t="n"/>
      <c r="BG163" s="9" t="n"/>
      <c r="BH163" s="9" t="n"/>
      <c r="BI163" s="9" t="n"/>
      <c r="BJ163" s="9" t="n"/>
      <c r="BK163" s="9" t="n"/>
      <c r="BL163" s="9" t="n"/>
      <c r="BM163" s="9" t="n"/>
      <c r="BN163" s="9" t="n"/>
      <c r="BO163" s="8" t="n"/>
      <c r="BP163" s="9" t="n"/>
      <c r="BQ163" s="9" t="n"/>
      <c r="BR163" s="12">
        <f>IF(AND(AI163="Y",AK163="Y",AL163="Y",AM163="Y",AY163="Y",AZ163="Y",BA163="Y",BB163="Y",BC163="Y",BE163&lt;&gt;"Y",AX163&lt;&gt;"Y",BL163&lt;&gt;"Y",IF(AS163="Y",AV163="Y",TRUE)),"Y","N")</f>
        <v/>
      </c>
      <c r="BS163" s="12">
        <f>IF(AND(BR163="Y",OR(AND(BJ163="Y",BM163="Y"),AND(BK163="Y",BN163="Y"),AND(BJ163&lt;&gt;"Y",BK163&lt;&gt;"Y",OR(BM163="Y",BN163="Y")))),"Y","N")</f>
        <v/>
      </c>
      <c r="BT163" s="10" t="n"/>
      <c r="BU163" s="13" t="n"/>
      <c r="BV163" s="13" t="n"/>
      <c r="BW163" s="13" t="n"/>
      <c r="BX163" s="13" t="n"/>
      <c r="BY163" s="13" t="n"/>
      <c r="BZ163" s="13" t="n"/>
      <c r="CA163" s="14" t="n"/>
      <c r="CB163" s="13" t="n"/>
      <c r="CC163" s="9" t="n"/>
      <c r="CD163" s="9" t="n"/>
      <c r="CE163" s="9" t="n"/>
      <c r="CF163" s="9" t="n"/>
      <c r="CG163" s="9" t="n"/>
      <c r="CH163" s="9" t="n"/>
    </row>
    <row r="164">
      <c r="A164" s="8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8" t="n"/>
      <c r="L164" s="9" t="n"/>
      <c r="M164" s="8" t="n"/>
      <c r="N164" s="8" t="n"/>
      <c r="O164" s="8" t="n"/>
      <c r="P164" s="8" t="n"/>
      <c r="Q164" s="8" t="n"/>
      <c r="R164" s="9" t="n"/>
      <c r="S164" s="9" t="n"/>
      <c r="T164" s="10" t="n"/>
      <c r="U164" s="10" t="n"/>
      <c r="V164" s="9" t="n"/>
      <c r="W164" s="9" t="n"/>
      <c r="X164" s="9" t="n"/>
      <c r="Y164" s="9" t="n"/>
      <c r="Z164" s="11" t="n"/>
      <c r="AA164" s="11" t="n"/>
      <c r="AB164" s="11" t="n"/>
      <c r="AC164" s="11" t="n"/>
      <c r="AD164" s="11" t="n"/>
      <c r="AE164" s="11" t="n"/>
      <c r="AF164" s="9" t="n"/>
      <c r="AG164" s="9" t="n"/>
      <c r="AH164" s="9" t="n"/>
      <c r="AI164" s="9" t="n"/>
      <c r="AJ164" s="8" t="n"/>
      <c r="AK164" s="9" t="n"/>
      <c r="AL164" s="9" t="n"/>
      <c r="AM164" s="9" t="n"/>
      <c r="AN164" s="9" t="n"/>
      <c r="AO164" s="9" t="n"/>
      <c r="AP164" s="9" t="n"/>
      <c r="AQ164" s="9" t="n"/>
      <c r="AR164" s="9" t="n"/>
      <c r="AS164" s="9" t="n"/>
      <c r="AT164" s="8" t="n"/>
      <c r="AU164" s="8" t="n"/>
      <c r="AV164" s="9" t="n"/>
      <c r="AW164" s="8" t="n"/>
      <c r="AX164" s="9" t="n"/>
      <c r="AY164" s="9" t="n"/>
      <c r="AZ164" s="9" t="n"/>
      <c r="BA164" s="9" t="n"/>
      <c r="BB164" s="9" t="n"/>
      <c r="BC164" s="9" t="n"/>
      <c r="BD164" s="9" t="n"/>
      <c r="BE164" s="9" t="n"/>
      <c r="BF164" s="9" t="n"/>
      <c r="BG164" s="9" t="n"/>
      <c r="BH164" s="9" t="n"/>
      <c r="BI164" s="9" t="n"/>
      <c r="BJ164" s="9" t="n"/>
      <c r="BK164" s="9" t="n"/>
      <c r="BL164" s="9" t="n"/>
      <c r="BM164" s="9" t="n"/>
      <c r="BN164" s="9" t="n"/>
      <c r="BO164" s="8" t="n"/>
      <c r="BP164" s="9" t="n"/>
      <c r="BQ164" s="9" t="n"/>
      <c r="BR164" s="12">
        <f>IF(AND(AI164="Y",AK164="Y",AL164="Y",AM164="Y",AY164="Y",AZ164="Y",BA164="Y",BB164="Y",BC164="Y",BE164&lt;&gt;"Y",AX164&lt;&gt;"Y",BL164&lt;&gt;"Y",IF(AS164="Y",AV164="Y",TRUE)),"Y","N")</f>
        <v/>
      </c>
      <c r="BS164" s="12">
        <f>IF(AND(BR164="Y",OR(AND(BJ164="Y",BM164="Y"),AND(BK164="Y",BN164="Y"),AND(BJ164&lt;&gt;"Y",BK164&lt;&gt;"Y",OR(BM164="Y",BN164="Y")))),"Y","N")</f>
        <v/>
      </c>
      <c r="BT164" s="10" t="n"/>
      <c r="BU164" s="13" t="n"/>
      <c r="BV164" s="13" t="n"/>
      <c r="BW164" s="13" t="n"/>
      <c r="BX164" s="13" t="n"/>
      <c r="BY164" s="13" t="n"/>
      <c r="BZ164" s="13" t="n"/>
      <c r="CA164" s="14" t="n"/>
      <c r="CB164" s="13" t="n"/>
      <c r="CC164" s="9" t="n"/>
      <c r="CD164" s="9" t="n"/>
      <c r="CE164" s="9" t="n"/>
      <c r="CF164" s="9" t="n"/>
      <c r="CG164" s="9" t="n"/>
      <c r="CH164" s="9" t="n"/>
    </row>
    <row r="165">
      <c r="A165" s="8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8" t="n"/>
      <c r="L165" s="9" t="n"/>
      <c r="M165" s="8" t="n"/>
      <c r="N165" s="8" t="n"/>
      <c r="O165" s="8" t="n"/>
      <c r="P165" s="8" t="n"/>
      <c r="Q165" s="8" t="n"/>
      <c r="R165" s="9" t="n"/>
      <c r="S165" s="9" t="n"/>
      <c r="T165" s="10" t="n"/>
      <c r="U165" s="10" t="n"/>
      <c r="V165" s="9" t="n"/>
      <c r="W165" s="9" t="n"/>
      <c r="X165" s="9" t="n"/>
      <c r="Y165" s="9" t="n"/>
      <c r="Z165" s="11" t="n"/>
      <c r="AA165" s="11" t="n"/>
      <c r="AB165" s="11" t="n"/>
      <c r="AC165" s="11" t="n"/>
      <c r="AD165" s="11" t="n"/>
      <c r="AE165" s="11" t="n"/>
      <c r="AF165" s="9" t="n"/>
      <c r="AG165" s="9" t="n"/>
      <c r="AH165" s="9" t="n"/>
      <c r="AI165" s="9" t="n"/>
      <c r="AJ165" s="8" t="n"/>
      <c r="AK165" s="9" t="n"/>
      <c r="AL165" s="9" t="n"/>
      <c r="AM165" s="9" t="n"/>
      <c r="AN165" s="9" t="n"/>
      <c r="AO165" s="9" t="n"/>
      <c r="AP165" s="9" t="n"/>
      <c r="AQ165" s="9" t="n"/>
      <c r="AR165" s="9" t="n"/>
      <c r="AS165" s="9" t="n"/>
      <c r="AT165" s="8" t="n"/>
      <c r="AU165" s="8" t="n"/>
      <c r="AV165" s="9" t="n"/>
      <c r="AW165" s="8" t="n"/>
      <c r="AX165" s="9" t="n"/>
      <c r="AY165" s="9" t="n"/>
      <c r="AZ165" s="9" t="n"/>
      <c r="BA165" s="9" t="n"/>
      <c r="BB165" s="9" t="n"/>
      <c r="BC165" s="9" t="n"/>
      <c r="BD165" s="9" t="n"/>
      <c r="BE165" s="9" t="n"/>
      <c r="BF165" s="9" t="n"/>
      <c r="BG165" s="9" t="n"/>
      <c r="BH165" s="9" t="n"/>
      <c r="BI165" s="9" t="n"/>
      <c r="BJ165" s="9" t="n"/>
      <c r="BK165" s="9" t="n"/>
      <c r="BL165" s="9" t="n"/>
      <c r="BM165" s="9" t="n"/>
      <c r="BN165" s="9" t="n"/>
      <c r="BO165" s="8" t="n"/>
      <c r="BP165" s="9" t="n"/>
      <c r="BQ165" s="9" t="n"/>
      <c r="BR165" s="12">
        <f>IF(AND(AI165="Y",AK165="Y",AL165="Y",AM165="Y",AY165="Y",AZ165="Y",BA165="Y",BB165="Y",BC165="Y",BE165&lt;&gt;"Y",AX165&lt;&gt;"Y",BL165&lt;&gt;"Y",IF(AS165="Y",AV165="Y",TRUE)),"Y","N")</f>
        <v/>
      </c>
      <c r="BS165" s="12">
        <f>IF(AND(BR165="Y",OR(AND(BJ165="Y",BM165="Y"),AND(BK165="Y",BN165="Y"),AND(BJ165&lt;&gt;"Y",BK165&lt;&gt;"Y",OR(BM165="Y",BN165="Y")))),"Y","N")</f>
        <v/>
      </c>
      <c r="BT165" s="10" t="n"/>
      <c r="BU165" s="13" t="n"/>
      <c r="BV165" s="13" t="n"/>
      <c r="BW165" s="13" t="n"/>
      <c r="BX165" s="13" t="n"/>
      <c r="BY165" s="13" t="n"/>
      <c r="BZ165" s="13" t="n"/>
      <c r="CA165" s="14" t="n"/>
      <c r="CB165" s="13" t="n"/>
      <c r="CC165" s="9" t="n"/>
      <c r="CD165" s="9" t="n"/>
      <c r="CE165" s="9" t="n"/>
      <c r="CF165" s="9" t="n"/>
      <c r="CG165" s="9" t="n"/>
      <c r="CH165" s="9" t="n"/>
    </row>
    <row r="166">
      <c r="A166" s="8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8" t="n"/>
      <c r="L166" s="9" t="n"/>
      <c r="M166" s="8" t="n"/>
      <c r="N166" s="8" t="n"/>
      <c r="O166" s="8" t="n"/>
      <c r="P166" s="8" t="n"/>
      <c r="Q166" s="8" t="n"/>
      <c r="R166" s="9" t="n"/>
      <c r="S166" s="9" t="n"/>
      <c r="T166" s="10" t="n"/>
      <c r="U166" s="10" t="n"/>
      <c r="V166" s="9" t="n"/>
      <c r="W166" s="9" t="n"/>
      <c r="X166" s="9" t="n"/>
      <c r="Y166" s="9" t="n"/>
      <c r="Z166" s="11" t="n"/>
      <c r="AA166" s="11" t="n"/>
      <c r="AB166" s="11" t="n"/>
      <c r="AC166" s="11" t="n"/>
      <c r="AD166" s="11" t="n"/>
      <c r="AE166" s="11" t="n"/>
      <c r="AF166" s="9" t="n"/>
      <c r="AG166" s="9" t="n"/>
      <c r="AH166" s="9" t="n"/>
      <c r="AI166" s="9" t="n"/>
      <c r="AJ166" s="8" t="n"/>
      <c r="AK166" s="9" t="n"/>
      <c r="AL166" s="9" t="n"/>
      <c r="AM166" s="9" t="n"/>
      <c r="AN166" s="9" t="n"/>
      <c r="AO166" s="9" t="n"/>
      <c r="AP166" s="9" t="n"/>
      <c r="AQ166" s="9" t="n"/>
      <c r="AR166" s="9" t="n"/>
      <c r="AS166" s="9" t="n"/>
      <c r="AT166" s="8" t="n"/>
      <c r="AU166" s="8" t="n"/>
      <c r="AV166" s="9" t="n"/>
      <c r="AW166" s="8" t="n"/>
      <c r="AX166" s="9" t="n"/>
      <c r="AY166" s="9" t="n"/>
      <c r="AZ166" s="9" t="n"/>
      <c r="BA166" s="9" t="n"/>
      <c r="BB166" s="9" t="n"/>
      <c r="BC166" s="9" t="n"/>
      <c r="BD166" s="9" t="n"/>
      <c r="BE166" s="9" t="n"/>
      <c r="BF166" s="9" t="n"/>
      <c r="BG166" s="9" t="n"/>
      <c r="BH166" s="9" t="n"/>
      <c r="BI166" s="9" t="n"/>
      <c r="BJ166" s="9" t="n"/>
      <c r="BK166" s="9" t="n"/>
      <c r="BL166" s="9" t="n"/>
      <c r="BM166" s="9" t="n"/>
      <c r="BN166" s="9" t="n"/>
      <c r="BO166" s="8" t="n"/>
      <c r="BP166" s="9" t="n"/>
      <c r="BQ166" s="9" t="n"/>
      <c r="BR166" s="12">
        <f>IF(AND(AI166="Y",AK166="Y",AL166="Y",AM166="Y",AY166="Y",AZ166="Y",BA166="Y",BB166="Y",BC166="Y",BE166&lt;&gt;"Y",AX166&lt;&gt;"Y",BL166&lt;&gt;"Y",IF(AS166="Y",AV166="Y",TRUE)),"Y","N")</f>
        <v/>
      </c>
      <c r="BS166" s="12">
        <f>IF(AND(BR166="Y",OR(AND(BJ166="Y",BM166="Y"),AND(BK166="Y",BN166="Y"),AND(BJ166&lt;&gt;"Y",BK166&lt;&gt;"Y",OR(BM166="Y",BN166="Y")))),"Y","N")</f>
        <v/>
      </c>
      <c r="BT166" s="10" t="n"/>
      <c r="BU166" s="13" t="n"/>
      <c r="BV166" s="13" t="n"/>
      <c r="BW166" s="13" t="n"/>
      <c r="BX166" s="13" t="n"/>
      <c r="BY166" s="13" t="n"/>
      <c r="BZ166" s="13" t="n"/>
      <c r="CA166" s="14" t="n"/>
      <c r="CB166" s="13" t="n"/>
      <c r="CC166" s="9" t="n"/>
      <c r="CD166" s="9" t="n"/>
      <c r="CE166" s="9" t="n"/>
      <c r="CF166" s="9" t="n"/>
      <c r="CG166" s="9" t="n"/>
      <c r="CH166" s="9" t="n"/>
    </row>
    <row r="167">
      <c r="A167" s="8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8" t="n"/>
      <c r="L167" s="9" t="n"/>
      <c r="M167" s="8" t="n"/>
      <c r="N167" s="8" t="n"/>
      <c r="O167" s="8" t="n"/>
      <c r="P167" s="8" t="n"/>
      <c r="Q167" s="8" t="n"/>
      <c r="R167" s="9" t="n"/>
      <c r="S167" s="9" t="n"/>
      <c r="T167" s="10" t="n"/>
      <c r="U167" s="10" t="n"/>
      <c r="V167" s="9" t="n"/>
      <c r="W167" s="9" t="n"/>
      <c r="X167" s="9" t="n"/>
      <c r="Y167" s="9" t="n"/>
      <c r="Z167" s="11" t="n"/>
      <c r="AA167" s="11" t="n"/>
      <c r="AB167" s="11" t="n"/>
      <c r="AC167" s="11" t="n"/>
      <c r="AD167" s="11" t="n"/>
      <c r="AE167" s="11" t="n"/>
      <c r="AF167" s="9" t="n"/>
      <c r="AG167" s="9" t="n"/>
      <c r="AH167" s="9" t="n"/>
      <c r="AI167" s="9" t="n"/>
      <c r="AJ167" s="8" t="n"/>
      <c r="AK167" s="9" t="n"/>
      <c r="AL167" s="9" t="n"/>
      <c r="AM167" s="9" t="n"/>
      <c r="AN167" s="9" t="n"/>
      <c r="AO167" s="9" t="n"/>
      <c r="AP167" s="9" t="n"/>
      <c r="AQ167" s="9" t="n"/>
      <c r="AR167" s="9" t="n"/>
      <c r="AS167" s="9" t="n"/>
      <c r="AT167" s="8" t="n"/>
      <c r="AU167" s="8" t="n"/>
      <c r="AV167" s="9" t="n"/>
      <c r="AW167" s="8" t="n"/>
      <c r="AX167" s="9" t="n"/>
      <c r="AY167" s="9" t="n"/>
      <c r="AZ167" s="9" t="n"/>
      <c r="BA167" s="9" t="n"/>
      <c r="BB167" s="9" t="n"/>
      <c r="BC167" s="9" t="n"/>
      <c r="BD167" s="9" t="n"/>
      <c r="BE167" s="9" t="n"/>
      <c r="BF167" s="9" t="n"/>
      <c r="BG167" s="9" t="n"/>
      <c r="BH167" s="9" t="n"/>
      <c r="BI167" s="9" t="n"/>
      <c r="BJ167" s="9" t="n"/>
      <c r="BK167" s="9" t="n"/>
      <c r="BL167" s="9" t="n"/>
      <c r="BM167" s="9" t="n"/>
      <c r="BN167" s="9" t="n"/>
      <c r="BO167" s="8" t="n"/>
      <c r="BP167" s="9" t="n"/>
      <c r="BQ167" s="9" t="n"/>
      <c r="BR167" s="12">
        <f>IF(AND(AI167="Y",AK167="Y",AL167="Y",AM167="Y",AY167="Y",AZ167="Y",BA167="Y",BB167="Y",BC167="Y",BE167&lt;&gt;"Y",AX167&lt;&gt;"Y",BL167&lt;&gt;"Y",IF(AS167="Y",AV167="Y",TRUE)),"Y","N")</f>
        <v/>
      </c>
      <c r="BS167" s="12">
        <f>IF(AND(BR167="Y",OR(AND(BJ167="Y",BM167="Y"),AND(BK167="Y",BN167="Y"),AND(BJ167&lt;&gt;"Y",BK167&lt;&gt;"Y",OR(BM167="Y",BN167="Y")))),"Y","N")</f>
        <v/>
      </c>
      <c r="BT167" s="10" t="n"/>
      <c r="BU167" s="13" t="n"/>
      <c r="BV167" s="13" t="n"/>
      <c r="BW167" s="13" t="n"/>
      <c r="BX167" s="13" t="n"/>
      <c r="BY167" s="13" t="n"/>
      <c r="BZ167" s="13" t="n"/>
      <c r="CA167" s="14" t="n"/>
      <c r="CB167" s="13" t="n"/>
      <c r="CC167" s="9" t="n"/>
      <c r="CD167" s="9" t="n"/>
      <c r="CE167" s="9" t="n"/>
      <c r="CF167" s="9" t="n"/>
      <c r="CG167" s="9" t="n"/>
      <c r="CH167" s="9" t="n"/>
    </row>
    <row r="168">
      <c r="A168" s="8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8" t="n"/>
      <c r="L168" s="9" t="n"/>
      <c r="M168" s="8" t="n"/>
      <c r="N168" s="8" t="n"/>
      <c r="O168" s="8" t="n"/>
      <c r="P168" s="8" t="n"/>
      <c r="Q168" s="8" t="n"/>
      <c r="R168" s="9" t="n"/>
      <c r="S168" s="9" t="n"/>
      <c r="T168" s="10" t="n"/>
      <c r="U168" s="10" t="n"/>
      <c r="V168" s="9" t="n"/>
      <c r="W168" s="9" t="n"/>
      <c r="X168" s="9" t="n"/>
      <c r="Y168" s="9" t="n"/>
      <c r="Z168" s="11" t="n"/>
      <c r="AA168" s="11" t="n"/>
      <c r="AB168" s="11" t="n"/>
      <c r="AC168" s="11" t="n"/>
      <c r="AD168" s="11" t="n"/>
      <c r="AE168" s="11" t="n"/>
      <c r="AF168" s="9" t="n"/>
      <c r="AG168" s="9" t="n"/>
      <c r="AH168" s="9" t="n"/>
      <c r="AI168" s="9" t="n"/>
      <c r="AJ168" s="8" t="n"/>
      <c r="AK168" s="9" t="n"/>
      <c r="AL168" s="9" t="n"/>
      <c r="AM168" s="9" t="n"/>
      <c r="AN168" s="9" t="n"/>
      <c r="AO168" s="9" t="n"/>
      <c r="AP168" s="9" t="n"/>
      <c r="AQ168" s="9" t="n"/>
      <c r="AR168" s="9" t="n"/>
      <c r="AS168" s="9" t="n"/>
      <c r="AT168" s="8" t="n"/>
      <c r="AU168" s="8" t="n"/>
      <c r="AV168" s="9" t="n"/>
      <c r="AW168" s="8" t="n"/>
      <c r="AX168" s="9" t="n"/>
      <c r="AY168" s="9" t="n"/>
      <c r="AZ168" s="9" t="n"/>
      <c r="BA168" s="9" t="n"/>
      <c r="BB168" s="9" t="n"/>
      <c r="BC168" s="9" t="n"/>
      <c r="BD168" s="9" t="n"/>
      <c r="BE168" s="9" t="n"/>
      <c r="BF168" s="9" t="n"/>
      <c r="BG168" s="9" t="n"/>
      <c r="BH168" s="9" t="n"/>
      <c r="BI168" s="9" t="n"/>
      <c r="BJ168" s="9" t="n"/>
      <c r="BK168" s="9" t="n"/>
      <c r="BL168" s="9" t="n"/>
      <c r="BM168" s="9" t="n"/>
      <c r="BN168" s="9" t="n"/>
      <c r="BO168" s="8" t="n"/>
      <c r="BP168" s="9" t="n"/>
      <c r="BQ168" s="9" t="n"/>
      <c r="BR168" s="12">
        <f>IF(AND(AI168="Y",AK168="Y",AL168="Y",AM168="Y",AY168="Y",AZ168="Y",BA168="Y",BB168="Y",BC168="Y",BE168&lt;&gt;"Y",AX168&lt;&gt;"Y",BL168&lt;&gt;"Y",IF(AS168="Y",AV168="Y",TRUE)),"Y","N")</f>
        <v/>
      </c>
      <c r="BS168" s="12">
        <f>IF(AND(BR168="Y",OR(AND(BJ168="Y",BM168="Y"),AND(BK168="Y",BN168="Y"),AND(BJ168&lt;&gt;"Y",BK168&lt;&gt;"Y",OR(BM168="Y",BN168="Y")))),"Y","N")</f>
        <v/>
      </c>
      <c r="BT168" s="10" t="n"/>
      <c r="BU168" s="13" t="n"/>
      <c r="BV168" s="13" t="n"/>
      <c r="BW168" s="13" t="n"/>
      <c r="BX168" s="13" t="n"/>
      <c r="BY168" s="13" t="n"/>
      <c r="BZ168" s="13" t="n"/>
      <c r="CA168" s="14" t="n"/>
      <c r="CB168" s="13" t="n"/>
      <c r="CC168" s="9" t="n"/>
      <c r="CD168" s="9" t="n"/>
      <c r="CE168" s="9" t="n"/>
      <c r="CF168" s="9" t="n"/>
      <c r="CG168" s="9" t="n"/>
      <c r="CH168" s="9" t="n"/>
    </row>
    <row r="169">
      <c r="A169" s="8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8" t="n"/>
      <c r="L169" s="9" t="n"/>
      <c r="M169" s="8" t="n"/>
      <c r="N169" s="8" t="n"/>
      <c r="O169" s="8" t="n"/>
      <c r="P169" s="8" t="n"/>
      <c r="Q169" s="8" t="n"/>
      <c r="R169" s="9" t="n"/>
      <c r="S169" s="9" t="n"/>
      <c r="T169" s="10" t="n"/>
      <c r="U169" s="10" t="n"/>
      <c r="V169" s="9" t="n"/>
      <c r="W169" s="9" t="n"/>
      <c r="X169" s="9" t="n"/>
      <c r="Y169" s="9" t="n"/>
      <c r="Z169" s="11" t="n"/>
      <c r="AA169" s="11" t="n"/>
      <c r="AB169" s="11" t="n"/>
      <c r="AC169" s="11" t="n"/>
      <c r="AD169" s="11" t="n"/>
      <c r="AE169" s="11" t="n"/>
      <c r="AF169" s="9" t="n"/>
      <c r="AG169" s="9" t="n"/>
      <c r="AH169" s="9" t="n"/>
      <c r="AI169" s="9" t="n"/>
      <c r="AJ169" s="8" t="n"/>
      <c r="AK169" s="9" t="n"/>
      <c r="AL169" s="9" t="n"/>
      <c r="AM169" s="9" t="n"/>
      <c r="AN169" s="9" t="n"/>
      <c r="AO169" s="9" t="n"/>
      <c r="AP169" s="9" t="n"/>
      <c r="AQ169" s="9" t="n"/>
      <c r="AR169" s="9" t="n"/>
      <c r="AS169" s="9" t="n"/>
      <c r="AT169" s="8" t="n"/>
      <c r="AU169" s="8" t="n"/>
      <c r="AV169" s="9" t="n"/>
      <c r="AW169" s="8" t="n"/>
      <c r="AX169" s="9" t="n"/>
      <c r="AY169" s="9" t="n"/>
      <c r="AZ169" s="9" t="n"/>
      <c r="BA169" s="9" t="n"/>
      <c r="BB169" s="9" t="n"/>
      <c r="BC169" s="9" t="n"/>
      <c r="BD169" s="9" t="n"/>
      <c r="BE169" s="9" t="n"/>
      <c r="BF169" s="9" t="n"/>
      <c r="BG169" s="9" t="n"/>
      <c r="BH169" s="9" t="n"/>
      <c r="BI169" s="9" t="n"/>
      <c r="BJ169" s="9" t="n"/>
      <c r="BK169" s="9" t="n"/>
      <c r="BL169" s="9" t="n"/>
      <c r="BM169" s="9" t="n"/>
      <c r="BN169" s="9" t="n"/>
      <c r="BO169" s="8" t="n"/>
      <c r="BP169" s="9" t="n"/>
      <c r="BQ169" s="9" t="n"/>
      <c r="BR169" s="12">
        <f>IF(AND(AI169="Y",AK169="Y",AL169="Y",AM169="Y",AY169="Y",AZ169="Y",BA169="Y",BB169="Y",BC169="Y",BE169&lt;&gt;"Y",AX169&lt;&gt;"Y",BL169&lt;&gt;"Y",IF(AS169="Y",AV169="Y",TRUE)),"Y","N")</f>
        <v/>
      </c>
      <c r="BS169" s="12">
        <f>IF(AND(BR169="Y",OR(AND(BJ169="Y",BM169="Y"),AND(BK169="Y",BN169="Y"),AND(BJ169&lt;&gt;"Y",BK169&lt;&gt;"Y",OR(BM169="Y",BN169="Y")))),"Y","N")</f>
        <v/>
      </c>
      <c r="BT169" s="10" t="n"/>
      <c r="BU169" s="13" t="n"/>
      <c r="BV169" s="13" t="n"/>
      <c r="BW169" s="13" t="n"/>
      <c r="BX169" s="13" t="n"/>
      <c r="BY169" s="13" t="n"/>
      <c r="BZ169" s="13" t="n"/>
      <c r="CA169" s="14" t="n"/>
      <c r="CB169" s="13" t="n"/>
      <c r="CC169" s="9" t="n"/>
      <c r="CD169" s="9" t="n"/>
      <c r="CE169" s="9" t="n"/>
      <c r="CF169" s="9" t="n"/>
      <c r="CG169" s="9" t="n"/>
      <c r="CH169" s="9" t="n"/>
    </row>
    <row r="170">
      <c r="A170" s="8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8" t="n"/>
      <c r="L170" s="9" t="n"/>
      <c r="M170" s="8" t="n"/>
      <c r="N170" s="8" t="n"/>
      <c r="O170" s="8" t="n"/>
      <c r="P170" s="8" t="n"/>
      <c r="Q170" s="8" t="n"/>
      <c r="R170" s="9" t="n"/>
      <c r="S170" s="9" t="n"/>
      <c r="T170" s="10" t="n"/>
      <c r="U170" s="10" t="n"/>
      <c r="V170" s="9" t="n"/>
      <c r="W170" s="9" t="n"/>
      <c r="X170" s="9" t="n"/>
      <c r="Y170" s="9" t="n"/>
      <c r="Z170" s="11" t="n"/>
      <c r="AA170" s="11" t="n"/>
      <c r="AB170" s="11" t="n"/>
      <c r="AC170" s="11" t="n"/>
      <c r="AD170" s="11" t="n"/>
      <c r="AE170" s="11" t="n"/>
      <c r="AF170" s="9" t="n"/>
      <c r="AG170" s="9" t="n"/>
      <c r="AH170" s="9" t="n"/>
      <c r="AI170" s="9" t="n"/>
      <c r="AJ170" s="8" t="n"/>
      <c r="AK170" s="9" t="n"/>
      <c r="AL170" s="9" t="n"/>
      <c r="AM170" s="9" t="n"/>
      <c r="AN170" s="9" t="n"/>
      <c r="AO170" s="9" t="n"/>
      <c r="AP170" s="9" t="n"/>
      <c r="AQ170" s="9" t="n"/>
      <c r="AR170" s="9" t="n"/>
      <c r="AS170" s="9" t="n"/>
      <c r="AT170" s="8" t="n"/>
      <c r="AU170" s="8" t="n"/>
      <c r="AV170" s="9" t="n"/>
      <c r="AW170" s="8" t="n"/>
      <c r="AX170" s="9" t="n"/>
      <c r="AY170" s="9" t="n"/>
      <c r="AZ170" s="9" t="n"/>
      <c r="BA170" s="9" t="n"/>
      <c r="BB170" s="9" t="n"/>
      <c r="BC170" s="9" t="n"/>
      <c r="BD170" s="9" t="n"/>
      <c r="BE170" s="9" t="n"/>
      <c r="BF170" s="9" t="n"/>
      <c r="BG170" s="9" t="n"/>
      <c r="BH170" s="9" t="n"/>
      <c r="BI170" s="9" t="n"/>
      <c r="BJ170" s="9" t="n"/>
      <c r="BK170" s="9" t="n"/>
      <c r="BL170" s="9" t="n"/>
      <c r="BM170" s="9" t="n"/>
      <c r="BN170" s="9" t="n"/>
      <c r="BO170" s="8" t="n"/>
      <c r="BP170" s="9" t="n"/>
      <c r="BQ170" s="9" t="n"/>
      <c r="BR170" s="12">
        <f>IF(AND(AI170="Y",AK170="Y",AL170="Y",AM170="Y",AY170="Y",AZ170="Y",BA170="Y",BB170="Y",BC170="Y",BE170&lt;&gt;"Y",AX170&lt;&gt;"Y",BL170&lt;&gt;"Y",IF(AS170="Y",AV170="Y",TRUE)),"Y","N")</f>
        <v/>
      </c>
      <c r="BS170" s="12">
        <f>IF(AND(BR170="Y",OR(AND(BJ170="Y",BM170="Y"),AND(BK170="Y",BN170="Y"),AND(BJ170&lt;&gt;"Y",BK170&lt;&gt;"Y",OR(BM170="Y",BN170="Y")))),"Y","N")</f>
        <v/>
      </c>
      <c r="BT170" s="10" t="n"/>
      <c r="BU170" s="13" t="n"/>
      <c r="BV170" s="13" t="n"/>
      <c r="BW170" s="13" t="n"/>
      <c r="BX170" s="13" t="n"/>
      <c r="BY170" s="13" t="n"/>
      <c r="BZ170" s="13" t="n"/>
      <c r="CA170" s="14" t="n"/>
      <c r="CB170" s="13" t="n"/>
      <c r="CC170" s="9" t="n"/>
      <c r="CD170" s="9" t="n"/>
      <c r="CE170" s="9" t="n"/>
      <c r="CF170" s="9" t="n"/>
      <c r="CG170" s="9" t="n"/>
      <c r="CH170" s="9" t="n"/>
    </row>
    <row r="171">
      <c r="A171" s="8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8" t="n"/>
      <c r="L171" s="9" t="n"/>
      <c r="M171" s="8" t="n"/>
      <c r="N171" s="8" t="n"/>
      <c r="O171" s="8" t="n"/>
      <c r="P171" s="8" t="n"/>
      <c r="Q171" s="8" t="n"/>
      <c r="R171" s="9" t="n"/>
      <c r="S171" s="9" t="n"/>
      <c r="T171" s="10" t="n"/>
      <c r="U171" s="10" t="n"/>
      <c r="V171" s="9" t="n"/>
      <c r="W171" s="9" t="n"/>
      <c r="X171" s="9" t="n"/>
      <c r="Y171" s="9" t="n"/>
      <c r="Z171" s="11" t="n"/>
      <c r="AA171" s="11" t="n"/>
      <c r="AB171" s="11" t="n"/>
      <c r="AC171" s="11" t="n"/>
      <c r="AD171" s="11" t="n"/>
      <c r="AE171" s="11" t="n"/>
      <c r="AF171" s="9" t="n"/>
      <c r="AG171" s="9" t="n"/>
      <c r="AH171" s="9" t="n"/>
      <c r="AI171" s="9" t="n"/>
      <c r="AJ171" s="8" t="n"/>
      <c r="AK171" s="9" t="n"/>
      <c r="AL171" s="9" t="n"/>
      <c r="AM171" s="9" t="n"/>
      <c r="AN171" s="9" t="n"/>
      <c r="AO171" s="9" t="n"/>
      <c r="AP171" s="9" t="n"/>
      <c r="AQ171" s="9" t="n"/>
      <c r="AR171" s="9" t="n"/>
      <c r="AS171" s="9" t="n"/>
      <c r="AT171" s="8" t="n"/>
      <c r="AU171" s="8" t="n"/>
      <c r="AV171" s="9" t="n"/>
      <c r="AW171" s="8" t="n"/>
      <c r="AX171" s="9" t="n"/>
      <c r="AY171" s="9" t="n"/>
      <c r="AZ171" s="9" t="n"/>
      <c r="BA171" s="9" t="n"/>
      <c r="BB171" s="9" t="n"/>
      <c r="BC171" s="9" t="n"/>
      <c r="BD171" s="9" t="n"/>
      <c r="BE171" s="9" t="n"/>
      <c r="BF171" s="9" t="n"/>
      <c r="BG171" s="9" t="n"/>
      <c r="BH171" s="9" t="n"/>
      <c r="BI171" s="9" t="n"/>
      <c r="BJ171" s="9" t="n"/>
      <c r="BK171" s="9" t="n"/>
      <c r="BL171" s="9" t="n"/>
      <c r="BM171" s="9" t="n"/>
      <c r="BN171" s="9" t="n"/>
      <c r="BO171" s="8" t="n"/>
      <c r="BP171" s="9" t="n"/>
      <c r="BQ171" s="9" t="n"/>
      <c r="BR171" s="12">
        <f>IF(AND(AI171="Y",AK171="Y",AL171="Y",AM171="Y",AY171="Y",AZ171="Y",BA171="Y",BB171="Y",BC171="Y",BE171&lt;&gt;"Y",AX171&lt;&gt;"Y",BL171&lt;&gt;"Y",IF(AS171="Y",AV171="Y",TRUE)),"Y","N")</f>
        <v/>
      </c>
      <c r="BS171" s="12">
        <f>IF(AND(BR171="Y",OR(AND(BJ171="Y",BM171="Y"),AND(BK171="Y",BN171="Y"),AND(BJ171&lt;&gt;"Y",BK171&lt;&gt;"Y",OR(BM171="Y",BN171="Y")))),"Y","N")</f>
        <v/>
      </c>
      <c r="BT171" s="10" t="n"/>
      <c r="BU171" s="13" t="n"/>
      <c r="BV171" s="13" t="n"/>
      <c r="BW171" s="13" t="n"/>
      <c r="BX171" s="13" t="n"/>
      <c r="BY171" s="13" t="n"/>
      <c r="BZ171" s="13" t="n"/>
      <c r="CA171" s="14" t="n"/>
      <c r="CB171" s="13" t="n"/>
      <c r="CC171" s="9" t="n"/>
      <c r="CD171" s="9" t="n"/>
      <c r="CE171" s="9" t="n"/>
      <c r="CF171" s="9" t="n"/>
      <c r="CG171" s="9" t="n"/>
      <c r="CH171" s="9" t="n"/>
    </row>
    <row r="172">
      <c r="A172" s="8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8" t="n"/>
      <c r="L172" s="9" t="n"/>
      <c r="M172" s="8" t="n"/>
      <c r="N172" s="8" t="n"/>
      <c r="O172" s="8" t="n"/>
      <c r="P172" s="8" t="n"/>
      <c r="Q172" s="8" t="n"/>
      <c r="R172" s="9" t="n"/>
      <c r="S172" s="9" t="n"/>
      <c r="T172" s="10" t="n"/>
      <c r="U172" s="10" t="n"/>
      <c r="V172" s="9" t="n"/>
      <c r="W172" s="9" t="n"/>
      <c r="X172" s="9" t="n"/>
      <c r="Y172" s="9" t="n"/>
      <c r="Z172" s="11" t="n"/>
      <c r="AA172" s="11" t="n"/>
      <c r="AB172" s="11" t="n"/>
      <c r="AC172" s="11" t="n"/>
      <c r="AD172" s="11" t="n"/>
      <c r="AE172" s="11" t="n"/>
      <c r="AF172" s="9" t="n"/>
      <c r="AG172" s="9" t="n"/>
      <c r="AH172" s="9" t="n"/>
      <c r="AI172" s="9" t="n"/>
      <c r="AJ172" s="8" t="n"/>
      <c r="AK172" s="9" t="n"/>
      <c r="AL172" s="9" t="n"/>
      <c r="AM172" s="9" t="n"/>
      <c r="AN172" s="9" t="n"/>
      <c r="AO172" s="9" t="n"/>
      <c r="AP172" s="9" t="n"/>
      <c r="AQ172" s="9" t="n"/>
      <c r="AR172" s="9" t="n"/>
      <c r="AS172" s="9" t="n"/>
      <c r="AT172" s="8" t="n"/>
      <c r="AU172" s="8" t="n"/>
      <c r="AV172" s="9" t="n"/>
      <c r="AW172" s="8" t="n"/>
      <c r="AX172" s="9" t="n"/>
      <c r="AY172" s="9" t="n"/>
      <c r="AZ172" s="9" t="n"/>
      <c r="BA172" s="9" t="n"/>
      <c r="BB172" s="9" t="n"/>
      <c r="BC172" s="9" t="n"/>
      <c r="BD172" s="9" t="n"/>
      <c r="BE172" s="9" t="n"/>
      <c r="BF172" s="9" t="n"/>
      <c r="BG172" s="9" t="n"/>
      <c r="BH172" s="9" t="n"/>
      <c r="BI172" s="9" t="n"/>
      <c r="BJ172" s="9" t="n"/>
      <c r="BK172" s="9" t="n"/>
      <c r="BL172" s="9" t="n"/>
      <c r="BM172" s="9" t="n"/>
      <c r="BN172" s="9" t="n"/>
      <c r="BO172" s="8" t="n"/>
      <c r="BP172" s="9" t="n"/>
      <c r="BQ172" s="9" t="n"/>
      <c r="BR172" s="12">
        <f>IF(AND(AI172="Y",AK172="Y",AL172="Y",AM172="Y",AY172="Y",AZ172="Y",BA172="Y",BB172="Y",BC172="Y",BE172&lt;&gt;"Y",AX172&lt;&gt;"Y",BL172&lt;&gt;"Y",IF(AS172="Y",AV172="Y",TRUE)),"Y","N")</f>
        <v/>
      </c>
      <c r="BS172" s="12">
        <f>IF(AND(BR172="Y",OR(AND(BJ172="Y",BM172="Y"),AND(BK172="Y",BN172="Y"),AND(BJ172&lt;&gt;"Y",BK172&lt;&gt;"Y",OR(BM172="Y",BN172="Y")))),"Y","N")</f>
        <v/>
      </c>
      <c r="BT172" s="10" t="n"/>
      <c r="BU172" s="13" t="n"/>
      <c r="BV172" s="13" t="n"/>
      <c r="BW172" s="13" t="n"/>
      <c r="BX172" s="13" t="n"/>
      <c r="BY172" s="13" t="n"/>
      <c r="BZ172" s="13" t="n"/>
      <c r="CA172" s="14" t="n"/>
      <c r="CB172" s="13" t="n"/>
      <c r="CC172" s="9" t="n"/>
      <c r="CD172" s="9" t="n"/>
      <c r="CE172" s="9" t="n"/>
      <c r="CF172" s="9" t="n"/>
      <c r="CG172" s="9" t="n"/>
      <c r="CH172" s="9" t="n"/>
    </row>
    <row r="173">
      <c r="A173" s="8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8" t="n"/>
      <c r="L173" s="9" t="n"/>
      <c r="M173" s="8" t="n"/>
      <c r="N173" s="8" t="n"/>
      <c r="O173" s="8" t="n"/>
      <c r="P173" s="8" t="n"/>
      <c r="Q173" s="8" t="n"/>
      <c r="R173" s="9" t="n"/>
      <c r="S173" s="9" t="n"/>
      <c r="T173" s="10" t="n"/>
      <c r="U173" s="10" t="n"/>
      <c r="V173" s="9" t="n"/>
      <c r="W173" s="9" t="n"/>
      <c r="X173" s="9" t="n"/>
      <c r="Y173" s="9" t="n"/>
      <c r="Z173" s="11" t="n"/>
      <c r="AA173" s="11" t="n"/>
      <c r="AB173" s="11" t="n"/>
      <c r="AC173" s="11" t="n"/>
      <c r="AD173" s="11" t="n"/>
      <c r="AE173" s="11" t="n"/>
      <c r="AF173" s="9" t="n"/>
      <c r="AG173" s="9" t="n"/>
      <c r="AH173" s="9" t="n"/>
      <c r="AI173" s="9" t="n"/>
      <c r="AJ173" s="8" t="n"/>
      <c r="AK173" s="9" t="n"/>
      <c r="AL173" s="9" t="n"/>
      <c r="AM173" s="9" t="n"/>
      <c r="AN173" s="9" t="n"/>
      <c r="AO173" s="9" t="n"/>
      <c r="AP173" s="9" t="n"/>
      <c r="AQ173" s="9" t="n"/>
      <c r="AR173" s="9" t="n"/>
      <c r="AS173" s="9" t="n"/>
      <c r="AT173" s="8" t="n"/>
      <c r="AU173" s="8" t="n"/>
      <c r="AV173" s="9" t="n"/>
      <c r="AW173" s="8" t="n"/>
      <c r="AX173" s="9" t="n"/>
      <c r="AY173" s="9" t="n"/>
      <c r="AZ173" s="9" t="n"/>
      <c r="BA173" s="9" t="n"/>
      <c r="BB173" s="9" t="n"/>
      <c r="BC173" s="9" t="n"/>
      <c r="BD173" s="9" t="n"/>
      <c r="BE173" s="9" t="n"/>
      <c r="BF173" s="9" t="n"/>
      <c r="BG173" s="9" t="n"/>
      <c r="BH173" s="9" t="n"/>
      <c r="BI173" s="9" t="n"/>
      <c r="BJ173" s="9" t="n"/>
      <c r="BK173" s="9" t="n"/>
      <c r="BL173" s="9" t="n"/>
      <c r="BM173" s="9" t="n"/>
      <c r="BN173" s="9" t="n"/>
      <c r="BO173" s="8" t="n"/>
      <c r="BP173" s="9" t="n"/>
      <c r="BQ173" s="9" t="n"/>
      <c r="BR173" s="12">
        <f>IF(AND(AI173="Y",AK173="Y",AL173="Y",AM173="Y",AY173="Y",AZ173="Y",BA173="Y",BB173="Y",BC173="Y",BE173&lt;&gt;"Y",AX173&lt;&gt;"Y",BL173&lt;&gt;"Y",IF(AS173="Y",AV173="Y",TRUE)),"Y","N")</f>
        <v/>
      </c>
      <c r="BS173" s="12">
        <f>IF(AND(BR173="Y",OR(AND(BJ173="Y",BM173="Y"),AND(BK173="Y",BN173="Y"),AND(BJ173&lt;&gt;"Y",BK173&lt;&gt;"Y",OR(BM173="Y",BN173="Y")))),"Y","N")</f>
        <v/>
      </c>
      <c r="BT173" s="10" t="n"/>
      <c r="BU173" s="13" t="n"/>
      <c r="BV173" s="13" t="n"/>
      <c r="BW173" s="13" t="n"/>
      <c r="BX173" s="13" t="n"/>
      <c r="BY173" s="13" t="n"/>
      <c r="BZ173" s="13" t="n"/>
      <c r="CA173" s="14" t="n"/>
      <c r="CB173" s="13" t="n"/>
      <c r="CC173" s="9" t="n"/>
      <c r="CD173" s="9" t="n"/>
      <c r="CE173" s="9" t="n"/>
      <c r="CF173" s="9" t="n"/>
      <c r="CG173" s="9" t="n"/>
      <c r="CH173" s="9" t="n"/>
    </row>
    <row r="174">
      <c r="A174" s="8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8" t="n"/>
      <c r="L174" s="9" t="n"/>
      <c r="M174" s="8" t="n"/>
      <c r="N174" s="8" t="n"/>
      <c r="O174" s="8" t="n"/>
      <c r="P174" s="8" t="n"/>
      <c r="Q174" s="8" t="n"/>
      <c r="R174" s="9" t="n"/>
      <c r="S174" s="9" t="n"/>
      <c r="T174" s="10" t="n"/>
      <c r="U174" s="10" t="n"/>
      <c r="V174" s="9" t="n"/>
      <c r="W174" s="9" t="n"/>
      <c r="X174" s="9" t="n"/>
      <c r="Y174" s="9" t="n"/>
      <c r="Z174" s="11" t="n"/>
      <c r="AA174" s="11" t="n"/>
      <c r="AB174" s="11" t="n"/>
      <c r="AC174" s="11" t="n"/>
      <c r="AD174" s="11" t="n"/>
      <c r="AE174" s="11" t="n"/>
      <c r="AF174" s="9" t="n"/>
      <c r="AG174" s="9" t="n"/>
      <c r="AH174" s="9" t="n"/>
      <c r="AI174" s="9" t="n"/>
      <c r="AJ174" s="8" t="n"/>
      <c r="AK174" s="9" t="n"/>
      <c r="AL174" s="9" t="n"/>
      <c r="AM174" s="9" t="n"/>
      <c r="AN174" s="9" t="n"/>
      <c r="AO174" s="9" t="n"/>
      <c r="AP174" s="9" t="n"/>
      <c r="AQ174" s="9" t="n"/>
      <c r="AR174" s="9" t="n"/>
      <c r="AS174" s="9" t="n"/>
      <c r="AT174" s="8" t="n"/>
      <c r="AU174" s="8" t="n"/>
      <c r="AV174" s="9" t="n"/>
      <c r="AW174" s="8" t="n"/>
      <c r="AX174" s="9" t="n"/>
      <c r="AY174" s="9" t="n"/>
      <c r="AZ174" s="9" t="n"/>
      <c r="BA174" s="9" t="n"/>
      <c r="BB174" s="9" t="n"/>
      <c r="BC174" s="9" t="n"/>
      <c r="BD174" s="9" t="n"/>
      <c r="BE174" s="9" t="n"/>
      <c r="BF174" s="9" t="n"/>
      <c r="BG174" s="9" t="n"/>
      <c r="BH174" s="9" t="n"/>
      <c r="BI174" s="9" t="n"/>
      <c r="BJ174" s="9" t="n"/>
      <c r="BK174" s="9" t="n"/>
      <c r="BL174" s="9" t="n"/>
      <c r="BM174" s="9" t="n"/>
      <c r="BN174" s="9" t="n"/>
      <c r="BO174" s="8" t="n"/>
      <c r="BP174" s="9" t="n"/>
      <c r="BQ174" s="9" t="n"/>
      <c r="BR174" s="12">
        <f>IF(AND(AI174="Y",AK174="Y",AL174="Y",AM174="Y",AY174="Y",AZ174="Y",BA174="Y",BB174="Y",BC174="Y",BE174&lt;&gt;"Y",AX174&lt;&gt;"Y",BL174&lt;&gt;"Y",IF(AS174="Y",AV174="Y",TRUE)),"Y","N")</f>
        <v/>
      </c>
      <c r="BS174" s="12">
        <f>IF(AND(BR174="Y",OR(AND(BJ174="Y",BM174="Y"),AND(BK174="Y",BN174="Y"),AND(BJ174&lt;&gt;"Y",BK174&lt;&gt;"Y",OR(BM174="Y",BN174="Y")))),"Y","N")</f>
        <v/>
      </c>
      <c r="BT174" s="10" t="n"/>
      <c r="BU174" s="13" t="n"/>
      <c r="BV174" s="13" t="n"/>
      <c r="BW174" s="13" t="n"/>
      <c r="BX174" s="13" t="n"/>
      <c r="BY174" s="13" t="n"/>
      <c r="BZ174" s="13" t="n"/>
      <c r="CA174" s="14" t="n"/>
      <c r="CB174" s="13" t="n"/>
      <c r="CC174" s="9" t="n"/>
      <c r="CD174" s="9" t="n"/>
      <c r="CE174" s="9" t="n"/>
      <c r="CF174" s="9" t="n"/>
      <c r="CG174" s="9" t="n"/>
      <c r="CH174" s="9" t="n"/>
    </row>
    <row r="175">
      <c r="A175" s="8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8" t="n"/>
      <c r="L175" s="9" t="n"/>
      <c r="M175" s="8" t="n"/>
      <c r="N175" s="8" t="n"/>
      <c r="O175" s="8" t="n"/>
      <c r="P175" s="8" t="n"/>
      <c r="Q175" s="8" t="n"/>
      <c r="R175" s="9" t="n"/>
      <c r="S175" s="9" t="n"/>
      <c r="T175" s="10" t="n"/>
      <c r="U175" s="10" t="n"/>
      <c r="V175" s="9" t="n"/>
      <c r="W175" s="9" t="n"/>
      <c r="X175" s="9" t="n"/>
      <c r="Y175" s="9" t="n"/>
      <c r="Z175" s="11" t="n"/>
      <c r="AA175" s="11" t="n"/>
      <c r="AB175" s="11" t="n"/>
      <c r="AC175" s="11" t="n"/>
      <c r="AD175" s="11" t="n"/>
      <c r="AE175" s="11" t="n"/>
      <c r="AF175" s="9" t="n"/>
      <c r="AG175" s="9" t="n"/>
      <c r="AH175" s="9" t="n"/>
      <c r="AI175" s="9" t="n"/>
      <c r="AJ175" s="8" t="n"/>
      <c r="AK175" s="9" t="n"/>
      <c r="AL175" s="9" t="n"/>
      <c r="AM175" s="9" t="n"/>
      <c r="AN175" s="9" t="n"/>
      <c r="AO175" s="9" t="n"/>
      <c r="AP175" s="9" t="n"/>
      <c r="AQ175" s="9" t="n"/>
      <c r="AR175" s="9" t="n"/>
      <c r="AS175" s="9" t="n"/>
      <c r="AT175" s="8" t="n"/>
      <c r="AU175" s="8" t="n"/>
      <c r="AV175" s="9" t="n"/>
      <c r="AW175" s="8" t="n"/>
      <c r="AX175" s="9" t="n"/>
      <c r="AY175" s="9" t="n"/>
      <c r="AZ175" s="9" t="n"/>
      <c r="BA175" s="9" t="n"/>
      <c r="BB175" s="9" t="n"/>
      <c r="BC175" s="9" t="n"/>
      <c r="BD175" s="9" t="n"/>
      <c r="BE175" s="9" t="n"/>
      <c r="BF175" s="9" t="n"/>
      <c r="BG175" s="9" t="n"/>
      <c r="BH175" s="9" t="n"/>
      <c r="BI175" s="9" t="n"/>
      <c r="BJ175" s="9" t="n"/>
      <c r="BK175" s="9" t="n"/>
      <c r="BL175" s="9" t="n"/>
      <c r="BM175" s="9" t="n"/>
      <c r="BN175" s="9" t="n"/>
      <c r="BO175" s="8" t="n"/>
      <c r="BP175" s="9" t="n"/>
      <c r="BQ175" s="9" t="n"/>
      <c r="BR175" s="12">
        <f>IF(AND(AI175="Y",AK175="Y",AL175="Y",AM175="Y",AY175="Y",AZ175="Y",BA175="Y",BB175="Y",BC175="Y",BE175&lt;&gt;"Y",AX175&lt;&gt;"Y",BL175&lt;&gt;"Y",IF(AS175="Y",AV175="Y",TRUE)),"Y","N")</f>
        <v/>
      </c>
      <c r="BS175" s="12">
        <f>IF(AND(BR175="Y",OR(AND(BJ175="Y",BM175="Y"),AND(BK175="Y",BN175="Y"),AND(BJ175&lt;&gt;"Y",BK175&lt;&gt;"Y",OR(BM175="Y",BN175="Y")))),"Y","N")</f>
        <v/>
      </c>
      <c r="BT175" s="10" t="n"/>
      <c r="BU175" s="13" t="n"/>
      <c r="BV175" s="13" t="n"/>
      <c r="BW175" s="13" t="n"/>
      <c r="BX175" s="13" t="n"/>
      <c r="BY175" s="13" t="n"/>
      <c r="BZ175" s="13" t="n"/>
      <c r="CA175" s="14" t="n"/>
      <c r="CB175" s="13" t="n"/>
      <c r="CC175" s="9" t="n"/>
      <c r="CD175" s="9" t="n"/>
      <c r="CE175" s="9" t="n"/>
      <c r="CF175" s="9" t="n"/>
      <c r="CG175" s="9" t="n"/>
      <c r="CH175" s="9" t="n"/>
    </row>
    <row r="176">
      <c r="A176" s="8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8" t="n"/>
      <c r="L176" s="9" t="n"/>
      <c r="M176" s="8" t="n"/>
      <c r="N176" s="8" t="n"/>
      <c r="O176" s="8" t="n"/>
      <c r="P176" s="8" t="n"/>
      <c r="Q176" s="8" t="n"/>
      <c r="R176" s="9" t="n"/>
      <c r="S176" s="9" t="n"/>
      <c r="T176" s="10" t="n"/>
      <c r="U176" s="10" t="n"/>
      <c r="V176" s="9" t="n"/>
      <c r="W176" s="9" t="n"/>
      <c r="X176" s="9" t="n"/>
      <c r="Y176" s="9" t="n"/>
      <c r="Z176" s="11" t="n"/>
      <c r="AA176" s="11" t="n"/>
      <c r="AB176" s="11" t="n"/>
      <c r="AC176" s="11" t="n"/>
      <c r="AD176" s="11" t="n"/>
      <c r="AE176" s="11" t="n"/>
      <c r="AF176" s="9" t="n"/>
      <c r="AG176" s="9" t="n"/>
      <c r="AH176" s="9" t="n"/>
      <c r="AI176" s="9" t="n"/>
      <c r="AJ176" s="8" t="n"/>
      <c r="AK176" s="9" t="n"/>
      <c r="AL176" s="9" t="n"/>
      <c r="AM176" s="9" t="n"/>
      <c r="AN176" s="9" t="n"/>
      <c r="AO176" s="9" t="n"/>
      <c r="AP176" s="9" t="n"/>
      <c r="AQ176" s="9" t="n"/>
      <c r="AR176" s="9" t="n"/>
      <c r="AS176" s="9" t="n"/>
      <c r="AT176" s="8" t="n"/>
      <c r="AU176" s="8" t="n"/>
      <c r="AV176" s="9" t="n"/>
      <c r="AW176" s="8" t="n"/>
      <c r="AX176" s="9" t="n"/>
      <c r="AY176" s="9" t="n"/>
      <c r="AZ176" s="9" t="n"/>
      <c r="BA176" s="9" t="n"/>
      <c r="BB176" s="9" t="n"/>
      <c r="BC176" s="9" t="n"/>
      <c r="BD176" s="9" t="n"/>
      <c r="BE176" s="9" t="n"/>
      <c r="BF176" s="9" t="n"/>
      <c r="BG176" s="9" t="n"/>
      <c r="BH176" s="9" t="n"/>
      <c r="BI176" s="9" t="n"/>
      <c r="BJ176" s="9" t="n"/>
      <c r="BK176" s="9" t="n"/>
      <c r="BL176" s="9" t="n"/>
      <c r="BM176" s="9" t="n"/>
      <c r="BN176" s="9" t="n"/>
      <c r="BO176" s="8" t="n"/>
      <c r="BP176" s="9" t="n"/>
      <c r="BQ176" s="9" t="n"/>
      <c r="BR176" s="12">
        <f>IF(AND(AI176="Y",AK176="Y",AL176="Y",AM176="Y",AY176="Y",AZ176="Y",BA176="Y",BB176="Y",BC176="Y",BE176&lt;&gt;"Y",AX176&lt;&gt;"Y",BL176&lt;&gt;"Y",IF(AS176="Y",AV176="Y",TRUE)),"Y","N")</f>
        <v/>
      </c>
      <c r="BS176" s="12">
        <f>IF(AND(BR176="Y",OR(AND(BJ176="Y",BM176="Y"),AND(BK176="Y",BN176="Y"),AND(BJ176&lt;&gt;"Y",BK176&lt;&gt;"Y",OR(BM176="Y",BN176="Y")))),"Y","N")</f>
        <v/>
      </c>
      <c r="BT176" s="10" t="n"/>
      <c r="BU176" s="13" t="n"/>
      <c r="BV176" s="13" t="n"/>
      <c r="BW176" s="13" t="n"/>
      <c r="BX176" s="13" t="n"/>
      <c r="BY176" s="13" t="n"/>
      <c r="BZ176" s="13" t="n"/>
      <c r="CA176" s="14" t="n"/>
      <c r="CB176" s="13" t="n"/>
      <c r="CC176" s="9" t="n"/>
      <c r="CD176" s="9" t="n"/>
      <c r="CE176" s="9" t="n"/>
      <c r="CF176" s="9" t="n"/>
      <c r="CG176" s="9" t="n"/>
      <c r="CH176" s="9" t="n"/>
    </row>
    <row r="177">
      <c r="A177" s="8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8" t="n"/>
      <c r="L177" s="9" t="n"/>
      <c r="M177" s="8" t="n"/>
      <c r="N177" s="8" t="n"/>
      <c r="O177" s="8" t="n"/>
      <c r="P177" s="8" t="n"/>
      <c r="Q177" s="8" t="n"/>
      <c r="R177" s="9" t="n"/>
      <c r="S177" s="9" t="n"/>
      <c r="T177" s="10" t="n"/>
      <c r="U177" s="10" t="n"/>
      <c r="V177" s="9" t="n"/>
      <c r="W177" s="9" t="n"/>
      <c r="X177" s="9" t="n"/>
      <c r="Y177" s="9" t="n"/>
      <c r="Z177" s="11" t="n"/>
      <c r="AA177" s="11" t="n"/>
      <c r="AB177" s="11" t="n"/>
      <c r="AC177" s="11" t="n"/>
      <c r="AD177" s="11" t="n"/>
      <c r="AE177" s="11" t="n"/>
      <c r="AF177" s="9" t="n"/>
      <c r="AG177" s="9" t="n"/>
      <c r="AH177" s="9" t="n"/>
      <c r="AI177" s="9" t="n"/>
      <c r="AJ177" s="8" t="n"/>
      <c r="AK177" s="9" t="n"/>
      <c r="AL177" s="9" t="n"/>
      <c r="AM177" s="9" t="n"/>
      <c r="AN177" s="9" t="n"/>
      <c r="AO177" s="9" t="n"/>
      <c r="AP177" s="9" t="n"/>
      <c r="AQ177" s="9" t="n"/>
      <c r="AR177" s="9" t="n"/>
      <c r="AS177" s="9" t="n"/>
      <c r="AT177" s="8" t="n"/>
      <c r="AU177" s="8" t="n"/>
      <c r="AV177" s="9" t="n"/>
      <c r="AW177" s="8" t="n"/>
      <c r="AX177" s="9" t="n"/>
      <c r="AY177" s="9" t="n"/>
      <c r="AZ177" s="9" t="n"/>
      <c r="BA177" s="9" t="n"/>
      <c r="BB177" s="9" t="n"/>
      <c r="BC177" s="9" t="n"/>
      <c r="BD177" s="9" t="n"/>
      <c r="BE177" s="9" t="n"/>
      <c r="BF177" s="9" t="n"/>
      <c r="BG177" s="9" t="n"/>
      <c r="BH177" s="9" t="n"/>
      <c r="BI177" s="9" t="n"/>
      <c r="BJ177" s="9" t="n"/>
      <c r="BK177" s="9" t="n"/>
      <c r="BL177" s="9" t="n"/>
      <c r="BM177" s="9" t="n"/>
      <c r="BN177" s="9" t="n"/>
      <c r="BO177" s="8" t="n"/>
      <c r="BP177" s="9" t="n"/>
      <c r="BQ177" s="9" t="n"/>
      <c r="BR177" s="12">
        <f>IF(AND(AI177="Y",AK177="Y",AL177="Y",AM177="Y",AY177="Y",AZ177="Y",BA177="Y",BB177="Y",BC177="Y",BE177&lt;&gt;"Y",AX177&lt;&gt;"Y",BL177&lt;&gt;"Y",IF(AS177="Y",AV177="Y",TRUE)),"Y","N")</f>
        <v/>
      </c>
      <c r="BS177" s="12">
        <f>IF(AND(BR177="Y",OR(AND(BJ177="Y",BM177="Y"),AND(BK177="Y",BN177="Y"),AND(BJ177&lt;&gt;"Y",BK177&lt;&gt;"Y",OR(BM177="Y",BN177="Y")))),"Y","N")</f>
        <v/>
      </c>
      <c r="BT177" s="10" t="n"/>
      <c r="BU177" s="13" t="n"/>
      <c r="BV177" s="13" t="n"/>
      <c r="BW177" s="13" t="n"/>
      <c r="BX177" s="13" t="n"/>
      <c r="BY177" s="13" t="n"/>
      <c r="BZ177" s="13" t="n"/>
      <c r="CA177" s="14" t="n"/>
      <c r="CB177" s="13" t="n"/>
      <c r="CC177" s="9" t="n"/>
      <c r="CD177" s="9" t="n"/>
      <c r="CE177" s="9" t="n"/>
      <c r="CF177" s="9" t="n"/>
      <c r="CG177" s="9" t="n"/>
      <c r="CH177" s="9" t="n"/>
    </row>
    <row r="178">
      <c r="A178" s="8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8" t="n"/>
      <c r="L178" s="9" t="n"/>
      <c r="M178" s="8" t="n"/>
      <c r="N178" s="8" t="n"/>
      <c r="O178" s="8" t="n"/>
      <c r="P178" s="8" t="n"/>
      <c r="Q178" s="8" t="n"/>
      <c r="R178" s="9" t="n"/>
      <c r="S178" s="9" t="n"/>
      <c r="T178" s="10" t="n"/>
      <c r="U178" s="10" t="n"/>
      <c r="V178" s="9" t="n"/>
      <c r="W178" s="9" t="n"/>
      <c r="X178" s="9" t="n"/>
      <c r="Y178" s="9" t="n"/>
      <c r="Z178" s="11" t="n"/>
      <c r="AA178" s="11" t="n"/>
      <c r="AB178" s="11" t="n"/>
      <c r="AC178" s="11" t="n"/>
      <c r="AD178" s="11" t="n"/>
      <c r="AE178" s="11" t="n"/>
      <c r="AF178" s="9" t="n"/>
      <c r="AG178" s="9" t="n"/>
      <c r="AH178" s="9" t="n"/>
      <c r="AI178" s="9" t="n"/>
      <c r="AJ178" s="8" t="n"/>
      <c r="AK178" s="9" t="n"/>
      <c r="AL178" s="9" t="n"/>
      <c r="AM178" s="9" t="n"/>
      <c r="AN178" s="9" t="n"/>
      <c r="AO178" s="9" t="n"/>
      <c r="AP178" s="9" t="n"/>
      <c r="AQ178" s="9" t="n"/>
      <c r="AR178" s="9" t="n"/>
      <c r="AS178" s="9" t="n"/>
      <c r="AT178" s="8" t="n"/>
      <c r="AU178" s="8" t="n"/>
      <c r="AV178" s="9" t="n"/>
      <c r="AW178" s="8" t="n"/>
      <c r="AX178" s="9" t="n"/>
      <c r="AY178" s="9" t="n"/>
      <c r="AZ178" s="9" t="n"/>
      <c r="BA178" s="9" t="n"/>
      <c r="BB178" s="9" t="n"/>
      <c r="BC178" s="9" t="n"/>
      <c r="BD178" s="9" t="n"/>
      <c r="BE178" s="9" t="n"/>
      <c r="BF178" s="9" t="n"/>
      <c r="BG178" s="9" t="n"/>
      <c r="BH178" s="9" t="n"/>
      <c r="BI178" s="9" t="n"/>
      <c r="BJ178" s="9" t="n"/>
      <c r="BK178" s="9" t="n"/>
      <c r="BL178" s="9" t="n"/>
      <c r="BM178" s="9" t="n"/>
      <c r="BN178" s="9" t="n"/>
      <c r="BO178" s="8" t="n"/>
      <c r="BP178" s="9" t="n"/>
      <c r="BQ178" s="9" t="n"/>
      <c r="BR178" s="12">
        <f>IF(AND(AI178="Y",AK178="Y",AL178="Y",AM178="Y",AY178="Y",AZ178="Y",BA178="Y",BB178="Y",BC178="Y",BE178&lt;&gt;"Y",AX178&lt;&gt;"Y",BL178&lt;&gt;"Y",IF(AS178="Y",AV178="Y",TRUE)),"Y","N")</f>
        <v/>
      </c>
      <c r="BS178" s="12">
        <f>IF(AND(BR178="Y",OR(AND(BJ178="Y",BM178="Y"),AND(BK178="Y",BN178="Y"),AND(BJ178&lt;&gt;"Y",BK178&lt;&gt;"Y",OR(BM178="Y",BN178="Y")))),"Y","N")</f>
        <v/>
      </c>
      <c r="BT178" s="10" t="n"/>
      <c r="BU178" s="13" t="n"/>
      <c r="BV178" s="13" t="n"/>
      <c r="BW178" s="13" t="n"/>
      <c r="BX178" s="13" t="n"/>
      <c r="BY178" s="13" t="n"/>
      <c r="BZ178" s="13" t="n"/>
      <c r="CA178" s="14" t="n"/>
      <c r="CB178" s="13" t="n"/>
      <c r="CC178" s="9" t="n"/>
      <c r="CD178" s="9" t="n"/>
      <c r="CE178" s="9" t="n"/>
      <c r="CF178" s="9" t="n"/>
      <c r="CG178" s="9" t="n"/>
      <c r="CH178" s="9" t="n"/>
    </row>
    <row r="179">
      <c r="A179" s="8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8" t="n"/>
      <c r="L179" s="9" t="n"/>
      <c r="M179" s="8" t="n"/>
      <c r="N179" s="8" t="n"/>
      <c r="O179" s="8" t="n"/>
      <c r="P179" s="8" t="n"/>
      <c r="Q179" s="8" t="n"/>
      <c r="R179" s="9" t="n"/>
      <c r="S179" s="9" t="n"/>
      <c r="T179" s="10" t="n"/>
      <c r="U179" s="10" t="n"/>
      <c r="V179" s="9" t="n"/>
      <c r="W179" s="9" t="n"/>
      <c r="X179" s="9" t="n"/>
      <c r="Y179" s="9" t="n"/>
      <c r="Z179" s="11" t="n"/>
      <c r="AA179" s="11" t="n"/>
      <c r="AB179" s="11" t="n"/>
      <c r="AC179" s="11" t="n"/>
      <c r="AD179" s="11" t="n"/>
      <c r="AE179" s="11" t="n"/>
      <c r="AF179" s="9" t="n"/>
      <c r="AG179" s="9" t="n"/>
      <c r="AH179" s="9" t="n"/>
      <c r="AI179" s="9" t="n"/>
      <c r="AJ179" s="8" t="n"/>
      <c r="AK179" s="9" t="n"/>
      <c r="AL179" s="9" t="n"/>
      <c r="AM179" s="9" t="n"/>
      <c r="AN179" s="9" t="n"/>
      <c r="AO179" s="9" t="n"/>
      <c r="AP179" s="9" t="n"/>
      <c r="AQ179" s="9" t="n"/>
      <c r="AR179" s="9" t="n"/>
      <c r="AS179" s="9" t="n"/>
      <c r="AT179" s="8" t="n"/>
      <c r="AU179" s="8" t="n"/>
      <c r="AV179" s="9" t="n"/>
      <c r="AW179" s="8" t="n"/>
      <c r="AX179" s="9" t="n"/>
      <c r="AY179" s="9" t="n"/>
      <c r="AZ179" s="9" t="n"/>
      <c r="BA179" s="9" t="n"/>
      <c r="BB179" s="9" t="n"/>
      <c r="BC179" s="9" t="n"/>
      <c r="BD179" s="9" t="n"/>
      <c r="BE179" s="9" t="n"/>
      <c r="BF179" s="9" t="n"/>
      <c r="BG179" s="9" t="n"/>
      <c r="BH179" s="9" t="n"/>
      <c r="BI179" s="9" t="n"/>
      <c r="BJ179" s="9" t="n"/>
      <c r="BK179" s="9" t="n"/>
      <c r="BL179" s="9" t="n"/>
      <c r="BM179" s="9" t="n"/>
      <c r="BN179" s="9" t="n"/>
      <c r="BO179" s="8" t="n"/>
      <c r="BP179" s="9" t="n"/>
      <c r="BQ179" s="9" t="n"/>
      <c r="BR179" s="12">
        <f>IF(AND(AI179="Y",AK179="Y",AL179="Y",AM179="Y",AY179="Y",AZ179="Y",BA179="Y",BB179="Y",BC179="Y",BE179&lt;&gt;"Y",AX179&lt;&gt;"Y",BL179&lt;&gt;"Y",IF(AS179="Y",AV179="Y",TRUE)),"Y","N")</f>
        <v/>
      </c>
      <c r="BS179" s="12">
        <f>IF(AND(BR179="Y",OR(AND(BJ179="Y",BM179="Y"),AND(BK179="Y",BN179="Y"),AND(BJ179&lt;&gt;"Y",BK179&lt;&gt;"Y",OR(BM179="Y",BN179="Y")))),"Y","N")</f>
        <v/>
      </c>
      <c r="BT179" s="10" t="n"/>
      <c r="BU179" s="13" t="n"/>
      <c r="BV179" s="13" t="n"/>
      <c r="BW179" s="13" t="n"/>
      <c r="BX179" s="13" t="n"/>
      <c r="BY179" s="13" t="n"/>
      <c r="BZ179" s="13" t="n"/>
      <c r="CA179" s="14" t="n"/>
      <c r="CB179" s="13" t="n"/>
      <c r="CC179" s="9" t="n"/>
      <c r="CD179" s="9" t="n"/>
      <c r="CE179" s="9" t="n"/>
      <c r="CF179" s="9" t="n"/>
      <c r="CG179" s="9" t="n"/>
      <c r="CH179" s="9" t="n"/>
    </row>
    <row r="180">
      <c r="A180" s="8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8" t="n"/>
      <c r="L180" s="9" t="n"/>
      <c r="M180" s="8" t="n"/>
      <c r="N180" s="8" t="n"/>
      <c r="O180" s="8" t="n"/>
      <c r="P180" s="8" t="n"/>
      <c r="Q180" s="8" t="n"/>
      <c r="R180" s="9" t="n"/>
      <c r="S180" s="9" t="n"/>
      <c r="T180" s="10" t="n"/>
      <c r="U180" s="10" t="n"/>
      <c r="V180" s="9" t="n"/>
      <c r="W180" s="9" t="n"/>
      <c r="X180" s="9" t="n"/>
      <c r="Y180" s="9" t="n"/>
      <c r="Z180" s="11" t="n"/>
      <c r="AA180" s="11" t="n"/>
      <c r="AB180" s="11" t="n"/>
      <c r="AC180" s="11" t="n"/>
      <c r="AD180" s="11" t="n"/>
      <c r="AE180" s="11" t="n"/>
      <c r="AF180" s="9" t="n"/>
      <c r="AG180" s="9" t="n"/>
      <c r="AH180" s="9" t="n"/>
      <c r="AI180" s="9" t="n"/>
      <c r="AJ180" s="8" t="n"/>
      <c r="AK180" s="9" t="n"/>
      <c r="AL180" s="9" t="n"/>
      <c r="AM180" s="9" t="n"/>
      <c r="AN180" s="9" t="n"/>
      <c r="AO180" s="9" t="n"/>
      <c r="AP180" s="9" t="n"/>
      <c r="AQ180" s="9" t="n"/>
      <c r="AR180" s="9" t="n"/>
      <c r="AS180" s="9" t="n"/>
      <c r="AT180" s="8" t="n"/>
      <c r="AU180" s="8" t="n"/>
      <c r="AV180" s="9" t="n"/>
      <c r="AW180" s="8" t="n"/>
      <c r="AX180" s="9" t="n"/>
      <c r="AY180" s="9" t="n"/>
      <c r="AZ180" s="9" t="n"/>
      <c r="BA180" s="9" t="n"/>
      <c r="BB180" s="9" t="n"/>
      <c r="BC180" s="9" t="n"/>
      <c r="BD180" s="9" t="n"/>
      <c r="BE180" s="9" t="n"/>
      <c r="BF180" s="9" t="n"/>
      <c r="BG180" s="9" t="n"/>
      <c r="BH180" s="9" t="n"/>
      <c r="BI180" s="9" t="n"/>
      <c r="BJ180" s="9" t="n"/>
      <c r="BK180" s="9" t="n"/>
      <c r="BL180" s="9" t="n"/>
      <c r="BM180" s="9" t="n"/>
      <c r="BN180" s="9" t="n"/>
      <c r="BO180" s="8" t="n"/>
      <c r="BP180" s="9" t="n"/>
      <c r="BQ180" s="9" t="n"/>
      <c r="BR180" s="12">
        <f>IF(AND(AI180="Y",AK180="Y",AL180="Y",AM180="Y",AY180="Y",AZ180="Y",BA180="Y",BB180="Y",BC180="Y",BE180&lt;&gt;"Y",AX180&lt;&gt;"Y",BL180&lt;&gt;"Y",IF(AS180="Y",AV180="Y",TRUE)),"Y","N")</f>
        <v/>
      </c>
      <c r="BS180" s="12">
        <f>IF(AND(BR180="Y",OR(AND(BJ180="Y",BM180="Y"),AND(BK180="Y",BN180="Y"),AND(BJ180&lt;&gt;"Y",BK180&lt;&gt;"Y",OR(BM180="Y",BN180="Y")))),"Y","N")</f>
        <v/>
      </c>
      <c r="BT180" s="10" t="n"/>
      <c r="BU180" s="13" t="n"/>
      <c r="BV180" s="13" t="n"/>
      <c r="BW180" s="13" t="n"/>
      <c r="BX180" s="13" t="n"/>
      <c r="BY180" s="13" t="n"/>
      <c r="BZ180" s="13" t="n"/>
      <c r="CA180" s="14" t="n"/>
      <c r="CB180" s="13" t="n"/>
      <c r="CC180" s="9" t="n"/>
      <c r="CD180" s="9" t="n"/>
      <c r="CE180" s="9" t="n"/>
      <c r="CF180" s="9" t="n"/>
      <c r="CG180" s="9" t="n"/>
      <c r="CH180" s="9" t="n"/>
    </row>
    <row r="181">
      <c r="A181" s="8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8" t="n"/>
      <c r="L181" s="9" t="n"/>
      <c r="M181" s="8" t="n"/>
      <c r="N181" s="8" t="n"/>
      <c r="O181" s="8" t="n"/>
      <c r="P181" s="8" t="n"/>
      <c r="Q181" s="8" t="n"/>
      <c r="R181" s="9" t="n"/>
      <c r="S181" s="9" t="n"/>
      <c r="T181" s="10" t="n"/>
      <c r="U181" s="10" t="n"/>
      <c r="V181" s="9" t="n"/>
      <c r="W181" s="9" t="n"/>
      <c r="X181" s="9" t="n"/>
      <c r="Y181" s="9" t="n"/>
      <c r="Z181" s="11" t="n"/>
      <c r="AA181" s="11" t="n"/>
      <c r="AB181" s="11" t="n"/>
      <c r="AC181" s="11" t="n"/>
      <c r="AD181" s="11" t="n"/>
      <c r="AE181" s="11" t="n"/>
      <c r="AF181" s="9" t="n"/>
      <c r="AG181" s="9" t="n"/>
      <c r="AH181" s="9" t="n"/>
      <c r="AI181" s="9" t="n"/>
      <c r="AJ181" s="8" t="n"/>
      <c r="AK181" s="9" t="n"/>
      <c r="AL181" s="9" t="n"/>
      <c r="AM181" s="9" t="n"/>
      <c r="AN181" s="9" t="n"/>
      <c r="AO181" s="9" t="n"/>
      <c r="AP181" s="9" t="n"/>
      <c r="AQ181" s="9" t="n"/>
      <c r="AR181" s="9" t="n"/>
      <c r="AS181" s="9" t="n"/>
      <c r="AT181" s="8" t="n"/>
      <c r="AU181" s="8" t="n"/>
      <c r="AV181" s="9" t="n"/>
      <c r="AW181" s="8" t="n"/>
      <c r="AX181" s="9" t="n"/>
      <c r="AY181" s="9" t="n"/>
      <c r="AZ181" s="9" t="n"/>
      <c r="BA181" s="9" t="n"/>
      <c r="BB181" s="9" t="n"/>
      <c r="BC181" s="9" t="n"/>
      <c r="BD181" s="9" t="n"/>
      <c r="BE181" s="9" t="n"/>
      <c r="BF181" s="9" t="n"/>
      <c r="BG181" s="9" t="n"/>
      <c r="BH181" s="9" t="n"/>
      <c r="BI181" s="9" t="n"/>
      <c r="BJ181" s="9" t="n"/>
      <c r="BK181" s="9" t="n"/>
      <c r="BL181" s="9" t="n"/>
      <c r="BM181" s="9" t="n"/>
      <c r="BN181" s="9" t="n"/>
      <c r="BO181" s="8" t="n"/>
      <c r="BP181" s="9" t="n"/>
      <c r="BQ181" s="9" t="n"/>
      <c r="BR181" s="12">
        <f>IF(AND(AI181="Y",AK181="Y",AL181="Y",AM181="Y",AY181="Y",AZ181="Y",BA181="Y",BB181="Y",BC181="Y",BE181&lt;&gt;"Y",AX181&lt;&gt;"Y",BL181&lt;&gt;"Y",IF(AS181="Y",AV181="Y",TRUE)),"Y","N")</f>
        <v/>
      </c>
      <c r="BS181" s="12">
        <f>IF(AND(BR181="Y",OR(AND(BJ181="Y",BM181="Y"),AND(BK181="Y",BN181="Y"),AND(BJ181&lt;&gt;"Y",BK181&lt;&gt;"Y",OR(BM181="Y",BN181="Y")))),"Y","N")</f>
        <v/>
      </c>
      <c r="BT181" s="10" t="n"/>
      <c r="BU181" s="13" t="n"/>
      <c r="BV181" s="13" t="n"/>
      <c r="BW181" s="13" t="n"/>
      <c r="BX181" s="13" t="n"/>
      <c r="BY181" s="13" t="n"/>
      <c r="BZ181" s="13" t="n"/>
      <c r="CA181" s="14" t="n"/>
      <c r="CB181" s="13" t="n"/>
      <c r="CC181" s="9" t="n"/>
      <c r="CD181" s="9" t="n"/>
      <c r="CE181" s="9" t="n"/>
      <c r="CF181" s="9" t="n"/>
      <c r="CG181" s="9" t="n"/>
      <c r="CH181" s="9" t="n"/>
    </row>
    <row r="182">
      <c r="A182" s="8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8" t="n"/>
      <c r="L182" s="9" t="n"/>
      <c r="M182" s="8" t="n"/>
      <c r="N182" s="8" t="n"/>
      <c r="O182" s="8" t="n"/>
      <c r="P182" s="8" t="n"/>
      <c r="Q182" s="8" t="n"/>
      <c r="R182" s="9" t="n"/>
      <c r="S182" s="9" t="n"/>
      <c r="T182" s="10" t="n"/>
      <c r="U182" s="10" t="n"/>
      <c r="V182" s="9" t="n"/>
      <c r="W182" s="9" t="n"/>
      <c r="X182" s="9" t="n"/>
      <c r="Y182" s="9" t="n"/>
      <c r="Z182" s="11" t="n"/>
      <c r="AA182" s="11" t="n"/>
      <c r="AB182" s="11" t="n"/>
      <c r="AC182" s="11" t="n"/>
      <c r="AD182" s="11" t="n"/>
      <c r="AE182" s="11" t="n"/>
      <c r="AF182" s="9" t="n"/>
      <c r="AG182" s="9" t="n"/>
      <c r="AH182" s="9" t="n"/>
      <c r="AI182" s="9" t="n"/>
      <c r="AJ182" s="8" t="n"/>
      <c r="AK182" s="9" t="n"/>
      <c r="AL182" s="9" t="n"/>
      <c r="AM182" s="9" t="n"/>
      <c r="AN182" s="9" t="n"/>
      <c r="AO182" s="9" t="n"/>
      <c r="AP182" s="9" t="n"/>
      <c r="AQ182" s="9" t="n"/>
      <c r="AR182" s="9" t="n"/>
      <c r="AS182" s="9" t="n"/>
      <c r="AT182" s="8" t="n"/>
      <c r="AU182" s="8" t="n"/>
      <c r="AV182" s="9" t="n"/>
      <c r="AW182" s="8" t="n"/>
      <c r="AX182" s="9" t="n"/>
      <c r="AY182" s="9" t="n"/>
      <c r="AZ182" s="9" t="n"/>
      <c r="BA182" s="9" t="n"/>
      <c r="BB182" s="9" t="n"/>
      <c r="BC182" s="9" t="n"/>
      <c r="BD182" s="9" t="n"/>
      <c r="BE182" s="9" t="n"/>
      <c r="BF182" s="9" t="n"/>
      <c r="BG182" s="9" t="n"/>
      <c r="BH182" s="9" t="n"/>
      <c r="BI182" s="9" t="n"/>
      <c r="BJ182" s="9" t="n"/>
      <c r="BK182" s="9" t="n"/>
      <c r="BL182" s="9" t="n"/>
      <c r="BM182" s="9" t="n"/>
      <c r="BN182" s="9" t="n"/>
      <c r="BO182" s="8" t="n"/>
      <c r="BP182" s="9" t="n"/>
      <c r="BQ182" s="9" t="n"/>
      <c r="BR182" s="12">
        <f>IF(AND(AI182="Y",AK182="Y",AL182="Y",AM182="Y",AY182="Y",AZ182="Y",BA182="Y",BB182="Y",BC182="Y",BE182&lt;&gt;"Y",AX182&lt;&gt;"Y",BL182&lt;&gt;"Y",IF(AS182="Y",AV182="Y",TRUE)),"Y","N")</f>
        <v/>
      </c>
      <c r="BS182" s="12">
        <f>IF(AND(BR182="Y",OR(AND(BJ182="Y",BM182="Y"),AND(BK182="Y",BN182="Y"),AND(BJ182&lt;&gt;"Y",BK182&lt;&gt;"Y",OR(BM182="Y",BN182="Y")))),"Y","N")</f>
        <v/>
      </c>
      <c r="BT182" s="10" t="n"/>
      <c r="BU182" s="13" t="n"/>
      <c r="BV182" s="13" t="n"/>
      <c r="BW182" s="13" t="n"/>
      <c r="BX182" s="13" t="n"/>
      <c r="BY182" s="13" t="n"/>
      <c r="BZ182" s="13" t="n"/>
      <c r="CA182" s="14" t="n"/>
      <c r="CB182" s="13" t="n"/>
      <c r="CC182" s="9" t="n"/>
      <c r="CD182" s="9" t="n"/>
      <c r="CE182" s="9" t="n"/>
      <c r="CF182" s="9" t="n"/>
      <c r="CG182" s="9" t="n"/>
      <c r="CH182" s="9" t="n"/>
    </row>
    <row r="183">
      <c r="A183" s="8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8" t="n"/>
      <c r="L183" s="9" t="n"/>
      <c r="M183" s="8" t="n"/>
      <c r="N183" s="8" t="n"/>
      <c r="O183" s="8" t="n"/>
      <c r="P183" s="8" t="n"/>
      <c r="Q183" s="8" t="n"/>
      <c r="R183" s="9" t="n"/>
      <c r="S183" s="9" t="n"/>
      <c r="T183" s="10" t="n"/>
      <c r="U183" s="10" t="n"/>
      <c r="V183" s="9" t="n"/>
      <c r="W183" s="9" t="n"/>
      <c r="X183" s="9" t="n"/>
      <c r="Y183" s="9" t="n"/>
      <c r="Z183" s="11" t="n"/>
      <c r="AA183" s="11" t="n"/>
      <c r="AB183" s="11" t="n"/>
      <c r="AC183" s="11" t="n"/>
      <c r="AD183" s="11" t="n"/>
      <c r="AE183" s="11" t="n"/>
      <c r="AF183" s="9" t="n"/>
      <c r="AG183" s="9" t="n"/>
      <c r="AH183" s="9" t="n"/>
      <c r="AI183" s="9" t="n"/>
      <c r="AJ183" s="8" t="n"/>
      <c r="AK183" s="9" t="n"/>
      <c r="AL183" s="9" t="n"/>
      <c r="AM183" s="9" t="n"/>
      <c r="AN183" s="9" t="n"/>
      <c r="AO183" s="9" t="n"/>
      <c r="AP183" s="9" t="n"/>
      <c r="AQ183" s="9" t="n"/>
      <c r="AR183" s="9" t="n"/>
      <c r="AS183" s="9" t="n"/>
      <c r="AT183" s="8" t="n"/>
      <c r="AU183" s="8" t="n"/>
      <c r="AV183" s="9" t="n"/>
      <c r="AW183" s="8" t="n"/>
      <c r="AX183" s="9" t="n"/>
      <c r="AY183" s="9" t="n"/>
      <c r="AZ183" s="9" t="n"/>
      <c r="BA183" s="9" t="n"/>
      <c r="BB183" s="9" t="n"/>
      <c r="BC183" s="9" t="n"/>
      <c r="BD183" s="9" t="n"/>
      <c r="BE183" s="9" t="n"/>
      <c r="BF183" s="9" t="n"/>
      <c r="BG183" s="9" t="n"/>
      <c r="BH183" s="9" t="n"/>
      <c r="BI183" s="9" t="n"/>
      <c r="BJ183" s="9" t="n"/>
      <c r="BK183" s="9" t="n"/>
      <c r="BL183" s="9" t="n"/>
      <c r="BM183" s="9" t="n"/>
      <c r="BN183" s="9" t="n"/>
      <c r="BO183" s="8" t="n"/>
      <c r="BP183" s="9" t="n"/>
      <c r="BQ183" s="9" t="n"/>
      <c r="BR183" s="12">
        <f>IF(AND(AI183="Y",AK183="Y",AL183="Y",AM183="Y",AY183="Y",AZ183="Y",BA183="Y",BB183="Y",BC183="Y",BE183&lt;&gt;"Y",AX183&lt;&gt;"Y",BL183&lt;&gt;"Y",IF(AS183="Y",AV183="Y",TRUE)),"Y","N")</f>
        <v/>
      </c>
      <c r="BS183" s="12">
        <f>IF(AND(BR183="Y",OR(AND(BJ183="Y",BM183="Y"),AND(BK183="Y",BN183="Y"),AND(BJ183&lt;&gt;"Y",BK183&lt;&gt;"Y",OR(BM183="Y",BN183="Y")))),"Y","N")</f>
        <v/>
      </c>
      <c r="BT183" s="10" t="n"/>
      <c r="BU183" s="13" t="n"/>
      <c r="BV183" s="13" t="n"/>
      <c r="BW183" s="13" t="n"/>
      <c r="BX183" s="13" t="n"/>
      <c r="BY183" s="13" t="n"/>
      <c r="BZ183" s="13" t="n"/>
      <c r="CA183" s="14" t="n"/>
      <c r="CB183" s="13" t="n"/>
      <c r="CC183" s="9" t="n"/>
      <c r="CD183" s="9" t="n"/>
      <c r="CE183" s="9" t="n"/>
      <c r="CF183" s="9" t="n"/>
      <c r="CG183" s="9" t="n"/>
      <c r="CH183" s="9" t="n"/>
    </row>
    <row r="184">
      <c r="A184" s="8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8" t="n"/>
      <c r="L184" s="9" t="n"/>
      <c r="M184" s="8" t="n"/>
      <c r="N184" s="8" t="n"/>
      <c r="O184" s="8" t="n"/>
      <c r="P184" s="8" t="n"/>
      <c r="Q184" s="8" t="n"/>
      <c r="R184" s="9" t="n"/>
      <c r="S184" s="9" t="n"/>
      <c r="T184" s="10" t="n"/>
      <c r="U184" s="10" t="n"/>
      <c r="V184" s="9" t="n"/>
      <c r="W184" s="9" t="n"/>
      <c r="X184" s="9" t="n"/>
      <c r="Y184" s="9" t="n"/>
      <c r="Z184" s="11" t="n"/>
      <c r="AA184" s="11" t="n"/>
      <c r="AB184" s="11" t="n"/>
      <c r="AC184" s="11" t="n"/>
      <c r="AD184" s="11" t="n"/>
      <c r="AE184" s="11" t="n"/>
      <c r="AF184" s="9" t="n"/>
      <c r="AG184" s="9" t="n"/>
      <c r="AH184" s="9" t="n"/>
      <c r="AI184" s="9" t="n"/>
      <c r="AJ184" s="8" t="n"/>
      <c r="AK184" s="9" t="n"/>
      <c r="AL184" s="9" t="n"/>
      <c r="AM184" s="9" t="n"/>
      <c r="AN184" s="9" t="n"/>
      <c r="AO184" s="9" t="n"/>
      <c r="AP184" s="9" t="n"/>
      <c r="AQ184" s="9" t="n"/>
      <c r="AR184" s="9" t="n"/>
      <c r="AS184" s="9" t="n"/>
      <c r="AT184" s="8" t="n"/>
      <c r="AU184" s="8" t="n"/>
      <c r="AV184" s="9" t="n"/>
      <c r="AW184" s="8" t="n"/>
      <c r="AX184" s="9" t="n"/>
      <c r="AY184" s="9" t="n"/>
      <c r="AZ184" s="9" t="n"/>
      <c r="BA184" s="9" t="n"/>
      <c r="BB184" s="9" t="n"/>
      <c r="BC184" s="9" t="n"/>
      <c r="BD184" s="9" t="n"/>
      <c r="BE184" s="9" t="n"/>
      <c r="BF184" s="9" t="n"/>
      <c r="BG184" s="9" t="n"/>
      <c r="BH184" s="9" t="n"/>
      <c r="BI184" s="9" t="n"/>
      <c r="BJ184" s="9" t="n"/>
      <c r="BK184" s="9" t="n"/>
      <c r="BL184" s="9" t="n"/>
      <c r="BM184" s="9" t="n"/>
      <c r="BN184" s="9" t="n"/>
      <c r="BO184" s="8" t="n"/>
      <c r="BP184" s="9" t="n"/>
      <c r="BQ184" s="9" t="n"/>
      <c r="BR184" s="12">
        <f>IF(AND(AI184="Y",AK184="Y",AL184="Y",AM184="Y",AY184="Y",AZ184="Y",BA184="Y",BB184="Y",BC184="Y",BE184&lt;&gt;"Y",AX184&lt;&gt;"Y",BL184&lt;&gt;"Y",IF(AS184="Y",AV184="Y",TRUE)),"Y","N")</f>
        <v/>
      </c>
      <c r="BS184" s="12">
        <f>IF(AND(BR184="Y",OR(AND(BJ184="Y",BM184="Y"),AND(BK184="Y",BN184="Y"),AND(BJ184&lt;&gt;"Y",BK184&lt;&gt;"Y",OR(BM184="Y",BN184="Y")))),"Y","N")</f>
        <v/>
      </c>
      <c r="BT184" s="10" t="n"/>
      <c r="BU184" s="13" t="n"/>
      <c r="BV184" s="13" t="n"/>
      <c r="BW184" s="13" t="n"/>
      <c r="BX184" s="13" t="n"/>
      <c r="BY184" s="13" t="n"/>
      <c r="BZ184" s="13" t="n"/>
      <c r="CA184" s="14" t="n"/>
      <c r="CB184" s="13" t="n"/>
      <c r="CC184" s="9" t="n"/>
      <c r="CD184" s="9" t="n"/>
      <c r="CE184" s="9" t="n"/>
      <c r="CF184" s="9" t="n"/>
      <c r="CG184" s="9" t="n"/>
      <c r="CH184" s="9" t="n"/>
    </row>
    <row r="185">
      <c r="A185" s="8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8" t="n"/>
      <c r="L185" s="9" t="n"/>
      <c r="M185" s="8" t="n"/>
      <c r="N185" s="8" t="n"/>
      <c r="O185" s="8" t="n"/>
      <c r="P185" s="8" t="n"/>
      <c r="Q185" s="8" t="n"/>
      <c r="R185" s="9" t="n"/>
      <c r="S185" s="9" t="n"/>
      <c r="T185" s="10" t="n"/>
      <c r="U185" s="10" t="n"/>
      <c r="V185" s="9" t="n"/>
      <c r="W185" s="9" t="n"/>
      <c r="X185" s="9" t="n"/>
      <c r="Y185" s="9" t="n"/>
      <c r="Z185" s="11" t="n"/>
      <c r="AA185" s="11" t="n"/>
      <c r="AB185" s="11" t="n"/>
      <c r="AC185" s="11" t="n"/>
      <c r="AD185" s="11" t="n"/>
      <c r="AE185" s="11" t="n"/>
      <c r="AF185" s="9" t="n"/>
      <c r="AG185" s="9" t="n"/>
      <c r="AH185" s="9" t="n"/>
      <c r="AI185" s="9" t="n"/>
      <c r="AJ185" s="8" t="n"/>
      <c r="AK185" s="9" t="n"/>
      <c r="AL185" s="9" t="n"/>
      <c r="AM185" s="9" t="n"/>
      <c r="AN185" s="9" t="n"/>
      <c r="AO185" s="9" t="n"/>
      <c r="AP185" s="9" t="n"/>
      <c r="AQ185" s="9" t="n"/>
      <c r="AR185" s="9" t="n"/>
      <c r="AS185" s="9" t="n"/>
      <c r="AT185" s="8" t="n"/>
      <c r="AU185" s="8" t="n"/>
      <c r="AV185" s="9" t="n"/>
      <c r="AW185" s="8" t="n"/>
      <c r="AX185" s="9" t="n"/>
      <c r="AY185" s="9" t="n"/>
      <c r="AZ185" s="9" t="n"/>
      <c r="BA185" s="9" t="n"/>
      <c r="BB185" s="9" t="n"/>
      <c r="BC185" s="9" t="n"/>
      <c r="BD185" s="9" t="n"/>
      <c r="BE185" s="9" t="n"/>
      <c r="BF185" s="9" t="n"/>
      <c r="BG185" s="9" t="n"/>
      <c r="BH185" s="9" t="n"/>
      <c r="BI185" s="9" t="n"/>
      <c r="BJ185" s="9" t="n"/>
      <c r="BK185" s="9" t="n"/>
      <c r="BL185" s="9" t="n"/>
      <c r="BM185" s="9" t="n"/>
      <c r="BN185" s="9" t="n"/>
      <c r="BO185" s="8" t="n"/>
      <c r="BP185" s="9" t="n"/>
      <c r="BQ185" s="9" t="n"/>
      <c r="BR185" s="12">
        <f>IF(AND(AI185="Y",AK185="Y",AL185="Y",AM185="Y",AY185="Y",AZ185="Y",BA185="Y",BB185="Y",BC185="Y",BE185&lt;&gt;"Y",AX185&lt;&gt;"Y",BL185&lt;&gt;"Y",IF(AS185="Y",AV185="Y",TRUE)),"Y","N")</f>
        <v/>
      </c>
      <c r="BS185" s="12">
        <f>IF(AND(BR185="Y",OR(AND(BJ185="Y",BM185="Y"),AND(BK185="Y",BN185="Y"),AND(BJ185&lt;&gt;"Y",BK185&lt;&gt;"Y",OR(BM185="Y",BN185="Y")))),"Y","N")</f>
        <v/>
      </c>
      <c r="BT185" s="10" t="n"/>
      <c r="BU185" s="13" t="n"/>
      <c r="BV185" s="13" t="n"/>
      <c r="BW185" s="13" t="n"/>
      <c r="BX185" s="13" t="n"/>
      <c r="BY185" s="13" t="n"/>
      <c r="BZ185" s="13" t="n"/>
      <c r="CA185" s="14" t="n"/>
      <c r="CB185" s="13" t="n"/>
      <c r="CC185" s="9" t="n"/>
      <c r="CD185" s="9" t="n"/>
      <c r="CE185" s="9" t="n"/>
      <c r="CF185" s="9" t="n"/>
      <c r="CG185" s="9" t="n"/>
      <c r="CH185" s="9" t="n"/>
    </row>
    <row r="186">
      <c r="A186" s="8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8" t="n"/>
      <c r="L186" s="9" t="n"/>
      <c r="M186" s="8" t="n"/>
      <c r="N186" s="8" t="n"/>
      <c r="O186" s="8" t="n"/>
      <c r="P186" s="8" t="n"/>
      <c r="Q186" s="8" t="n"/>
      <c r="R186" s="9" t="n"/>
      <c r="S186" s="9" t="n"/>
      <c r="T186" s="10" t="n"/>
      <c r="U186" s="10" t="n"/>
      <c r="V186" s="9" t="n"/>
      <c r="W186" s="9" t="n"/>
      <c r="X186" s="9" t="n"/>
      <c r="Y186" s="9" t="n"/>
      <c r="Z186" s="11" t="n"/>
      <c r="AA186" s="11" t="n"/>
      <c r="AB186" s="11" t="n"/>
      <c r="AC186" s="11" t="n"/>
      <c r="AD186" s="11" t="n"/>
      <c r="AE186" s="11" t="n"/>
      <c r="AF186" s="9" t="n"/>
      <c r="AG186" s="9" t="n"/>
      <c r="AH186" s="9" t="n"/>
      <c r="AI186" s="9" t="n"/>
      <c r="AJ186" s="8" t="n"/>
      <c r="AK186" s="9" t="n"/>
      <c r="AL186" s="9" t="n"/>
      <c r="AM186" s="9" t="n"/>
      <c r="AN186" s="9" t="n"/>
      <c r="AO186" s="9" t="n"/>
      <c r="AP186" s="9" t="n"/>
      <c r="AQ186" s="9" t="n"/>
      <c r="AR186" s="9" t="n"/>
      <c r="AS186" s="9" t="n"/>
      <c r="AT186" s="8" t="n"/>
      <c r="AU186" s="8" t="n"/>
      <c r="AV186" s="9" t="n"/>
      <c r="AW186" s="8" t="n"/>
      <c r="AX186" s="9" t="n"/>
      <c r="AY186" s="9" t="n"/>
      <c r="AZ186" s="9" t="n"/>
      <c r="BA186" s="9" t="n"/>
      <c r="BB186" s="9" t="n"/>
      <c r="BC186" s="9" t="n"/>
      <c r="BD186" s="9" t="n"/>
      <c r="BE186" s="9" t="n"/>
      <c r="BF186" s="9" t="n"/>
      <c r="BG186" s="9" t="n"/>
      <c r="BH186" s="9" t="n"/>
      <c r="BI186" s="9" t="n"/>
      <c r="BJ186" s="9" t="n"/>
      <c r="BK186" s="9" t="n"/>
      <c r="BL186" s="9" t="n"/>
      <c r="BM186" s="9" t="n"/>
      <c r="BN186" s="9" t="n"/>
      <c r="BO186" s="8" t="n"/>
      <c r="BP186" s="9" t="n"/>
      <c r="BQ186" s="9" t="n"/>
      <c r="BR186" s="12">
        <f>IF(AND(AI186="Y",AK186="Y",AL186="Y",AM186="Y",AY186="Y",AZ186="Y",BA186="Y",BB186="Y",BC186="Y",BE186&lt;&gt;"Y",AX186&lt;&gt;"Y",BL186&lt;&gt;"Y",IF(AS186="Y",AV186="Y",TRUE)),"Y","N")</f>
        <v/>
      </c>
      <c r="BS186" s="12">
        <f>IF(AND(BR186="Y",OR(AND(BJ186="Y",BM186="Y"),AND(BK186="Y",BN186="Y"),AND(BJ186&lt;&gt;"Y",BK186&lt;&gt;"Y",OR(BM186="Y",BN186="Y")))),"Y","N")</f>
        <v/>
      </c>
      <c r="BT186" s="10" t="n"/>
      <c r="BU186" s="13" t="n"/>
      <c r="BV186" s="13" t="n"/>
      <c r="BW186" s="13" t="n"/>
      <c r="BX186" s="13" t="n"/>
      <c r="BY186" s="13" t="n"/>
      <c r="BZ186" s="13" t="n"/>
      <c r="CA186" s="14" t="n"/>
      <c r="CB186" s="13" t="n"/>
      <c r="CC186" s="9" t="n"/>
      <c r="CD186" s="9" t="n"/>
      <c r="CE186" s="9" t="n"/>
      <c r="CF186" s="9" t="n"/>
      <c r="CG186" s="9" t="n"/>
      <c r="CH186" s="9" t="n"/>
    </row>
    <row r="187">
      <c r="A187" s="8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8" t="n"/>
      <c r="L187" s="9" t="n"/>
      <c r="M187" s="8" t="n"/>
      <c r="N187" s="8" t="n"/>
      <c r="O187" s="8" t="n"/>
      <c r="P187" s="8" t="n"/>
      <c r="Q187" s="8" t="n"/>
      <c r="R187" s="9" t="n"/>
      <c r="S187" s="9" t="n"/>
      <c r="T187" s="10" t="n"/>
      <c r="U187" s="10" t="n"/>
      <c r="V187" s="9" t="n"/>
      <c r="W187" s="9" t="n"/>
      <c r="X187" s="9" t="n"/>
      <c r="Y187" s="9" t="n"/>
      <c r="Z187" s="11" t="n"/>
      <c r="AA187" s="11" t="n"/>
      <c r="AB187" s="11" t="n"/>
      <c r="AC187" s="11" t="n"/>
      <c r="AD187" s="11" t="n"/>
      <c r="AE187" s="11" t="n"/>
      <c r="AF187" s="9" t="n"/>
      <c r="AG187" s="9" t="n"/>
      <c r="AH187" s="9" t="n"/>
      <c r="AI187" s="9" t="n"/>
      <c r="AJ187" s="8" t="n"/>
      <c r="AK187" s="9" t="n"/>
      <c r="AL187" s="9" t="n"/>
      <c r="AM187" s="9" t="n"/>
      <c r="AN187" s="9" t="n"/>
      <c r="AO187" s="9" t="n"/>
      <c r="AP187" s="9" t="n"/>
      <c r="AQ187" s="9" t="n"/>
      <c r="AR187" s="9" t="n"/>
      <c r="AS187" s="9" t="n"/>
      <c r="AT187" s="8" t="n"/>
      <c r="AU187" s="8" t="n"/>
      <c r="AV187" s="9" t="n"/>
      <c r="AW187" s="8" t="n"/>
      <c r="AX187" s="9" t="n"/>
      <c r="AY187" s="9" t="n"/>
      <c r="AZ187" s="9" t="n"/>
      <c r="BA187" s="9" t="n"/>
      <c r="BB187" s="9" t="n"/>
      <c r="BC187" s="9" t="n"/>
      <c r="BD187" s="9" t="n"/>
      <c r="BE187" s="9" t="n"/>
      <c r="BF187" s="9" t="n"/>
      <c r="BG187" s="9" t="n"/>
      <c r="BH187" s="9" t="n"/>
      <c r="BI187" s="9" t="n"/>
      <c r="BJ187" s="9" t="n"/>
      <c r="BK187" s="9" t="n"/>
      <c r="BL187" s="9" t="n"/>
      <c r="BM187" s="9" t="n"/>
      <c r="BN187" s="9" t="n"/>
      <c r="BO187" s="8" t="n"/>
      <c r="BP187" s="9" t="n"/>
      <c r="BQ187" s="9" t="n"/>
      <c r="BR187" s="12">
        <f>IF(AND(AI187="Y",AK187="Y",AL187="Y",AM187="Y",AY187="Y",AZ187="Y",BA187="Y",BB187="Y",BC187="Y",BE187&lt;&gt;"Y",AX187&lt;&gt;"Y",BL187&lt;&gt;"Y",IF(AS187="Y",AV187="Y",TRUE)),"Y","N")</f>
        <v/>
      </c>
      <c r="BS187" s="12">
        <f>IF(AND(BR187="Y",OR(AND(BJ187="Y",BM187="Y"),AND(BK187="Y",BN187="Y"),AND(BJ187&lt;&gt;"Y",BK187&lt;&gt;"Y",OR(BM187="Y",BN187="Y")))),"Y","N")</f>
        <v/>
      </c>
      <c r="BT187" s="10" t="n"/>
      <c r="BU187" s="13" t="n"/>
      <c r="BV187" s="13" t="n"/>
      <c r="BW187" s="13" t="n"/>
      <c r="BX187" s="13" t="n"/>
      <c r="BY187" s="13" t="n"/>
      <c r="BZ187" s="13" t="n"/>
      <c r="CA187" s="14" t="n"/>
      <c r="CB187" s="13" t="n"/>
      <c r="CC187" s="9" t="n"/>
      <c r="CD187" s="9" t="n"/>
      <c r="CE187" s="9" t="n"/>
      <c r="CF187" s="9" t="n"/>
      <c r="CG187" s="9" t="n"/>
      <c r="CH187" s="9" t="n"/>
    </row>
    <row r="188">
      <c r="A188" s="8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8" t="n"/>
      <c r="L188" s="9" t="n"/>
      <c r="M188" s="8" t="n"/>
      <c r="N188" s="8" t="n"/>
      <c r="O188" s="8" t="n"/>
      <c r="P188" s="8" t="n"/>
      <c r="Q188" s="8" t="n"/>
      <c r="R188" s="9" t="n"/>
      <c r="S188" s="9" t="n"/>
      <c r="T188" s="10" t="n"/>
      <c r="U188" s="10" t="n"/>
      <c r="V188" s="9" t="n"/>
      <c r="W188" s="9" t="n"/>
      <c r="X188" s="9" t="n"/>
      <c r="Y188" s="9" t="n"/>
      <c r="Z188" s="11" t="n"/>
      <c r="AA188" s="11" t="n"/>
      <c r="AB188" s="11" t="n"/>
      <c r="AC188" s="11" t="n"/>
      <c r="AD188" s="11" t="n"/>
      <c r="AE188" s="11" t="n"/>
      <c r="AF188" s="9" t="n"/>
      <c r="AG188" s="9" t="n"/>
      <c r="AH188" s="9" t="n"/>
      <c r="AI188" s="9" t="n"/>
      <c r="AJ188" s="8" t="n"/>
      <c r="AK188" s="9" t="n"/>
      <c r="AL188" s="9" t="n"/>
      <c r="AM188" s="9" t="n"/>
      <c r="AN188" s="9" t="n"/>
      <c r="AO188" s="9" t="n"/>
      <c r="AP188" s="9" t="n"/>
      <c r="AQ188" s="9" t="n"/>
      <c r="AR188" s="9" t="n"/>
      <c r="AS188" s="9" t="n"/>
      <c r="AT188" s="8" t="n"/>
      <c r="AU188" s="8" t="n"/>
      <c r="AV188" s="9" t="n"/>
      <c r="AW188" s="8" t="n"/>
      <c r="AX188" s="9" t="n"/>
      <c r="AY188" s="9" t="n"/>
      <c r="AZ188" s="9" t="n"/>
      <c r="BA188" s="9" t="n"/>
      <c r="BB188" s="9" t="n"/>
      <c r="BC188" s="9" t="n"/>
      <c r="BD188" s="9" t="n"/>
      <c r="BE188" s="9" t="n"/>
      <c r="BF188" s="9" t="n"/>
      <c r="BG188" s="9" t="n"/>
      <c r="BH188" s="9" t="n"/>
      <c r="BI188" s="9" t="n"/>
      <c r="BJ188" s="9" t="n"/>
      <c r="BK188" s="9" t="n"/>
      <c r="BL188" s="9" t="n"/>
      <c r="BM188" s="9" t="n"/>
      <c r="BN188" s="9" t="n"/>
      <c r="BO188" s="8" t="n"/>
      <c r="BP188" s="9" t="n"/>
      <c r="BQ188" s="9" t="n"/>
      <c r="BR188" s="12">
        <f>IF(AND(AI188="Y",AK188="Y",AL188="Y",AM188="Y",AY188="Y",AZ188="Y",BA188="Y",BB188="Y",BC188="Y",BE188&lt;&gt;"Y",AX188&lt;&gt;"Y",BL188&lt;&gt;"Y",IF(AS188="Y",AV188="Y",TRUE)),"Y","N")</f>
        <v/>
      </c>
      <c r="BS188" s="12">
        <f>IF(AND(BR188="Y",OR(AND(BJ188="Y",BM188="Y"),AND(BK188="Y",BN188="Y"),AND(BJ188&lt;&gt;"Y",BK188&lt;&gt;"Y",OR(BM188="Y",BN188="Y")))),"Y","N")</f>
        <v/>
      </c>
      <c r="BT188" s="10" t="n"/>
      <c r="BU188" s="13" t="n"/>
      <c r="BV188" s="13" t="n"/>
      <c r="BW188" s="13" t="n"/>
      <c r="BX188" s="13" t="n"/>
      <c r="BY188" s="13" t="n"/>
      <c r="BZ188" s="13" t="n"/>
      <c r="CA188" s="14" t="n"/>
      <c r="CB188" s="13" t="n"/>
      <c r="CC188" s="9" t="n"/>
      <c r="CD188" s="9" t="n"/>
      <c r="CE188" s="9" t="n"/>
      <c r="CF188" s="9" t="n"/>
      <c r="CG188" s="9" t="n"/>
      <c r="CH188" s="9" t="n"/>
    </row>
    <row r="189">
      <c r="A189" s="8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8" t="n"/>
      <c r="L189" s="9" t="n"/>
      <c r="M189" s="8" t="n"/>
      <c r="N189" s="8" t="n"/>
      <c r="O189" s="8" t="n"/>
      <c r="P189" s="8" t="n"/>
      <c r="Q189" s="8" t="n"/>
      <c r="R189" s="9" t="n"/>
      <c r="S189" s="9" t="n"/>
      <c r="T189" s="10" t="n"/>
      <c r="U189" s="10" t="n"/>
      <c r="V189" s="9" t="n"/>
      <c r="W189" s="9" t="n"/>
      <c r="X189" s="9" t="n"/>
      <c r="Y189" s="9" t="n"/>
      <c r="Z189" s="11" t="n"/>
      <c r="AA189" s="11" t="n"/>
      <c r="AB189" s="11" t="n"/>
      <c r="AC189" s="11" t="n"/>
      <c r="AD189" s="11" t="n"/>
      <c r="AE189" s="11" t="n"/>
      <c r="AF189" s="9" t="n"/>
      <c r="AG189" s="9" t="n"/>
      <c r="AH189" s="9" t="n"/>
      <c r="AI189" s="9" t="n"/>
      <c r="AJ189" s="8" t="n"/>
      <c r="AK189" s="9" t="n"/>
      <c r="AL189" s="9" t="n"/>
      <c r="AM189" s="9" t="n"/>
      <c r="AN189" s="9" t="n"/>
      <c r="AO189" s="9" t="n"/>
      <c r="AP189" s="9" t="n"/>
      <c r="AQ189" s="9" t="n"/>
      <c r="AR189" s="9" t="n"/>
      <c r="AS189" s="9" t="n"/>
      <c r="AT189" s="8" t="n"/>
      <c r="AU189" s="8" t="n"/>
      <c r="AV189" s="9" t="n"/>
      <c r="AW189" s="8" t="n"/>
      <c r="AX189" s="9" t="n"/>
      <c r="AY189" s="9" t="n"/>
      <c r="AZ189" s="9" t="n"/>
      <c r="BA189" s="9" t="n"/>
      <c r="BB189" s="9" t="n"/>
      <c r="BC189" s="9" t="n"/>
      <c r="BD189" s="9" t="n"/>
      <c r="BE189" s="9" t="n"/>
      <c r="BF189" s="9" t="n"/>
      <c r="BG189" s="9" t="n"/>
      <c r="BH189" s="9" t="n"/>
      <c r="BI189" s="9" t="n"/>
      <c r="BJ189" s="9" t="n"/>
      <c r="BK189" s="9" t="n"/>
      <c r="BL189" s="9" t="n"/>
      <c r="BM189" s="9" t="n"/>
      <c r="BN189" s="9" t="n"/>
      <c r="BO189" s="8" t="n"/>
      <c r="BP189" s="9" t="n"/>
      <c r="BQ189" s="9" t="n"/>
      <c r="BR189" s="12">
        <f>IF(AND(AI189="Y",AK189="Y",AL189="Y",AM189="Y",AY189="Y",AZ189="Y",BA189="Y",BB189="Y",BC189="Y",BE189&lt;&gt;"Y",AX189&lt;&gt;"Y",BL189&lt;&gt;"Y",IF(AS189="Y",AV189="Y",TRUE)),"Y","N")</f>
        <v/>
      </c>
      <c r="BS189" s="12">
        <f>IF(AND(BR189="Y",OR(AND(BJ189="Y",BM189="Y"),AND(BK189="Y",BN189="Y"),AND(BJ189&lt;&gt;"Y",BK189&lt;&gt;"Y",OR(BM189="Y",BN189="Y")))),"Y","N")</f>
        <v/>
      </c>
      <c r="BT189" s="10" t="n"/>
      <c r="BU189" s="13" t="n"/>
      <c r="BV189" s="13" t="n"/>
      <c r="BW189" s="13" t="n"/>
      <c r="BX189" s="13" t="n"/>
      <c r="BY189" s="13" t="n"/>
      <c r="BZ189" s="13" t="n"/>
      <c r="CA189" s="14" t="n"/>
      <c r="CB189" s="13" t="n"/>
      <c r="CC189" s="9" t="n"/>
      <c r="CD189" s="9" t="n"/>
      <c r="CE189" s="9" t="n"/>
      <c r="CF189" s="9" t="n"/>
      <c r="CG189" s="9" t="n"/>
      <c r="CH189" s="9" t="n"/>
    </row>
    <row r="190">
      <c r="A190" s="8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8" t="n"/>
      <c r="L190" s="9" t="n"/>
      <c r="M190" s="8" t="n"/>
      <c r="N190" s="8" t="n"/>
      <c r="O190" s="8" t="n"/>
      <c r="P190" s="8" t="n"/>
      <c r="Q190" s="8" t="n"/>
      <c r="R190" s="9" t="n"/>
      <c r="S190" s="9" t="n"/>
      <c r="T190" s="10" t="n"/>
      <c r="U190" s="10" t="n"/>
      <c r="V190" s="9" t="n"/>
      <c r="W190" s="9" t="n"/>
      <c r="X190" s="9" t="n"/>
      <c r="Y190" s="9" t="n"/>
      <c r="Z190" s="11" t="n"/>
      <c r="AA190" s="11" t="n"/>
      <c r="AB190" s="11" t="n"/>
      <c r="AC190" s="11" t="n"/>
      <c r="AD190" s="11" t="n"/>
      <c r="AE190" s="11" t="n"/>
      <c r="AF190" s="9" t="n"/>
      <c r="AG190" s="9" t="n"/>
      <c r="AH190" s="9" t="n"/>
      <c r="AI190" s="9" t="n"/>
      <c r="AJ190" s="8" t="n"/>
      <c r="AK190" s="9" t="n"/>
      <c r="AL190" s="9" t="n"/>
      <c r="AM190" s="9" t="n"/>
      <c r="AN190" s="9" t="n"/>
      <c r="AO190" s="9" t="n"/>
      <c r="AP190" s="9" t="n"/>
      <c r="AQ190" s="9" t="n"/>
      <c r="AR190" s="9" t="n"/>
      <c r="AS190" s="9" t="n"/>
      <c r="AT190" s="8" t="n"/>
      <c r="AU190" s="8" t="n"/>
      <c r="AV190" s="9" t="n"/>
      <c r="AW190" s="8" t="n"/>
      <c r="AX190" s="9" t="n"/>
      <c r="AY190" s="9" t="n"/>
      <c r="AZ190" s="9" t="n"/>
      <c r="BA190" s="9" t="n"/>
      <c r="BB190" s="9" t="n"/>
      <c r="BC190" s="9" t="n"/>
      <c r="BD190" s="9" t="n"/>
      <c r="BE190" s="9" t="n"/>
      <c r="BF190" s="9" t="n"/>
      <c r="BG190" s="9" t="n"/>
      <c r="BH190" s="9" t="n"/>
      <c r="BI190" s="9" t="n"/>
      <c r="BJ190" s="9" t="n"/>
      <c r="BK190" s="9" t="n"/>
      <c r="BL190" s="9" t="n"/>
      <c r="BM190" s="9" t="n"/>
      <c r="BN190" s="9" t="n"/>
      <c r="BO190" s="8" t="n"/>
      <c r="BP190" s="9" t="n"/>
      <c r="BQ190" s="9" t="n"/>
      <c r="BR190" s="12">
        <f>IF(AND(AI190="Y",AK190="Y",AL190="Y",AM190="Y",AY190="Y",AZ190="Y",BA190="Y",BB190="Y",BC190="Y",BE190&lt;&gt;"Y",AX190&lt;&gt;"Y",BL190&lt;&gt;"Y",IF(AS190="Y",AV190="Y",TRUE)),"Y","N")</f>
        <v/>
      </c>
      <c r="BS190" s="12">
        <f>IF(AND(BR190="Y",OR(AND(BJ190="Y",BM190="Y"),AND(BK190="Y",BN190="Y"),AND(BJ190&lt;&gt;"Y",BK190&lt;&gt;"Y",OR(BM190="Y",BN190="Y")))),"Y","N")</f>
        <v/>
      </c>
      <c r="BT190" s="10" t="n"/>
      <c r="BU190" s="13" t="n"/>
      <c r="BV190" s="13" t="n"/>
      <c r="BW190" s="13" t="n"/>
      <c r="BX190" s="13" t="n"/>
      <c r="BY190" s="13" t="n"/>
      <c r="BZ190" s="13" t="n"/>
      <c r="CA190" s="14" t="n"/>
      <c r="CB190" s="13" t="n"/>
      <c r="CC190" s="9" t="n"/>
      <c r="CD190" s="9" t="n"/>
      <c r="CE190" s="9" t="n"/>
      <c r="CF190" s="9" t="n"/>
      <c r="CG190" s="9" t="n"/>
      <c r="CH190" s="9" t="n"/>
    </row>
    <row r="191">
      <c r="A191" s="8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8" t="n"/>
      <c r="L191" s="9" t="n"/>
      <c r="M191" s="8" t="n"/>
      <c r="N191" s="8" t="n"/>
      <c r="O191" s="8" t="n"/>
      <c r="P191" s="8" t="n"/>
      <c r="Q191" s="8" t="n"/>
      <c r="R191" s="9" t="n"/>
      <c r="S191" s="9" t="n"/>
      <c r="T191" s="10" t="n"/>
      <c r="U191" s="10" t="n"/>
      <c r="V191" s="9" t="n"/>
      <c r="W191" s="9" t="n"/>
      <c r="X191" s="9" t="n"/>
      <c r="Y191" s="9" t="n"/>
      <c r="Z191" s="11" t="n"/>
      <c r="AA191" s="11" t="n"/>
      <c r="AB191" s="11" t="n"/>
      <c r="AC191" s="11" t="n"/>
      <c r="AD191" s="11" t="n"/>
      <c r="AE191" s="11" t="n"/>
      <c r="AF191" s="9" t="n"/>
      <c r="AG191" s="9" t="n"/>
      <c r="AH191" s="9" t="n"/>
      <c r="AI191" s="9" t="n"/>
      <c r="AJ191" s="8" t="n"/>
      <c r="AK191" s="9" t="n"/>
      <c r="AL191" s="9" t="n"/>
      <c r="AM191" s="9" t="n"/>
      <c r="AN191" s="9" t="n"/>
      <c r="AO191" s="9" t="n"/>
      <c r="AP191" s="9" t="n"/>
      <c r="AQ191" s="9" t="n"/>
      <c r="AR191" s="9" t="n"/>
      <c r="AS191" s="9" t="n"/>
      <c r="AT191" s="8" t="n"/>
      <c r="AU191" s="8" t="n"/>
      <c r="AV191" s="9" t="n"/>
      <c r="AW191" s="8" t="n"/>
      <c r="AX191" s="9" t="n"/>
      <c r="AY191" s="9" t="n"/>
      <c r="AZ191" s="9" t="n"/>
      <c r="BA191" s="9" t="n"/>
      <c r="BB191" s="9" t="n"/>
      <c r="BC191" s="9" t="n"/>
      <c r="BD191" s="9" t="n"/>
      <c r="BE191" s="9" t="n"/>
      <c r="BF191" s="9" t="n"/>
      <c r="BG191" s="9" t="n"/>
      <c r="BH191" s="9" t="n"/>
      <c r="BI191" s="9" t="n"/>
      <c r="BJ191" s="9" t="n"/>
      <c r="BK191" s="9" t="n"/>
      <c r="BL191" s="9" t="n"/>
      <c r="BM191" s="9" t="n"/>
      <c r="BN191" s="9" t="n"/>
      <c r="BO191" s="8" t="n"/>
      <c r="BP191" s="9" t="n"/>
      <c r="BQ191" s="9" t="n"/>
      <c r="BR191" s="12">
        <f>IF(AND(AI191="Y",AK191="Y",AL191="Y",AM191="Y",AY191="Y",AZ191="Y",BA191="Y",BB191="Y",BC191="Y",BE191&lt;&gt;"Y",AX191&lt;&gt;"Y",BL191&lt;&gt;"Y",IF(AS191="Y",AV191="Y",TRUE)),"Y","N")</f>
        <v/>
      </c>
      <c r="BS191" s="12">
        <f>IF(AND(BR191="Y",OR(AND(BJ191="Y",BM191="Y"),AND(BK191="Y",BN191="Y"),AND(BJ191&lt;&gt;"Y",BK191&lt;&gt;"Y",OR(BM191="Y",BN191="Y")))),"Y","N")</f>
        <v/>
      </c>
      <c r="BT191" s="10" t="n"/>
      <c r="BU191" s="13" t="n"/>
      <c r="BV191" s="13" t="n"/>
      <c r="BW191" s="13" t="n"/>
      <c r="BX191" s="13" t="n"/>
      <c r="BY191" s="13" t="n"/>
      <c r="BZ191" s="13" t="n"/>
      <c r="CA191" s="14" t="n"/>
      <c r="CB191" s="13" t="n"/>
      <c r="CC191" s="9" t="n"/>
      <c r="CD191" s="9" t="n"/>
      <c r="CE191" s="9" t="n"/>
      <c r="CF191" s="9" t="n"/>
      <c r="CG191" s="9" t="n"/>
      <c r="CH191" s="9" t="n"/>
    </row>
    <row r="192">
      <c r="A192" s="8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8" t="n"/>
      <c r="L192" s="9" t="n"/>
      <c r="M192" s="8" t="n"/>
      <c r="N192" s="8" t="n"/>
      <c r="O192" s="8" t="n"/>
      <c r="P192" s="8" t="n"/>
      <c r="Q192" s="8" t="n"/>
      <c r="R192" s="9" t="n"/>
      <c r="S192" s="9" t="n"/>
      <c r="T192" s="10" t="n"/>
      <c r="U192" s="10" t="n"/>
      <c r="V192" s="9" t="n"/>
      <c r="W192" s="9" t="n"/>
      <c r="X192" s="9" t="n"/>
      <c r="Y192" s="9" t="n"/>
      <c r="Z192" s="11" t="n"/>
      <c r="AA192" s="11" t="n"/>
      <c r="AB192" s="11" t="n"/>
      <c r="AC192" s="11" t="n"/>
      <c r="AD192" s="11" t="n"/>
      <c r="AE192" s="11" t="n"/>
      <c r="AF192" s="9" t="n"/>
      <c r="AG192" s="9" t="n"/>
      <c r="AH192" s="9" t="n"/>
      <c r="AI192" s="9" t="n"/>
      <c r="AJ192" s="8" t="n"/>
      <c r="AK192" s="9" t="n"/>
      <c r="AL192" s="9" t="n"/>
      <c r="AM192" s="9" t="n"/>
      <c r="AN192" s="9" t="n"/>
      <c r="AO192" s="9" t="n"/>
      <c r="AP192" s="9" t="n"/>
      <c r="AQ192" s="9" t="n"/>
      <c r="AR192" s="9" t="n"/>
      <c r="AS192" s="9" t="n"/>
      <c r="AT192" s="8" t="n"/>
      <c r="AU192" s="8" t="n"/>
      <c r="AV192" s="9" t="n"/>
      <c r="AW192" s="8" t="n"/>
      <c r="AX192" s="9" t="n"/>
      <c r="AY192" s="9" t="n"/>
      <c r="AZ192" s="9" t="n"/>
      <c r="BA192" s="9" t="n"/>
      <c r="BB192" s="9" t="n"/>
      <c r="BC192" s="9" t="n"/>
      <c r="BD192" s="9" t="n"/>
      <c r="BE192" s="9" t="n"/>
      <c r="BF192" s="9" t="n"/>
      <c r="BG192" s="9" t="n"/>
      <c r="BH192" s="9" t="n"/>
      <c r="BI192" s="9" t="n"/>
      <c r="BJ192" s="9" t="n"/>
      <c r="BK192" s="9" t="n"/>
      <c r="BL192" s="9" t="n"/>
      <c r="BM192" s="9" t="n"/>
      <c r="BN192" s="9" t="n"/>
      <c r="BO192" s="8" t="n"/>
      <c r="BP192" s="9" t="n"/>
      <c r="BQ192" s="9" t="n"/>
      <c r="BR192" s="12">
        <f>IF(AND(AI192="Y",AK192="Y",AL192="Y",AM192="Y",AY192="Y",AZ192="Y",BA192="Y",BB192="Y",BC192="Y",BE192&lt;&gt;"Y",AX192&lt;&gt;"Y",BL192&lt;&gt;"Y",IF(AS192="Y",AV192="Y",TRUE)),"Y","N")</f>
        <v/>
      </c>
      <c r="BS192" s="12">
        <f>IF(AND(BR192="Y",OR(AND(BJ192="Y",BM192="Y"),AND(BK192="Y",BN192="Y"),AND(BJ192&lt;&gt;"Y",BK192&lt;&gt;"Y",OR(BM192="Y",BN192="Y")))),"Y","N")</f>
        <v/>
      </c>
      <c r="BT192" s="10" t="n"/>
      <c r="BU192" s="13" t="n"/>
      <c r="BV192" s="13" t="n"/>
      <c r="BW192" s="13" t="n"/>
      <c r="BX192" s="13" t="n"/>
      <c r="BY192" s="13" t="n"/>
      <c r="BZ192" s="13" t="n"/>
      <c r="CA192" s="14" t="n"/>
      <c r="CB192" s="13" t="n"/>
      <c r="CC192" s="9" t="n"/>
      <c r="CD192" s="9" t="n"/>
      <c r="CE192" s="9" t="n"/>
      <c r="CF192" s="9" t="n"/>
      <c r="CG192" s="9" t="n"/>
      <c r="CH192" s="9" t="n"/>
    </row>
    <row r="193">
      <c r="A193" s="8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8" t="n"/>
      <c r="L193" s="9" t="n"/>
      <c r="M193" s="8" t="n"/>
      <c r="N193" s="8" t="n"/>
      <c r="O193" s="8" t="n"/>
      <c r="P193" s="8" t="n"/>
      <c r="Q193" s="8" t="n"/>
      <c r="R193" s="9" t="n"/>
      <c r="S193" s="9" t="n"/>
      <c r="T193" s="10" t="n"/>
      <c r="U193" s="10" t="n"/>
      <c r="V193" s="9" t="n"/>
      <c r="W193" s="9" t="n"/>
      <c r="X193" s="9" t="n"/>
      <c r="Y193" s="9" t="n"/>
      <c r="Z193" s="11" t="n"/>
      <c r="AA193" s="11" t="n"/>
      <c r="AB193" s="11" t="n"/>
      <c r="AC193" s="11" t="n"/>
      <c r="AD193" s="11" t="n"/>
      <c r="AE193" s="11" t="n"/>
      <c r="AF193" s="9" t="n"/>
      <c r="AG193" s="9" t="n"/>
      <c r="AH193" s="9" t="n"/>
      <c r="AI193" s="9" t="n"/>
      <c r="AJ193" s="8" t="n"/>
      <c r="AK193" s="9" t="n"/>
      <c r="AL193" s="9" t="n"/>
      <c r="AM193" s="9" t="n"/>
      <c r="AN193" s="9" t="n"/>
      <c r="AO193" s="9" t="n"/>
      <c r="AP193" s="9" t="n"/>
      <c r="AQ193" s="9" t="n"/>
      <c r="AR193" s="9" t="n"/>
      <c r="AS193" s="9" t="n"/>
      <c r="AT193" s="8" t="n"/>
      <c r="AU193" s="8" t="n"/>
      <c r="AV193" s="9" t="n"/>
      <c r="AW193" s="8" t="n"/>
      <c r="AX193" s="9" t="n"/>
      <c r="AY193" s="9" t="n"/>
      <c r="AZ193" s="9" t="n"/>
      <c r="BA193" s="9" t="n"/>
      <c r="BB193" s="9" t="n"/>
      <c r="BC193" s="9" t="n"/>
      <c r="BD193" s="9" t="n"/>
      <c r="BE193" s="9" t="n"/>
      <c r="BF193" s="9" t="n"/>
      <c r="BG193" s="9" t="n"/>
      <c r="BH193" s="9" t="n"/>
      <c r="BI193" s="9" t="n"/>
      <c r="BJ193" s="9" t="n"/>
      <c r="BK193" s="9" t="n"/>
      <c r="BL193" s="9" t="n"/>
      <c r="BM193" s="9" t="n"/>
      <c r="BN193" s="9" t="n"/>
      <c r="BO193" s="8" t="n"/>
      <c r="BP193" s="9" t="n"/>
      <c r="BQ193" s="9" t="n"/>
      <c r="BR193" s="12">
        <f>IF(AND(AI193="Y",AK193="Y",AL193="Y",AM193="Y",AY193="Y",AZ193="Y",BA193="Y",BB193="Y",BC193="Y",BE193&lt;&gt;"Y",AX193&lt;&gt;"Y",BL193&lt;&gt;"Y",IF(AS193="Y",AV193="Y",TRUE)),"Y","N")</f>
        <v/>
      </c>
      <c r="BS193" s="12">
        <f>IF(AND(BR193="Y",OR(AND(BJ193="Y",BM193="Y"),AND(BK193="Y",BN193="Y"),AND(BJ193&lt;&gt;"Y",BK193&lt;&gt;"Y",OR(BM193="Y",BN193="Y")))),"Y","N")</f>
        <v/>
      </c>
      <c r="BT193" s="10" t="n"/>
      <c r="BU193" s="13" t="n"/>
      <c r="BV193" s="13" t="n"/>
      <c r="BW193" s="13" t="n"/>
      <c r="BX193" s="13" t="n"/>
      <c r="BY193" s="13" t="n"/>
      <c r="BZ193" s="13" t="n"/>
      <c r="CA193" s="14" t="n"/>
      <c r="CB193" s="13" t="n"/>
      <c r="CC193" s="9" t="n"/>
      <c r="CD193" s="9" t="n"/>
      <c r="CE193" s="9" t="n"/>
      <c r="CF193" s="9" t="n"/>
      <c r="CG193" s="9" t="n"/>
      <c r="CH193" s="9" t="n"/>
    </row>
    <row r="194">
      <c r="A194" s="8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8" t="n"/>
      <c r="L194" s="9" t="n"/>
      <c r="M194" s="8" t="n"/>
      <c r="N194" s="8" t="n"/>
      <c r="O194" s="8" t="n"/>
      <c r="P194" s="8" t="n"/>
      <c r="Q194" s="8" t="n"/>
      <c r="R194" s="9" t="n"/>
      <c r="S194" s="9" t="n"/>
      <c r="T194" s="10" t="n"/>
      <c r="U194" s="10" t="n"/>
      <c r="V194" s="9" t="n"/>
      <c r="W194" s="9" t="n"/>
      <c r="X194" s="9" t="n"/>
      <c r="Y194" s="9" t="n"/>
      <c r="Z194" s="11" t="n"/>
      <c r="AA194" s="11" t="n"/>
      <c r="AB194" s="11" t="n"/>
      <c r="AC194" s="11" t="n"/>
      <c r="AD194" s="11" t="n"/>
      <c r="AE194" s="11" t="n"/>
      <c r="AF194" s="9" t="n"/>
      <c r="AG194" s="9" t="n"/>
      <c r="AH194" s="9" t="n"/>
      <c r="AI194" s="9" t="n"/>
      <c r="AJ194" s="8" t="n"/>
      <c r="AK194" s="9" t="n"/>
      <c r="AL194" s="9" t="n"/>
      <c r="AM194" s="9" t="n"/>
      <c r="AN194" s="9" t="n"/>
      <c r="AO194" s="9" t="n"/>
      <c r="AP194" s="9" t="n"/>
      <c r="AQ194" s="9" t="n"/>
      <c r="AR194" s="9" t="n"/>
      <c r="AS194" s="9" t="n"/>
      <c r="AT194" s="8" t="n"/>
      <c r="AU194" s="8" t="n"/>
      <c r="AV194" s="9" t="n"/>
      <c r="AW194" s="8" t="n"/>
      <c r="AX194" s="9" t="n"/>
      <c r="AY194" s="9" t="n"/>
      <c r="AZ194" s="9" t="n"/>
      <c r="BA194" s="9" t="n"/>
      <c r="BB194" s="9" t="n"/>
      <c r="BC194" s="9" t="n"/>
      <c r="BD194" s="9" t="n"/>
      <c r="BE194" s="9" t="n"/>
      <c r="BF194" s="9" t="n"/>
      <c r="BG194" s="9" t="n"/>
      <c r="BH194" s="9" t="n"/>
      <c r="BI194" s="9" t="n"/>
      <c r="BJ194" s="9" t="n"/>
      <c r="BK194" s="9" t="n"/>
      <c r="BL194" s="9" t="n"/>
      <c r="BM194" s="9" t="n"/>
      <c r="BN194" s="9" t="n"/>
      <c r="BO194" s="8" t="n"/>
      <c r="BP194" s="9" t="n"/>
      <c r="BQ194" s="9" t="n"/>
      <c r="BR194" s="12">
        <f>IF(AND(AI194="Y",AK194="Y",AL194="Y",AM194="Y",AY194="Y",AZ194="Y",BA194="Y",BB194="Y",BC194="Y",BE194&lt;&gt;"Y",AX194&lt;&gt;"Y",BL194&lt;&gt;"Y",IF(AS194="Y",AV194="Y",TRUE)),"Y","N")</f>
        <v/>
      </c>
      <c r="BS194" s="12">
        <f>IF(AND(BR194="Y",OR(AND(BJ194="Y",BM194="Y"),AND(BK194="Y",BN194="Y"),AND(BJ194&lt;&gt;"Y",BK194&lt;&gt;"Y",OR(BM194="Y",BN194="Y")))),"Y","N")</f>
        <v/>
      </c>
      <c r="BT194" s="10" t="n"/>
      <c r="BU194" s="13" t="n"/>
      <c r="BV194" s="13" t="n"/>
      <c r="BW194" s="13" t="n"/>
      <c r="BX194" s="13" t="n"/>
      <c r="BY194" s="13" t="n"/>
      <c r="BZ194" s="13" t="n"/>
      <c r="CA194" s="14" t="n"/>
      <c r="CB194" s="13" t="n"/>
      <c r="CC194" s="9" t="n"/>
      <c r="CD194" s="9" t="n"/>
      <c r="CE194" s="9" t="n"/>
      <c r="CF194" s="9" t="n"/>
      <c r="CG194" s="9" t="n"/>
      <c r="CH194" s="9" t="n"/>
    </row>
    <row r="195">
      <c r="A195" s="8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8" t="n"/>
      <c r="L195" s="9" t="n"/>
      <c r="M195" s="8" t="n"/>
      <c r="N195" s="8" t="n"/>
      <c r="O195" s="8" t="n"/>
      <c r="P195" s="8" t="n"/>
      <c r="Q195" s="8" t="n"/>
      <c r="R195" s="9" t="n"/>
      <c r="S195" s="9" t="n"/>
      <c r="T195" s="10" t="n"/>
      <c r="U195" s="10" t="n"/>
      <c r="V195" s="9" t="n"/>
      <c r="W195" s="9" t="n"/>
      <c r="X195" s="9" t="n"/>
      <c r="Y195" s="9" t="n"/>
      <c r="Z195" s="11" t="n"/>
      <c r="AA195" s="11" t="n"/>
      <c r="AB195" s="11" t="n"/>
      <c r="AC195" s="11" t="n"/>
      <c r="AD195" s="11" t="n"/>
      <c r="AE195" s="11" t="n"/>
      <c r="AF195" s="9" t="n"/>
      <c r="AG195" s="9" t="n"/>
      <c r="AH195" s="9" t="n"/>
      <c r="AI195" s="9" t="n"/>
      <c r="AJ195" s="8" t="n"/>
      <c r="AK195" s="9" t="n"/>
      <c r="AL195" s="9" t="n"/>
      <c r="AM195" s="9" t="n"/>
      <c r="AN195" s="9" t="n"/>
      <c r="AO195" s="9" t="n"/>
      <c r="AP195" s="9" t="n"/>
      <c r="AQ195" s="9" t="n"/>
      <c r="AR195" s="9" t="n"/>
      <c r="AS195" s="9" t="n"/>
      <c r="AT195" s="8" t="n"/>
      <c r="AU195" s="8" t="n"/>
      <c r="AV195" s="9" t="n"/>
      <c r="AW195" s="8" t="n"/>
      <c r="AX195" s="9" t="n"/>
      <c r="AY195" s="9" t="n"/>
      <c r="AZ195" s="9" t="n"/>
      <c r="BA195" s="9" t="n"/>
      <c r="BB195" s="9" t="n"/>
      <c r="BC195" s="9" t="n"/>
      <c r="BD195" s="9" t="n"/>
      <c r="BE195" s="9" t="n"/>
      <c r="BF195" s="9" t="n"/>
      <c r="BG195" s="9" t="n"/>
      <c r="BH195" s="9" t="n"/>
      <c r="BI195" s="9" t="n"/>
      <c r="BJ195" s="9" t="n"/>
      <c r="BK195" s="9" t="n"/>
      <c r="BL195" s="9" t="n"/>
      <c r="BM195" s="9" t="n"/>
      <c r="BN195" s="9" t="n"/>
      <c r="BO195" s="8" t="n"/>
      <c r="BP195" s="9" t="n"/>
      <c r="BQ195" s="9" t="n"/>
      <c r="BR195" s="12">
        <f>IF(AND(AI195="Y",AK195="Y",AL195="Y",AM195="Y",AY195="Y",AZ195="Y",BA195="Y",BB195="Y",BC195="Y",BE195&lt;&gt;"Y",AX195&lt;&gt;"Y",BL195&lt;&gt;"Y",IF(AS195="Y",AV195="Y",TRUE)),"Y","N")</f>
        <v/>
      </c>
      <c r="BS195" s="12">
        <f>IF(AND(BR195="Y",OR(AND(BJ195="Y",BM195="Y"),AND(BK195="Y",BN195="Y"),AND(BJ195&lt;&gt;"Y",BK195&lt;&gt;"Y",OR(BM195="Y",BN195="Y")))),"Y","N")</f>
        <v/>
      </c>
      <c r="BT195" s="10" t="n"/>
      <c r="BU195" s="13" t="n"/>
      <c r="BV195" s="13" t="n"/>
      <c r="BW195" s="13" t="n"/>
      <c r="BX195" s="13" t="n"/>
      <c r="BY195" s="13" t="n"/>
      <c r="BZ195" s="13" t="n"/>
      <c r="CA195" s="14" t="n"/>
      <c r="CB195" s="13" t="n"/>
      <c r="CC195" s="9" t="n"/>
      <c r="CD195" s="9" t="n"/>
      <c r="CE195" s="9" t="n"/>
      <c r="CF195" s="9" t="n"/>
      <c r="CG195" s="9" t="n"/>
      <c r="CH195" s="9" t="n"/>
    </row>
    <row r="196">
      <c r="A196" s="8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8" t="n"/>
      <c r="L196" s="9" t="n"/>
      <c r="M196" s="8" t="n"/>
      <c r="N196" s="8" t="n"/>
      <c r="O196" s="8" t="n"/>
      <c r="P196" s="8" t="n"/>
      <c r="Q196" s="8" t="n"/>
      <c r="R196" s="9" t="n"/>
      <c r="S196" s="9" t="n"/>
      <c r="T196" s="10" t="n"/>
      <c r="U196" s="10" t="n"/>
      <c r="V196" s="9" t="n"/>
      <c r="W196" s="9" t="n"/>
      <c r="X196" s="9" t="n"/>
      <c r="Y196" s="9" t="n"/>
      <c r="Z196" s="11" t="n"/>
      <c r="AA196" s="11" t="n"/>
      <c r="AB196" s="11" t="n"/>
      <c r="AC196" s="11" t="n"/>
      <c r="AD196" s="11" t="n"/>
      <c r="AE196" s="11" t="n"/>
      <c r="AF196" s="9" t="n"/>
      <c r="AG196" s="9" t="n"/>
      <c r="AH196" s="9" t="n"/>
      <c r="AI196" s="9" t="n"/>
      <c r="AJ196" s="8" t="n"/>
      <c r="AK196" s="9" t="n"/>
      <c r="AL196" s="9" t="n"/>
      <c r="AM196" s="9" t="n"/>
      <c r="AN196" s="9" t="n"/>
      <c r="AO196" s="9" t="n"/>
      <c r="AP196" s="9" t="n"/>
      <c r="AQ196" s="9" t="n"/>
      <c r="AR196" s="9" t="n"/>
      <c r="AS196" s="9" t="n"/>
      <c r="AT196" s="8" t="n"/>
      <c r="AU196" s="8" t="n"/>
      <c r="AV196" s="9" t="n"/>
      <c r="AW196" s="8" t="n"/>
      <c r="AX196" s="9" t="n"/>
      <c r="AY196" s="9" t="n"/>
      <c r="AZ196" s="9" t="n"/>
      <c r="BA196" s="9" t="n"/>
      <c r="BB196" s="9" t="n"/>
      <c r="BC196" s="9" t="n"/>
      <c r="BD196" s="9" t="n"/>
      <c r="BE196" s="9" t="n"/>
      <c r="BF196" s="9" t="n"/>
      <c r="BG196" s="9" t="n"/>
      <c r="BH196" s="9" t="n"/>
      <c r="BI196" s="9" t="n"/>
      <c r="BJ196" s="9" t="n"/>
      <c r="BK196" s="9" t="n"/>
      <c r="BL196" s="9" t="n"/>
      <c r="BM196" s="9" t="n"/>
      <c r="BN196" s="9" t="n"/>
      <c r="BO196" s="8" t="n"/>
      <c r="BP196" s="9" t="n"/>
      <c r="BQ196" s="9" t="n"/>
      <c r="BR196" s="12">
        <f>IF(AND(AI196="Y",AK196="Y",AL196="Y",AM196="Y",AY196="Y",AZ196="Y",BA196="Y",BB196="Y",BC196="Y",BE196&lt;&gt;"Y",AX196&lt;&gt;"Y",BL196&lt;&gt;"Y",IF(AS196="Y",AV196="Y",TRUE)),"Y","N")</f>
        <v/>
      </c>
      <c r="BS196" s="12">
        <f>IF(AND(BR196="Y",OR(AND(BJ196="Y",BM196="Y"),AND(BK196="Y",BN196="Y"),AND(BJ196&lt;&gt;"Y",BK196&lt;&gt;"Y",OR(BM196="Y",BN196="Y")))),"Y","N")</f>
        <v/>
      </c>
      <c r="BT196" s="10" t="n"/>
      <c r="BU196" s="13" t="n"/>
      <c r="BV196" s="13" t="n"/>
      <c r="BW196" s="13" t="n"/>
      <c r="BX196" s="13" t="n"/>
      <c r="BY196" s="13" t="n"/>
      <c r="BZ196" s="13" t="n"/>
      <c r="CA196" s="14" t="n"/>
      <c r="CB196" s="13" t="n"/>
      <c r="CC196" s="9" t="n"/>
      <c r="CD196" s="9" t="n"/>
      <c r="CE196" s="9" t="n"/>
      <c r="CF196" s="9" t="n"/>
      <c r="CG196" s="9" t="n"/>
      <c r="CH196" s="9" t="n"/>
    </row>
    <row r="197">
      <c r="A197" s="8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8" t="n"/>
      <c r="L197" s="9" t="n"/>
      <c r="M197" s="8" t="n"/>
      <c r="N197" s="8" t="n"/>
      <c r="O197" s="8" t="n"/>
      <c r="P197" s="8" t="n"/>
      <c r="Q197" s="8" t="n"/>
      <c r="R197" s="9" t="n"/>
      <c r="S197" s="9" t="n"/>
      <c r="T197" s="10" t="n"/>
      <c r="U197" s="10" t="n"/>
      <c r="V197" s="9" t="n"/>
      <c r="W197" s="9" t="n"/>
      <c r="X197" s="9" t="n"/>
      <c r="Y197" s="9" t="n"/>
      <c r="Z197" s="11" t="n"/>
      <c r="AA197" s="11" t="n"/>
      <c r="AB197" s="11" t="n"/>
      <c r="AC197" s="11" t="n"/>
      <c r="AD197" s="11" t="n"/>
      <c r="AE197" s="11" t="n"/>
      <c r="AF197" s="9" t="n"/>
      <c r="AG197" s="9" t="n"/>
      <c r="AH197" s="9" t="n"/>
      <c r="AI197" s="9" t="n"/>
      <c r="AJ197" s="8" t="n"/>
      <c r="AK197" s="9" t="n"/>
      <c r="AL197" s="9" t="n"/>
      <c r="AM197" s="9" t="n"/>
      <c r="AN197" s="9" t="n"/>
      <c r="AO197" s="9" t="n"/>
      <c r="AP197" s="9" t="n"/>
      <c r="AQ197" s="9" t="n"/>
      <c r="AR197" s="9" t="n"/>
      <c r="AS197" s="9" t="n"/>
      <c r="AT197" s="8" t="n"/>
      <c r="AU197" s="8" t="n"/>
      <c r="AV197" s="9" t="n"/>
      <c r="AW197" s="8" t="n"/>
      <c r="AX197" s="9" t="n"/>
      <c r="AY197" s="9" t="n"/>
      <c r="AZ197" s="9" t="n"/>
      <c r="BA197" s="9" t="n"/>
      <c r="BB197" s="9" t="n"/>
      <c r="BC197" s="9" t="n"/>
      <c r="BD197" s="9" t="n"/>
      <c r="BE197" s="9" t="n"/>
      <c r="BF197" s="9" t="n"/>
      <c r="BG197" s="9" t="n"/>
      <c r="BH197" s="9" t="n"/>
      <c r="BI197" s="9" t="n"/>
      <c r="BJ197" s="9" t="n"/>
      <c r="BK197" s="9" t="n"/>
      <c r="BL197" s="9" t="n"/>
      <c r="BM197" s="9" t="n"/>
      <c r="BN197" s="9" t="n"/>
      <c r="BO197" s="8" t="n"/>
      <c r="BP197" s="9" t="n"/>
      <c r="BQ197" s="9" t="n"/>
      <c r="BR197" s="12">
        <f>IF(AND(AI197="Y",AK197="Y",AL197="Y",AM197="Y",AY197="Y",AZ197="Y",BA197="Y",BB197="Y",BC197="Y",BE197&lt;&gt;"Y",AX197&lt;&gt;"Y",BL197&lt;&gt;"Y",IF(AS197="Y",AV197="Y",TRUE)),"Y","N")</f>
        <v/>
      </c>
      <c r="BS197" s="12">
        <f>IF(AND(BR197="Y",OR(AND(BJ197="Y",BM197="Y"),AND(BK197="Y",BN197="Y"),AND(BJ197&lt;&gt;"Y",BK197&lt;&gt;"Y",OR(BM197="Y",BN197="Y")))),"Y","N")</f>
        <v/>
      </c>
      <c r="BT197" s="10" t="n"/>
      <c r="BU197" s="13" t="n"/>
      <c r="BV197" s="13" t="n"/>
      <c r="BW197" s="13" t="n"/>
      <c r="BX197" s="13" t="n"/>
      <c r="BY197" s="13" t="n"/>
      <c r="BZ197" s="13" t="n"/>
      <c r="CA197" s="14" t="n"/>
      <c r="CB197" s="13" t="n"/>
      <c r="CC197" s="9" t="n"/>
      <c r="CD197" s="9" t="n"/>
      <c r="CE197" s="9" t="n"/>
      <c r="CF197" s="9" t="n"/>
      <c r="CG197" s="9" t="n"/>
      <c r="CH197" s="9" t="n"/>
    </row>
    <row r="198">
      <c r="A198" s="8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8" t="n"/>
      <c r="L198" s="9" t="n"/>
      <c r="M198" s="8" t="n"/>
      <c r="N198" s="8" t="n"/>
      <c r="O198" s="8" t="n"/>
      <c r="P198" s="8" t="n"/>
      <c r="Q198" s="8" t="n"/>
      <c r="R198" s="9" t="n"/>
      <c r="S198" s="9" t="n"/>
      <c r="T198" s="10" t="n"/>
      <c r="U198" s="10" t="n"/>
      <c r="V198" s="9" t="n"/>
      <c r="W198" s="9" t="n"/>
      <c r="X198" s="9" t="n"/>
      <c r="Y198" s="9" t="n"/>
      <c r="Z198" s="11" t="n"/>
      <c r="AA198" s="11" t="n"/>
      <c r="AB198" s="11" t="n"/>
      <c r="AC198" s="11" t="n"/>
      <c r="AD198" s="11" t="n"/>
      <c r="AE198" s="11" t="n"/>
      <c r="AF198" s="9" t="n"/>
      <c r="AG198" s="9" t="n"/>
      <c r="AH198" s="9" t="n"/>
      <c r="AI198" s="9" t="n"/>
      <c r="AJ198" s="8" t="n"/>
      <c r="AK198" s="9" t="n"/>
      <c r="AL198" s="9" t="n"/>
      <c r="AM198" s="9" t="n"/>
      <c r="AN198" s="9" t="n"/>
      <c r="AO198" s="9" t="n"/>
      <c r="AP198" s="9" t="n"/>
      <c r="AQ198" s="9" t="n"/>
      <c r="AR198" s="9" t="n"/>
      <c r="AS198" s="9" t="n"/>
      <c r="AT198" s="8" t="n"/>
      <c r="AU198" s="8" t="n"/>
      <c r="AV198" s="9" t="n"/>
      <c r="AW198" s="8" t="n"/>
      <c r="AX198" s="9" t="n"/>
      <c r="AY198" s="9" t="n"/>
      <c r="AZ198" s="9" t="n"/>
      <c r="BA198" s="9" t="n"/>
      <c r="BB198" s="9" t="n"/>
      <c r="BC198" s="9" t="n"/>
      <c r="BD198" s="9" t="n"/>
      <c r="BE198" s="9" t="n"/>
      <c r="BF198" s="9" t="n"/>
      <c r="BG198" s="9" t="n"/>
      <c r="BH198" s="9" t="n"/>
      <c r="BI198" s="9" t="n"/>
      <c r="BJ198" s="9" t="n"/>
      <c r="BK198" s="9" t="n"/>
      <c r="BL198" s="9" t="n"/>
      <c r="BM198" s="9" t="n"/>
      <c r="BN198" s="9" t="n"/>
      <c r="BO198" s="8" t="n"/>
      <c r="BP198" s="9" t="n"/>
      <c r="BQ198" s="9" t="n"/>
      <c r="BR198" s="12">
        <f>IF(AND(AI198="Y",AK198="Y",AL198="Y",AM198="Y",AY198="Y",AZ198="Y",BA198="Y",BB198="Y",BC198="Y",BE198&lt;&gt;"Y",AX198&lt;&gt;"Y",BL198&lt;&gt;"Y",IF(AS198="Y",AV198="Y",TRUE)),"Y","N")</f>
        <v/>
      </c>
      <c r="BS198" s="12">
        <f>IF(AND(BR198="Y",OR(AND(BJ198="Y",BM198="Y"),AND(BK198="Y",BN198="Y"),AND(BJ198&lt;&gt;"Y",BK198&lt;&gt;"Y",OR(BM198="Y",BN198="Y")))),"Y","N")</f>
        <v/>
      </c>
      <c r="BT198" s="10" t="n"/>
      <c r="BU198" s="13" t="n"/>
      <c r="BV198" s="13" t="n"/>
      <c r="BW198" s="13" t="n"/>
      <c r="BX198" s="13" t="n"/>
      <c r="BY198" s="13" t="n"/>
      <c r="BZ198" s="13" t="n"/>
      <c r="CA198" s="14" t="n"/>
      <c r="CB198" s="13" t="n"/>
      <c r="CC198" s="9" t="n"/>
      <c r="CD198" s="9" t="n"/>
      <c r="CE198" s="9" t="n"/>
      <c r="CF198" s="9" t="n"/>
      <c r="CG198" s="9" t="n"/>
      <c r="CH198" s="9" t="n"/>
    </row>
    <row r="199">
      <c r="A199" s="8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8" t="n"/>
      <c r="L199" s="9" t="n"/>
      <c r="M199" s="8" t="n"/>
      <c r="N199" s="8" t="n"/>
      <c r="O199" s="8" t="n"/>
      <c r="P199" s="8" t="n"/>
      <c r="Q199" s="8" t="n"/>
      <c r="R199" s="9" t="n"/>
      <c r="S199" s="9" t="n"/>
      <c r="T199" s="10" t="n"/>
      <c r="U199" s="10" t="n"/>
      <c r="V199" s="9" t="n"/>
      <c r="W199" s="9" t="n"/>
      <c r="X199" s="9" t="n"/>
      <c r="Y199" s="9" t="n"/>
      <c r="Z199" s="11" t="n"/>
      <c r="AA199" s="11" t="n"/>
      <c r="AB199" s="11" t="n"/>
      <c r="AC199" s="11" t="n"/>
      <c r="AD199" s="11" t="n"/>
      <c r="AE199" s="11" t="n"/>
      <c r="AF199" s="9" t="n"/>
      <c r="AG199" s="9" t="n"/>
      <c r="AH199" s="9" t="n"/>
      <c r="AI199" s="9" t="n"/>
      <c r="AJ199" s="8" t="n"/>
      <c r="AK199" s="9" t="n"/>
      <c r="AL199" s="9" t="n"/>
      <c r="AM199" s="9" t="n"/>
      <c r="AN199" s="9" t="n"/>
      <c r="AO199" s="9" t="n"/>
      <c r="AP199" s="9" t="n"/>
      <c r="AQ199" s="9" t="n"/>
      <c r="AR199" s="9" t="n"/>
      <c r="AS199" s="9" t="n"/>
      <c r="AT199" s="8" t="n"/>
      <c r="AU199" s="8" t="n"/>
      <c r="AV199" s="9" t="n"/>
      <c r="AW199" s="8" t="n"/>
      <c r="AX199" s="9" t="n"/>
      <c r="AY199" s="9" t="n"/>
      <c r="AZ199" s="9" t="n"/>
      <c r="BA199" s="9" t="n"/>
      <c r="BB199" s="9" t="n"/>
      <c r="BC199" s="9" t="n"/>
      <c r="BD199" s="9" t="n"/>
      <c r="BE199" s="9" t="n"/>
      <c r="BF199" s="9" t="n"/>
      <c r="BG199" s="9" t="n"/>
      <c r="BH199" s="9" t="n"/>
      <c r="BI199" s="9" t="n"/>
      <c r="BJ199" s="9" t="n"/>
      <c r="BK199" s="9" t="n"/>
      <c r="BL199" s="9" t="n"/>
      <c r="BM199" s="9" t="n"/>
      <c r="BN199" s="9" t="n"/>
      <c r="BO199" s="8" t="n"/>
      <c r="BP199" s="9" t="n"/>
      <c r="BQ199" s="9" t="n"/>
      <c r="BR199" s="12">
        <f>IF(AND(AI199="Y",AK199="Y",AL199="Y",AM199="Y",AY199="Y",AZ199="Y",BA199="Y",BB199="Y",BC199="Y",BE199&lt;&gt;"Y",AX199&lt;&gt;"Y",BL199&lt;&gt;"Y",IF(AS199="Y",AV199="Y",TRUE)),"Y","N")</f>
        <v/>
      </c>
      <c r="BS199" s="12">
        <f>IF(AND(BR199="Y",OR(AND(BJ199="Y",BM199="Y"),AND(BK199="Y",BN199="Y"),AND(BJ199&lt;&gt;"Y",BK199&lt;&gt;"Y",OR(BM199="Y",BN199="Y")))),"Y","N")</f>
        <v/>
      </c>
      <c r="BT199" s="10" t="n"/>
      <c r="BU199" s="13" t="n"/>
      <c r="BV199" s="13" t="n"/>
      <c r="BW199" s="13" t="n"/>
      <c r="BX199" s="13" t="n"/>
      <c r="BY199" s="13" t="n"/>
      <c r="BZ199" s="13" t="n"/>
      <c r="CA199" s="14" t="n"/>
      <c r="CB199" s="13" t="n"/>
      <c r="CC199" s="9" t="n"/>
      <c r="CD199" s="9" t="n"/>
      <c r="CE199" s="9" t="n"/>
      <c r="CF199" s="9" t="n"/>
      <c r="CG199" s="9" t="n"/>
      <c r="CH199" s="9" t="n"/>
    </row>
    <row r="200">
      <c r="A200" s="8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8" t="n"/>
      <c r="L200" s="9" t="n"/>
      <c r="M200" s="8" t="n"/>
      <c r="N200" s="8" t="n"/>
      <c r="O200" s="8" t="n"/>
      <c r="P200" s="8" t="n"/>
      <c r="Q200" s="8" t="n"/>
      <c r="R200" s="9" t="n"/>
      <c r="S200" s="9" t="n"/>
      <c r="T200" s="10" t="n"/>
      <c r="U200" s="10" t="n"/>
      <c r="V200" s="9" t="n"/>
      <c r="W200" s="9" t="n"/>
      <c r="X200" s="9" t="n"/>
      <c r="Y200" s="9" t="n"/>
      <c r="Z200" s="11" t="n"/>
      <c r="AA200" s="11" t="n"/>
      <c r="AB200" s="11" t="n"/>
      <c r="AC200" s="11" t="n"/>
      <c r="AD200" s="11" t="n"/>
      <c r="AE200" s="11" t="n"/>
      <c r="AF200" s="9" t="n"/>
      <c r="AG200" s="9" t="n"/>
      <c r="AH200" s="9" t="n"/>
      <c r="AI200" s="9" t="n"/>
      <c r="AJ200" s="8" t="n"/>
      <c r="AK200" s="9" t="n"/>
      <c r="AL200" s="9" t="n"/>
      <c r="AM200" s="9" t="n"/>
      <c r="AN200" s="9" t="n"/>
      <c r="AO200" s="9" t="n"/>
      <c r="AP200" s="9" t="n"/>
      <c r="AQ200" s="9" t="n"/>
      <c r="AR200" s="9" t="n"/>
      <c r="AS200" s="9" t="n"/>
      <c r="AT200" s="8" t="n"/>
      <c r="AU200" s="8" t="n"/>
      <c r="AV200" s="9" t="n"/>
      <c r="AW200" s="8" t="n"/>
      <c r="AX200" s="9" t="n"/>
      <c r="AY200" s="9" t="n"/>
      <c r="AZ200" s="9" t="n"/>
      <c r="BA200" s="9" t="n"/>
      <c r="BB200" s="9" t="n"/>
      <c r="BC200" s="9" t="n"/>
      <c r="BD200" s="9" t="n"/>
      <c r="BE200" s="9" t="n"/>
      <c r="BF200" s="9" t="n"/>
      <c r="BG200" s="9" t="n"/>
      <c r="BH200" s="9" t="n"/>
      <c r="BI200" s="9" t="n"/>
      <c r="BJ200" s="9" t="n"/>
      <c r="BK200" s="9" t="n"/>
      <c r="BL200" s="9" t="n"/>
      <c r="BM200" s="9" t="n"/>
      <c r="BN200" s="9" t="n"/>
      <c r="BO200" s="8" t="n"/>
      <c r="BP200" s="9" t="n"/>
      <c r="BQ200" s="9" t="n"/>
      <c r="BR200" s="12">
        <f>IF(AND(AI200="Y",AK200="Y",AL200="Y",AM200="Y",AY200="Y",AZ200="Y",BA200="Y",BB200="Y",BC200="Y",BE200&lt;&gt;"Y",AX200&lt;&gt;"Y",BL200&lt;&gt;"Y",IF(AS200="Y",AV200="Y",TRUE)),"Y","N")</f>
        <v/>
      </c>
      <c r="BS200" s="12">
        <f>IF(AND(BR200="Y",OR(AND(BJ200="Y",BM200="Y"),AND(BK200="Y",BN200="Y"),AND(BJ200&lt;&gt;"Y",BK200&lt;&gt;"Y",OR(BM200="Y",BN200="Y")))),"Y","N")</f>
        <v/>
      </c>
      <c r="BT200" s="10" t="n"/>
      <c r="BU200" s="13" t="n"/>
      <c r="BV200" s="13" t="n"/>
      <c r="BW200" s="13" t="n"/>
      <c r="BX200" s="13" t="n"/>
      <c r="BY200" s="13" t="n"/>
      <c r="BZ200" s="13" t="n"/>
      <c r="CA200" s="14" t="n"/>
      <c r="CB200" s="13" t="n"/>
      <c r="CC200" s="9" t="n"/>
      <c r="CD200" s="9" t="n"/>
      <c r="CE200" s="9" t="n"/>
      <c r="CF200" s="9" t="n"/>
      <c r="CG200" s="9" t="n"/>
      <c r="CH200" s="9" t="n"/>
    </row>
    <row r="201">
      <c r="A201" s="8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8" t="n"/>
      <c r="L201" s="9" t="n"/>
      <c r="M201" s="8" t="n"/>
      <c r="N201" s="8" t="n"/>
      <c r="O201" s="8" t="n"/>
      <c r="P201" s="8" t="n"/>
      <c r="Q201" s="8" t="n"/>
      <c r="R201" s="9" t="n"/>
      <c r="S201" s="9" t="n"/>
      <c r="T201" s="10" t="n"/>
      <c r="U201" s="10" t="n"/>
      <c r="V201" s="9" t="n"/>
      <c r="W201" s="9" t="n"/>
      <c r="X201" s="9" t="n"/>
      <c r="Y201" s="9" t="n"/>
      <c r="Z201" s="11" t="n"/>
      <c r="AA201" s="11" t="n"/>
      <c r="AB201" s="11" t="n"/>
      <c r="AC201" s="11" t="n"/>
      <c r="AD201" s="11" t="n"/>
      <c r="AE201" s="11" t="n"/>
      <c r="AF201" s="9" t="n"/>
      <c r="AG201" s="9" t="n"/>
      <c r="AH201" s="9" t="n"/>
      <c r="AI201" s="9" t="n"/>
      <c r="AJ201" s="8" t="n"/>
      <c r="AK201" s="9" t="n"/>
      <c r="AL201" s="9" t="n"/>
      <c r="AM201" s="9" t="n"/>
      <c r="AN201" s="9" t="n"/>
      <c r="AO201" s="9" t="n"/>
      <c r="AP201" s="9" t="n"/>
      <c r="AQ201" s="9" t="n"/>
      <c r="AR201" s="9" t="n"/>
      <c r="AS201" s="9" t="n"/>
      <c r="AT201" s="8" t="n"/>
      <c r="AU201" s="8" t="n"/>
      <c r="AV201" s="9" t="n"/>
      <c r="AW201" s="8" t="n"/>
      <c r="AX201" s="9" t="n"/>
      <c r="AY201" s="9" t="n"/>
      <c r="AZ201" s="9" t="n"/>
      <c r="BA201" s="9" t="n"/>
      <c r="BB201" s="9" t="n"/>
      <c r="BC201" s="9" t="n"/>
      <c r="BD201" s="9" t="n"/>
      <c r="BE201" s="9" t="n"/>
      <c r="BF201" s="9" t="n"/>
      <c r="BG201" s="9" t="n"/>
      <c r="BH201" s="9" t="n"/>
      <c r="BI201" s="9" t="n"/>
      <c r="BJ201" s="9" t="n"/>
      <c r="BK201" s="9" t="n"/>
      <c r="BL201" s="9" t="n"/>
      <c r="BM201" s="9" t="n"/>
      <c r="BN201" s="9" t="n"/>
      <c r="BO201" s="8" t="n"/>
      <c r="BP201" s="9" t="n"/>
      <c r="BQ201" s="9" t="n"/>
      <c r="BR201" s="12">
        <f>IF(AND(AI201="Y",AK201="Y",AL201="Y",AM201="Y",AY201="Y",AZ201="Y",BA201="Y",BB201="Y",BC201="Y",BE201&lt;&gt;"Y",AX201&lt;&gt;"Y",BL201&lt;&gt;"Y",IF(AS201="Y",AV201="Y",TRUE)),"Y","N")</f>
        <v/>
      </c>
      <c r="BS201" s="12">
        <f>IF(AND(BR201="Y",OR(AND(BJ201="Y",BM201="Y"),AND(BK201="Y",BN201="Y"),AND(BJ201&lt;&gt;"Y",BK201&lt;&gt;"Y",OR(BM201="Y",BN201="Y")))),"Y","N")</f>
        <v/>
      </c>
      <c r="BT201" s="10" t="n"/>
      <c r="BU201" s="13" t="n"/>
      <c r="BV201" s="13" t="n"/>
      <c r="BW201" s="13" t="n"/>
      <c r="BX201" s="13" t="n"/>
      <c r="BY201" s="13" t="n"/>
      <c r="BZ201" s="13" t="n"/>
      <c r="CA201" s="14" t="n"/>
      <c r="CB201" s="13" t="n"/>
      <c r="CC201" s="9" t="n"/>
      <c r="CD201" s="9" t="n"/>
      <c r="CE201" s="9" t="n"/>
      <c r="CF201" s="9" t="n"/>
      <c r="CG201" s="9" t="n"/>
      <c r="CH201" s="9" t="n"/>
    </row>
    <row r="202">
      <c r="A202" s="8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8" t="n"/>
      <c r="L202" s="9" t="n"/>
      <c r="M202" s="8" t="n"/>
      <c r="N202" s="8" t="n"/>
      <c r="O202" s="8" t="n"/>
      <c r="P202" s="8" t="n"/>
      <c r="Q202" s="8" t="n"/>
      <c r="R202" s="9" t="n"/>
      <c r="S202" s="9" t="n"/>
      <c r="T202" s="10" t="n"/>
      <c r="U202" s="10" t="n"/>
      <c r="V202" s="9" t="n"/>
      <c r="W202" s="9" t="n"/>
      <c r="X202" s="9" t="n"/>
      <c r="Y202" s="9" t="n"/>
      <c r="Z202" s="11" t="n"/>
      <c r="AA202" s="11" t="n"/>
      <c r="AB202" s="11" t="n"/>
      <c r="AC202" s="11" t="n"/>
      <c r="AD202" s="11" t="n"/>
      <c r="AE202" s="11" t="n"/>
      <c r="AF202" s="9" t="n"/>
      <c r="AG202" s="9" t="n"/>
      <c r="AH202" s="9" t="n"/>
      <c r="AI202" s="9" t="n"/>
      <c r="AJ202" s="8" t="n"/>
      <c r="AK202" s="9" t="n"/>
      <c r="AL202" s="9" t="n"/>
      <c r="AM202" s="9" t="n"/>
      <c r="AN202" s="9" t="n"/>
      <c r="AO202" s="9" t="n"/>
      <c r="AP202" s="9" t="n"/>
      <c r="AQ202" s="9" t="n"/>
      <c r="AR202" s="9" t="n"/>
      <c r="AS202" s="9" t="n"/>
      <c r="AT202" s="8" t="n"/>
      <c r="AU202" s="8" t="n"/>
      <c r="AV202" s="9" t="n"/>
      <c r="AW202" s="8" t="n"/>
      <c r="AX202" s="9" t="n"/>
      <c r="AY202" s="9" t="n"/>
      <c r="AZ202" s="9" t="n"/>
      <c r="BA202" s="9" t="n"/>
      <c r="BB202" s="9" t="n"/>
      <c r="BC202" s="9" t="n"/>
      <c r="BD202" s="9" t="n"/>
      <c r="BE202" s="9" t="n"/>
      <c r="BF202" s="9" t="n"/>
      <c r="BG202" s="9" t="n"/>
      <c r="BH202" s="9" t="n"/>
      <c r="BI202" s="9" t="n"/>
      <c r="BJ202" s="9" t="n"/>
      <c r="BK202" s="9" t="n"/>
      <c r="BL202" s="9" t="n"/>
      <c r="BM202" s="9" t="n"/>
      <c r="BN202" s="9" t="n"/>
      <c r="BO202" s="8" t="n"/>
      <c r="BP202" s="9" t="n"/>
      <c r="BQ202" s="9" t="n"/>
      <c r="BR202" s="12">
        <f>IF(AND(AI202="Y",AK202="Y",AL202="Y",AM202="Y",AY202="Y",AZ202="Y",BA202="Y",BB202="Y",BC202="Y",BE202&lt;&gt;"Y",AX202&lt;&gt;"Y",BL202&lt;&gt;"Y",IF(AS202="Y",AV202="Y",TRUE)),"Y","N")</f>
        <v/>
      </c>
      <c r="BS202" s="12">
        <f>IF(AND(BR202="Y",OR(AND(BJ202="Y",BM202="Y"),AND(BK202="Y",BN202="Y"),AND(BJ202&lt;&gt;"Y",BK202&lt;&gt;"Y",OR(BM202="Y",BN202="Y")))),"Y","N")</f>
        <v/>
      </c>
      <c r="BT202" s="10" t="n"/>
      <c r="BU202" s="13" t="n"/>
      <c r="BV202" s="13" t="n"/>
      <c r="BW202" s="13" t="n"/>
      <c r="BX202" s="13" t="n"/>
      <c r="BY202" s="13" t="n"/>
      <c r="BZ202" s="13" t="n"/>
      <c r="CA202" s="14" t="n"/>
      <c r="CB202" s="13" t="n"/>
      <c r="CC202" s="9" t="n"/>
      <c r="CD202" s="9" t="n"/>
      <c r="CE202" s="9" t="n"/>
      <c r="CF202" s="9" t="n"/>
      <c r="CG202" s="9" t="n"/>
      <c r="CH202" s="9" t="n"/>
    </row>
    <row r="203">
      <c r="A203" s="8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8" t="n"/>
      <c r="L203" s="9" t="n"/>
      <c r="M203" s="8" t="n"/>
      <c r="N203" s="8" t="n"/>
      <c r="O203" s="8" t="n"/>
      <c r="P203" s="8" t="n"/>
      <c r="Q203" s="8" t="n"/>
      <c r="R203" s="9" t="n"/>
      <c r="S203" s="9" t="n"/>
      <c r="T203" s="10" t="n"/>
      <c r="U203" s="10" t="n"/>
      <c r="V203" s="9" t="n"/>
      <c r="W203" s="9" t="n"/>
      <c r="X203" s="9" t="n"/>
      <c r="Y203" s="9" t="n"/>
      <c r="Z203" s="11" t="n"/>
      <c r="AA203" s="11" t="n"/>
      <c r="AB203" s="11" t="n"/>
      <c r="AC203" s="11" t="n"/>
      <c r="AD203" s="11" t="n"/>
      <c r="AE203" s="11" t="n"/>
      <c r="AF203" s="9" t="n"/>
      <c r="AG203" s="9" t="n"/>
      <c r="AH203" s="9" t="n"/>
      <c r="AI203" s="9" t="n"/>
      <c r="AJ203" s="8" t="n"/>
      <c r="AK203" s="9" t="n"/>
      <c r="AL203" s="9" t="n"/>
      <c r="AM203" s="9" t="n"/>
      <c r="AN203" s="9" t="n"/>
      <c r="AO203" s="9" t="n"/>
      <c r="AP203" s="9" t="n"/>
      <c r="AQ203" s="9" t="n"/>
      <c r="AR203" s="9" t="n"/>
      <c r="AS203" s="9" t="n"/>
      <c r="AT203" s="8" t="n"/>
      <c r="AU203" s="8" t="n"/>
      <c r="AV203" s="9" t="n"/>
      <c r="AW203" s="8" t="n"/>
      <c r="AX203" s="9" t="n"/>
      <c r="AY203" s="9" t="n"/>
      <c r="AZ203" s="9" t="n"/>
      <c r="BA203" s="9" t="n"/>
      <c r="BB203" s="9" t="n"/>
      <c r="BC203" s="9" t="n"/>
      <c r="BD203" s="9" t="n"/>
      <c r="BE203" s="9" t="n"/>
      <c r="BF203" s="9" t="n"/>
      <c r="BG203" s="9" t="n"/>
      <c r="BH203" s="9" t="n"/>
      <c r="BI203" s="9" t="n"/>
      <c r="BJ203" s="9" t="n"/>
      <c r="BK203" s="9" t="n"/>
      <c r="BL203" s="9" t="n"/>
      <c r="BM203" s="9" t="n"/>
      <c r="BN203" s="9" t="n"/>
      <c r="BO203" s="8" t="n"/>
      <c r="BP203" s="9" t="n"/>
      <c r="BQ203" s="9" t="n"/>
      <c r="BR203" s="12">
        <f>IF(AND(AI203="Y",AK203="Y",AL203="Y",AM203="Y",AY203="Y",AZ203="Y",BA203="Y",BB203="Y",BC203="Y",BE203&lt;&gt;"Y",AX203&lt;&gt;"Y",BL203&lt;&gt;"Y",IF(AS203="Y",AV203="Y",TRUE)),"Y","N")</f>
        <v/>
      </c>
      <c r="BS203" s="12">
        <f>IF(AND(BR203="Y",OR(AND(BJ203="Y",BM203="Y"),AND(BK203="Y",BN203="Y"),AND(BJ203&lt;&gt;"Y",BK203&lt;&gt;"Y",OR(BM203="Y",BN203="Y")))),"Y","N")</f>
        <v/>
      </c>
      <c r="BT203" s="10" t="n"/>
      <c r="BU203" s="13" t="n"/>
      <c r="BV203" s="13" t="n"/>
      <c r="BW203" s="13" t="n"/>
      <c r="BX203" s="13" t="n"/>
      <c r="BY203" s="13" t="n"/>
      <c r="BZ203" s="13" t="n"/>
      <c r="CA203" s="14" t="n"/>
      <c r="CB203" s="13" t="n"/>
      <c r="CC203" s="9" t="n"/>
      <c r="CD203" s="9" t="n"/>
      <c r="CE203" s="9" t="n"/>
      <c r="CF203" s="9" t="n"/>
      <c r="CG203" s="9" t="n"/>
      <c r="CH203" s="9" t="n"/>
    </row>
    <row r="204">
      <c r="A204" s="8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8" t="n"/>
      <c r="L204" s="9" t="n"/>
      <c r="M204" s="8" t="n"/>
      <c r="N204" s="8" t="n"/>
      <c r="O204" s="8" t="n"/>
      <c r="P204" s="8" t="n"/>
      <c r="Q204" s="8" t="n"/>
      <c r="R204" s="9" t="n"/>
      <c r="S204" s="9" t="n"/>
      <c r="T204" s="10" t="n"/>
      <c r="U204" s="10" t="n"/>
      <c r="V204" s="9" t="n"/>
      <c r="W204" s="9" t="n"/>
      <c r="X204" s="9" t="n"/>
      <c r="Y204" s="9" t="n"/>
      <c r="Z204" s="11" t="n"/>
      <c r="AA204" s="11" t="n"/>
      <c r="AB204" s="11" t="n"/>
      <c r="AC204" s="11" t="n"/>
      <c r="AD204" s="11" t="n"/>
      <c r="AE204" s="11" t="n"/>
      <c r="AF204" s="9" t="n"/>
      <c r="AG204" s="9" t="n"/>
      <c r="AH204" s="9" t="n"/>
      <c r="AI204" s="9" t="n"/>
      <c r="AJ204" s="8" t="n"/>
      <c r="AK204" s="9" t="n"/>
      <c r="AL204" s="9" t="n"/>
      <c r="AM204" s="9" t="n"/>
      <c r="AN204" s="9" t="n"/>
      <c r="AO204" s="9" t="n"/>
      <c r="AP204" s="9" t="n"/>
      <c r="AQ204" s="9" t="n"/>
      <c r="AR204" s="9" t="n"/>
      <c r="AS204" s="9" t="n"/>
      <c r="AT204" s="8" t="n"/>
      <c r="AU204" s="8" t="n"/>
      <c r="AV204" s="9" t="n"/>
      <c r="AW204" s="8" t="n"/>
      <c r="AX204" s="9" t="n"/>
      <c r="AY204" s="9" t="n"/>
      <c r="AZ204" s="9" t="n"/>
      <c r="BA204" s="9" t="n"/>
      <c r="BB204" s="9" t="n"/>
      <c r="BC204" s="9" t="n"/>
      <c r="BD204" s="9" t="n"/>
      <c r="BE204" s="9" t="n"/>
      <c r="BF204" s="9" t="n"/>
      <c r="BG204" s="9" t="n"/>
      <c r="BH204" s="9" t="n"/>
      <c r="BI204" s="9" t="n"/>
      <c r="BJ204" s="9" t="n"/>
      <c r="BK204" s="9" t="n"/>
      <c r="BL204" s="9" t="n"/>
      <c r="BM204" s="9" t="n"/>
      <c r="BN204" s="9" t="n"/>
      <c r="BO204" s="8" t="n"/>
      <c r="BP204" s="9" t="n"/>
      <c r="BQ204" s="9" t="n"/>
      <c r="BR204" s="12">
        <f>IF(AND(AI204="Y",AK204="Y",AL204="Y",AM204="Y",AY204="Y",AZ204="Y",BA204="Y",BB204="Y",BC204="Y",BE204&lt;&gt;"Y",AX204&lt;&gt;"Y",BL204&lt;&gt;"Y",IF(AS204="Y",AV204="Y",TRUE)),"Y","N")</f>
        <v/>
      </c>
      <c r="BS204" s="12">
        <f>IF(AND(BR204="Y",OR(AND(BJ204="Y",BM204="Y"),AND(BK204="Y",BN204="Y"),AND(BJ204&lt;&gt;"Y",BK204&lt;&gt;"Y",OR(BM204="Y",BN204="Y")))),"Y","N")</f>
        <v/>
      </c>
      <c r="BT204" s="10" t="n"/>
      <c r="BU204" s="13" t="n"/>
      <c r="BV204" s="13" t="n"/>
      <c r="BW204" s="13" t="n"/>
      <c r="BX204" s="13" t="n"/>
      <c r="BY204" s="13" t="n"/>
      <c r="BZ204" s="13" t="n"/>
      <c r="CA204" s="14" t="n"/>
      <c r="CB204" s="13" t="n"/>
      <c r="CC204" s="9" t="n"/>
      <c r="CD204" s="9" t="n"/>
      <c r="CE204" s="9" t="n"/>
      <c r="CF204" s="9" t="n"/>
      <c r="CG204" s="9" t="n"/>
      <c r="CH204" s="9" t="n"/>
    </row>
    <row r="205">
      <c r="A205" s="8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8" t="n"/>
      <c r="L205" s="9" t="n"/>
      <c r="M205" s="8" t="n"/>
      <c r="N205" s="8" t="n"/>
      <c r="O205" s="8" t="n"/>
      <c r="P205" s="8" t="n"/>
      <c r="Q205" s="8" t="n"/>
      <c r="R205" s="9" t="n"/>
      <c r="S205" s="9" t="n"/>
      <c r="T205" s="10" t="n"/>
      <c r="U205" s="10" t="n"/>
      <c r="V205" s="9" t="n"/>
      <c r="W205" s="9" t="n"/>
      <c r="X205" s="9" t="n"/>
      <c r="Y205" s="9" t="n"/>
      <c r="Z205" s="11" t="n"/>
      <c r="AA205" s="11" t="n"/>
      <c r="AB205" s="11" t="n"/>
      <c r="AC205" s="11" t="n"/>
      <c r="AD205" s="11" t="n"/>
      <c r="AE205" s="11" t="n"/>
      <c r="AF205" s="9" t="n"/>
      <c r="AG205" s="9" t="n"/>
      <c r="AH205" s="9" t="n"/>
      <c r="AI205" s="9" t="n"/>
      <c r="AJ205" s="8" t="n"/>
      <c r="AK205" s="9" t="n"/>
      <c r="AL205" s="9" t="n"/>
      <c r="AM205" s="9" t="n"/>
      <c r="AN205" s="9" t="n"/>
      <c r="AO205" s="9" t="n"/>
      <c r="AP205" s="9" t="n"/>
      <c r="AQ205" s="9" t="n"/>
      <c r="AR205" s="9" t="n"/>
      <c r="AS205" s="9" t="n"/>
      <c r="AT205" s="8" t="n"/>
      <c r="AU205" s="8" t="n"/>
      <c r="AV205" s="9" t="n"/>
      <c r="AW205" s="8" t="n"/>
      <c r="AX205" s="9" t="n"/>
      <c r="AY205" s="9" t="n"/>
      <c r="AZ205" s="9" t="n"/>
      <c r="BA205" s="9" t="n"/>
      <c r="BB205" s="9" t="n"/>
      <c r="BC205" s="9" t="n"/>
      <c r="BD205" s="9" t="n"/>
      <c r="BE205" s="9" t="n"/>
      <c r="BF205" s="9" t="n"/>
      <c r="BG205" s="9" t="n"/>
      <c r="BH205" s="9" t="n"/>
      <c r="BI205" s="9" t="n"/>
      <c r="BJ205" s="9" t="n"/>
      <c r="BK205" s="9" t="n"/>
      <c r="BL205" s="9" t="n"/>
      <c r="BM205" s="9" t="n"/>
      <c r="BN205" s="9" t="n"/>
      <c r="BO205" s="8" t="n"/>
      <c r="BP205" s="9" t="n"/>
      <c r="BQ205" s="9" t="n"/>
      <c r="BR205" s="12">
        <f>IF(AND(AI205="Y",AK205="Y",AL205="Y",AM205="Y",AY205="Y",AZ205="Y",BA205="Y",BB205="Y",BC205="Y",BE205&lt;&gt;"Y",AX205&lt;&gt;"Y",BL205&lt;&gt;"Y",IF(AS205="Y",AV205="Y",TRUE)),"Y","N")</f>
        <v/>
      </c>
      <c r="BS205" s="12">
        <f>IF(AND(BR205="Y",OR(AND(BJ205="Y",BM205="Y"),AND(BK205="Y",BN205="Y"),AND(BJ205&lt;&gt;"Y",BK205&lt;&gt;"Y",OR(BM205="Y",BN205="Y")))),"Y","N")</f>
        <v/>
      </c>
      <c r="BT205" s="10" t="n"/>
      <c r="BU205" s="13" t="n"/>
      <c r="BV205" s="13" t="n"/>
      <c r="BW205" s="13" t="n"/>
      <c r="BX205" s="13" t="n"/>
      <c r="BY205" s="13" t="n"/>
      <c r="BZ205" s="13" t="n"/>
      <c r="CA205" s="14" t="n"/>
      <c r="CB205" s="13" t="n"/>
      <c r="CC205" s="9" t="n"/>
      <c r="CD205" s="9" t="n"/>
      <c r="CE205" s="9" t="n"/>
      <c r="CF205" s="9" t="n"/>
      <c r="CG205" s="9" t="n"/>
      <c r="CH205" s="9" t="n"/>
    </row>
    <row r="206">
      <c r="A206" s="8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8" t="n"/>
      <c r="L206" s="9" t="n"/>
      <c r="M206" s="8" t="n"/>
      <c r="N206" s="8" t="n"/>
      <c r="O206" s="8" t="n"/>
      <c r="P206" s="8" t="n"/>
      <c r="Q206" s="8" t="n"/>
      <c r="R206" s="9" t="n"/>
      <c r="S206" s="9" t="n"/>
      <c r="T206" s="10" t="n"/>
      <c r="U206" s="10" t="n"/>
      <c r="V206" s="9" t="n"/>
      <c r="W206" s="9" t="n"/>
      <c r="X206" s="9" t="n"/>
      <c r="Y206" s="9" t="n"/>
      <c r="Z206" s="11" t="n"/>
      <c r="AA206" s="11" t="n"/>
      <c r="AB206" s="11" t="n"/>
      <c r="AC206" s="11" t="n"/>
      <c r="AD206" s="11" t="n"/>
      <c r="AE206" s="11" t="n"/>
      <c r="AF206" s="9" t="n"/>
      <c r="AG206" s="9" t="n"/>
      <c r="AH206" s="9" t="n"/>
      <c r="AI206" s="9" t="n"/>
      <c r="AJ206" s="8" t="n"/>
      <c r="AK206" s="9" t="n"/>
      <c r="AL206" s="9" t="n"/>
      <c r="AM206" s="9" t="n"/>
      <c r="AN206" s="9" t="n"/>
      <c r="AO206" s="9" t="n"/>
      <c r="AP206" s="9" t="n"/>
      <c r="AQ206" s="9" t="n"/>
      <c r="AR206" s="9" t="n"/>
      <c r="AS206" s="9" t="n"/>
      <c r="AT206" s="8" t="n"/>
      <c r="AU206" s="8" t="n"/>
      <c r="AV206" s="9" t="n"/>
      <c r="AW206" s="8" t="n"/>
      <c r="AX206" s="9" t="n"/>
      <c r="AY206" s="9" t="n"/>
      <c r="AZ206" s="9" t="n"/>
      <c r="BA206" s="9" t="n"/>
      <c r="BB206" s="9" t="n"/>
      <c r="BC206" s="9" t="n"/>
      <c r="BD206" s="9" t="n"/>
      <c r="BE206" s="9" t="n"/>
      <c r="BF206" s="9" t="n"/>
      <c r="BG206" s="9" t="n"/>
      <c r="BH206" s="9" t="n"/>
      <c r="BI206" s="9" t="n"/>
      <c r="BJ206" s="9" t="n"/>
      <c r="BK206" s="9" t="n"/>
      <c r="BL206" s="9" t="n"/>
      <c r="BM206" s="9" t="n"/>
      <c r="BN206" s="9" t="n"/>
      <c r="BO206" s="8" t="n"/>
      <c r="BP206" s="9" t="n"/>
      <c r="BQ206" s="9" t="n"/>
      <c r="BR206" s="12">
        <f>IF(AND(AI206="Y",AK206="Y",AL206="Y",AM206="Y",AY206="Y",AZ206="Y",BA206="Y",BB206="Y",BC206="Y",BE206&lt;&gt;"Y",AX206&lt;&gt;"Y",BL206&lt;&gt;"Y",IF(AS206="Y",AV206="Y",TRUE)),"Y","N")</f>
        <v/>
      </c>
      <c r="BS206" s="12">
        <f>IF(AND(BR206="Y",OR(AND(BJ206="Y",BM206="Y"),AND(BK206="Y",BN206="Y"),AND(BJ206&lt;&gt;"Y",BK206&lt;&gt;"Y",OR(BM206="Y",BN206="Y")))),"Y","N")</f>
        <v/>
      </c>
      <c r="BT206" s="10" t="n"/>
      <c r="BU206" s="13" t="n"/>
      <c r="BV206" s="13" t="n"/>
      <c r="BW206" s="13" t="n"/>
      <c r="BX206" s="13" t="n"/>
      <c r="BY206" s="13" t="n"/>
      <c r="BZ206" s="13" t="n"/>
      <c r="CA206" s="14" t="n"/>
      <c r="CB206" s="13" t="n"/>
      <c r="CC206" s="9" t="n"/>
      <c r="CD206" s="9" t="n"/>
      <c r="CE206" s="9" t="n"/>
      <c r="CF206" s="9" t="n"/>
      <c r="CG206" s="9" t="n"/>
      <c r="CH206" s="9" t="n"/>
    </row>
    <row r="207">
      <c r="A207" s="8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8" t="n"/>
      <c r="L207" s="9" t="n"/>
      <c r="M207" s="8" t="n"/>
      <c r="N207" s="8" t="n"/>
      <c r="O207" s="8" t="n"/>
      <c r="P207" s="8" t="n"/>
      <c r="Q207" s="8" t="n"/>
      <c r="R207" s="9" t="n"/>
      <c r="S207" s="9" t="n"/>
      <c r="T207" s="10" t="n"/>
      <c r="U207" s="10" t="n"/>
      <c r="V207" s="9" t="n"/>
      <c r="W207" s="9" t="n"/>
      <c r="X207" s="9" t="n"/>
      <c r="Y207" s="9" t="n"/>
      <c r="Z207" s="11" t="n"/>
      <c r="AA207" s="11" t="n"/>
      <c r="AB207" s="11" t="n"/>
      <c r="AC207" s="11" t="n"/>
      <c r="AD207" s="11" t="n"/>
      <c r="AE207" s="11" t="n"/>
      <c r="AF207" s="9" t="n"/>
      <c r="AG207" s="9" t="n"/>
      <c r="AH207" s="9" t="n"/>
      <c r="AI207" s="9" t="n"/>
      <c r="AJ207" s="8" t="n"/>
      <c r="AK207" s="9" t="n"/>
      <c r="AL207" s="9" t="n"/>
      <c r="AM207" s="9" t="n"/>
      <c r="AN207" s="9" t="n"/>
      <c r="AO207" s="9" t="n"/>
      <c r="AP207" s="9" t="n"/>
      <c r="AQ207" s="9" t="n"/>
      <c r="AR207" s="9" t="n"/>
      <c r="AS207" s="9" t="n"/>
      <c r="AT207" s="8" t="n"/>
      <c r="AU207" s="8" t="n"/>
      <c r="AV207" s="9" t="n"/>
      <c r="AW207" s="8" t="n"/>
      <c r="AX207" s="9" t="n"/>
      <c r="AY207" s="9" t="n"/>
      <c r="AZ207" s="9" t="n"/>
      <c r="BA207" s="9" t="n"/>
      <c r="BB207" s="9" t="n"/>
      <c r="BC207" s="9" t="n"/>
      <c r="BD207" s="9" t="n"/>
      <c r="BE207" s="9" t="n"/>
      <c r="BF207" s="9" t="n"/>
      <c r="BG207" s="9" t="n"/>
      <c r="BH207" s="9" t="n"/>
      <c r="BI207" s="9" t="n"/>
      <c r="BJ207" s="9" t="n"/>
      <c r="BK207" s="9" t="n"/>
      <c r="BL207" s="9" t="n"/>
      <c r="BM207" s="9" t="n"/>
      <c r="BN207" s="9" t="n"/>
      <c r="BO207" s="8" t="n"/>
      <c r="BP207" s="9" t="n"/>
      <c r="BQ207" s="9" t="n"/>
      <c r="BR207" s="12">
        <f>IF(AND(AI207="Y",AK207="Y",AL207="Y",AM207="Y",AY207="Y",AZ207="Y",BA207="Y",BB207="Y",BC207="Y",BE207&lt;&gt;"Y",AX207&lt;&gt;"Y",BL207&lt;&gt;"Y",IF(AS207="Y",AV207="Y",TRUE)),"Y","N")</f>
        <v/>
      </c>
      <c r="BS207" s="12">
        <f>IF(AND(BR207="Y",OR(AND(BJ207="Y",BM207="Y"),AND(BK207="Y",BN207="Y"),AND(BJ207&lt;&gt;"Y",BK207&lt;&gt;"Y",OR(BM207="Y",BN207="Y")))),"Y","N")</f>
        <v/>
      </c>
      <c r="BT207" s="10" t="n"/>
      <c r="BU207" s="13" t="n"/>
      <c r="BV207" s="13" t="n"/>
      <c r="BW207" s="13" t="n"/>
      <c r="BX207" s="13" t="n"/>
      <c r="BY207" s="13" t="n"/>
      <c r="BZ207" s="13" t="n"/>
      <c r="CA207" s="14" t="n"/>
      <c r="CB207" s="13" t="n"/>
      <c r="CC207" s="9" t="n"/>
      <c r="CD207" s="9" t="n"/>
      <c r="CE207" s="9" t="n"/>
      <c r="CF207" s="9" t="n"/>
      <c r="CG207" s="9" t="n"/>
      <c r="CH207" s="9" t="n"/>
    </row>
    <row r="208">
      <c r="A208" s="8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8" t="n"/>
      <c r="L208" s="9" t="n"/>
      <c r="M208" s="8" t="n"/>
      <c r="N208" s="8" t="n"/>
      <c r="O208" s="8" t="n"/>
      <c r="P208" s="8" t="n"/>
      <c r="Q208" s="8" t="n"/>
      <c r="R208" s="9" t="n"/>
      <c r="S208" s="9" t="n"/>
      <c r="T208" s="10" t="n"/>
      <c r="U208" s="10" t="n"/>
      <c r="V208" s="9" t="n"/>
      <c r="W208" s="9" t="n"/>
      <c r="X208" s="9" t="n"/>
      <c r="Y208" s="9" t="n"/>
      <c r="Z208" s="11" t="n"/>
      <c r="AA208" s="11" t="n"/>
      <c r="AB208" s="11" t="n"/>
      <c r="AC208" s="11" t="n"/>
      <c r="AD208" s="11" t="n"/>
      <c r="AE208" s="11" t="n"/>
      <c r="AF208" s="9" t="n"/>
      <c r="AG208" s="9" t="n"/>
      <c r="AH208" s="9" t="n"/>
      <c r="AI208" s="9" t="n"/>
      <c r="AJ208" s="8" t="n"/>
      <c r="AK208" s="9" t="n"/>
      <c r="AL208" s="9" t="n"/>
      <c r="AM208" s="9" t="n"/>
      <c r="AN208" s="9" t="n"/>
      <c r="AO208" s="9" t="n"/>
      <c r="AP208" s="9" t="n"/>
      <c r="AQ208" s="9" t="n"/>
      <c r="AR208" s="9" t="n"/>
      <c r="AS208" s="9" t="n"/>
      <c r="AT208" s="8" t="n"/>
      <c r="AU208" s="8" t="n"/>
      <c r="AV208" s="9" t="n"/>
      <c r="AW208" s="8" t="n"/>
      <c r="AX208" s="9" t="n"/>
      <c r="AY208" s="9" t="n"/>
      <c r="AZ208" s="9" t="n"/>
      <c r="BA208" s="9" t="n"/>
      <c r="BB208" s="9" t="n"/>
      <c r="BC208" s="9" t="n"/>
      <c r="BD208" s="9" t="n"/>
      <c r="BE208" s="9" t="n"/>
      <c r="BF208" s="9" t="n"/>
      <c r="BG208" s="9" t="n"/>
      <c r="BH208" s="9" t="n"/>
      <c r="BI208" s="9" t="n"/>
      <c r="BJ208" s="9" t="n"/>
      <c r="BK208" s="9" t="n"/>
      <c r="BL208" s="9" t="n"/>
      <c r="BM208" s="9" t="n"/>
      <c r="BN208" s="9" t="n"/>
      <c r="BO208" s="8" t="n"/>
      <c r="BP208" s="9" t="n"/>
      <c r="BQ208" s="9" t="n"/>
      <c r="BR208" s="12">
        <f>IF(AND(AI208="Y",AK208="Y",AL208="Y",AM208="Y",AY208="Y",AZ208="Y",BA208="Y",BB208="Y",BC208="Y",BE208&lt;&gt;"Y",AX208&lt;&gt;"Y",BL208&lt;&gt;"Y",IF(AS208="Y",AV208="Y",TRUE)),"Y","N")</f>
        <v/>
      </c>
      <c r="BS208" s="12">
        <f>IF(AND(BR208="Y",OR(AND(BJ208="Y",BM208="Y"),AND(BK208="Y",BN208="Y"),AND(BJ208&lt;&gt;"Y",BK208&lt;&gt;"Y",OR(BM208="Y",BN208="Y")))),"Y","N")</f>
        <v/>
      </c>
      <c r="BT208" s="10" t="n"/>
      <c r="BU208" s="13" t="n"/>
      <c r="BV208" s="13" t="n"/>
      <c r="BW208" s="13" t="n"/>
      <c r="BX208" s="13" t="n"/>
      <c r="BY208" s="13" t="n"/>
      <c r="BZ208" s="13" t="n"/>
      <c r="CA208" s="14" t="n"/>
      <c r="CB208" s="13" t="n"/>
      <c r="CC208" s="9" t="n"/>
      <c r="CD208" s="9" t="n"/>
      <c r="CE208" s="9" t="n"/>
      <c r="CF208" s="9" t="n"/>
      <c r="CG208" s="9" t="n"/>
      <c r="CH208" s="9" t="n"/>
    </row>
    <row r="209">
      <c r="A209" s="8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8" t="n"/>
      <c r="L209" s="9" t="n"/>
      <c r="M209" s="8" t="n"/>
      <c r="N209" s="8" t="n"/>
      <c r="O209" s="8" t="n"/>
      <c r="P209" s="8" t="n"/>
      <c r="Q209" s="8" t="n"/>
      <c r="R209" s="9" t="n"/>
      <c r="S209" s="9" t="n"/>
      <c r="T209" s="10" t="n"/>
      <c r="U209" s="10" t="n"/>
      <c r="V209" s="9" t="n"/>
      <c r="W209" s="9" t="n"/>
      <c r="X209" s="9" t="n"/>
      <c r="Y209" s="9" t="n"/>
      <c r="Z209" s="11" t="n"/>
      <c r="AA209" s="11" t="n"/>
      <c r="AB209" s="11" t="n"/>
      <c r="AC209" s="11" t="n"/>
      <c r="AD209" s="11" t="n"/>
      <c r="AE209" s="11" t="n"/>
      <c r="AF209" s="9" t="n"/>
      <c r="AG209" s="9" t="n"/>
      <c r="AH209" s="9" t="n"/>
      <c r="AI209" s="9" t="n"/>
      <c r="AJ209" s="8" t="n"/>
      <c r="AK209" s="9" t="n"/>
      <c r="AL209" s="9" t="n"/>
      <c r="AM209" s="9" t="n"/>
      <c r="AN209" s="9" t="n"/>
      <c r="AO209" s="9" t="n"/>
      <c r="AP209" s="9" t="n"/>
      <c r="AQ209" s="9" t="n"/>
      <c r="AR209" s="9" t="n"/>
      <c r="AS209" s="9" t="n"/>
      <c r="AT209" s="8" t="n"/>
      <c r="AU209" s="8" t="n"/>
      <c r="AV209" s="9" t="n"/>
      <c r="AW209" s="8" t="n"/>
      <c r="AX209" s="9" t="n"/>
      <c r="AY209" s="9" t="n"/>
      <c r="AZ209" s="9" t="n"/>
      <c r="BA209" s="9" t="n"/>
      <c r="BB209" s="9" t="n"/>
      <c r="BC209" s="9" t="n"/>
      <c r="BD209" s="9" t="n"/>
      <c r="BE209" s="9" t="n"/>
      <c r="BF209" s="9" t="n"/>
      <c r="BG209" s="9" t="n"/>
      <c r="BH209" s="9" t="n"/>
      <c r="BI209" s="9" t="n"/>
      <c r="BJ209" s="9" t="n"/>
      <c r="BK209" s="9" t="n"/>
      <c r="BL209" s="9" t="n"/>
      <c r="BM209" s="9" t="n"/>
      <c r="BN209" s="9" t="n"/>
      <c r="BO209" s="8" t="n"/>
      <c r="BP209" s="9" t="n"/>
      <c r="BQ209" s="9" t="n"/>
      <c r="BR209" s="12">
        <f>IF(AND(AI209="Y",AK209="Y",AL209="Y",AM209="Y",AY209="Y",AZ209="Y",BA209="Y",BB209="Y",BC209="Y",BE209&lt;&gt;"Y",AX209&lt;&gt;"Y",BL209&lt;&gt;"Y",IF(AS209="Y",AV209="Y",TRUE)),"Y","N")</f>
        <v/>
      </c>
      <c r="BS209" s="12">
        <f>IF(AND(BR209="Y",OR(AND(BJ209="Y",BM209="Y"),AND(BK209="Y",BN209="Y"),AND(BJ209&lt;&gt;"Y",BK209&lt;&gt;"Y",OR(BM209="Y",BN209="Y")))),"Y","N")</f>
        <v/>
      </c>
      <c r="BT209" s="10" t="n"/>
      <c r="BU209" s="13" t="n"/>
      <c r="BV209" s="13" t="n"/>
      <c r="BW209" s="13" t="n"/>
      <c r="BX209" s="13" t="n"/>
      <c r="BY209" s="13" t="n"/>
      <c r="BZ209" s="13" t="n"/>
      <c r="CA209" s="14" t="n"/>
      <c r="CB209" s="13" t="n"/>
      <c r="CC209" s="9" t="n"/>
      <c r="CD209" s="9" t="n"/>
      <c r="CE209" s="9" t="n"/>
      <c r="CF209" s="9" t="n"/>
      <c r="CG209" s="9" t="n"/>
      <c r="CH209" s="9" t="n"/>
    </row>
    <row r="210">
      <c r="A210" s="8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8" t="n"/>
      <c r="L210" s="9" t="n"/>
      <c r="M210" s="8" t="n"/>
      <c r="N210" s="8" t="n"/>
      <c r="O210" s="8" t="n"/>
      <c r="P210" s="8" t="n"/>
      <c r="Q210" s="8" t="n"/>
      <c r="R210" s="9" t="n"/>
      <c r="S210" s="9" t="n"/>
      <c r="T210" s="10" t="n"/>
      <c r="U210" s="10" t="n"/>
      <c r="V210" s="9" t="n"/>
      <c r="W210" s="9" t="n"/>
      <c r="X210" s="9" t="n"/>
      <c r="Y210" s="9" t="n"/>
      <c r="Z210" s="11" t="n"/>
      <c r="AA210" s="11" t="n"/>
      <c r="AB210" s="11" t="n"/>
      <c r="AC210" s="11" t="n"/>
      <c r="AD210" s="11" t="n"/>
      <c r="AE210" s="11" t="n"/>
      <c r="AF210" s="9" t="n"/>
      <c r="AG210" s="9" t="n"/>
      <c r="AH210" s="9" t="n"/>
      <c r="AI210" s="9" t="n"/>
      <c r="AJ210" s="8" t="n"/>
      <c r="AK210" s="9" t="n"/>
      <c r="AL210" s="9" t="n"/>
      <c r="AM210" s="9" t="n"/>
      <c r="AN210" s="9" t="n"/>
      <c r="AO210" s="9" t="n"/>
      <c r="AP210" s="9" t="n"/>
      <c r="AQ210" s="9" t="n"/>
      <c r="AR210" s="9" t="n"/>
      <c r="AS210" s="9" t="n"/>
      <c r="AT210" s="8" t="n"/>
      <c r="AU210" s="8" t="n"/>
      <c r="AV210" s="9" t="n"/>
      <c r="AW210" s="8" t="n"/>
      <c r="AX210" s="9" t="n"/>
      <c r="AY210" s="9" t="n"/>
      <c r="AZ210" s="9" t="n"/>
      <c r="BA210" s="9" t="n"/>
      <c r="BB210" s="9" t="n"/>
      <c r="BC210" s="9" t="n"/>
      <c r="BD210" s="9" t="n"/>
      <c r="BE210" s="9" t="n"/>
      <c r="BF210" s="9" t="n"/>
      <c r="BG210" s="9" t="n"/>
      <c r="BH210" s="9" t="n"/>
      <c r="BI210" s="9" t="n"/>
      <c r="BJ210" s="9" t="n"/>
      <c r="BK210" s="9" t="n"/>
      <c r="BL210" s="9" t="n"/>
      <c r="BM210" s="9" t="n"/>
      <c r="BN210" s="9" t="n"/>
      <c r="BO210" s="8" t="n"/>
      <c r="BP210" s="9" t="n"/>
      <c r="BQ210" s="9" t="n"/>
      <c r="BR210" s="12">
        <f>IF(AND(AI210="Y",AK210="Y",AL210="Y",AM210="Y",AY210="Y",AZ210="Y",BA210="Y",BB210="Y",BC210="Y",BE210&lt;&gt;"Y",AX210&lt;&gt;"Y",BL210&lt;&gt;"Y",IF(AS210="Y",AV210="Y",TRUE)),"Y","N")</f>
        <v/>
      </c>
      <c r="BS210" s="12">
        <f>IF(AND(BR210="Y",OR(AND(BJ210="Y",BM210="Y"),AND(BK210="Y",BN210="Y"),AND(BJ210&lt;&gt;"Y",BK210&lt;&gt;"Y",OR(BM210="Y",BN210="Y")))),"Y","N")</f>
        <v/>
      </c>
      <c r="BT210" s="10" t="n"/>
      <c r="BU210" s="13" t="n"/>
      <c r="BV210" s="13" t="n"/>
      <c r="BW210" s="13" t="n"/>
      <c r="BX210" s="13" t="n"/>
      <c r="BY210" s="13" t="n"/>
      <c r="BZ210" s="13" t="n"/>
      <c r="CA210" s="14" t="n"/>
      <c r="CB210" s="13" t="n"/>
      <c r="CC210" s="9" t="n"/>
      <c r="CD210" s="9" t="n"/>
      <c r="CE210" s="9" t="n"/>
      <c r="CF210" s="9" t="n"/>
      <c r="CG210" s="9" t="n"/>
      <c r="CH210" s="9" t="n"/>
    </row>
    <row r="211">
      <c r="A211" s="8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8" t="n"/>
      <c r="L211" s="9" t="n"/>
      <c r="M211" s="8" t="n"/>
      <c r="N211" s="8" t="n"/>
      <c r="O211" s="8" t="n"/>
      <c r="P211" s="8" t="n"/>
      <c r="Q211" s="8" t="n"/>
      <c r="R211" s="9" t="n"/>
      <c r="S211" s="9" t="n"/>
      <c r="T211" s="10" t="n"/>
      <c r="U211" s="10" t="n"/>
      <c r="V211" s="9" t="n"/>
      <c r="W211" s="9" t="n"/>
      <c r="X211" s="9" t="n"/>
      <c r="Y211" s="9" t="n"/>
      <c r="Z211" s="11" t="n"/>
      <c r="AA211" s="11" t="n"/>
      <c r="AB211" s="11" t="n"/>
      <c r="AC211" s="11" t="n"/>
      <c r="AD211" s="11" t="n"/>
      <c r="AE211" s="11" t="n"/>
      <c r="AF211" s="9" t="n"/>
      <c r="AG211" s="9" t="n"/>
      <c r="AH211" s="9" t="n"/>
      <c r="AI211" s="9" t="n"/>
      <c r="AJ211" s="8" t="n"/>
      <c r="AK211" s="9" t="n"/>
      <c r="AL211" s="9" t="n"/>
      <c r="AM211" s="9" t="n"/>
      <c r="AN211" s="9" t="n"/>
      <c r="AO211" s="9" t="n"/>
      <c r="AP211" s="9" t="n"/>
      <c r="AQ211" s="9" t="n"/>
      <c r="AR211" s="9" t="n"/>
      <c r="AS211" s="9" t="n"/>
      <c r="AT211" s="8" t="n"/>
      <c r="AU211" s="8" t="n"/>
      <c r="AV211" s="9" t="n"/>
      <c r="AW211" s="8" t="n"/>
      <c r="AX211" s="9" t="n"/>
      <c r="AY211" s="9" t="n"/>
      <c r="AZ211" s="9" t="n"/>
      <c r="BA211" s="9" t="n"/>
      <c r="BB211" s="9" t="n"/>
      <c r="BC211" s="9" t="n"/>
      <c r="BD211" s="9" t="n"/>
      <c r="BE211" s="9" t="n"/>
      <c r="BF211" s="9" t="n"/>
      <c r="BG211" s="9" t="n"/>
      <c r="BH211" s="9" t="n"/>
      <c r="BI211" s="9" t="n"/>
      <c r="BJ211" s="9" t="n"/>
      <c r="BK211" s="9" t="n"/>
      <c r="BL211" s="9" t="n"/>
      <c r="BM211" s="9" t="n"/>
      <c r="BN211" s="9" t="n"/>
      <c r="BO211" s="8" t="n"/>
      <c r="BP211" s="9" t="n"/>
      <c r="BQ211" s="9" t="n"/>
      <c r="BR211" s="12">
        <f>IF(AND(AI211="Y",AK211="Y",AL211="Y",AM211="Y",AY211="Y",AZ211="Y",BA211="Y",BB211="Y",BC211="Y",BE211&lt;&gt;"Y",AX211&lt;&gt;"Y",BL211&lt;&gt;"Y",IF(AS211="Y",AV211="Y",TRUE)),"Y","N")</f>
        <v/>
      </c>
      <c r="BS211" s="12">
        <f>IF(AND(BR211="Y",OR(AND(BJ211="Y",BM211="Y"),AND(BK211="Y",BN211="Y"),AND(BJ211&lt;&gt;"Y",BK211&lt;&gt;"Y",OR(BM211="Y",BN211="Y")))),"Y","N")</f>
        <v/>
      </c>
      <c r="BT211" s="10" t="n"/>
      <c r="BU211" s="13" t="n"/>
      <c r="BV211" s="13" t="n"/>
      <c r="BW211" s="13" t="n"/>
      <c r="BX211" s="13" t="n"/>
      <c r="BY211" s="13" t="n"/>
      <c r="BZ211" s="13" t="n"/>
      <c r="CA211" s="14" t="n"/>
      <c r="CB211" s="13" t="n"/>
      <c r="CC211" s="9" t="n"/>
      <c r="CD211" s="9" t="n"/>
      <c r="CE211" s="9" t="n"/>
      <c r="CF211" s="9" t="n"/>
      <c r="CG211" s="9" t="n"/>
      <c r="CH211" s="9" t="n"/>
    </row>
    <row r="212">
      <c r="A212" s="8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8" t="n"/>
      <c r="L212" s="9" t="n"/>
      <c r="M212" s="8" t="n"/>
      <c r="N212" s="8" t="n"/>
      <c r="O212" s="8" t="n"/>
      <c r="P212" s="8" t="n"/>
      <c r="Q212" s="8" t="n"/>
      <c r="R212" s="9" t="n"/>
      <c r="S212" s="9" t="n"/>
      <c r="T212" s="10" t="n"/>
      <c r="U212" s="10" t="n"/>
      <c r="V212" s="9" t="n"/>
      <c r="W212" s="9" t="n"/>
      <c r="X212" s="9" t="n"/>
      <c r="Y212" s="9" t="n"/>
      <c r="Z212" s="11" t="n"/>
      <c r="AA212" s="11" t="n"/>
      <c r="AB212" s="11" t="n"/>
      <c r="AC212" s="11" t="n"/>
      <c r="AD212" s="11" t="n"/>
      <c r="AE212" s="11" t="n"/>
      <c r="AF212" s="9" t="n"/>
      <c r="AG212" s="9" t="n"/>
      <c r="AH212" s="9" t="n"/>
      <c r="AI212" s="9" t="n"/>
      <c r="AJ212" s="8" t="n"/>
      <c r="AK212" s="9" t="n"/>
      <c r="AL212" s="9" t="n"/>
      <c r="AM212" s="9" t="n"/>
      <c r="AN212" s="9" t="n"/>
      <c r="AO212" s="9" t="n"/>
      <c r="AP212" s="9" t="n"/>
      <c r="AQ212" s="9" t="n"/>
      <c r="AR212" s="9" t="n"/>
      <c r="AS212" s="9" t="n"/>
      <c r="AT212" s="8" t="n"/>
      <c r="AU212" s="8" t="n"/>
      <c r="AV212" s="9" t="n"/>
      <c r="AW212" s="8" t="n"/>
      <c r="AX212" s="9" t="n"/>
      <c r="AY212" s="9" t="n"/>
      <c r="AZ212" s="9" t="n"/>
      <c r="BA212" s="9" t="n"/>
      <c r="BB212" s="9" t="n"/>
      <c r="BC212" s="9" t="n"/>
      <c r="BD212" s="9" t="n"/>
      <c r="BE212" s="9" t="n"/>
      <c r="BF212" s="9" t="n"/>
      <c r="BG212" s="9" t="n"/>
      <c r="BH212" s="9" t="n"/>
      <c r="BI212" s="9" t="n"/>
      <c r="BJ212" s="9" t="n"/>
      <c r="BK212" s="9" t="n"/>
      <c r="BL212" s="9" t="n"/>
      <c r="BM212" s="9" t="n"/>
      <c r="BN212" s="9" t="n"/>
      <c r="BO212" s="8" t="n"/>
      <c r="BP212" s="9" t="n"/>
      <c r="BQ212" s="9" t="n"/>
      <c r="BR212" s="12">
        <f>IF(AND(AI212="Y",AK212="Y",AL212="Y",AM212="Y",AY212="Y",AZ212="Y",BA212="Y",BB212="Y",BC212="Y",BE212&lt;&gt;"Y",AX212&lt;&gt;"Y",BL212&lt;&gt;"Y",IF(AS212="Y",AV212="Y",TRUE)),"Y","N")</f>
        <v/>
      </c>
      <c r="BS212" s="12">
        <f>IF(AND(BR212="Y",OR(AND(BJ212="Y",BM212="Y"),AND(BK212="Y",BN212="Y"),AND(BJ212&lt;&gt;"Y",BK212&lt;&gt;"Y",OR(BM212="Y",BN212="Y")))),"Y","N")</f>
        <v/>
      </c>
      <c r="BT212" s="10" t="n"/>
      <c r="BU212" s="13" t="n"/>
      <c r="BV212" s="13" t="n"/>
      <c r="BW212" s="13" t="n"/>
      <c r="BX212" s="13" t="n"/>
      <c r="BY212" s="13" t="n"/>
      <c r="BZ212" s="13" t="n"/>
      <c r="CA212" s="14" t="n"/>
      <c r="CB212" s="13" t="n"/>
      <c r="CC212" s="9" t="n"/>
      <c r="CD212" s="9" t="n"/>
      <c r="CE212" s="9" t="n"/>
      <c r="CF212" s="9" t="n"/>
      <c r="CG212" s="9" t="n"/>
      <c r="CH212" s="9" t="n"/>
    </row>
    <row r="213">
      <c r="A213" s="8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8" t="n"/>
      <c r="L213" s="9" t="n"/>
      <c r="M213" s="8" t="n"/>
      <c r="N213" s="8" t="n"/>
      <c r="O213" s="8" t="n"/>
      <c r="P213" s="8" t="n"/>
      <c r="Q213" s="8" t="n"/>
      <c r="R213" s="9" t="n"/>
      <c r="S213" s="9" t="n"/>
      <c r="T213" s="10" t="n"/>
      <c r="U213" s="10" t="n"/>
      <c r="V213" s="9" t="n"/>
      <c r="W213" s="9" t="n"/>
      <c r="X213" s="9" t="n"/>
      <c r="Y213" s="9" t="n"/>
      <c r="Z213" s="11" t="n"/>
      <c r="AA213" s="11" t="n"/>
      <c r="AB213" s="11" t="n"/>
      <c r="AC213" s="11" t="n"/>
      <c r="AD213" s="11" t="n"/>
      <c r="AE213" s="11" t="n"/>
      <c r="AF213" s="9" t="n"/>
      <c r="AG213" s="9" t="n"/>
      <c r="AH213" s="9" t="n"/>
      <c r="AI213" s="9" t="n"/>
      <c r="AJ213" s="8" t="n"/>
      <c r="AK213" s="9" t="n"/>
      <c r="AL213" s="9" t="n"/>
      <c r="AM213" s="9" t="n"/>
      <c r="AN213" s="9" t="n"/>
      <c r="AO213" s="9" t="n"/>
      <c r="AP213" s="9" t="n"/>
      <c r="AQ213" s="9" t="n"/>
      <c r="AR213" s="9" t="n"/>
      <c r="AS213" s="9" t="n"/>
      <c r="AT213" s="8" t="n"/>
      <c r="AU213" s="8" t="n"/>
      <c r="AV213" s="9" t="n"/>
      <c r="AW213" s="8" t="n"/>
      <c r="AX213" s="9" t="n"/>
      <c r="AY213" s="9" t="n"/>
      <c r="AZ213" s="9" t="n"/>
      <c r="BA213" s="9" t="n"/>
      <c r="BB213" s="9" t="n"/>
      <c r="BC213" s="9" t="n"/>
      <c r="BD213" s="9" t="n"/>
      <c r="BE213" s="9" t="n"/>
      <c r="BF213" s="9" t="n"/>
      <c r="BG213" s="9" t="n"/>
      <c r="BH213" s="9" t="n"/>
      <c r="BI213" s="9" t="n"/>
      <c r="BJ213" s="9" t="n"/>
      <c r="BK213" s="9" t="n"/>
      <c r="BL213" s="9" t="n"/>
      <c r="BM213" s="9" t="n"/>
      <c r="BN213" s="9" t="n"/>
      <c r="BO213" s="8" t="n"/>
      <c r="BP213" s="9" t="n"/>
      <c r="BQ213" s="9" t="n"/>
      <c r="BR213" s="12">
        <f>IF(AND(AI213="Y",AK213="Y",AL213="Y",AM213="Y",AY213="Y",AZ213="Y",BA213="Y",BB213="Y",BC213="Y",BE213&lt;&gt;"Y",AX213&lt;&gt;"Y",BL213&lt;&gt;"Y",IF(AS213="Y",AV213="Y",TRUE)),"Y","N")</f>
        <v/>
      </c>
      <c r="BS213" s="12">
        <f>IF(AND(BR213="Y",OR(AND(BJ213="Y",BM213="Y"),AND(BK213="Y",BN213="Y"),AND(BJ213&lt;&gt;"Y",BK213&lt;&gt;"Y",OR(BM213="Y",BN213="Y")))),"Y","N")</f>
        <v/>
      </c>
      <c r="BT213" s="10" t="n"/>
      <c r="BU213" s="13" t="n"/>
      <c r="BV213" s="13" t="n"/>
      <c r="BW213" s="13" t="n"/>
      <c r="BX213" s="13" t="n"/>
      <c r="BY213" s="13" t="n"/>
      <c r="BZ213" s="13" t="n"/>
      <c r="CA213" s="14" t="n"/>
      <c r="CB213" s="13" t="n"/>
      <c r="CC213" s="9" t="n"/>
      <c r="CD213" s="9" t="n"/>
      <c r="CE213" s="9" t="n"/>
      <c r="CF213" s="9" t="n"/>
      <c r="CG213" s="9" t="n"/>
      <c r="CH213" s="9" t="n"/>
    </row>
    <row r="214">
      <c r="A214" s="8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8" t="n"/>
      <c r="L214" s="9" t="n"/>
      <c r="M214" s="8" t="n"/>
      <c r="N214" s="8" t="n"/>
      <c r="O214" s="8" t="n"/>
      <c r="P214" s="8" t="n"/>
      <c r="Q214" s="8" t="n"/>
      <c r="R214" s="9" t="n"/>
      <c r="S214" s="9" t="n"/>
      <c r="T214" s="10" t="n"/>
      <c r="U214" s="10" t="n"/>
      <c r="V214" s="9" t="n"/>
      <c r="W214" s="9" t="n"/>
      <c r="X214" s="9" t="n"/>
      <c r="Y214" s="9" t="n"/>
      <c r="Z214" s="11" t="n"/>
      <c r="AA214" s="11" t="n"/>
      <c r="AB214" s="11" t="n"/>
      <c r="AC214" s="11" t="n"/>
      <c r="AD214" s="11" t="n"/>
      <c r="AE214" s="11" t="n"/>
      <c r="AF214" s="9" t="n"/>
      <c r="AG214" s="9" t="n"/>
      <c r="AH214" s="9" t="n"/>
      <c r="AI214" s="9" t="n"/>
      <c r="AJ214" s="8" t="n"/>
      <c r="AK214" s="9" t="n"/>
      <c r="AL214" s="9" t="n"/>
      <c r="AM214" s="9" t="n"/>
      <c r="AN214" s="9" t="n"/>
      <c r="AO214" s="9" t="n"/>
      <c r="AP214" s="9" t="n"/>
      <c r="AQ214" s="9" t="n"/>
      <c r="AR214" s="9" t="n"/>
      <c r="AS214" s="9" t="n"/>
      <c r="AT214" s="8" t="n"/>
      <c r="AU214" s="8" t="n"/>
      <c r="AV214" s="9" t="n"/>
      <c r="AW214" s="8" t="n"/>
      <c r="AX214" s="9" t="n"/>
      <c r="AY214" s="9" t="n"/>
      <c r="AZ214" s="9" t="n"/>
      <c r="BA214" s="9" t="n"/>
      <c r="BB214" s="9" t="n"/>
      <c r="BC214" s="9" t="n"/>
      <c r="BD214" s="9" t="n"/>
      <c r="BE214" s="9" t="n"/>
      <c r="BF214" s="9" t="n"/>
      <c r="BG214" s="9" t="n"/>
      <c r="BH214" s="9" t="n"/>
      <c r="BI214" s="9" t="n"/>
      <c r="BJ214" s="9" t="n"/>
      <c r="BK214" s="9" t="n"/>
      <c r="BL214" s="9" t="n"/>
      <c r="BM214" s="9" t="n"/>
      <c r="BN214" s="9" t="n"/>
      <c r="BO214" s="8" t="n"/>
      <c r="BP214" s="9" t="n"/>
      <c r="BQ214" s="9" t="n"/>
      <c r="BR214" s="12">
        <f>IF(AND(AI214="Y",AK214="Y",AL214="Y",AM214="Y",AY214="Y",AZ214="Y",BA214="Y",BB214="Y",BC214="Y",BE214&lt;&gt;"Y",AX214&lt;&gt;"Y",BL214&lt;&gt;"Y",IF(AS214="Y",AV214="Y",TRUE)),"Y","N")</f>
        <v/>
      </c>
      <c r="BS214" s="12">
        <f>IF(AND(BR214="Y",OR(AND(BJ214="Y",BM214="Y"),AND(BK214="Y",BN214="Y"),AND(BJ214&lt;&gt;"Y",BK214&lt;&gt;"Y",OR(BM214="Y",BN214="Y")))),"Y","N")</f>
        <v/>
      </c>
      <c r="BT214" s="10" t="n"/>
      <c r="BU214" s="13" t="n"/>
      <c r="BV214" s="13" t="n"/>
      <c r="BW214" s="13" t="n"/>
      <c r="BX214" s="13" t="n"/>
      <c r="BY214" s="13" t="n"/>
      <c r="BZ214" s="13" t="n"/>
      <c r="CA214" s="14" t="n"/>
      <c r="CB214" s="13" t="n"/>
      <c r="CC214" s="9" t="n"/>
      <c r="CD214" s="9" t="n"/>
      <c r="CE214" s="9" t="n"/>
      <c r="CF214" s="9" t="n"/>
      <c r="CG214" s="9" t="n"/>
      <c r="CH214" s="9" t="n"/>
    </row>
    <row r="215">
      <c r="A215" s="8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8" t="n"/>
      <c r="L215" s="9" t="n"/>
      <c r="M215" s="8" t="n"/>
      <c r="N215" s="8" t="n"/>
      <c r="O215" s="8" t="n"/>
      <c r="P215" s="8" t="n"/>
      <c r="Q215" s="8" t="n"/>
      <c r="R215" s="9" t="n"/>
      <c r="S215" s="9" t="n"/>
      <c r="T215" s="10" t="n"/>
      <c r="U215" s="10" t="n"/>
      <c r="V215" s="9" t="n"/>
      <c r="W215" s="9" t="n"/>
      <c r="X215" s="9" t="n"/>
      <c r="Y215" s="9" t="n"/>
      <c r="Z215" s="11" t="n"/>
      <c r="AA215" s="11" t="n"/>
      <c r="AB215" s="11" t="n"/>
      <c r="AC215" s="11" t="n"/>
      <c r="AD215" s="11" t="n"/>
      <c r="AE215" s="11" t="n"/>
      <c r="AF215" s="9" t="n"/>
      <c r="AG215" s="9" t="n"/>
      <c r="AH215" s="9" t="n"/>
      <c r="AI215" s="9" t="n"/>
      <c r="AJ215" s="8" t="n"/>
      <c r="AK215" s="9" t="n"/>
      <c r="AL215" s="9" t="n"/>
      <c r="AM215" s="9" t="n"/>
      <c r="AN215" s="9" t="n"/>
      <c r="AO215" s="9" t="n"/>
      <c r="AP215" s="9" t="n"/>
      <c r="AQ215" s="9" t="n"/>
      <c r="AR215" s="9" t="n"/>
      <c r="AS215" s="9" t="n"/>
      <c r="AT215" s="8" t="n"/>
      <c r="AU215" s="8" t="n"/>
      <c r="AV215" s="9" t="n"/>
      <c r="AW215" s="8" t="n"/>
      <c r="AX215" s="9" t="n"/>
      <c r="AY215" s="9" t="n"/>
      <c r="AZ215" s="9" t="n"/>
      <c r="BA215" s="9" t="n"/>
      <c r="BB215" s="9" t="n"/>
      <c r="BC215" s="9" t="n"/>
      <c r="BD215" s="9" t="n"/>
      <c r="BE215" s="9" t="n"/>
      <c r="BF215" s="9" t="n"/>
      <c r="BG215" s="9" t="n"/>
      <c r="BH215" s="9" t="n"/>
      <c r="BI215" s="9" t="n"/>
      <c r="BJ215" s="9" t="n"/>
      <c r="BK215" s="9" t="n"/>
      <c r="BL215" s="9" t="n"/>
      <c r="BM215" s="9" t="n"/>
      <c r="BN215" s="9" t="n"/>
      <c r="BO215" s="8" t="n"/>
      <c r="BP215" s="9" t="n"/>
      <c r="BQ215" s="9" t="n"/>
      <c r="BR215" s="12">
        <f>IF(AND(AI215="Y",AK215="Y",AL215="Y",AM215="Y",AY215="Y",AZ215="Y",BA215="Y",BB215="Y",BC215="Y",BE215&lt;&gt;"Y",AX215&lt;&gt;"Y",BL215&lt;&gt;"Y",IF(AS215="Y",AV215="Y",TRUE)),"Y","N")</f>
        <v/>
      </c>
      <c r="BS215" s="12">
        <f>IF(AND(BR215="Y",OR(AND(BJ215="Y",BM215="Y"),AND(BK215="Y",BN215="Y"),AND(BJ215&lt;&gt;"Y",BK215&lt;&gt;"Y",OR(BM215="Y",BN215="Y")))),"Y","N")</f>
        <v/>
      </c>
      <c r="BT215" s="10" t="n"/>
      <c r="BU215" s="13" t="n"/>
      <c r="BV215" s="13" t="n"/>
      <c r="BW215" s="13" t="n"/>
      <c r="BX215" s="13" t="n"/>
      <c r="BY215" s="13" t="n"/>
      <c r="BZ215" s="13" t="n"/>
      <c r="CA215" s="14" t="n"/>
      <c r="CB215" s="13" t="n"/>
      <c r="CC215" s="9" t="n"/>
      <c r="CD215" s="9" t="n"/>
      <c r="CE215" s="9" t="n"/>
      <c r="CF215" s="9" t="n"/>
      <c r="CG215" s="9" t="n"/>
      <c r="CH215" s="9" t="n"/>
    </row>
    <row r="216">
      <c r="A216" s="8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8" t="n"/>
      <c r="L216" s="9" t="n"/>
      <c r="M216" s="8" t="n"/>
      <c r="N216" s="8" t="n"/>
      <c r="O216" s="8" t="n"/>
      <c r="P216" s="8" t="n"/>
      <c r="Q216" s="8" t="n"/>
      <c r="R216" s="9" t="n"/>
      <c r="S216" s="9" t="n"/>
      <c r="T216" s="10" t="n"/>
      <c r="U216" s="10" t="n"/>
      <c r="V216" s="9" t="n"/>
      <c r="W216" s="9" t="n"/>
      <c r="X216" s="9" t="n"/>
      <c r="Y216" s="9" t="n"/>
      <c r="Z216" s="11" t="n"/>
      <c r="AA216" s="11" t="n"/>
      <c r="AB216" s="11" t="n"/>
      <c r="AC216" s="11" t="n"/>
      <c r="AD216" s="11" t="n"/>
      <c r="AE216" s="11" t="n"/>
      <c r="AF216" s="9" t="n"/>
      <c r="AG216" s="9" t="n"/>
      <c r="AH216" s="9" t="n"/>
      <c r="AI216" s="9" t="n"/>
      <c r="AJ216" s="8" t="n"/>
      <c r="AK216" s="9" t="n"/>
      <c r="AL216" s="9" t="n"/>
      <c r="AM216" s="9" t="n"/>
      <c r="AN216" s="9" t="n"/>
      <c r="AO216" s="9" t="n"/>
      <c r="AP216" s="9" t="n"/>
      <c r="AQ216" s="9" t="n"/>
      <c r="AR216" s="9" t="n"/>
      <c r="AS216" s="9" t="n"/>
      <c r="AT216" s="8" t="n"/>
      <c r="AU216" s="8" t="n"/>
      <c r="AV216" s="9" t="n"/>
      <c r="AW216" s="8" t="n"/>
      <c r="AX216" s="9" t="n"/>
      <c r="AY216" s="9" t="n"/>
      <c r="AZ216" s="9" t="n"/>
      <c r="BA216" s="9" t="n"/>
      <c r="BB216" s="9" t="n"/>
      <c r="BC216" s="9" t="n"/>
      <c r="BD216" s="9" t="n"/>
      <c r="BE216" s="9" t="n"/>
      <c r="BF216" s="9" t="n"/>
      <c r="BG216" s="9" t="n"/>
      <c r="BH216" s="9" t="n"/>
      <c r="BI216" s="9" t="n"/>
      <c r="BJ216" s="9" t="n"/>
      <c r="BK216" s="9" t="n"/>
      <c r="BL216" s="9" t="n"/>
      <c r="BM216" s="9" t="n"/>
      <c r="BN216" s="9" t="n"/>
      <c r="BO216" s="8" t="n"/>
      <c r="BP216" s="9" t="n"/>
      <c r="BQ216" s="9" t="n"/>
      <c r="BR216" s="12">
        <f>IF(AND(AI216="Y",AK216="Y",AL216="Y",AM216="Y",AY216="Y",AZ216="Y",BA216="Y",BB216="Y",BC216="Y",BE216&lt;&gt;"Y",AX216&lt;&gt;"Y",BL216&lt;&gt;"Y",IF(AS216="Y",AV216="Y",TRUE)),"Y","N")</f>
        <v/>
      </c>
      <c r="BS216" s="12">
        <f>IF(AND(BR216="Y",OR(AND(BJ216="Y",BM216="Y"),AND(BK216="Y",BN216="Y"),AND(BJ216&lt;&gt;"Y",BK216&lt;&gt;"Y",OR(BM216="Y",BN216="Y")))),"Y","N")</f>
        <v/>
      </c>
      <c r="BT216" s="10" t="n"/>
      <c r="BU216" s="13" t="n"/>
      <c r="BV216" s="13" t="n"/>
      <c r="BW216" s="13" t="n"/>
      <c r="BX216" s="13" t="n"/>
      <c r="BY216" s="13" t="n"/>
      <c r="BZ216" s="13" t="n"/>
      <c r="CA216" s="14" t="n"/>
      <c r="CB216" s="13" t="n"/>
      <c r="CC216" s="9" t="n"/>
      <c r="CD216" s="9" t="n"/>
      <c r="CE216" s="9" t="n"/>
      <c r="CF216" s="9" t="n"/>
      <c r="CG216" s="9" t="n"/>
      <c r="CH216" s="9" t="n"/>
    </row>
    <row r="217">
      <c r="A217" s="8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8" t="n"/>
      <c r="L217" s="9" t="n"/>
      <c r="M217" s="8" t="n"/>
      <c r="N217" s="8" t="n"/>
      <c r="O217" s="8" t="n"/>
      <c r="P217" s="8" t="n"/>
      <c r="Q217" s="8" t="n"/>
      <c r="R217" s="9" t="n"/>
      <c r="S217" s="9" t="n"/>
      <c r="T217" s="10" t="n"/>
      <c r="U217" s="10" t="n"/>
      <c r="V217" s="9" t="n"/>
      <c r="W217" s="9" t="n"/>
      <c r="X217" s="9" t="n"/>
      <c r="Y217" s="9" t="n"/>
      <c r="Z217" s="11" t="n"/>
      <c r="AA217" s="11" t="n"/>
      <c r="AB217" s="11" t="n"/>
      <c r="AC217" s="11" t="n"/>
      <c r="AD217" s="11" t="n"/>
      <c r="AE217" s="11" t="n"/>
      <c r="AF217" s="9" t="n"/>
      <c r="AG217" s="9" t="n"/>
      <c r="AH217" s="9" t="n"/>
      <c r="AI217" s="9" t="n"/>
      <c r="AJ217" s="8" t="n"/>
      <c r="AK217" s="9" t="n"/>
      <c r="AL217" s="9" t="n"/>
      <c r="AM217" s="9" t="n"/>
      <c r="AN217" s="9" t="n"/>
      <c r="AO217" s="9" t="n"/>
      <c r="AP217" s="9" t="n"/>
      <c r="AQ217" s="9" t="n"/>
      <c r="AR217" s="9" t="n"/>
      <c r="AS217" s="9" t="n"/>
      <c r="AT217" s="8" t="n"/>
      <c r="AU217" s="8" t="n"/>
      <c r="AV217" s="9" t="n"/>
      <c r="AW217" s="8" t="n"/>
      <c r="AX217" s="9" t="n"/>
      <c r="AY217" s="9" t="n"/>
      <c r="AZ217" s="9" t="n"/>
      <c r="BA217" s="9" t="n"/>
      <c r="BB217" s="9" t="n"/>
      <c r="BC217" s="9" t="n"/>
      <c r="BD217" s="9" t="n"/>
      <c r="BE217" s="9" t="n"/>
      <c r="BF217" s="9" t="n"/>
      <c r="BG217" s="9" t="n"/>
      <c r="BH217" s="9" t="n"/>
      <c r="BI217" s="9" t="n"/>
      <c r="BJ217" s="9" t="n"/>
      <c r="BK217" s="9" t="n"/>
      <c r="BL217" s="9" t="n"/>
      <c r="BM217" s="9" t="n"/>
      <c r="BN217" s="9" t="n"/>
      <c r="BO217" s="8" t="n"/>
      <c r="BP217" s="9" t="n"/>
      <c r="BQ217" s="9" t="n"/>
      <c r="BR217" s="12">
        <f>IF(AND(AI217="Y",AK217="Y",AL217="Y",AM217="Y",AY217="Y",AZ217="Y",BA217="Y",BB217="Y",BC217="Y",BE217&lt;&gt;"Y",AX217&lt;&gt;"Y",BL217&lt;&gt;"Y",IF(AS217="Y",AV217="Y",TRUE)),"Y","N")</f>
        <v/>
      </c>
      <c r="BS217" s="12">
        <f>IF(AND(BR217="Y",OR(AND(BJ217="Y",BM217="Y"),AND(BK217="Y",BN217="Y"),AND(BJ217&lt;&gt;"Y",BK217&lt;&gt;"Y",OR(BM217="Y",BN217="Y")))),"Y","N")</f>
        <v/>
      </c>
      <c r="BT217" s="10" t="n"/>
      <c r="BU217" s="13" t="n"/>
      <c r="BV217" s="13" t="n"/>
      <c r="BW217" s="13" t="n"/>
      <c r="BX217" s="13" t="n"/>
      <c r="BY217" s="13" t="n"/>
      <c r="BZ217" s="13" t="n"/>
      <c r="CA217" s="14" t="n"/>
      <c r="CB217" s="13" t="n"/>
      <c r="CC217" s="9" t="n"/>
      <c r="CD217" s="9" t="n"/>
      <c r="CE217" s="9" t="n"/>
      <c r="CF217" s="9" t="n"/>
      <c r="CG217" s="9" t="n"/>
      <c r="CH217" s="9" t="n"/>
    </row>
    <row r="218">
      <c r="A218" s="8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8" t="n"/>
      <c r="L218" s="9" t="n"/>
      <c r="M218" s="8" t="n"/>
      <c r="N218" s="8" t="n"/>
      <c r="O218" s="8" t="n"/>
      <c r="P218" s="8" t="n"/>
      <c r="Q218" s="8" t="n"/>
      <c r="R218" s="9" t="n"/>
      <c r="S218" s="9" t="n"/>
      <c r="T218" s="10" t="n"/>
      <c r="U218" s="10" t="n"/>
      <c r="V218" s="9" t="n"/>
      <c r="W218" s="9" t="n"/>
      <c r="X218" s="9" t="n"/>
      <c r="Y218" s="9" t="n"/>
      <c r="Z218" s="11" t="n"/>
      <c r="AA218" s="11" t="n"/>
      <c r="AB218" s="11" t="n"/>
      <c r="AC218" s="11" t="n"/>
      <c r="AD218" s="11" t="n"/>
      <c r="AE218" s="11" t="n"/>
      <c r="AF218" s="9" t="n"/>
      <c r="AG218" s="9" t="n"/>
      <c r="AH218" s="9" t="n"/>
      <c r="AI218" s="9" t="n"/>
      <c r="AJ218" s="8" t="n"/>
      <c r="AK218" s="9" t="n"/>
      <c r="AL218" s="9" t="n"/>
      <c r="AM218" s="9" t="n"/>
      <c r="AN218" s="9" t="n"/>
      <c r="AO218" s="9" t="n"/>
      <c r="AP218" s="9" t="n"/>
      <c r="AQ218" s="9" t="n"/>
      <c r="AR218" s="9" t="n"/>
      <c r="AS218" s="9" t="n"/>
      <c r="AT218" s="8" t="n"/>
      <c r="AU218" s="8" t="n"/>
      <c r="AV218" s="9" t="n"/>
      <c r="AW218" s="8" t="n"/>
      <c r="AX218" s="9" t="n"/>
      <c r="AY218" s="9" t="n"/>
      <c r="AZ218" s="9" t="n"/>
      <c r="BA218" s="9" t="n"/>
      <c r="BB218" s="9" t="n"/>
      <c r="BC218" s="9" t="n"/>
      <c r="BD218" s="9" t="n"/>
      <c r="BE218" s="9" t="n"/>
      <c r="BF218" s="9" t="n"/>
      <c r="BG218" s="9" t="n"/>
      <c r="BH218" s="9" t="n"/>
      <c r="BI218" s="9" t="n"/>
      <c r="BJ218" s="9" t="n"/>
      <c r="BK218" s="9" t="n"/>
      <c r="BL218" s="9" t="n"/>
      <c r="BM218" s="9" t="n"/>
      <c r="BN218" s="9" t="n"/>
      <c r="BO218" s="8" t="n"/>
      <c r="BP218" s="9" t="n"/>
      <c r="BQ218" s="9" t="n"/>
      <c r="BR218" s="12">
        <f>IF(AND(AI218="Y",AK218="Y",AL218="Y",AM218="Y",AY218="Y",AZ218="Y",BA218="Y",BB218="Y",BC218="Y",BE218&lt;&gt;"Y",AX218&lt;&gt;"Y",BL218&lt;&gt;"Y",IF(AS218="Y",AV218="Y",TRUE)),"Y","N")</f>
        <v/>
      </c>
      <c r="BS218" s="12">
        <f>IF(AND(BR218="Y",OR(AND(BJ218="Y",BM218="Y"),AND(BK218="Y",BN218="Y"),AND(BJ218&lt;&gt;"Y",BK218&lt;&gt;"Y",OR(BM218="Y",BN218="Y")))),"Y","N")</f>
        <v/>
      </c>
      <c r="BT218" s="10" t="n"/>
      <c r="BU218" s="13" t="n"/>
      <c r="BV218" s="13" t="n"/>
      <c r="BW218" s="13" t="n"/>
      <c r="BX218" s="13" t="n"/>
      <c r="BY218" s="13" t="n"/>
      <c r="BZ218" s="13" t="n"/>
      <c r="CA218" s="14" t="n"/>
      <c r="CB218" s="13" t="n"/>
      <c r="CC218" s="9" t="n"/>
      <c r="CD218" s="9" t="n"/>
      <c r="CE218" s="9" t="n"/>
      <c r="CF218" s="9" t="n"/>
      <c r="CG218" s="9" t="n"/>
      <c r="CH218" s="9" t="n"/>
    </row>
    <row r="219">
      <c r="A219" s="8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8" t="n"/>
      <c r="L219" s="9" t="n"/>
      <c r="M219" s="8" t="n"/>
      <c r="N219" s="8" t="n"/>
      <c r="O219" s="8" t="n"/>
      <c r="P219" s="8" t="n"/>
      <c r="Q219" s="8" t="n"/>
      <c r="R219" s="9" t="n"/>
      <c r="S219" s="9" t="n"/>
      <c r="T219" s="10" t="n"/>
      <c r="U219" s="10" t="n"/>
      <c r="V219" s="9" t="n"/>
      <c r="W219" s="9" t="n"/>
      <c r="X219" s="9" t="n"/>
      <c r="Y219" s="9" t="n"/>
      <c r="Z219" s="11" t="n"/>
      <c r="AA219" s="11" t="n"/>
      <c r="AB219" s="11" t="n"/>
      <c r="AC219" s="11" t="n"/>
      <c r="AD219" s="11" t="n"/>
      <c r="AE219" s="11" t="n"/>
      <c r="AF219" s="9" t="n"/>
      <c r="AG219" s="9" t="n"/>
      <c r="AH219" s="9" t="n"/>
      <c r="AI219" s="9" t="n"/>
      <c r="AJ219" s="8" t="n"/>
      <c r="AK219" s="9" t="n"/>
      <c r="AL219" s="9" t="n"/>
      <c r="AM219" s="9" t="n"/>
      <c r="AN219" s="9" t="n"/>
      <c r="AO219" s="9" t="n"/>
      <c r="AP219" s="9" t="n"/>
      <c r="AQ219" s="9" t="n"/>
      <c r="AR219" s="9" t="n"/>
      <c r="AS219" s="9" t="n"/>
      <c r="AT219" s="8" t="n"/>
      <c r="AU219" s="8" t="n"/>
      <c r="AV219" s="9" t="n"/>
      <c r="AW219" s="8" t="n"/>
      <c r="AX219" s="9" t="n"/>
      <c r="AY219" s="9" t="n"/>
      <c r="AZ219" s="9" t="n"/>
      <c r="BA219" s="9" t="n"/>
      <c r="BB219" s="9" t="n"/>
      <c r="BC219" s="9" t="n"/>
      <c r="BD219" s="9" t="n"/>
      <c r="BE219" s="9" t="n"/>
      <c r="BF219" s="9" t="n"/>
      <c r="BG219" s="9" t="n"/>
      <c r="BH219" s="9" t="n"/>
      <c r="BI219" s="9" t="n"/>
      <c r="BJ219" s="9" t="n"/>
      <c r="BK219" s="9" t="n"/>
      <c r="BL219" s="9" t="n"/>
      <c r="BM219" s="9" t="n"/>
      <c r="BN219" s="9" t="n"/>
      <c r="BO219" s="8" t="n"/>
      <c r="BP219" s="9" t="n"/>
      <c r="BQ219" s="9" t="n"/>
      <c r="BR219" s="12">
        <f>IF(AND(AI219="Y",AK219="Y",AL219="Y",AM219="Y",AY219="Y",AZ219="Y",BA219="Y",BB219="Y",BC219="Y",BE219&lt;&gt;"Y",AX219&lt;&gt;"Y",BL219&lt;&gt;"Y",IF(AS219="Y",AV219="Y",TRUE)),"Y","N")</f>
        <v/>
      </c>
      <c r="BS219" s="12">
        <f>IF(AND(BR219="Y",OR(AND(BJ219="Y",BM219="Y"),AND(BK219="Y",BN219="Y"),AND(BJ219&lt;&gt;"Y",BK219&lt;&gt;"Y",OR(BM219="Y",BN219="Y")))),"Y","N")</f>
        <v/>
      </c>
      <c r="BT219" s="10" t="n"/>
      <c r="BU219" s="13" t="n"/>
      <c r="BV219" s="13" t="n"/>
      <c r="BW219" s="13" t="n"/>
      <c r="BX219" s="13" t="n"/>
      <c r="BY219" s="13" t="n"/>
      <c r="BZ219" s="13" t="n"/>
      <c r="CA219" s="14" t="n"/>
      <c r="CB219" s="13" t="n"/>
      <c r="CC219" s="9" t="n"/>
      <c r="CD219" s="9" t="n"/>
      <c r="CE219" s="9" t="n"/>
      <c r="CF219" s="9" t="n"/>
      <c r="CG219" s="9" t="n"/>
      <c r="CH219" s="9" t="n"/>
    </row>
    <row r="220">
      <c r="A220" s="8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8" t="n"/>
      <c r="L220" s="9" t="n"/>
      <c r="M220" s="8" t="n"/>
      <c r="N220" s="8" t="n"/>
      <c r="O220" s="8" t="n"/>
      <c r="P220" s="8" t="n"/>
      <c r="Q220" s="8" t="n"/>
      <c r="R220" s="9" t="n"/>
      <c r="S220" s="9" t="n"/>
      <c r="T220" s="10" t="n"/>
      <c r="U220" s="10" t="n"/>
      <c r="V220" s="9" t="n"/>
      <c r="W220" s="9" t="n"/>
      <c r="X220" s="9" t="n"/>
      <c r="Y220" s="9" t="n"/>
      <c r="Z220" s="11" t="n"/>
      <c r="AA220" s="11" t="n"/>
      <c r="AB220" s="11" t="n"/>
      <c r="AC220" s="11" t="n"/>
      <c r="AD220" s="11" t="n"/>
      <c r="AE220" s="11" t="n"/>
      <c r="AF220" s="9" t="n"/>
      <c r="AG220" s="9" t="n"/>
      <c r="AH220" s="9" t="n"/>
      <c r="AI220" s="9" t="n"/>
      <c r="AJ220" s="8" t="n"/>
      <c r="AK220" s="9" t="n"/>
      <c r="AL220" s="9" t="n"/>
      <c r="AM220" s="9" t="n"/>
      <c r="AN220" s="9" t="n"/>
      <c r="AO220" s="9" t="n"/>
      <c r="AP220" s="9" t="n"/>
      <c r="AQ220" s="9" t="n"/>
      <c r="AR220" s="9" t="n"/>
      <c r="AS220" s="9" t="n"/>
      <c r="AT220" s="8" t="n"/>
      <c r="AU220" s="8" t="n"/>
      <c r="AV220" s="9" t="n"/>
      <c r="AW220" s="8" t="n"/>
      <c r="AX220" s="9" t="n"/>
      <c r="AY220" s="9" t="n"/>
      <c r="AZ220" s="9" t="n"/>
      <c r="BA220" s="9" t="n"/>
      <c r="BB220" s="9" t="n"/>
      <c r="BC220" s="9" t="n"/>
      <c r="BD220" s="9" t="n"/>
      <c r="BE220" s="9" t="n"/>
      <c r="BF220" s="9" t="n"/>
      <c r="BG220" s="9" t="n"/>
      <c r="BH220" s="9" t="n"/>
      <c r="BI220" s="9" t="n"/>
      <c r="BJ220" s="9" t="n"/>
      <c r="BK220" s="9" t="n"/>
      <c r="BL220" s="9" t="n"/>
      <c r="BM220" s="9" t="n"/>
      <c r="BN220" s="9" t="n"/>
      <c r="BO220" s="8" t="n"/>
      <c r="BP220" s="9" t="n"/>
      <c r="BQ220" s="9" t="n"/>
      <c r="BR220" s="12">
        <f>IF(AND(AI220="Y",AK220="Y",AL220="Y",AM220="Y",AY220="Y",AZ220="Y",BA220="Y",BB220="Y",BC220="Y",BE220&lt;&gt;"Y",AX220&lt;&gt;"Y",BL220&lt;&gt;"Y",IF(AS220="Y",AV220="Y",TRUE)),"Y","N")</f>
        <v/>
      </c>
      <c r="BS220" s="12">
        <f>IF(AND(BR220="Y",OR(AND(BJ220="Y",BM220="Y"),AND(BK220="Y",BN220="Y"),AND(BJ220&lt;&gt;"Y",BK220&lt;&gt;"Y",OR(BM220="Y",BN220="Y")))),"Y","N")</f>
        <v/>
      </c>
      <c r="BT220" s="10" t="n"/>
      <c r="BU220" s="13" t="n"/>
      <c r="BV220" s="13" t="n"/>
      <c r="BW220" s="13" t="n"/>
      <c r="BX220" s="13" t="n"/>
      <c r="BY220" s="13" t="n"/>
      <c r="BZ220" s="13" t="n"/>
      <c r="CA220" s="14" t="n"/>
      <c r="CB220" s="13" t="n"/>
      <c r="CC220" s="9" t="n"/>
      <c r="CD220" s="9" t="n"/>
      <c r="CE220" s="9" t="n"/>
      <c r="CF220" s="9" t="n"/>
      <c r="CG220" s="9" t="n"/>
      <c r="CH220" s="9" t="n"/>
    </row>
    <row r="221">
      <c r="A221" s="8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8" t="n"/>
      <c r="L221" s="9" t="n"/>
      <c r="M221" s="8" t="n"/>
      <c r="N221" s="8" t="n"/>
      <c r="O221" s="8" t="n"/>
      <c r="P221" s="8" t="n"/>
      <c r="Q221" s="8" t="n"/>
      <c r="R221" s="9" t="n"/>
      <c r="S221" s="9" t="n"/>
      <c r="T221" s="10" t="n"/>
      <c r="U221" s="10" t="n"/>
      <c r="V221" s="9" t="n"/>
      <c r="W221" s="9" t="n"/>
      <c r="X221" s="9" t="n"/>
      <c r="Y221" s="9" t="n"/>
      <c r="Z221" s="11" t="n"/>
      <c r="AA221" s="11" t="n"/>
      <c r="AB221" s="11" t="n"/>
      <c r="AC221" s="11" t="n"/>
      <c r="AD221" s="11" t="n"/>
      <c r="AE221" s="11" t="n"/>
      <c r="AF221" s="9" t="n"/>
      <c r="AG221" s="9" t="n"/>
      <c r="AH221" s="9" t="n"/>
      <c r="AI221" s="9" t="n"/>
      <c r="AJ221" s="8" t="n"/>
      <c r="AK221" s="9" t="n"/>
      <c r="AL221" s="9" t="n"/>
      <c r="AM221" s="9" t="n"/>
      <c r="AN221" s="9" t="n"/>
      <c r="AO221" s="9" t="n"/>
      <c r="AP221" s="9" t="n"/>
      <c r="AQ221" s="9" t="n"/>
      <c r="AR221" s="9" t="n"/>
      <c r="AS221" s="9" t="n"/>
      <c r="AT221" s="8" t="n"/>
      <c r="AU221" s="8" t="n"/>
      <c r="AV221" s="9" t="n"/>
      <c r="AW221" s="8" t="n"/>
      <c r="AX221" s="9" t="n"/>
      <c r="AY221" s="9" t="n"/>
      <c r="AZ221" s="9" t="n"/>
      <c r="BA221" s="9" t="n"/>
      <c r="BB221" s="9" t="n"/>
      <c r="BC221" s="9" t="n"/>
      <c r="BD221" s="9" t="n"/>
      <c r="BE221" s="9" t="n"/>
      <c r="BF221" s="9" t="n"/>
      <c r="BG221" s="9" t="n"/>
      <c r="BH221" s="9" t="n"/>
      <c r="BI221" s="9" t="n"/>
      <c r="BJ221" s="9" t="n"/>
      <c r="BK221" s="9" t="n"/>
      <c r="BL221" s="9" t="n"/>
      <c r="BM221" s="9" t="n"/>
      <c r="BN221" s="9" t="n"/>
      <c r="BO221" s="8" t="n"/>
      <c r="BP221" s="9" t="n"/>
      <c r="BQ221" s="9" t="n"/>
      <c r="BR221" s="12">
        <f>IF(AND(AI221="Y",AK221="Y",AL221="Y",AM221="Y",AY221="Y",AZ221="Y",BA221="Y",BB221="Y",BC221="Y",BE221&lt;&gt;"Y",AX221&lt;&gt;"Y",BL221&lt;&gt;"Y",IF(AS221="Y",AV221="Y",TRUE)),"Y","N")</f>
        <v/>
      </c>
      <c r="BS221" s="12">
        <f>IF(AND(BR221="Y",OR(AND(BJ221="Y",BM221="Y"),AND(BK221="Y",BN221="Y"),AND(BJ221&lt;&gt;"Y",BK221&lt;&gt;"Y",OR(BM221="Y",BN221="Y")))),"Y","N")</f>
        <v/>
      </c>
      <c r="BT221" s="10" t="n"/>
      <c r="BU221" s="13" t="n"/>
      <c r="BV221" s="13" t="n"/>
      <c r="BW221" s="13" t="n"/>
      <c r="BX221" s="13" t="n"/>
      <c r="BY221" s="13" t="n"/>
      <c r="BZ221" s="13" t="n"/>
      <c r="CA221" s="14" t="n"/>
      <c r="CB221" s="13" t="n"/>
      <c r="CC221" s="9" t="n"/>
      <c r="CD221" s="9" t="n"/>
      <c r="CE221" s="9" t="n"/>
      <c r="CF221" s="9" t="n"/>
      <c r="CG221" s="9" t="n"/>
      <c r="CH221" s="9" t="n"/>
    </row>
    <row r="222">
      <c r="A222" s="8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8" t="n"/>
      <c r="L222" s="9" t="n"/>
      <c r="M222" s="8" t="n"/>
      <c r="N222" s="8" t="n"/>
      <c r="O222" s="8" t="n"/>
      <c r="P222" s="8" t="n"/>
      <c r="Q222" s="8" t="n"/>
      <c r="R222" s="9" t="n"/>
      <c r="S222" s="9" t="n"/>
      <c r="T222" s="10" t="n"/>
      <c r="U222" s="10" t="n"/>
      <c r="V222" s="9" t="n"/>
      <c r="W222" s="9" t="n"/>
      <c r="X222" s="9" t="n"/>
      <c r="Y222" s="9" t="n"/>
      <c r="Z222" s="11" t="n"/>
      <c r="AA222" s="11" t="n"/>
      <c r="AB222" s="11" t="n"/>
      <c r="AC222" s="11" t="n"/>
      <c r="AD222" s="11" t="n"/>
      <c r="AE222" s="11" t="n"/>
      <c r="AF222" s="9" t="n"/>
      <c r="AG222" s="9" t="n"/>
      <c r="AH222" s="9" t="n"/>
      <c r="AI222" s="9" t="n"/>
      <c r="AJ222" s="8" t="n"/>
      <c r="AK222" s="9" t="n"/>
      <c r="AL222" s="9" t="n"/>
      <c r="AM222" s="9" t="n"/>
      <c r="AN222" s="9" t="n"/>
      <c r="AO222" s="9" t="n"/>
      <c r="AP222" s="9" t="n"/>
      <c r="AQ222" s="9" t="n"/>
      <c r="AR222" s="9" t="n"/>
      <c r="AS222" s="9" t="n"/>
      <c r="AT222" s="8" t="n"/>
      <c r="AU222" s="8" t="n"/>
      <c r="AV222" s="9" t="n"/>
      <c r="AW222" s="8" t="n"/>
      <c r="AX222" s="9" t="n"/>
      <c r="AY222" s="9" t="n"/>
      <c r="AZ222" s="9" t="n"/>
      <c r="BA222" s="9" t="n"/>
      <c r="BB222" s="9" t="n"/>
      <c r="BC222" s="9" t="n"/>
      <c r="BD222" s="9" t="n"/>
      <c r="BE222" s="9" t="n"/>
      <c r="BF222" s="9" t="n"/>
      <c r="BG222" s="9" t="n"/>
      <c r="BH222" s="9" t="n"/>
      <c r="BI222" s="9" t="n"/>
      <c r="BJ222" s="9" t="n"/>
      <c r="BK222" s="9" t="n"/>
      <c r="BL222" s="9" t="n"/>
      <c r="BM222" s="9" t="n"/>
      <c r="BN222" s="9" t="n"/>
      <c r="BO222" s="8" t="n"/>
      <c r="BP222" s="9" t="n"/>
      <c r="BQ222" s="9" t="n"/>
      <c r="BR222" s="12">
        <f>IF(AND(AI222="Y",AK222="Y",AL222="Y",AM222="Y",AY222="Y",AZ222="Y",BA222="Y",BB222="Y",BC222="Y",BE222&lt;&gt;"Y",AX222&lt;&gt;"Y",BL222&lt;&gt;"Y",IF(AS222="Y",AV222="Y",TRUE)),"Y","N")</f>
        <v/>
      </c>
      <c r="BS222" s="12">
        <f>IF(AND(BR222="Y",OR(AND(BJ222="Y",BM222="Y"),AND(BK222="Y",BN222="Y"),AND(BJ222&lt;&gt;"Y",BK222&lt;&gt;"Y",OR(BM222="Y",BN222="Y")))),"Y","N")</f>
        <v/>
      </c>
      <c r="BT222" s="10" t="n"/>
      <c r="BU222" s="13" t="n"/>
      <c r="BV222" s="13" t="n"/>
      <c r="BW222" s="13" t="n"/>
      <c r="BX222" s="13" t="n"/>
      <c r="BY222" s="13" t="n"/>
      <c r="BZ222" s="13" t="n"/>
      <c r="CA222" s="14" t="n"/>
      <c r="CB222" s="13" t="n"/>
      <c r="CC222" s="9" t="n"/>
      <c r="CD222" s="9" t="n"/>
      <c r="CE222" s="9" t="n"/>
      <c r="CF222" s="9" t="n"/>
      <c r="CG222" s="9" t="n"/>
      <c r="CH222" s="9" t="n"/>
    </row>
    <row r="223">
      <c r="A223" s="8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8" t="n"/>
      <c r="L223" s="9" t="n"/>
      <c r="M223" s="8" t="n"/>
      <c r="N223" s="8" t="n"/>
      <c r="O223" s="8" t="n"/>
      <c r="P223" s="8" t="n"/>
      <c r="Q223" s="8" t="n"/>
      <c r="R223" s="9" t="n"/>
      <c r="S223" s="9" t="n"/>
      <c r="T223" s="10" t="n"/>
      <c r="U223" s="10" t="n"/>
      <c r="V223" s="9" t="n"/>
      <c r="W223" s="9" t="n"/>
      <c r="X223" s="9" t="n"/>
      <c r="Y223" s="9" t="n"/>
      <c r="Z223" s="11" t="n"/>
      <c r="AA223" s="11" t="n"/>
      <c r="AB223" s="11" t="n"/>
      <c r="AC223" s="11" t="n"/>
      <c r="AD223" s="11" t="n"/>
      <c r="AE223" s="11" t="n"/>
      <c r="AF223" s="9" t="n"/>
      <c r="AG223" s="9" t="n"/>
      <c r="AH223" s="9" t="n"/>
      <c r="AI223" s="9" t="n"/>
      <c r="AJ223" s="8" t="n"/>
      <c r="AK223" s="9" t="n"/>
      <c r="AL223" s="9" t="n"/>
      <c r="AM223" s="9" t="n"/>
      <c r="AN223" s="9" t="n"/>
      <c r="AO223" s="9" t="n"/>
      <c r="AP223" s="9" t="n"/>
      <c r="AQ223" s="9" t="n"/>
      <c r="AR223" s="9" t="n"/>
      <c r="AS223" s="9" t="n"/>
      <c r="AT223" s="8" t="n"/>
      <c r="AU223" s="8" t="n"/>
      <c r="AV223" s="9" t="n"/>
      <c r="AW223" s="8" t="n"/>
      <c r="AX223" s="9" t="n"/>
      <c r="AY223" s="9" t="n"/>
      <c r="AZ223" s="9" t="n"/>
      <c r="BA223" s="9" t="n"/>
      <c r="BB223" s="9" t="n"/>
      <c r="BC223" s="9" t="n"/>
      <c r="BD223" s="9" t="n"/>
      <c r="BE223" s="9" t="n"/>
      <c r="BF223" s="9" t="n"/>
      <c r="BG223" s="9" t="n"/>
      <c r="BH223" s="9" t="n"/>
      <c r="BI223" s="9" t="n"/>
      <c r="BJ223" s="9" t="n"/>
      <c r="BK223" s="9" t="n"/>
      <c r="BL223" s="9" t="n"/>
      <c r="BM223" s="9" t="n"/>
      <c r="BN223" s="9" t="n"/>
      <c r="BO223" s="8" t="n"/>
      <c r="BP223" s="9" t="n"/>
      <c r="BQ223" s="9" t="n"/>
      <c r="BR223" s="12">
        <f>IF(AND(AI223="Y",AK223="Y",AL223="Y",AM223="Y",AY223="Y",AZ223="Y",BA223="Y",BB223="Y",BC223="Y",BE223&lt;&gt;"Y",AX223&lt;&gt;"Y",BL223&lt;&gt;"Y",IF(AS223="Y",AV223="Y",TRUE)),"Y","N")</f>
        <v/>
      </c>
      <c r="BS223" s="12">
        <f>IF(AND(BR223="Y",OR(AND(BJ223="Y",BM223="Y"),AND(BK223="Y",BN223="Y"),AND(BJ223&lt;&gt;"Y",BK223&lt;&gt;"Y",OR(BM223="Y",BN223="Y")))),"Y","N")</f>
        <v/>
      </c>
      <c r="BT223" s="10" t="n"/>
      <c r="BU223" s="13" t="n"/>
      <c r="BV223" s="13" t="n"/>
      <c r="BW223" s="13" t="n"/>
      <c r="BX223" s="13" t="n"/>
      <c r="BY223" s="13" t="n"/>
      <c r="BZ223" s="13" t="n"/>
      <c r="CA223" s="14" t="n"/>
      <c r="CB223" s="13" t="n"/>
      <c r="CC223" s="9" t="n"/>
      <c r="CD223" s="9" t="n"/>
      <c r="CE223" s="9" t="n"/>
      <c r="CF223" s="9" t="n"/>
      <c r="CG223" s="9" t="n"/>
      <c r="CH223" s="9" t="n"/>
    </row>
    <row r="224">
      <c r="A224" s="8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8" t="n"/>
      <c r="L224" s="9" t="n"/>
      <c r="M224" s="8" t="n"/>
      <c r="N224" s="8" t="n"/>
      <c r="O224" s="8" t="n"/>
      <c r="P224" s="8" t="n"/>
      <c r="Q224" s="8" t="n"/>
      <c r="R224" s="9" t="n"/>
      <c r="S224" s="9" t="n"/>
      <c r="T224" s="10" t="n"/>
      <c r="U224" s="10" t="n"/>
      <c r="V224" s="9" t="n"/>
      <c r="W224" s="9" t="n"/>
      <c r="X224" s="9" t="n"/>
      <c r="Y224" s="9" t="n"/>
      <c r="Z224" s="11" t="n"/>
      <c r="AA224" s="11" t="n"/>
      <c r="AB224" s="11" t="n"/>
      <c r="AC224" s="11" t="n"/>
      <c r="AD224" s="11" t="n"/>
      <c r="AE224" s="11" t="n"/>
      <c r="AF224" s="9" t="n"/>
      <c r="AG224" s="9" t="n"/>
      <c r="AH224" s="9" t="n"/>
      <c r="AI224" s="9" t="n"/>
      <c r="AJ224" s="8" t="n"/>
      <c r="AK224" s="9" t="n"/>
      <c r="AL224" s="9" t="n"/>
      <c r="AM224" s="9" t="n"/>
      <c r="AN224" s="9" t="n"/>
      <c r="AO224" s="9" t="n"/>
      <c r="AP224" s="9" t="n"/>
      <c r="AQ224" s="9" t="n"/>
      <c r="AR224" s="9" t="n"/>
      <c r="AS224" s="9" t="n"/>
      <c r="AT224" s="8" t="n"/>
      <c r="AU224" s="8" t="n"/>
      <c r="AV224" s="9" t="n"/>
      <c r="AW224" s="8" t="n"/>
      <c r="AX224" s="9" t="n"/>
      <c r="AY224" s="9" t="n"/>
      <c r="AZ224" s="9" t="n"/>
      <c r="BA224" s="9" t="n"/>
      <c r="BB224" s="9" t="n"/>
      <c r="BC224" s="9" t="n"/>
      <c r="BD224" s="9" t="n"/>
      <c r="BE224" s="9" t="n"/>
      <c r="BF224" s="9" t="n"/>
      <c r="BG224" s="9" t="n"/>
      <c r="BH224" s="9" t="n"/>
      <c r="BI224" s="9" t="n"/>
      <c r="BJ224" s="9" t="n"/>
      <c r="BK224" s="9" t="n"/>
      <c r="BL224" s="9" t="n"/>
      <c r="BM224" s="9" t="n"/>
      <c r="BN224" s="9" t="n"/>
      <c r="BO224" s="8" t="n"/>
      <c r="BP224" s="9" t="n"/>
      <c r="BQ224" s="9" t="n"/>
      <c r="BR224" s="12">
        <f>IF(AND(AI224="Y",AK224="Y",AL224="Y",AM224="Y",AY224="Y",AZ224="Y",BA224="Y",BB224="Y",BC224="Y",BE224&lt;&gt;"Y",AX224&lt;&gt;"Y",BL224&lt;&gt;"Y",IF(AS224="Y",AV224="Y",TRUE)),"Y","N")</f>
        <v/>
      </c>
      <c r="BS224" s="12">
        <f>IF(AND(BR224="Y",OR(AND(BJ224="Y",BM224="Y"),AND(BK224="Y",BN224="Y"),AND(BJ224&lt;&gt;"Y",BK224&lt;&gt;"Y",OR(BM224="Y",BN224="Y")))),"Y","N")</f>
        <v/>
      </c>
      <c r="BT224" s="10" t="n"/>
      <c r="BU224" s="13" t="n"/>
      <c r="BV224" s="13" t="n"/>
      <c r="BW224" s="13" t="n"/>
      <c r="BX224" s="13" t="n"/>
      <c r="BY224" s="13" t="n"/>
      <c r="BZ224" s="13" t="n"/>
      <c r="CA224" s="14" t="n"/>
      <c r="CB224" s="13" t="n"/>
      <c r="CC224" s="9" t="n"/>
      <c r="CD224" s="9" t="n"/>
      <c r="CE224" s="9" t="n"/>
      <c r="CF224" s="9" t="n"/>
      <c r="CG224" s="9" t="n"/>
      <c r="CH224" s="9" t="n"/>
    </row>
    <row r="225">
      <c r="A225" s="8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8" t="n"/>
      <c r="L225" s="9" t="n"/>
      <c r="M225" s="8" t="n"/>
      <c r="N225" s="8" t="n"/>
      <c r="O225" s="8" t="n"/>
      <c r="P225" s="8" t="n"/>
      <c r="Q225" s="8" t="n"/>
      <c r="R225" s="9" t="n"/>
      <c r="S225" s="9" t="n"/>
      <c r="T225" s="10" t="n"/>
      <c r="U225" s="10" t="n"/>
      <c r="V225" s="9" t="n"/>
      <c r="W225" s="9" t="n"/>
      <c r="X225" s="9" t="n"/>
      <c r="Y225" s="9" t="n"/>
      <c r="Z225" s="11" t="n"/>
      <c r="AA225" s="11" t="n"/>
      <c r="AB225" s="11" t="n"/>
      <c r="AC225" s="11" t="n"/>
      <c r="AD225" s="11" t="n"/>
      <c r="AE225" s="11" t="n"/>
      <c r="AF225" s="9" t="n"/>
      <c r="AG225" s="9" t="n"/>
      <c r="AH225" s="9" t="n"/>
      <c r="AI225" s="9" t="n"/>
      <c r="AJ225" s="8" t="n"/>
      <c r="AK225" s="9" t="n"/>
      <c r="AL225" s="9" t="n"/>
      <c r="AM225" s="9" t="n"/>
      <c r="AN225" s="9" t="n"/>
      <c r="AO225" s="9" t="n"/>
      <c r="AP225" s="9" t="n"/>
      <c r="AQ225" s="9" t="n"/>
      <c r="AR225" s="9" t="n"/>
      <c r="AS225" s="9" t="n"/>
      <c r="AT225" s="8" t="n"/>
      <c r="AU225" s="8" t="n"/>
      <c r="AV225" s="9" t="n"/>
      <c r="AW225" s="8" t="n"/>
      <c r="AX225" s="9" t="n"/>
      <c r="AY225" s="9" t="n"/>
      <c r="AZ225" s="9" t="n"/>
      <c r="BA225" s="9" t="n"/>
      <c r="BB225" s="9" t="n"/>
      <c r="BC225" s="9" t="n"/>
      <c r="BD225" s="9" t="n"/>
      <c r="BE225" s="9" t="n"/>
      <c r="BF225" s="9" t="n"/>
      <c r="BG225" s="9" t="n"/>
      <c r="BH225" s="9" t="n"/>
      <c r="BI225" s="9" t="n"/>
      <c r="BJ225" s="9" t="n"/>
      <c r="BK225" s="9" t="n"/>
      <c r="BL225" s="9" t="n"/>
      <c r="BM225" s="9" t="n"/>
      <c r="BN225" s="9" t="n"/>
      <c r="BO225" s="8" t="n"/>
      <c r="BP225" s="9" t="n"/>
      <c r="BQ225" s="9" t="n"/>
      <c r="BR225" s="12">
        <f>IF(AND(AI225="Y",AK225="Y",AL225="Y",AM225="Y",AY225="Y",AZ225="Y",BA225="Y",BB225="Y",BC225="Y",BE225&lt;&gt;"Y",AX225&lt;&gt;"Y",BL225&lt;&gt;"Y",IF(AS225="Y",AV225="Y",TRUE)),"Y","N")</f>
        <v/>
      </c>
      <c r="BS225" s="12">
        <f>IF(AND(BR225="Y",OR(AND(BJ225="Y",BM225="Y"),AND(BK225="Y",BN225="Y"),AND(BJ225&lt;&gt;"Y",BK225&lt;&gt;"Y",OR(BM225="Y",BN225="Y")))),"Y","N")</f>
        <v/>
      </c>
      <c r="BT225" s="10" t="n"/>
      <c r="BU225" s="13" t="n"/>
      <c r="BV225" s="13" t="n"/>
      <c r="BW225" s="13" t="n"/>
      <c r="BX225" s="13" t="n"/>
      <c r="BY225" s="13" t="n"/>
      <c r="BZ225" s="13" t="n"/>
      <c r="CA225" s="14" t="n"/>
      <c r="CB225" s="13" t="n"/>
      <c r="CC225" s="9" t="n"/>
      <c r="CD225" s="9" t="n"/>
      <c r="CE225" s="9" t="n"/>
      <c r="CF225" s="9" t="n"/>
      <c r="CG225" s="9" t="n"/>
      <c r="CH225" s="9" t="n"/>
    </row>
    <row r="226">
      <c r="A226" s="8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8" t="n"/>
      <c r="L226" s="9" t="n"/>
      <c r="M226" s="8" t="n"/>
      <c r="N226" s="8" t="n"/>
      <c r="O226" s="8" t="n"/>
      <c r="P226" s="8" t="n"/>
      <c r="Q226" s="8" t="n"/>
      <c r="R226" s="9" t="n"/>
      <c r="S226" s="9" t="n"/>
      <c r="T226" s="10" t="n"/>
      <c r="U226" s="10" t="n"/>
      <c r="V226" s="9" t="n"/>
      <c r="W226" s="9" t="n"/>
      <c r="X226" s="9" t="n"/>
      <c r="Y226" s="9" t="n"/>
      <c r="Z226" s="11" t="n"/>
      <c r="AA226" s="11" t="n"/>
      <c r="AB226" s="11" t="n"/>
      <c r="AC226" s="11" t="n"/>
      <c r="AD226" s="11" t="n"/>
      <c r="AE226" s="11" t="n"/>
      <c r="AF226" s="9" t="n"/>
      <c r="AG226" s="9" t="n"/>
      <c r="AH226" s="9" t="n"/>
      <c r="AI226" s="9" t="n"/>
      <c r="AJ226" s="8" t="n"/>
      <c r="AK226" s="9" t="n"/>
      <c r="AL226" s="9" t="n"/>
      <c r="AM226" s="9" t="n"/>
      <c r="AN226" s="9" t="n"/>
      <c r="AO226" s="9" t="n"/>
      <c r="AP226" s="9" t="n"/>
      <c r="AQ226" s="9" t="n"/>
      <c r="AR226" s="9" t="n"/>
      <c r="AS226" s="9" t="n"/>
      <c r="AT226" s="8" t="n"/>
      <c r="AU226" s="8" t="n"/>
      <c r="AV226" s="9" t="n"/>
      <c r="AW226" s="8" t="n"/>
      <c r="AX226" s="9" t="n"/>
      <c r="AY226" s="9" t="n"/>
      <c r="AZ226" s="9" t="n"/>
      <c r="BA226" s="9" t="n"/>
      <c r="BB226" s="9" t="n"/>
      <c r="BC226" s="9" t="n"/>
      <c r="BD226" s="9" t="n"/>
      <c r="BE226" s="9" t="n"/>
      <c r="BF226" s="9" t="n"/>
      <c r="BG226" s="9" t="n"/>
      <c r="BH226" s="9" t="n"/>
      <c r="BI226" s="9" t="n"/>
      <c r="BJ226" s="9" t="n"/>
      <c r="BK226" s="9" t="n"/>
      <c r="BL226" s="9" t="n"/>
      <c r="BM226" s="9" t="n"/>
      <c r="BN226" s="9" t="n"/>
      <c r="BO226" s="8" t="n"/>
      <c r="BP226" s="9" t="n"/>
      <c r="BQ226" s="9" t="n"/>
      <c r="BR226" s="12">
        <f>IF(AND(AI226="Y",AK226="Y",AL226="Y",AM226="Y",AY226="Y",AZ226="Y",BA226="Y",BB226="Y",BC226="Y",BE226&lt;&gt;"Y",AX226&lt;&gt;"Y",BL226&lt;&gt;"Y",IF(AS226="Y",AV226="Y",TRUE)),"Y","N")</f>
        <v/>
      </c>
      <c r="BS226" s="12">
        <f>IF(AND(BR226="Y",OR(AND(BJ226="Y",BM226="Y"),AND(BK226="Y",BN226="Y"),AND(BJ226&lt;&gt;"Y",BK226&lt;&gt;"Y",OR(BM226="Y",BN226="Y")))),"Y","N")</f>
        <v/>
      </c>
      <c r="BT226" s="10" t="n"/>
      <c r="BU226" s="13" t="n"/>
      <c r="BV226" s="13" t="n"/>
      <c r="BW226" s="13" t="n"/>
      <c r="BX226" s="13" t="n"/>
      <c r="BY226" s="13" t="n"/>
      <c r="BZ226" s="13" t="n"/>
      <c r="CA226" s="14" t="n"/>
      <c r="CB226" s="13" t="n"/>
      <c r="CC226" s="9" t="n"/>
      <c r="CD226" s="9" t="n"/>
      <c r="CE226" s="9" t="n"/>
      <c r="CF226" s="9" t="n"/>
      <c r="CG226" s="9" t="n"/>
      <c r="CH226" s="9" t="n"/>
    </row>
    <row r="227">
      <c r="A227" s="8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8" t="n"/>
      <c r="L227" s="9" t="n"/>
      <c r="M227" s="8" t="n"/>
      <c r="N227" s="8" t="n"/>
      <c r="O227" s="8" t="n"/>
      <c r="P227" s="8" t="n"/>
      <c r="Q227" s="8" t="n"/>
      <c r="R227" s="9" t="n"/>
      <c r="S227" s="9" t="n"/>
      <c r="T227" s="10" t="n"/>
      <c r="U227" s="10" t="n"/>
      <c r="V227" s="9" t="n"/>
      <c r="W227" s="9" t="n"/>
      <c r="X227" s="9" t="n"/>
      <c r="Y227" s="9" t="n"/>
      <c r="Z227" s="11" t="n"/>
      <c r="AA227" s="11" t="n"/>
      <c r="AB227" s="11" t="n"/>
      <c r="AC227" s="11" t="n"/>
      <c r="AD227" s="11" t="n"/>
      <c r="AE227" s="11" t="n"/>
      <c r="AF227" s="9" t="n"/>
      <c r="AG227" s="9" t="n"/>
      <c r="AH227" s="9" t="n"/>
      <c r="AI227" s="9" t="n"/>
      <c r="AJ227" s="8" t="n"/>
      <c r="AK227" s="9" t="n"/>
      <c r="AL227" s="9" t="n"/>
      <c r="AM227" s="9" t="n"/>
      <c r="AN227" s="9" t="n"/>
      <c r="AO227" s="9" t="n"/>
      <c r="AP227" s="9" t="n"/>
      <c r="AQ227" s="9" t="n"/>
      <c r="AR227" s="9" t="n"/>
      <c r="AS227" s="9" t="n"/>
      <c r="AT227" s="8" t="n"/>
      <c r="AU227" s="8" t="n"/>
      <c r="AV227" s="9" t="n"/>
      <c r="AW227" s="8" t="n"/>
      <c r="AX227" s="9" t="n"/>
      <c r="AY227" s="9" t="n"/>
      <c r="AZ227" s="9" t="n"/>
      <c r="BA227" s="9" t="n"/>
      <c r="BB227" s="9" t="n"/>
      <c r="BC227" s="9" t="n"/>
      <c r="BD227" s="9" t="n"/>
      <c r="BE227" s="9" t="n"/>
      <c r="BF227" s="9" t="n"/>
      <c r="BG227" s="9" t="n"/>
      <c r="BH227" s="9" t="n"/>
      <c r="BI227" s="9" t="n"/>
      <c r="BJ227" s="9" t="n"/>
      <c r="BK227" s="9" t="n"/>
      <c r="BL227" s="9" t="n"/>
      <c r="BM227" s="9" t="n"/>
      <c r="BN227" s="9" t="n"/>
      <c r="BO227" s="8" t="n"/>
      <c r="BP227" s="9" t="n"/>
      <c r="BQ227" s="9" t="n"/>
      <c r="BR227" s="12">
        <f>IF(AND(AI227="Y",AK227="Y",AL227="Y",AM227="Y",AY227="Y",AZ227="Y",BA227="Y",BB227="Y",BC227="Y",BE227&lt;&gt;"Y",AX227&lt;&gt;"Y",BL227&lt;&gt;"Y",IF(AS227="Y",AV227="Y",TRUE)),"Y","N")</f>
        <v/>
      </c>
      <c r="BS227" s="12">
        <f>IF(AND(BR227="Y",OR(AND(BJ227="Y",BM227="Y"),AND(BK227="Y",BN227="Y"),AND(BJ227&lt;&gt;"Y",BK227&lt;&gt;"Y",OR(BM227="Y",BN227="Y")))),"Y","N")</f>
        <v/>
      </c>
      <c r="BT227" s="10" t="n"/>
      <c r="BU227" s="13" t="n"/>
      <c r="BV227" s="13" t="n"/>
      <c r="BW227" s="13" t="n"/>
      <c r="BX227" s="13" t="n"/>
      <c r="BY227" s="13" t="n"/>
      <c r="BZ227" s="13" t="n"/>
      <c r="CA227" s="14" t="n"/>
      <c r="CB227" s="13" t="n"/>
      <c r="CC227" s="9" t="n"/>
      <c r="CD227" s="9" t="n"/>
      <c r="CE227" s="9" t="n"/>
      <c r="CF227" s="9" t="n"/>
      <c r="CG227" s="9" t="n"/>
      <c r="CH227" s="9" t="n"/>
    </row>
    <row r="228">
      <c r="A228" s="8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8" t="n"/>
      <c r="L228" s="9" t="n"/>
      <c r="M228" s="8" t="n"/>
      <c r="N228" s="8" t="n"/>
      <c r="O228" s="8" t="n"/>
      <c r="P228" s="8" t="n"/>
      <c r="Q228" s="8" t="n"/>
      <c r="R228" s="9" t="n"/>
      <c r="S228" s="9" t="n"/>
      <c r="T228" s="10" t="n"/>
      <c r="U228" s="10" t="n"/>
      <c r="V228" s="9" t="n"/>
      <c r="W228" s="9" t="n"/>
      <c r="X228" s="9" t="n"/>
      <c r="Y228" s="9" t="n"/>
      <c r="Z228" s="11" t="n"/>
      <c r="AA228" s="11" t="n"/>
      <c r="AB228" s="11" t="n"/>
      <c r="AC228" s="11" t="n"/>
      <c r="AD228" s="11" t="n"/>
      <c r="AE228" s="11" t="n"/>
      <c r="AF228" s="9" t="n"/>
      <c r="AG228" s="9" t="n"/>
      <c r="AH228" s="9" t="n"/>
      <c r="AI228" s="9" t="n"/>
      <c r="AJ228" s="8" t="n"/>
      <c r="AK228" s="9" t="n"/>
      <c r="AL228" s="9" t="n"/>
      <c r="AM228" s="9" t="n"/>
      <c r="AN228" s="9" t="n"/>
      <c r="AO228" s="9" t="n"/>
      <c r="AP228" s="9" t="n"/>
      <c r="AQ228" s="9" t="n"/>
      <c r="AR228" s="9" t="n"/>
      <c r="AS228" s="9" t="n"/>
      <c r="AT228" s="8" t="n"/>
      <c r="AU228" s="8" t="n"/>
      <c r="AV228" s="9" t="n"/>
      <c r="AW228" s="8" t="n"/>
      <c r="AX228" s="9" t="n"/>
      <c r="AY228" s="9" t="n"/>
      <c r="AZ228" s="9" t="n"/>
      <c r="BA228" s="9" t="n"/>
      <c r="BB228" s="9" t="n"/>
      <c r="BC228" s="9" t="n"/>
      <c r="BD228" s="9" t="n"/>
      <c r="BE228" s="9" t="n"/>
      <c r="BF228" s="9" t="n"/>
      <c r="BG228" s="9" t="n"/>
      <c r="BH228" s="9" t="n"/>
      <c r="BI228" s="9" t="n"/>
      <c r="BJ228" s="9" t="n"/>
      <c r="BK228" s="9" t="n"/>
      <c r="BL228" s="9" t="n"/>
      <c r="BM228" s="9" t="n"/>
      <c r="BN228" s="9" t="n"/>
      <c r="BO228" s="8" t="n"/>
      <c r="BP228" s="9" t="n"/>
      <c r="BQ228" s="9" t="n"/>
      <c r="BR228" s="12">
        <f>IF(AND(AI228="Y",AK228="Y",AL228="Y",AM228="Y",AY228="Y",AZ228="Y",BA228="Y",BB228="Y",BC228="Y",BE228&lt;&gt;"Y",AX228&lt;&gt;"Y",BL228&lt;&gt;"Y",IF(AS228="Y",AV228="Y",TRUE)),"Y","N")</f>
        <v/>
      </c>
      <c r="BS228" s="12">
        <f>IF(AND(BR228="Y",OR(AND(BJ228="Y",BM228="Y"),AND(BK228="Y",BN228="Y"),AND(BJ228&lt;&gt;"Y",BK228&lt;&gt;"Y",OR(BM228="Y",BN228="Y")))),"Y","N")</f>
        <v/>
      </c>
      <c r="BT228" s="10" t="n"/>
      <c r="BU228" s="13" t="n"/>
      <c r="BV228" s="13" t="n"/>
      <c r="BW228" s="13" t="n"/>
      <c r="BX228" s="13" t="n"/>
      <c r="BY228" s="13" t="n"/>
      <c r="BZ228" s="13" t="n"/>
      <c r="CA228" s="14" t="n"/>
      <c r="CB228" s="13" t="n"/>
      <c r="CC228" s="9" t="n"/>
      <c r="CD228" s="9" t="n"/>
      <c r="CE228" s="9" t="n"/>
      <c r="CF228" s="9" t="n"/>
      <c r="CG228" s="9" t="n"/>
      <c r="CH228" s="9" t="n"/>
    </row>
    <row r="229">
      <c r="A229" s="8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8" t="n"/>
      <c r="L229" s="9" t="n"/>
      <c r="M229" s="8" t="n"/>
      <c r="N229" s="8" t="n"/>
      <c r="O229" s="8" t="n"/>
      <c r="P229" s="8" t="n"/>
      <c r="Q229" s="8" t="n"/>
      <c r="R229" s="9" t="n"/>
      <c r="S229" s="9" t="n"/>
      <c r="T229" s="10" t="n"/>
      <c r="U229" s="10" t="n"/>
      <c r="V229" s="9" t="n"/>
      <c r="W229" s="9" t="n"/>
      <c r="X229" s="9" t="n"/>
      <c r="Y229" s="9" t="n"/>
      <c r="Z229" s="11" t="n"/>
      <c r="AA229" s="11" t="n"/>
      <c r="AB229" s="11" t="n"/>
      <c r="AC229" s="11" t="n"/>
      <c r="AD229" s="11" t="n"/>
      <c r="AE229" s="11" t="n"/>
      <c r="AF229" s="9" t="n"/>
      <c r="AG229" s="9" t="n"/>
      <c r="AH229" s="9" t="n"/>
      <c r="AI229" s="9" t="n"/>
      <c r="AJ229" s="8" t="n"/>
      <c r="AK229" s="9" t="n"/>
      <c r="AL229" s="9" t="n"/>
      <c r="AM229" s="9" t="n"/>
      <c r="AN229" s="9" t="n"/>
      <c r="AO229" s="9" t="n"/>
      <c r="AP229" s="9" t="n"/>
      <c r="AQ229" s="9" t="n"/>
      <c r="AR229" s="9" t="n"/>
      <c r="AS229" s="9" t="n"/>
      <c r="AT229" s="8" t="n"/>
      <c r="AU229" s="8" t="n"/>
      <c r="AV229" s="9" t="n"/>
      <c r="AW229" s="8" t="n"/>
      <c r="AX229" s="9" t="n"/>
      <c r="AY229" s="9" t="n"/>
      <c r="AZ229" s="9" t="n"/>
      <c r="BA229" s="9" t="n"/>
      <c r="BB229" s="9" t="n"/>
      <c r="BC229" s="9" t="n"/>
      <c r="BD229" s="9" t="n"/>
      <c r="BE229" s="9" t="n"/>
      <c r="BF229" s="9" t="n"/>
      <c r="BG229" s="9" t="n"/>
      <c r="BH229" s="9" t="n"/>
      <c r="BI229" s="9" t="n"/>
      <c r="BJ229" s="9" t="n"/>
      <c r="BK229" s="9" t="n"/>
      <c r="BL229" s="9" t="n"/>
      <c r="BM229" s="9" t="n"/>
      <c r="BN229" s="9" t="n"/>
      <c r="BO229" s="8" t="n"/>
      <c r="BP229" s="9" t="n"/>
      <c r="BQ229" s="9" t="n"/>
      <c r="BR229" s="12">
        <f>IF(AND(AI229="Y",AK229="Y",AL229="Y",AM229="Y",AY229="Y",AZ229="Y",BA229="Y",BB229="Y",BC229="Y",BE229&lt;&gt;"Y",AX229&lt;&gt;"Y",BL229&lt;&gt;"Y",IF(AS229="Y",AV229="Y",TRUE)),"Y","N")</f>
        <v/>
      </c>
      <c r="BS229" s="12">
        <f>IF(AND(BR229="Y",OR(AND(BJ229="Y",BM229="Y"),AND(BK229="Y",BN229="Y"),AND(BJ229&lt;&gt;"Y",BK229&lt;&gt;"Y",OR(BM229="Y",BN229="Y")))),"Y","N")</f>
        <v/>
      </c>
      <c r="BT229" s="10" t="n"/>
      <c r="BU229" s="13" t="n"/>
      <c r="BV229" s="13" t="n"/>
      <c r="BW229" s="13" t="n"/>
      <c r="BX229" s="13" t="n"/>
      <c r="BY229" s="13" t="n"/>
      <c r="BZ229" s="13" t="n"/>
      <c r="CA229" s="14" t="n"/>
      <c r="CB229" s="13" t="n"/>
      <c r="CC229" s="9" t="n"/>
      <c r="CD229" s="9" t="n"/>
      <c r="CE229" s="9" t="n"/>
      <c r="CF229" s="9" t="n"/>
      <c r="CG229" s="9" t="n"/>
      <c r="CH229" s="9" t="n"/>
    </row>
    <row r="230">
      <c r="A230" s="8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8" t="n"/>
      <c r="L230" s="9" t="n"/>
      <c r="M230" s="8" t="n"/>
      <c r="N230" s="8" t="n"/>
      <c r="O230" s="8" t="n"/>
      <c r="P230" s="8" t="n"/>
      <c r="Q230" s="8" t="n"/>
      <c r="R230" s="9" t="n"/>
      <c r="S230" s="9" t="n"/>
      <c r="T230" s="10" t="n"/>
      <c r="U230" s="10" t="n"/>
      <c r="V230" s="9" t="n"/>
      <c r="W230" s="9" t="n"/>
      <c r="X230" s="9" t="n"/>
      <c r="Y230" s="9" t="n"/>
      <c r="Z230" s="11" t="n"/>
      <c r="AA230" s="11" t="n"/>
      <c r="AB230" s="11" t="n"/>
      <c r="AC230" s="11" t="n"/>
      <c r="AD230" s="11" t="n"/>
      <c r="AE230" s="11" t="n"/>
      <c r="AF230" s="9" t="n"/>
      <c r="AG230" s="9" t="n"/>
      <c r="AH230" s="9" t="n"/>
      <c r="AI230" s="9" t="n"/>
      <c r="AJ230" s="8" t="n"/>
      <c r="AK230" s="9" t="n"/>
      <c r="AL230" s="9" t="n"/>
      <c r="AM230" s="9" t="n"/>
      <c r="AN230" s="9" t="n"/>
      <c r="AO230" s="9" t="n"/>
      <c r="AP230" s="9" t="n"/>
      <c r="AQ230" s="9" t="n"/>
      <c r="AR230" s="9" t="n"/>
      <c r="AS230" s="9" t="n"/>
      <c r="AT230" s="8" t="n"/>
      <c r="AU230" s="8" t="n"/>
      <c r="AV230" s="9" t="n"/>
      <c r="AW230" s="8" t="n"/>
      <c r="AX230" s="9" t="n"/>
      <c r="AY230" s="9" t="n"/>
      <c r="AZ230" s="9" t="n"/>
      <c r="BA230" s="9" t="n"/>
      <c r="BB230" s="9" t="n"/>
      <c r="BC230" s="9" t="n"/>
      <c r="BD230" s="9" t="n"/>
      <c r="BE230" s="9" t="n"/>
      <c r="BF230" s="9" t="n"/>
      <c r="BG230" s="9" t="n"/>
      <c r="BH230" s="9" t="n"/>
      <c r="BI230" s="9" t="n"/>
      <c r="BJ230" s="9" t="n"/>
      <c r="BK230" s="9" t="n"/>
      <c r="BL230" s="9" t="n"/>
      <c r="BM230" s="9" t="n"/>
      <c r="BN230" s="9" t="n"/>
      <c r="BO230" s="8" t="n"/>
      <c r="BP230" s="9" t="n"/>
      <c r="BQ230" s="9" t="n"/>
      <c r="BR230" s="12">
        <f>IF(AND(AI230="Y",AK230="Y",AL230="Y",AM230="Y",AY230="Y",AZ230="Y",BA230="Y",BB230="Y",BC230="Y",BE230&lt;&gt;"Y",AX230&lt;&gt;"Y",BL230&lt;&gt;"Y",IF(AS230="Y",AV230="Y",TRUE)),"Y","N")</f>
        <v/>
      </c>
      <c r="BS230" s="12">
        <f>IF(AND(BR230="Y",OR(AND(BJ230="Y",BM230="Y"),AND(BK230="Y",BN230="Y"),AND(BJ230&lt;&gt;"Y",BK230&lt;&gt;"Y",OR(BM230="Y",BN230="Y")))),"Y","N")</f>
        <v/>
      </c>
      <c r="BT230" s="10" t="n"/>
      <c r="BU230" s="13" t="n"/>
      <c r="BV230" s="13" t="n"/>
      <c r="BW230" s="13" t="n"/>
      <c r="BX230" s="13" t="n"/>
      <c r="BY230" s="13" t="n"/>
      <c r="BZ230" s="13" t="n"/>
      <c r="CA230" s="14" t="n"/>
      <c r="CB230" s="13" t="n"/>
      <c r="CC230" s="9" t="n"/>
      <c r="CD230" s="9" t="n"/>
      <c r="CE230" s="9" t="n"/>
      <c r="CF230" s="9" t="n"/>
      <c r="CG230" s="9" t="n"/>
      <c r="CH230" s="9" t="n"/>
    </row>
    <row r="231">
      <c r="A231" s="8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8" t="n"/>
      <c r="L231" s="9" t="n"/>
      <c r="M231" s="8" t="n"/>
      <c r="N231" s="8" t="n"/>
      <c r="O231" s="8" t="n"/>
      <c r="P231" s="8" t="n"/>
      <c r="Q231" s="8" t="n"/>
      <c r="R231" s="9" t="n"/>
      <c r="S231" s="9" t="n"/>
      <c r="T231" s="10" t="n"/>
      <c r="U231" s="10" t="n"/>
      <c r="V231" s="9" t="n"/>
      <c r="W231" s="9" t="n"/>
      <c r="X231" s="9" t="n"/>
      <c r="Y231" s="9" t="n"/>
      <c r="Z231" s="11" t="n"/>
      <c r="AA231" s="11" t="n"/>
      <c r="AB231" s="11" t="n"/>
      <c r="AC231" s="11" t="n"/>
      <c r="AD231" s="11" t="n"/>
      <c r="AE231" s="11" t="n"/>
      <c r="AF231" s="9" t="n"/>
      <c r="AG231" s="9" t="n"/>
      <c r="AH231" s="9" t="n"/>
      <c r="AI231" s="9" t="n"/>
      <c r="AJ231" s="8" t="n"/>
      <c r="AK231" s="9" t="n"/>
      <c r="AL231" s="9" t="n"/>
      <c r="AM231" s="9" t="n"/>
      <c r="AN231" s="9" t="n"/>
      <c r="AO231" s="9" t="n"/>
      <c r="AP231" s="9" t="n"/>
      <c r="AQ231" s="9" t="n"/>
      <c r="AR231" s="9" t="n"/>
      <c r="AS231" s="9" t="n"/>
      <c r="AT231" s="8" t="n"/>
      <c r="AU231" s="8" t="n"/>
      <c r="AV231" s="9" t="n"/>
      <c r="AW231" s="8" t="n"/>
      <c r="AX231" s="9" t="n"/>
      <c r="AY231" s="9" t="n"/>
      <c r="AZ231" s="9" t="n"/>
      <c r="BA231" s="9" t="n"/>
      <c r="BB231" s="9" t="n"/>
      <c r="BC231" s="9" t="n"/>
      <c r="BD231" s="9" t="n"/>
      <c r="BE231" s="9" t="n"/>
      <c r="BF231" s="9" t="n"/>
      <c r="BG231" s="9" t="n"/>
      <c r="BH231" s="9" t="n"/>
      <c r="BI231" s="9" t="n"/>
      <c r="BJ231" s="9" t="n"/>
      <c r="BK231" s="9" t="n"/>
      <c r="BL231" s="9" t="n"/>
      <c r="BM231" s="9" t="n"/>
      <c r="BN231" s="9" t="n"/>
      <c r="BO231" s="8" t="n"/>
      <c r="BP231" s="9" t="n"/>
      <c r="BQ231" s="9" t="n"/>
      <c r="BR231" s="12">
        <f>IF(AND(AI231="Y",AK231="Y",AL231="Y",AM231="Y",AY231="Y",AZ231="Y",BA231="Y",BB231="Y",BC231="Y",BE231&lt;&gt;"Y",AX231&lt;&gt;"Y",BL231&lt;&gt;"Y",IF(AS231="Y",AV231="Y",TRUE)),"Y","N")</f>
        <v/>
      </c>
      <c r="BS231" s="12">
        <f>IF(AND(BR231="Y",OR(AND(BJ231="Y",BM231="Y"),AND(BK231="Y",BN231="Y"),AND(BJ231&lt;&gt;"Y",BK231&lt;&gt;"Y",OR(BM231="Y",BN231="Y")))),"Y","N")</f>
        <v/>
      </c>
      <c r="BT231" s="10" t="n"/>
      <c r="BU231" s="13" t="n"/>
      <c r="BV231" s="13" t="n"/>
      <c r="BW231" s="13" t="n"/>
      <c r="BX231" s="13" t="n"/>
      <c r="BY231" s="13" t="n"/>
      <c r="BZ231" s="13" t="n"/>
      <c r="CA231" s="14" t="n"/>
      <c r="CB231" s="13" t="n"/>
      <c r="CC231" s="9" t="n"/>
      <c r="CD231" s="9" t="n"/>
      <c r="CE231" s="9" t="n"/>
      <c r="CF231" s="9" t="n"/>
      <c r="CG231" s="9" t="n"/>
      <c r="CH231" s="9" t="n"/>
    </row>
    <row r="232">
      <c r="A232" s="8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8" t="n"/>
      <c r="L232" s="9" t="n"/>
      <c r="M232" s="8" t="n"/>
      <c r="N232" s="8" t="n"/>
      <c r="O232" s="8" t="n"/>
      <c r="P232" s="8" t="n"/>
      <c r="Q232" s="8" t="n"/>
      <c r="R232" s="9" t="n"/>
      <c r="S232" s="9" t="n"/>
      <c r="T232" s="10" t="n"/>
      <c r="U232" s="10" t="n"/>
      <c r="V232" s="9" t="n"/>
      <c r="W232" s="9" t="n"/>
      <c r="X232" s="9" t="n"/>
      <c r="Y232" s="9" t="n"/>
      <c r="Z232" s="11" t="n"/>
      <c r="AA232" s="11" t="n"/>
      <c r="AB232" s="11" t="n"/>
      <c r="AC232" s="11" t="n"/>
      <c r="AD232" s="11" t="n"/>
      <c r="AE232" s="11" t="n"/>
      <c r="AF232" s="9" t="n"/>
      <c r="AG232" s="9" t="n"/>
      <c r="AH232" s="9" t="n"/>
      <c r="AI232" s="9" t="n"/>
      <c r="AJ232" s="8" t="n"/>
      <c r="AK232" s="9" t="n"/>
      <c r="AL232" s="9" t="n"/>
      <c r="AM232" s="9" t="n"/>
      <c r="AN232" s="9" t="n"/>
      <c r="AO232" s="9" t="n"/>
      <c r="AP232" s="9" t="n"/>
      <c r="AQ232" s="9" t="n"/>
      <c r="AR232" s="9" t="n"/>
      <c r="AS232" s="9" t="n"/>
      <c r="AT232" s="8" t="n"/>
      <c r="AU232" s="8" t="n"/>
      <c r="AV232" s="9" t="n"/>
      <c r="AW232" s="8" t="n"/>
      <c r="AX232" s="9" t="n"/>
      <c r="AY232" s="9" t="n"/>
      <c r="AZ232" s="9" t="n"/>
      <c r="BA232" s="9" t="n"/>
      <c r="BB232" s="9" t="n"/>
      <c r="BC232" s="9" t="n"/>
      <c r="BD232" s="9" t="n"/>
      <c r="BE232" s="9" t="n"/>
      <c r="BF232" s="9" t="n"/>
      <c r="BG232" s="9" t="n"/>
      <c r="BH232" s="9" t="n"/>
      <c r="BI232" s="9" t="n"/>
      <c r="BJ232" s="9" t="n"/>
      <c r="BK232" s="9" t="n"/>
      <c r="BL232" s="9" t="n"/>
      <c r="BM232" s="9" t="n"/>
      <c r="BN232" s="9" t="n"/>
      <c r="BO232" s="8" t="n"/>
      <c r="BP232" s="9" t="n"/>
      <c r="BQ232" s="9" t="n"/>
      <c r="BR232" s="12">
        <f>IF(AND(AI232="Y",AK232="Y",AL232="Y",AM232="Y",AY232="Y",AZ232="Y",BA232="Y",BB232="Y",BC232="Y",BE232&lt;&gt;"Y",AX232&lt;&gt;"Y",BL232&lt;&gt;"Y",IF(AS232="Y",AV232="Y",TRUE)),"Y","N")</f>
        <v/>
      </c>
      <c r="BS232" s="12">
        <f>IF(AND(BR232="Y",OR(AND(BJ232="Y",BM232="Y"),AND(BK232="Y",BN232="Y"),AND(BJ232&lt;&gt;"Y",BK232&lt;&gt;"Y",OR(BM232="Y",BN232="Y")))),"Y","N")</f>
        <v/>
      </c>
      <c r="BT232" s="10" t="n"/>
      <c r="BU232" s="13" t="n"/>
      <c r="BV232" s="13" t="n"/>
      <c r="BW232" s="13" t="n"/>
      <c r="BX232" s="13" t="n"/>
      <c r="BY232" s="13" t="n"/>
      <c r="BZ232" s="13" t="n"/>
      <c r="CA232" s="14" t="n"/>
      <c r="CB232" s="13" t="n"/>
      <c r="CC232" s="9" t="n"/>
      <c r="CD232" s="9" t="n"/>
      <c r="CE232" s="9" t="n"/>
      <c r="CF232" s="9" t="n"/>
      <c r="CG232" s="9" t="n"/>
      <c r="CH232" s="9" t="n"/>
    </row>
    <row r="233">
      <c r="A233" s="8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8" t="n"/>
      <c r="L233" s="9" t="n"/>
      <c r="M233" s="8" t="n"/>
      <c r="N233" s="8" t="n"/>
      <c r="O233" s="8" t="n"/>
      <c r="P233" s="8" t="n"/>
      <c r="Q233" s="8" t="n"/>
      <c r="R233" s="9" t="n"/>
      <c r="S233" s="9" t="n"/>
      <c r="T233" s="10" t="n"/>
      <c r="U233" s="10" t="n"/>
      <c r="V233" s="9" t="n"/>
      <c r="W233" s="9" t="n"/>
      <c r="X233" s="9" t="n"/>
      <c r="Y233" s="9" t="n"/>
      <c r="Z233" s="11" t="n"/>
      <c r="AA233" s="11" t="n"/>
      <c r="AB233" s="11" t="n"/>
      <c r="AC233" s="11" t="n"/>
      <c r="AD233" s="11" t="n"/>
      <c r="AE233" s="11" t="n"/>
      <c r="AF233" s="9" t="n"/>
      <c r="AG233" s="9" t="n"/>
      <c r="AH233" s="9" t="n"/>
      <c r="AI233" s="9" t="n"/>
      <c r="AJ233" s="8" t="n"/>
      <c r="AK233" s="9" t="n"/>
      <c r="AL233" s="9" t="n"/>
      <c r="AM233" s="9" t="n"/>
      <c r="AN233" s="9" t="n"/>
      <c r="AO233" s="9" t="n"/>
      <c r="AP233" s="9" t="n"/>
      <c r="AQ233" s="9" t="n"/>
      <c r="AR233" s="9" t="n"/>
      <c r="AS233" s="9" t="n"/>
      <c r="AT233" s="8" t="n"/>
      <c r="AU233" s="8" t="n"/>
      <c r="AV233" s="9" t="n"/>
      <c r="AW233" s="8" t="n"/>
      <c r="AX233" s="9" t="n"/>
      <c r="AY233" s="9" t="n"/>
      <c r="AZ233" s="9" t="n"/>
      <c r="BA233" s="9" t="n"/>
      <c r="BB233" s="9" t="n"/>
      <c r="BC233" s="9" t="n"/>
      <c r="BD233" s="9" t="n"/>
      <c r="BE233" s="9" t="n"/>
      <c r="BF233" s="9" t="n"/>
      <c r="BG233" s="9" t="n"/>
      <c r="BH233" s="9" t="n"/>
      <c r="BI233" s="9" t="n"/>
      <c r="BJ233" s="9" t="n"/>
      <c r="BK233" s="9" t="n"/>
      <c r="BL233" s="9" t="n"/>
      <c r="BM233" s="9" t="n"/>
      <c r="BN233" s="9" t="n"/>
      <c r="BO233" s="8" t="n"/>
      <c r="BP233" s="9" t="n"/>
      <c r="BQ233" s="9" t="n"/>
      <c r="BR233" s="12">
        <f>IF(AND(AI233="Y",AK233="Y",AL233="Y",AM233="Y",AY233="Y",AZ233="Y",BA233="Y",BB233="Y",BC233="Y",BE233&lt;&gt;"Y",AX233&lt;&gt;"Y",BL233&lt;&gt;"Y",IF(AS233="Y",AV233="Y",TRUE)),"Y","N")</f>
        <v/>
      </c>
      <c r="BS233" s="12">
        <f>IF(AND(BR233="Y",OR(AND(BJ233="Y",BM233="Y"),AND(BK233="Y",BN233="Y"),AND(BJ233&lt;&gt;"Y",BK233&lt;&gt;"Y",OR(BM233="Y",BN233="Y")))),"Y","N")</f>
        <v/>
      </c>
      <c r="BT233" s="10" t="n"/>
      <c r="BU233" s="13" t="n"/>
      <c r="BV233" s="13" t="n"/>
      <c r="BW233" s="13" t="n"/>
      <c r="BX233" s="13" t="n"/>
      <c r="BY233" s="13" t="n"/>
      <c r="BZ233" s="13" t="n"/>
      <c r="CA233" s="14" t="n"/>
      <c r="CB233" s="13" t="n"/>
      <c r="CC233" s="9" t="n"/>
      <c r="CD233" s="9" t="n"/>
      <c r="CE233" s="9" t="n"/>
      <c r="CF233" s="9" t="n"/>
      <c r="CG233" s="9" t="n"/>
      <c r="CH233" s="9" t="n"/>
    </row>
    <row r="234">
      <c r="A234" s="8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8" t="n"/>
      <c r="L234" s="9" t="n"/>
      <c r="M234" s="8" t="n"/>
      <c r="N234" s="8" t="n"/>
      <c r="O234" s="8" t="n"/>
      <c r="P234" s="8" t="n"/>
      <c r="Q234" s="8" t="n"/>
      <c r="R234" s="9" t="n"/>
      <c r="S234" s="9" t="n"/>
      <c r="T234" s="10" t="n"/>
      <c r="U234" s="10" t="n"/>
      <c r="V234" s="9" t="n"/>
      <c r="W234" s="9" t="n"/>
      <c r="X234" s="9" t="n"/>
      <c r="Y234" s="9" t="n"/>
      <c r="Z234" s="11" t="n"/>
      <c r="AA234" s="11" t="n"/>
      <c r="AB234" s="11" t="n"/>
      <c r="AC234" s="11" t="n"/>
      <c r="AD234" s="11" t="n"/>
      <c r="AE234" s="11" t="n"/>
      <c r="AF234" s="9" t="n"/>
      <c r="AG234" s="9" t="n"/>
      <c r="AH234" s="9" t="n"/>
      <c r="AI234" s="9" t="n"/>
      <c r="AJ234" s="8" t="n"/>
      <c r="AK234" s="9" t="n"/>
      <c r="AL234" s="9" t="n"/>
      <c r="AM234" s="9" t="n"/>
      <c r="AN234" s="9" t="n"/>
      <c r="AO234" s="9" t="n"/>
      <c r="AP234" s="9" t="n"/>
      <c r="AQ234" s="9" t="n"/>
      <c r="AR234" s="9" t="n"/>
      <c r="AS234" s="9" t="n"/>
      <c r="AT234" s="8" t="n"/>
      <c r="AU234" s="8" t="n"/>
      <c r="AV234" s="9" t="n"/>
      <c r="AW234" s="8" t="n"/>
      <c r="AX234" s="9" t="n"/>
      <c r="AY234" s="9" t="n"/>
      <c r="AZ234" s="9" t="n"/>
      <c r="BA234" s="9" t="n"/>
      <c r="BB234" s="9" t="n"/>
      <c r="BC234" s="9" t="n"/>
      <c r="BD234" s="9" t="n"/>
      <c r="BE234" s="9" t="n"/>
      <c r="BF234" s="9" t="n"/>
      <c r="BG234" s="9" t="n"/>
      <c r="BH234" s="9" t="n"/>
      <c r="BI234" s="9" t="n"/>
      <c r="BJ234" s="9" t="n"/>
      <c r="BK234" s="9" t="n"/>
      <c r="BL234" s="9" t="n"/>
      <c r="BM234" s="9" t="n"/>
      <c r="BN234" s="9" t="n"/>
      <c r="BO234" s="8" t="n"/>
      <c r="BP234" s="9" t="n"/>
      <c r="BQ234" s="9" t="n"/>
      <c r="BR234" s="12">
        <f>IF(AND(AI234="Y",AK234="Y",AL234="Y",AM234="Y",AY234="Y",AZ234="Y",BA234="Y",BB234="Y",BC234="Y",BE234&lt;&gt;"Y",AX234&lt;&gt;"Y",BL234&lt;&gt;"Y",IF(AS234="Y",AV234="Y",TRUE)),"Y","N")</f>
        <v/>
      </c>
      <c r="BS234" s="12">
        <f>IF(AND(BR234="Y",OR(AND(BJ234="Y",BM234="Y"),AND(BK234="Y",BN234="Y"),AND(BJ234&lt;&gt;"Y",BK234&lt;&gt;"Y",OR(BM234="Y",BN234="Y")))),"Y","N")</f>
        <v/>
      </c>
      <c r="BT234" s="10" t="n"/>
      <c r="BU234" s="13" t="n"/>
      <c r="BV234" s="13" t="n"/>
      <c r="BW234" s="13" t="n"/>
      <c r="BX234" s="13" t="n"/>
      <c r="BY234" s="13" t="n"/>
      <c r="BZ234" s="13" t="n"/>
      <c r="CA234" s="14" t="n"/>
      <c r="CB234" s="13" t="n"/>
      <c r="CC234" s="9" t="n"/>
      <c r="CD234" s="9" t="n"/>
      <c r="CE234" s="9" t="n"/>
      <c r="CF234" s="9" t="n"/>
      <c r="CG234" s="9" t="n"/>
      <c r="CH234" s="9" t="n"/>
    </row>
    <row r="235">
      <c r="A235" s="8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8" t="n"/>
      <c r="L235" s="9" t="n"/>
      <c r="M235" s="8" t="n"/>
      <c r="N235" s="8" t="n"/>
      <c r="O235" s="8" t="n"/>
      <c r="P235" s="8" t="n"/>
      <c r="Q235" s="8" t="n"/>
      <c r="R235" s="9" t="n"/>
      <c r="S235" s="9" t="n"/>
      <c r="T235" s="10" t="n"/>
      <c r="U235" s="10" t="n"/>
      <c r="V235" s="9" t="n"/>
      <c r="W235" s="9" t="n"/>
      <c r="X235" s="9" t="n"/>
      <c r="Y235" s="9" t="n"/>
      <c r="Z235" s="11" t="n"/>
      <c r="AA235" s="11" t="n"/>
      <c r="AB235" s="11" t="n"/>
      <c r="AC235" s="11" t="n"/>
      <c r="AD235" s="11" t="n"/>
      <c r="AE235" s="11" t="n"/>
      <c r="AF235" s="9" t="n"/>
      <c r="AG235" s="9" t="n"/>
      <c r="AH235" s="9" t="n"/>
      <c r="AI235" s="9" t="n"/>
      <c r="AJ235" s="8" t="n"/>
      <c r="AK235" s="9" t="n"/>
      <c r="AL235" s="9" t="n"/>
      <c r="AM235" s="9" t="n"/>
      <c r="AN235" s="9" t="n"/>
      <c r="AO235" s="9" t="n"/>
      <c r="AP235" s="9" t="n"/>
      <c r="AQ235" s="9" t="n"/>
      <c r="AR235" s="9" t="n"/>
      <c r="AS235" s="9" t="n"/>
      <c r="AT235" s="8" t="n"/>
      <c r="AU235" s="8" t="n"/>
      <c r="AV235" s="9" t="n"/>
      <c r="AW235" s="8" t="n"/>
      <c r="AX235" s="9" t="n"/>
      <c r="AY235" s="9" t="n"/>
      <c r="AZ235" s="9" t="n"/>
      <c r="BA235" s="9" t="n"/>
      <c r="BB235" s="9" t="n"/>
      <c r="BC235" s="9" t="n"/>
      <c r="BD235" s="9" t="n"/>
      <c r="BE235" s="9" t="n"/>
      <c r="BF235" s="9" t="n"/>
      <c r="BG235" s="9" t="n"/>
      <c r="BH235" s="9" t="n"/>
      <c r="BI235" s="9" t="n"/>
      <c r="BJ235" s="9" t="n"/>
      <c r="BK235" s="9" t="n"/>
      <c r="BL235" s="9" t="n"/>
      <c r="BM235" s="9" t="n"/>
      <c r="BN235" s="9" t="n"/>
      <c r="BO235" s="8" t="n"/>
      <c r="BP235" s="9" t="n"/>
      <c r="BQ235" s="9" t="n"/>
      <c r="BR235" s="12">
        <f>IF(AND(AI235="Y",AK235="Y",AL235="Y",AM235="Y",AY235="Y",AZ235="Y",BA235="Y",BB235="Y",BC235="Y",BE235&lt;&gt;"Y",AX235&lt;&gt;"Y",BL235&lt;&gt;"Y",IF(AS235="Y",AV235="Y",TRUE)),"Y","N")</f>
        <v/>
      </c>
      <c r="BS235" s="12">
        <f>IF(AND(BR235="Y",OR(AND(BJ235="Y",BM235="Y"),AND(BK235="Y",BN235="Y"),AND(BJ235&lt;&gt;"Y",BK235&lt;&gt;"Y",OR(BM235="Y",BN235="Y")))),"Y","N")</f>
        <v/>
      </c>
      <c r="BT235" s="10" t="n"/>
      <c r="BU235" s="13" t="n"/>
      <c r="BV235" s="13" t="n"/>
      <c r="BW235" s="13" t="n"/>
      <c r="BX235" s="13" t="n"/>
      <c r="BY235" s="13" t="n"/>
      <c r="BZ235" s="13" t="n"/>
      <c r="CA235" s="14" t="n"/>
      <c r="CB235" s="13" t="n"/>
      <c r="CC235" s="9" t="n"/>
      <c r="CD235" s="9" t="n"/>
      <c r="CE235" s="9" t="n"/>
      <c r="CF235" s="9" t="n"/>
      <c r="CG235" s="9" t="n"/>
      <c r="CH235" s="9" t="n"/>
    </row>
    <row r="236">
      <c r="A236" s="8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8" t="n"/>
      <c r="L236" s="9" t="n"/>
      <c r="M236" s="8" t="n"/>
      <c r="N236" s="8" t="n"/>
      <c r="O236" s="8" t="n"/>
      <c r="P236" s="8" t="n"/>
      <c r="Q236" s="8" t="n"/>
      <c r="R236" s="9" t="n"/>
      <c r="S236" s="9" t="n"/>
      <c r="T236" s="10" t="n"/>
      <c r="U236" s="10" t="n"/>
      <c r="V236" s="9" t="n"/>
      <c r="W236" s="9" t="n"/>
      <c r="X236" s="9" t="n"/>
      <c r="Y236" s="9" t="n"/>
      <c r="Z236" s="11" t="n"/>
      <c r="AA236" s="11" t="n"/>
      <c r="AB236" s="11" t="n"/>
      <c r="AC236" s="11" t="n"/>
      <c r="AD236" s="11" t="n"/>
      <c r="AE236" s="11" t="n"/>
      <c r="AF236" s="9" t="n"/>
      <c r="AG236" s="9" t="n"/>
      <c r="AH236" s="9" t="n"/>
      <c r="AI236" s="9" t="n"/>
      <c r="AJ236" s="8" t="n"/>
      <c r="AK236" s="9" t="n"/>
      <c r="AL236" s="9" t="n"/>
      <c r="AM236" s="9" t="n"/>
      <c r="AN236" s="9" t="n"/>
      <c r="AO236" s="9" t="n"/>
      <c r="AP236" s="9" t="n"/>
      <c r="AQ236" s="9" t="n"/>
      <c r="AR236" s="9" t="n"/>
      <c r="AS236" s="9" t="n"/>
      <c r="AT236" s="8" t="n"/>
      <c r="AU236" s="8" t="n"/>
      <c r="AV236" s="9" t="n"/>
      <c r="AW236" s="8" t="n"/>
      <c r="AX236" s="9" t="n"/>
      <c r="AY236" s="9" t="n"/>
      <c r="AZ236" s="9" t="n"/>
      <c r="BA236" s="9" t="n"/>
      <c r="BB236" s="9" t="n"/>
      <c r="BC236" s="9" t="n"/>
      <c r="BD236" s="9" t="n"/>
      <c r="BE236" s="9" t="n"/>
      <c r="BF236" s="9" t="n"/>
      <c r="BG236" s="9" t="n"/>
      <c r="BH236" s="9" t="n"/>
      <c r="BI236" s="9" t="n"/>
      <c r="BJ236" s="9" t="n"/>
      <c r="BK236" s="9" t="n"/>
      <c r="BL236" s="9" t="n"/>
      <c r="BM236" s="9" t="n"/>
      <c r="BN236" s="9" t="n"/>
      <c r="BO236" s="8" t="n"/>
      <c r="BP236" s="9" t="n"/>
      <c r="BQ236" s="9" t="n"/>
      <c r="BR236" s="12">
        <f>IF(AND(AI236="Y",AK236="Y",AL236="Y",AM236="Y",AY236="Y",AZ236="Y",BA236="Y",BB236="Y",BC236="Y",BE236&lt;&gt;"Y",AX236&lt;&gt;"Y",BL236&lt;&gt;"Y",IF(AS236="Y",AV236="Y",TRUE)),"Y","N")</f>
        <v/>
      </c>
      <c r="BS236" s="12">
        <f>IF(AND(BR236="Y",OR(AND(BJ236="Y",BM236="Y"),AND(BK236="Y",BN236="Y"),AND(BJ236&lt;&gt;"Y",BK236&lt;&gt;"Y",OR(BM236="Y",BN236="Y")))),"Y","N")</f>
        <v/>
      </c>
      <c r="BT236" s="10" t="n"/>
      <c r="BU236" s="13" t="n"/>
      <c r="BV236" s="13" t="n"/>
      <c r="BW236" s="13" t="n"/>
      <c r="BX236" s="13" t="n"/>
      <c r="BY236" s="13" t="n"/>
      <c r="BZ236" s="13" t="n"/>
      <c r="CA236" s="14" t="n"/>
      <c r="CB236" s="13" t="n"/>
      <c r="CC236" s="9" t="n"/>
      <c r="CD236" s="9" t="n"/>
      <c r="CE236" s="9" t="n"/>
      <c r="CF236" s="9" t="n"/>
      <c r="CG236" s="9" t="n"/>
      <c r="CH236" s="9" t="n"/>
    </row>
    <row r="237">
      <c r="A237" s="8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8" t="n"/>
      <c r="L237" s="9" t="n"/>
      <c r="M237" s="8" t="n"/>
      <c r="N237" s="8" t="n"/>
      <c r="O237" s="8" t="n"/>
      <c r="P237" s="8" t="n"/>
      <c r="Q237" s="8" t="n"/>
      <c r="R237" s="9" t="n"/>
      <c r="S237" s="9" t="n"/>
      <c r="T237" s="10" t="n"/>
      <c r="U237" s="10" t="n"/>
      <c r="V237" s="9" t="n"/>
      <c r="W237" s="9" t="n"/>
      <c r="X237" s="9" t="n"/>
      <c r="Y237" s="9" t="n"/>
      <c r="Z237" s="11" t="n"/>
      <c r="AA237" s="11" t="n"/>
      <c r="AB237" s="11" t="n"/>
      <c r="AC237" s="11" t="n"/>
      <c r="AD237" s="11" t="n"/>
      <c r="AE237" s="11" t="n"/>
      <c r="AF237" s="9" t="n"/>
      <c r="AG237" s="9" t="n"/>
      <c r="AH237" s="9" t="n"/>
      <c r="AI237" s="9" t="n"/>
      <c r="AJ237" s="8" t="n"/>
      <c r="AK237" s="9" t="n"/>
      <c r="AL237" s="9" t="n"/>
      <c r="AM237" s="9" t="n"/>
      <c r="AN237" s="9" t="n"/>
      <c r="AO237" s="9" t="n"/>
      <c r="AP237" s="9" t="n"/>
      <c r="AQ237" s="9" t="n"/>
      <c r="AR237" s="9" t="n"/>
      <c r="AS237" s="9" t="n"/>
      <c r="AT237" s="8" t="n"/>
      <c r="AU237" s="8" t="n"/>
      <c r="AV237" s="9" t="n"/>
      <c r="AW237" s="8" t="n"/>
      <c r="AX237" s="9" t="n"/>
      <c r="AY237" s="9" t="n"/>
      <c r="AZ237" s="9" t="n"/>
      <c r="BA237" s="9" t="n"/>
      <c r="BB237" s="9" t="n"/>
      <c r="BC237" s="9" t="n"/>
      <c r="BD237" s="9" t="n"/>
      <c r="BE237" s="9" t="n"/>
      <c r="BF237" s="9" t="n"/>
      <c r="BG237" s="9" t="n"/>
      <c r="BH237" s="9" t="n"/>
      <c r="BI237" s="9" t="n"/>
      <c r="BJ237" s="9" t="n"/>
      <c r="BK237" s="9" t="n"/>
      <c r="BL237" s="9" t="n"/>
      <c r="BM237" s="9" t="n"/>
      <c r="BN237" s="9" t="n"/>
      <c r="BO237" s="8" t="n"/>
      <c r="BP237" s="9" t="n"/>
      <c r="BQ237" s="9" t="n"/>
      <c r="BR237" s="12">
        <f>IF(AND(AI237="Y",AK237="Y",AL237="Y",AM237="Y",AY237="Y",AZ237="Y",BA237="Y",BB237="Y",BC237="Y",BE237&lt;&gt;"Y",AX237&lt;&gt;"Y",BL237&lt;&gt;"Y",IF(AS237="Y",AV237="Y",TRUE)),"Y","N")</f>
        <v/>
      </c>
      <c r="BS237" s="12">
        <f>IF(AND(BR237="Y",OR(AND(BJ237="Y",BM237="Y"),AND(BK237="Y",BN237="Y"),AND(BJ237&lt;&gt;"Y",BK237&lt;&gt;"Y",OR(BM237="Y",BN237="Y")))),"Y","N")</f>
        <v/>
      </c>
      <c r="BT237" s="10" t="n"/>
      <c r="BU237" s="13" t="n"/>
      <c r="BV237" s="13" t="n"/>
      <c r="BW237" s="13" t="n"/>
      <c r="BX237" s="13" t="n"/>
      <c r="BY237" s="13" t="n"/>
      <c r="BZ237" s="13" t="n"/>
      <c r="CA237" s="14" t="n"/>
      <c r="CB237" s="13" t="n"/>
      <c r="CC237" s="9" t="n"/>
      <c r="CD237" s="9" t="n"/>
      <c r="CE237" s="9" t="n"/>
      <c r="CF237" s="9" t="n"/>
      <c r="CG237" s="9" t="n"/>
      <c r="CH237" s="9" t="n"/>
    </row>
    <row r="238">
      <c r="A238" s="8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8" t="n"/>
      <c r="L238" s="9" t="n"/>
      <c r="M238" s="8" t="n"/>
      <c r="N238" s="8" t="n"/>
      <c r="O238" s="8" t="n"/>
      <c r="P238" s="8" t="n"/>
      <c r="Q238" s="8" t="n"/>
      <c r="R238" s="9" t="n"/>
      <c r="S238" s="9" t="n"/>
      <c r="T238" s="10" t="n"/>
      <c r="U238" s="10" t="n"/>
      <c r="V238" s="9" t="n"/>
      <c r="W238" s="9" t="n"/>
      <c r="X238" s="9" t="n"/>
      <c r="Y238" s="9" t="n"/>
      <c r="Z238" s="11" t="n"/>
      <c r="AA238" s="11" t="n"/>
      <c r="AB238" s="11" t="n"/>
      <c r="AC238" s="11" t="n"/>
      <c r="AD238" s="11" t="n"/>
      <c r="AE238" s="11" t="n"/>
      <c r="AF238" s="9" t="n"/>
      <c r="AG238" s="9" t="n"/>
      <c r="AH238" s="9" t="n"/>
      <c r="AI238" s="9" t="n"/>
      <c r="AJ238" s="8" t="n"/>
      <c r="AK238" s="9" t="n"/>
      <c r="AL238" s="9" t="n"/>
      <c r="AM238" s="9" t="n"/>
      <c r="AN238" s="9" t="n"/>
      <c r="AO238" s="9" t="n"/>
      <c r="AP238" s="9" t="n"/>
      <c r="AQ238" s="9" t="n"/>
      <c r="AR238" s="9" t="n"/>
      <c r="AS238" s="9" t="n"/>
      <c r="AT238" s="8" t="n"/>
      <c r="AU238" s="8" t="n"/>
      <c r="AV238" s="9" t="n"/>
      <c r="AW238" s="8" t="n"/>
      <c r="AX238" s="9" t="n"/>
      <c r="AY238" s="9" t="n"/>
      <c r="AZ238" s="9" t="n"/>
      <c r="BA238" s="9" t="n"/>
      <c r="BB238" s="9" t="n"/>
      <c r="BC238" s="9" t="n"/>
      <c r="BD238" s="9" t="n"/>
      <c r="BE238" s="9" t="n"/>
      <c r="BF238" s="9" t="n"/>
      <c r="BG238" s="9" t="n"/>
      <c r="BH238" s="9" t="n"/>
      <c r="BI238" s="9" t="n"/>
      <c r="BJ238" s="9" t="n"/>
      <c r="BK238" s="9" t="n"/>
      <c r="BL238" s="9" t="n"/>
      <c r="BM238" s="9" t="n"/>
      <c r="BN238" s="9" t="n"/>
      <c r="BO238" s="8" t="n"/>
      <c r="BP238" s="9" t="n"/>
      <c r="BQ238" s="9" t="n"/>
      <c r="BR238" s="12">
        <f>IF(AND(AI238="Y",AK238="Y",AL238="Y",AM238="Y",AY238="Y",AZ238="Y",BA238="Y",BB238="Y",BC238="Y",BE238&lt;&gt;"Y",AX238&lt;&gt;"Y",BL238&lt;&gt;"Y",IF(AS238="Y",AV238="Y",TRUE)),"Y","N")</f>
        <v/>
      </c>
      <c r="BS238" s="12">
        <f>IF(AND(BR238="Y",OR(AND(BJ238="Y",BM238="Y"),AND(BK238="Y",BN238="Y"),AND(BJ238&lt;&gt;"Y",BK238&lt;&gt;"Y",OR(BM238="Y",BN238="Y")))),"Y","N")</f>
        <v/>
      </c>
      <c r="BT238" s="10" t="n"/>
      <c r="BU238" s="13" t="n"/>
      <c r="BV238" s="13" t="n"/>
      <c r="BW238" s="13" t="n"/>
      <c r="BX238" s="13" t="n"/>
      <c r="BY238" s="13" t="n"/>
      <c r="BZ238" s="13" t="n"/>
      <c r="CA238" s="14" t="n"/>
      <c r="CB238" s="13" t="n"/>
      <c r="CC238" s="9" t="n"/>
      <c r="CD238" s="9" t="n"/>
      <c r="CE238" s="9" t="n"/>
      <c r="CF238" s="9" t="n"/>
      <c r="CG238" s="9" t="n"/>
      <c r="CH238" s="9" t="n"/>
    </row>
    <row r="239">
      <c r="A239" s="8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8" t="n"/>
      <c r="L239" s="9" t="n"/>
      <c r="M239" s="8" t="n"/>
      <c r="N239" s="8" t="n"/>
      <c r="O239" s="8" t="n"/>
      <c r="P239" s="8" t="n"/>
      <c r="Q239" s="8" t="n"/>
      <c r="R239" s="9" t="n"/>
      <c r="S239" s="9" t="n"/>
      <c r="T239" s="10" t="n"/>
      <c r="U239" s="10" t="n"/>
      <c r="V239" s="9" t="n"/>
      <c r="W239" s="9" t="n"/>
      <c r="X239" s="9" t="n"/>
      <c r="Y239" s="9" t="n"/>
      <c r="Z239" s="11" t="n"/>
      <c r="AA239" s="11" t="n"/>
      <c r="AB239" s="11" t="n"/>
      <c r="AC239" s="11" t="n"/>
      <c r="AD239" s="11" t="n"/>
      <c r="AE239" s="11" t="n"/>
      <c r="AF239" s="9" t="n"/>
      <c r="AG239" s="9" t="n"/>
      <c r="AH239" s="9" t="n"/>
      <c r="AI239" s="9" t="n"/>
      <c r="AJ239" s="8" t="n"/>
      <c r="AK239" s="9" t="n"/>
      <c r="AL239" s="9" t="n"/>
      <c r="AM239" s="9" t="n"/>
      <c r="AN239" s="9" t="n"/>
      <c r="AO239" s="9" t="n"/>
      <c r="AP239" s="9" t="n"/>
      <c r="AQ239" s="9" t="n"/>
      <c r="AR239" s="9" t="n"/>
      <c r="AS239" s="9" t="n"/>
      <c r="AT239" s="8" t="n"/>
      <c r="AU239" s="8" t="n"/>
      <c r="AV239" s="9" t="n"/>
      <c r="AW239" s="8" t="n"/>
      <c r="AX239" s="9" t="n"/>
      <c r="AY239" s="9" t="n"/>
      <c r="AZ239" s="9" t="n"/>
      <c r="BA239" s="9" t="n"/>
      <c r="BB239" s="9" t="n"/>
      <c r="BC239" s="9" t="n"/>
      <c r="BD239" s="9" t="n"/>
      <c r="BE239" s="9" t="n"/>
      <c r="BF239" s="9" t="n"/>
      <c r="BG239" s="9" t="n"/>
      <c r="BH239" s="9" t="n"/>
      <c r="BI239" s="9" t="n"/>
      <c r="BJ239" s="9" t="n"/>
      <c r="BK239" s="9" t="n"/>
      <c r="BL239" s="9" t="n"/>
      <c r="BM239" s="9" t="n"/>
      <c r="BN239" s="9" t="n"/>
      <c r="BO239" s="8" t="n"/>
      <c r="BP239" s="9" t="n"/>
      <c r="BQ239" s="9" t="n"/>
      <c r="BR239" s="12">
        <f>IF(AND(AI239="Y",AK239="Y",AL239="Y",AM239="Y",AY239="Y",AZ239="Y",BA239="Y",BB239="Y",BC239="Y",BE239&lt;&gt;"Y",AX239&lt;&gt;"Y",BL239&lt;&gt;"Y",IF(AS239="Y",AV239="Y",TRUE)),"Y","N")</f>
        <v/>
      </c>
      <c r="BS239" s="12">
        <f>IF(AND(BR239="Y",OR(AND(BJ239="Y",BM239="Y"),AND(BK239="Y",BN239="Y"),AND(BJ239&lt;&gt;"Y",BK239&lt;&gt;"Y",OR(BM239="Y",BN239="Y")))),"Y","N")</f>
        <v/>
      </c>
      <c r="BT239" s="10" t="n"/>
      <c r="BU239" s="13" t="n"/>
      <c r="BV239" s="13" t="n"/>
      <c r="BW239" s="13" t="n"/>
      <c r="BX239" s="13" t="n"/>
      <c r="BY239" s="13" t="n"/>
      <c r="BZ239" s="13" t="n"/>
      <c r="CA239" s="14" t="n"/>
      <c r="CB239" s="13" t="n"/>
      <c r="CC239" s="9" t="n"/>
      <c r="CD239" s="9" t="n"/>
      <c r="CE239" s="9" t="n"/>
      <c r="CF239" s="9" t="n"/>
      <c r="CG239" s="9" t="n"/>
      <c r="CH239" s="9" t="n"/>
    </row>
    <row r="240">
      <c r="A240" s="8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8" t="n"/>
      <c r="L240" s="9" t="n"/>
      <c r="M240" s="8" t="n"/>
      <c r="N240" s="8" t="n"/>
      <c r="O240" s="8" t="n"/>
      <c r="P240" s="8" t="n"/>
      <c r="Q240" s="8" t="n"/>
      <c r="R240" s="9" t="n"/>
      <c r="S240" s="9" t="n"/>
      <c r="T240" s="10" t="n"/>
      <c r="U240" s="10" t="n"/>
      <c r="V240" s="9" t="n"/>
      <c r="W240" s="9" t="n"/>
      <c r="X240" s="9" t="n"/>
      <c r="Y240" s="9" t="n"/>
      <c r="Z240" s="11" t="n"/>
      <c r="AA240" s="11" t="n"/>
      <c r="AB240" s="11" t="n"/>
      <c r="AC240" s="11" t="n"/>
      <c r="AD240" s="11" t="n"/>
      <c r="AE240" s="11" t="n"/>
      <c r="AF240" s="9" t="n"/>
      <c r="AG240" s="9" t="n"/>
      <c r="AH240" s="9" t="n"/>
      <c r="AI240" s="9" t="n"/>
      <c r="AJ240" s="8" t="n"/>
      <c r="AK240" s="9" t="n"/>
      <c r="AL240" s="9" t="n"/>
      <c r="AM240" s="9" t="n"/>
      <c r="AN240" s="9" t="n"/>
      <c r="AO240" s="9" t="n"/>
      <c r="AP240" s="9" t="n"/>
      <c r="AQ240" s="9" t="n"/>
      <c r="AR240" s="9" t="n"/>
      <c r="AS240" s="9" t="n"/>
      <c r="AT240" s="8" t="n"/>
      <c r="AU240" s="8" t="n"/>
      <c r="AV240" s="9" t="n"/>
      <c r="AW240" s="8" t="n"/>
      <c r="AX240" s="9" t="n"/>
      <c r="AY240" s="9" t="n"/>
      <c r="AZ240" s="9" t="n"/>
      <c r="BA240" s="9" t="n"/>
      <c r="BB240" s="9" t="n"/>
      <c r="BC240" s="9" t="n"/>
      <c r="BD240" s="9" t="n"/>
      <c r="BE240" s="9" t="n"/>
      <c r="BF240" s="9" t="n"/>
      <c r="BG240" s="9" t="n"/>
      <c r="BH240" s="9" t="n"/>
      <c r="BI240" s="9" t="n"/>
      <c r="BJ240" s="9" t="n"/>
      <c r="BK240" s="9" t="n"/>
      <c r="BL240" s="9" t="n"/>
      <c r="BM240" s="9" t="n"/>
      <c r="BN240" s="9" t="n"/>
      <c r="BO240" s="8" t="n"/>
      <c r="BP240" s="9" t="n"/>
      <c r="BQ240" s="9" t="n"/>
      <c r="BR240" s="12">
        <f>IF(AND(AI240="Y",AK240="Y",AL240="Y",AM240="Y",AY240="Y",AZ240="Y",BA240="Y",BB240="Y",BC240="Y",BE240&lt;&gt;"Y",AX240&lt;&gt;"Y",BL240&lt;&gt;"Y",IF(AS240="Y",AV240="Y",TRUE)),"Y","N")</f>
        <v/>
      </c>
      <c r="BS240" s="12">
        <f>IF(AND(BR240="Y",OR(AND(BJ240="Y",BM240="Y"),AND(BK240="Y",BN240="Y"),AND(BJ240&lt;&gt;"Y",BK240&lt;&gt;"Y",OR(BM240="Y",BN240="Y")))),"Y","N")</f>
        <v/>
      </c>
      <c r="BT240" s="10" t="n"/>
      <c r="BU240" s="13" t="n"/>
      <c r="BV240" s="13" t="n"/>
      <c r="BW240" s="13" t="n"/>
      <c r="BX240" s="13" t="n"/>
      <c r="BY240" s="13" t="n"/>
      <c r="BZ240" s="13" t="n"/>
      <c r="CA240" s="14" t="n"/>
      <c r="CB240" s="13" t="n"/>
      <c r="CC240" s="9" t="n"/>
      <c r="CD240" s="9" t="n"/>
      <c r="CE240" s="9" t="n"/>
      <c r="CF240" s="9" t="n"/>
      <c r="CG240" s="9" t="n"/>
      <c r="CH240" s="9" t="n"/>
    </row>
    <row r="241">
      <c r="A241" s="8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8" t="n"/>
      <c r="L241" s="9" t="n"/>
      <c r="M241" s="8" t="n"/>
      <c r="N241" s="8" t="n"/>
      <c r="O241" s="8" t="n"/>
      <c r="P241" s="8" t="n"/>
      <c r="Q241" s="8" t="n"/>
      <c r="R241" s="9" t="n"/>
      <c r="S241" s="9" t="n"/>
      <c r="T241" s="10" t="n"/>
      <c r="U241" s="10" t="n"/>
      <c r="V241" s="9" t="n"/>
      <c r="W241" s="9" t="n"/>
      <c r="X241" s="9" t="n"/>
      <c r="Y241" s="9" t="n"/>
      <c r="Z241" s="11" t="n"/>
      <c r="AA241" s="11" t="n"/>
      <c r="AB241" s="11" t="n"/>
      <c r="AC241" s="11" t="n"/>
      <c r="AD241" s="11" t="n"/>
      <c r="AE241" s="11" t="n"/>
      <c r="AF241" s="9" t="n"/>
      <c r="AG241" s="9" t="n"/>
      <c r="AH241" s="9" t="n"/>
      <c r="AI241" s="9" t="n"/>
      <c r="AJ241" s="8" t="n"/>
      <c r="AK241" s="9" t="n"/>
      <c r="AL241" s="9" t="n"/>
      <c r="AM241" s="9" t="n"/>
      <c r="AN241" s="9" t="n"/>
      <c r="AO241" s="9" t="n"/>
      <c r="AP241" s="9" t="n"/>
      <c r="AQ241" s="9" t="n"/>
      <c r="AR241" s="9" t="n"/>
      <c r="AS241" s="9" t="n"/>
      <c r="AT241" s="8" t="n"/>
      <c r="AU241" s="8" t="n"/>
      <c r="AV241" s="9" t="n"/>
      <c r="AW241" s="8" t="n"/>
      <c r="AX241" s="9" t="n"/>
      <c r="AY241" s="9" t="n"/>
      <c r="AZ241" s="9" t="n"/>
      <c r="BA241" s="9" t="n"/>
      <c r="BB241" s="9" t="n"/>
      <c r="BC241" s="9" t="n"/>
      <c r="BD241" s="9" t="n"/>
      <c r="BE241" s="9" t="n"/>
      <c r="BF241" s="9" t="n"/>
      <c r="BG241" s="9" t="n"/>
      <c r="BH241" s="9" t="n"/>
      <c r="BI241" s="9" t="n"/>
      <c r="BJ241" s="9" t="n"/>
      <c r="BK241" s="9" t="n"/>
      <c r="BL241" s="9" t="n"/>
      <c r="BM241" s="9" t="n"/>
      <c r="BN241" s="9" t="n"/>
      <c r="BO241" s="8" t="n"/>
      <c r="BP241" s="9" t="n"/>
      <c r="BQ241" s="9" t="n"/>
      <c r="BR241" s="12">
        <f>IF(AND(AI241="Y",AK241="Y",AL241="Y",AM241="Y",AY241="Y",AZ241="Y",BA241="Y",BB241="Y",BC241="Y",BE241&lt;&gt;"Y",AX241&lt;&gt;"Y",BL241&lt;&gt;"Y",IF(AS241="Y",AV241="Y",TRUE)),"Y","N")</f>
        <v/>
      </c>
      <c r="BS241" s="12">
        <f>IF(AND(BR241="Y",OR(AND(BJ241="Y",BM241="Y"),AND(BK241="Y",BN241="Y"),AND(BJ241&lt;&gt;"Y",BK241&lt;&gt;"Y",OR(BM241="Y",BN241="Y")))),"Y","N")</f>
        <v/>
      </c>
      <c r="BT241" s="10" t="n"/>
      <c r="BU241" s="13" t="n"/>
      <c r="BV241" s="13" t="n"/>
      <c r="BW241" s="13" t="n"/>
      <c r="BX241" s="13" t="n"/>
      <c r="BY241" s="13" t="n"/>
      <c r="BZ241" s="13" t="n"/>
      <c r="CA241" s="14" t="n"/>
      <c r="CB241" s="13" t="n"/>
      <c r="CC241" s="9" t="n"/>
      <c r="CD241" s="9" t="n"/>
      <c r="CE241" s="9" t="n"/>
      <c r="CF241" s="9" t="n"/>
      <c r="CG241" s="9" t="n"/>
      <c r="CH241" s="9" t="n"/>
    </row>
    <row r="242">
      <c r="A242" s="8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8" t="n"/>
      <c r="L242" s="9" t="n"/>
      <c r="M242" s="8" t="n"/>
      <c r="N242" s="8" t="n"/>
      <c r="O242" s="8" t="n"/>
      <c r="P242" s="8" t="n"/>
      <c r="Q242" s="8" t="n"/>
      <c r="R242" s="9" t="n"/>
      <c r="S242" s="9" t="n"/>
      <c r="T242" s="10" t="n"/>
      <c r="U242" s="10" t="n"/>
      <c r="V242" s="9" t="n"/>
      <c r="W242" s="9" t="n"/>
      <c r="X242" s="9" t="n"/>
      <c r="Y242" s="9" t="n"/>
      <c r="Z242" s="11" t="n"/>
      <c r="AA242" s="11" t="n"/>
      <c r="AB242" s="11" t="n"/>
      <c r="AC242" s="11" t="n"/>
      <c r="AD242" s="11" t="n"/>
      <c r="AE242" s="11" t="n"/>
      <c r="AF242" s="9" t="n"/>
      <c r="AG242" s="9" t="n"/>
      <c r="AH242" s="9" t="n"/>
      <c r="AI242" s="9" t="n"/>
      <c r="AJ242" s="8" t="n"/>
      <c r="AK242" s="9" t="n"/>
      <c r="AL242" s="9" t="n"/>
      <c r="AM242" s="9" t="n"/>
      <c r="AN242" s="9" t="n"/>
      <c r="AO242" s="9" t="n"/>
      <c r="AP242" s="9" t="n"/>
      <c r="AQ242" s="9" t="n"/>
      <c r="AR242" s="9" t="n"/>
      <c r="AS242" s="9" t="n"/>
      <c r="AT242" s="8" t="n"/>
      <c r="AU242" s="8" t="n"/>
      <c r="AV242" s="9" t="n"/>
      <c r="AW242" s="8" t="n"/>
      <c r="AX242" s="9" t="n"/>
      <c r="AY242" s="9" t="n"/>
      <c r="AZ242" s="9" t="n"/>
      <c r="BA242" s="9" t="n"/>
      <c r="BB242" s="9" t="n"/>
      <c r="BC242" s="9" t="n"/>
      <c r="BD242" s="9" t="n"/>
      <c r="BE242" s="9" t="n"/>
      <c r="BF242" s="9" t="n"/>
      <c r="BG242" s="9" t="n"/>
      <c r="BH242" s="9" t="n"/>
      <c r="BI242" s="9" t="n"/>
      <c r="BJ242" s="9" t="n"/>
      <c r="BK242" s="9" t="n"/>
      <c r="BL242" s="9" t="n"/>
      <c r="BM242" s="9" t="n"/>
      <c r="BN242" s="9" t="n"/>
      <c r="BO242" s="8" t="n"/>
      <c r="BP242" s="9" t="n"/>
      <c r="BQ242" s="9" t="n"/>
      <c r="BR242" s="12">
        <f>IF(AND(AI242="Y",AK242="Y",AL242="Y",AM242="Y",AY242="Y",AZ242="Y",BA242="Y",BB242="Y",BC242="Y",BE242&lt;&gt;"Y",AX242&lt;&gt;"Y",BL242&lt;&gt;"Y",IF(AS242="Y",AV242="Y",TRUE)),"Y","N")</f>
        <v/>
      </c>
      <c r="BS242" s="12">
        <f>IF(AND(BR242="Y",OR(AND(BJ242="Y",BM242="Y"),AND(BK242="Y",BN242="Y"),AND(BJ242&lt;&gt;"Y",BK242&lt;&gt;"Y",OR(BM242="Y",BN242="Y")))),"Y","N")</f>
        <v/>
      </c>
      <c r="BT242" s="10" t="n"/>
      <c r="BU242" s="13" t="n"/>
      <c r="BV242" s="13" t="n"/>
      <c r="BW242" s="13" t="n"/>
      <c r="BX242" s="13" t="n"/>
      <c r="BY242" s="13" t="n"/>
      <c r="BZ242" s="13" t="n"/>
      <c r="CA242" s="14" t="n"/>
      <c r="CB242" s="13" t="n"/>
      <c r="CC242" s="9" t="n"/>
      <c r="CD242" s="9" t="n"/>
      <c r="CE242" s="9" t="n"/>
      <c r="CF242" s="9" t="n"/>
      <c r="CG242" s="9" t="n"/>
      <c r="CH242" s="9" t="n"/>
    </row>
    <row r="243">
      <c r="A243" s="8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8" t="n"/>
      <c r="L243" s="9" t="n"/>
      <c r="M243" s="8" t="n"/>
      <c r="N243" s="8" t="n"/>
      <c r="O243" s="8" t="n"/>
      <c r="P243" s="8" t="n"/>
      <c r="Q243" s="8" t="n"/>
      <c r="R243" s="9" t="n"/>
      <c r="S243" s="9" t="n"/>
      <c r="T243" s="10" t="n"/>
      <c r="U243" s="10" t="n"/>
      <c r="V243" s="9" t="n"/>
      <c r="W243" s="9" t="n"/>
      <c r="X243" s="9" t="n"/>
      <c r="Y243" s="9" t="n"/>
      <c r="Z243" s="11" t="n"/>
      <c r="AA243" s="11" t="n"/>
      <c r="AB243" s="11" t="n"/>
      <c r="AC243" s="11" t="n"/>
      <c r="AD243" s="11" t="n"/>
      <c r="AE243" s="11" t="n"/>
      <c r="AF243" s="9" t="n"/>
      <c r="AG243" s="9" t="n"/>
      <c r="AH243" s="9" t="n"/>
      <c r="AI243" s="9" t="n"/>
      <c r="AJ243" s="8" t="n"/>
      <c r="AK243" s="9" t="n"/>
      <c r="AL243" s="9" t="n"/>
      <c r="AM243" s="9" t="n"/>
      <c r="AN243" s="9" t="n"/>
      <c r="AO243" s="9" t="n"/>
      <c r="AP243" s="9" t="n"/>
      <c r="AQ243" s="9" t="n"/>
      <c r="AR243" s="9" t="n"/>
      <c r="AS243" s="9" t="n"/>
      <c r="AT243" s="8" t="n"/>
      <c r="AU243" s="8" t="n"/>
      <c r="AV243" s="9" t="n"/>
      <c r="AW243" s="8" t="n"/>
      <c r="AX243" s="9" t="n"/>
      <c r="AY243" s="9" t="n"/>
      <c r="AZ243" s="9" t="n"/>
      <c r="BA243" s="9" t="n"/>
      <c r="BB243" s="9" t="n"/>
      <c r="BC243" s="9" t="n"/>
      <c r="BD243" s="9" t="n"/>
      <c r="BE243" s="9" t="n"/>
      <c r="BF243" s="9" t="n"/>
      <c r="BG243" s="9" t="n"/>
      <c r="BH243" s="9" t="n"/>
      <c r="BI243" s="9" t="n"/>
      <c r="BJ243" s="9" t="n"/>
      <c r="BK243" s="9" t="n"/>
      <c r="BL243" s="9" t="n"/>
      <c r="BM243" s="9" t="n"/>
      <c r="BN243" s="9" t="n"/>
      <c r="BO243" s="8" t="n"/>
      <c r="BP243" s="9" t="n"/>
      <c r="BQ243" s="9" t="n"/>
      <c r="BR243" s="12">
        <f>IF(AND(AI243="Y",AK243="Y",AL243="Y",AM243="Y",AY243="Y",AZ243="Y",BA243="Y",BB243="Y",BC243="Y",BE243&lt;&gt;"Y",AX243&lt;&gt;"Y",BL243&lt;&gt;"Y",IF(AS243="Y",AV243="Y",TRUE)),"Y","N")</f>
        <v/>
      </c>
      <c r="BS243" s="12">
        <f>IF(AND(BR243="Y",OR(AND(BJ243="Y",BM243="Y"),AND(BK243="Y",BN243="Y"),AND(BJ243&lt;&gt;"Y",BK243&lt;&gt;"Y",OR(BM243="Y",BN243="Y")))),"Y","N")</f>
        <v/>
      </c>
      <c r="BT243" s="10" t="n"/>
      <c r="BU243" s="13" t="n"/>
      <c r="BV243" s="13" t="n"/>
      <c r="BW243" s="13" t="n"/>
      <c r="BX243" s="13" t="n"/>
      <c r="BY243" s="13" t="n"/>
      <c r="BZ243" s="13" t="n"/>
      <c r="CA243" s="14" t="n"/>
      <c r="CB243" s="13" t="n"/>
      <c r="CC243" s="9" t="n"/>
      <c r="CD243" s="9" t="n"/>
      <c r="CE243" s="9" t="n"/>
      <c r="CF243" s="9" t="n"/>
      <c r="CG243" s="9" t="n"/>
      <c r="CH243" s="9" t="n"/>
    </row>
    <row r="244">
      <c r="A244" s="8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8" t="n"/>
      <c r="L244" s="9" t="n"/>
      <c r="M244" s="8" t="n"/>
      <c r="N244" s="8" t="n"/>
      <c r="O244" s="8" t="n"/>
      <c r="P244" s="8" t="n"/>
      <c r="Q244" s="8" t="n"/>
      <c r="R244" s="9" t="n"/>
      <c r="S244" s="9" t="n"/>
      <c r="T244" s="10" t="n"/>
      <c r="U244" s="10" t="n"/>
      <c r="V244" s="9" t="n"/>
      <c r="W244" s="9" t="n"/>
      <c r="X244" s="9" t="n"/>
      <c r="Y244" s="9" t="n"/>
      <c r="Z244" s="11" t="n"/>
      <c r="AA244" s="11" t="n"/>
      <c r="AB244" s="11" t="n"/>
      <c r="AC244" s="11" t="n"/>
      <c r="AD244" s="11" t="n"/>
      <c r="AE244" s="11" t="n"/>
      <c r="AF244" s="9" t="n"/>
      <c r="AG244" s="9" t="n"/>
      <c r="AH244" s="9" t="n"/>
      <c r="AI244" s="9" t="n"/>
      <c r="AJ244" s="8" t="n"/>
      <c r="AK244" s="9" t="n"/>
      <c r="AL244" s="9" t="n"/>
      <c r="AM244" s="9" t="n"/>
      <c r="AN244" s="9" t="n"/>
      <c r="AO244" s="9" t="n"/>
      <c r="AP244" s="9" t="n"/>
      <c r="AQ244" s="9" t="n"/>
      <c r="AR244" s="9" t="n"/>
      <c r="AS244" s="9" t="n"/>
      <c r="AT244" s="8" t="n"/>
      <c r="AU244" s="8" t="n"/>
      <c r="AV244" s="9" t="n"/>
      <c r="AW244" s="8" t="n"/>
      <c r="AX244" s="9" t="n"/>
      <c r="AY244" s="9" t="n"/>
      <c r="AZ244" s="9" t="n"/>
      <c r="BA244" s="9" t="n"/>
      <c r="BB244" s="9" t="n"/>
      <c r="BC244" s="9" t="n"/>
      <c r="BD244" s="9" t="n"/>
      <c r="BE244" s="9" t="n"/>
      <c r="BF244" s="9" t="n"/>
      <c r="BG244" s="9" t="n"/>
      <c r="BH244" s="9" t="n"/>
      <c r="BI244" s="9" t="n"/>
      <c r="BJ244" s="9" t="n"/>
      <c r="BK244" s="9" t="n"/>
      <c r="BL244" s="9" t="n"/>
      <c r="BM244" s="9" t="n"/>
      <c r="BN244" s="9" t="n"/>
      <c r="BO244" s="8" t="n"/>
      <c r="BP244" s="9" t="n"/>
      <c r="BQ244" s="9" t="n"/>
      <c r="BR244" s="12">
        <f>IF(AND(AI244="Y",AK244="Y",AL244="Y",AM244="Y",AY244="Y",AZ244="Y",BA244="Y",BB244="Y",BC244="Y",BE244&lt;&gt;"Y",AX244&lt;&gt;"Y",BL244&lt;&gt;"Y",IF(AS244="Y",AV244="Y",TRUE)),"Y","N")</f>
        <v/>
      </c>
      <c r="BS244" s="12">
        <f>IF(AND(BR244="Y",OR(AND(BJ244="Y",BM244="Y"),AND(BK244="Y",BN244="Y"),AND(BJ244&lt;&gt;"Y",BK244&lt;&gt;"Y",OR(BM244="Y",BN244="Y")))),"Y","N")</f>
        <v/>
      </c>
      <c r="BT244" s="10" t="n"/>
      <c r="BU244" s="13" t="n"/>
      <c r="BV244" s="13" t="n"/>
      <c r="BW244" s="13" t="n"/>
      <c r="BX244" s="13" t="n"/>
      <c r="BY244" s="13" t="n"/>
      <c r="BZ244" s="13" t="n"/>
      <c r="CA244" s="14" t="n"/>
      <c r="CB244" s="13" t="n"/>
      <c r="CC244" s="9" t="n"/>
      <c r="CD244" s="9" t="n"/>
      <c r="CE244" s="9" t="n"/>
      <c r="CF244" s="9" t="n"/>
      <c r="CG244" s="9" t="n"/>
      <c r="CH244" s="9" t="n"/>
    </row>
    <row r="245">
      <c r="A245" s="8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8" t="n"/>
      <c r="L245" s="9" t="n"/>
      <c r="M245" s="8" t="n"/>
      <c r="N245" s="8" t="n"/>
      <c r="O245" s="8" t="n"/>
      <c r="P245" s="8" t="n"/>
      <c r="Q245" s="8" t="n"/>
      <c r="R245" s="9" t="n"/>
      <c r="S245" s="9" t="n"/>
      <c r="T245" s="10" t="n"/>
      <c r="U245" s="10" t="n"/>
      <c r="V245" s="9" t="n"/>
      <c r="W245" s="9" t="n"/>
      <c r="X245" s="9" t="n"/>
      <c r="Y245" s="9" t="n"/>
      <c r="Z245" s="11" t="n"/>
      <c r="AA245" s="11" t="n"/>
      <c r="AB245" s="11" t="n"/>
      <c r="AC245" s="11" t="n"/>
      <c r="AD245" s="11" t="n"/>
      <c r="AE245" s="11" t="n"/>
      <c r="AF245" s="9" t="n"/>
      <c r="AG245" s="9" t="n"/>
      <c r="AH245" s="9" t="n"/>
      <c r="AI245" s="9" t="n"/>
      <c r="AJ245" s="8" t="n"/>
      <c r="AK245" s="9" t="n"/>
      <c r="AL245" s="9" t="n"/>
      <c r="AM245" s="9" t="n"/>
      <c r="AN245" s="9" t="n"/>
      <c r="AO245" s="9" t="n"/>
      <c r="AP245" s="9" t="n"/>
      <c r="AQ245" s="9" t="n"/>
      <c r="AR245" s="9" t="n"/>
      <c r="AS245" s="9" t="n"/>
      <c r="AT245" s="8" t="n"/>
      <c r="AU245" s="8" t="n"/>
      <c r="AV245" s="9" t="n"/>
      <c r="AW245" s="8" t="n"/>
      <c r="AX245" s="9" t="n"/>
      <c r="AY245" s="9" t="n"/>
      <c r="AZ245" s="9" t="n"/>
      <c r="BA245" s="9" t="n"/>
      <c r="BB245" s="9" t="n"/>
      <c r="BC245" s="9" t="n"/>
      <c r="BD245" s="9" t="n"/>
      <c r="BE245" s="9" t="n"/>
      <c r="BF245" s="9" t="n"/>
      <c r="BG245" s="9" t="n"/>
      <c r="BH245" s="9" t="n"/>
      <c r="BI245" s="9" t="n"/>
      <c r="BJ245" s="9" t="n"/>
      <c r="BK245" s="9" t="n"/>
      <c r="BL245" s="9" t="n"/>
      <c r="BM245" s="9" t="n"/>
      <c r="BN245" s="9" t="n"/>
      <c r="BO245" s="8" t="n"/>
      <c r="BP245" s="9" t="n"/>
      <c r="BQ245" s="9" t="n"/>
      <c r="BR245" s="12">
        <f>IF(AND(AI245="Y",AK245="Y",AL245="Y",AM245="Y",AY245="Y",AZ245="Y",BA245="Y",BB245="Y",BC245="Y",BE245&lt;&gt;"Y",AX245&lt;&gt;"Y",BL245&lt;&gt;"Y",IF(AS245="Y",AV245="Y",TRUE)),"Y","N")</f>
        <v/>
      </c>
      <c r="BS245" s="12">
        <f>IF(AND(BR245="Y",OR(AND(BJ245="Y",BM245="Y"),AND(BK245="Y",BN245="Y"),AND(BJ245&lt;&gt;"Y",BK245&lt;&gt;"Y",OR(BM245="Y",BN245="Y")))),"Y","N")</f>
        <v/>
      </c>
      <c r="BT245" s="10" t="n"/>
      <c r="BU245" s="13" t="n"/>
      <c r="BV245" s="13" t="n"/>
      <c r="BW245" s="13" t="n"/>
      <c r="BX245" s="13" t="n"/>
      <c r="BY245" s="13" t="n"/>
      <c r="BZ245" s="13" t="n"/>
      <c r="CA245" s="14" t="n"/>
      <c r="CB245" s="13" t="n"/>
      <c r="CC245" s="9" t="n"/>
      <c r="CD245" s="9" t="n"/>
      <c r="CE245" s="9" t="n"/>
      <c r="CF245" s="9" t="n"/>
      <c r="CG245" s="9" t="n"/>
      <c r="CH245" s="9" t="n"/>
    </row>
    <row r="246">
      <c r="A246" s="8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8" t="n"/>
      <c r="L246" s="9" t="n"/>
      <c r="M246" s="8" t="n"/>
      <c r="N246" s="8" t="n"/>
      <c r="O246" s="8" t="n"/>
      <c r="P246" s="8" t="n"/>
      <c r="Q246" s="8" t="n"/>
      <c r="R246" s="9" t="n"/>
      <c r="S246" s="9" t="n"/>
      <c r="T246" s="10" t="n"/>
      <c r="U246" s="10" t="n"/>
      <c r="V246" s="9" t="n"/>
      <c r="W246" s="9" t="n"/>
      <c r="X246" s="9" t="n"/>
      <c r="Y246" s="9" t="n"/>
      <c r="Z246" s="11" t="n"/>
      <c r="AA246" s="11" t="n"/>
      <c r="AB246" s="11" t="n"/>
      <c r="AC246" s="11" t="n"/>
      <c r="AD246" s="11" t="n"/>
      <c r="AE246" s="11" t="n"/>
      <c r="AF246" s="9" t="n"/>
      <c r="AG246" s="9" t="n"/>
      <c r="AH246" s="9" t="n"/>
      <c r="AI246" s="9" t="n"/>
      <c r="AJ246" s="8" t="n"/>
      <c r="AK246" s="9" t="n"/>
      <c r="AL246" s="9" t="n"/>
      <c r="AM246" s="9" t="n"/>
      <c r="AN246" s="9" t="n"/>
      <c r="AO246" s="9" t="n"/>
      <c r="AP246" s="9" t="n"/>
      <c r="AQ246" s="9" t="n"/>
      <c r="AR246" s="9" t="n"/>
      <c r="AS246" s="9" t="n"/>
      <c r="AT246" s="8" t="n"/>
      <c r="AU246" s="8" t="n"/>
      <c r="AV246" s="9" t="n"/>
      <c r="AW246" s="8" t="n"/>
      <c r="AX246" s="9" t="n"/>
      <c r="AY246" s="9" t="n"/>
      <c r="AZ246" s="9" t="n"/>
      <c r="BA246" s="9" t="n"/>
      <c r="BB246" s="9" t="n"/>
      <c r="BC246" s="9" t="n"/>
      <c r="BD246" s="9" t="n"/>
      <c r="BE246" s="9" t="n"/>
      <c r="BF246" s="9" t="n"/>
      <c r="BG246" s="9" t="n"/>
      <c r="BH246" s="9" t="n"/>
      <c r="BI246" s="9" t="n"/>
      <c r="BJ246" s="9" t="n"/>
      <c r="BK246" s="9" t="n"/>
      <c r="BL246" s="9" t="n"/>
      <c r="BM246" s="9" t="n"/>
      <c r="BN246" s="9" t="n"/>
      <c r="BO246" s="8" t="n"/>
      <c r="BP246" s="9" t="n"/>
      <c r="BQ246" s="9" t="n"/>
      <c r="BR246" s="12">
        <f>IF(AND(AI246="Y",AK246="Y",AL246="Y",AM246="Y",AY246="Y",AZ246="Y",BA246="Y",BB246="Y",BC246="Y",BE246&lt;&gt;"Y",AX246&lt;&gt;"Y",BL246&lt;&gt;"Y",IF(AS246="Y",AV246="Y",TRUE)),"Y","N")</f>
        <v/>
      </c>
      <c r="BS246" s="12">
        <f>IF(AND(BR246="Y",OR(AND(BJ246="Y",BM246="Y"),AND(BK246="Y",BN246="Y"),AND(BJ246&lt;&gt;"Y",BK246&lt;&gt;"Y",OR(BM246="Y",BN246="Y")))),"Y","N")</f>
        <v/>
      </c>
      <c r="BT246" s="10" t="n"/>
      <c r="BU246" s="13" t="n"/>
      <c r="BV246" s="13" t="n"/>
      <c r="BW246" s="13" t="n"/>
      <c r="BX246" s="13" t="n"/>
      <c r="BY246" s="13" t="n"/>
      <c r="BZ246" s="13" t="n"/>
      <c r="CA246" s="14" t="n"/>
      <c r="CB246" s="13" t="n"/>
      <c r="CC246" s="9" t="n"/>
      <c r="CD246" s="9" t="n"/>
      <c r="CE246" s="9" t="n"/>
      <c r="CF246" s="9" t="n"/>
      <c r="CG246" s="9" t="n"/>
      <c r="CH246" s="9" t="n"/>
    </row>
    <row r="247">
      <c r="A247" s="8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8" t="n"/>
      <c r="L247" s="9" t="n"/>
      <c r="M247" s="8" t="n"/>
      <c r="N247" s="8" t="n"/>
      <c r="O247" s="8" t="n"/>
      <c r="P247" s="8" t="n"/>
      <c r="Q247" s="8" t="n"/>
      <c r="R247" s="9" t="n"/>
      <c r="S247" s="9" t="n"/>
      <c r="T247" s="10" t="n"/>
      <c r="U247" s="10" t="n"/>
      <c r="V247" s="9" t="n"/>
      <c r="W247" s="9" t="n"/>
      <c r="X247" s="9" t="n"/>
      <c r="Y247" s="9" t="n"/>
      <c r="Z247" s="11" t="n"/>
      <c r="AA247" s="11" t="n"/>
      <c r="AB247" s="11" t="n"/>
      <c r="AC247" s="11" t="n"/>
      <c r="AD247" s="11" t="n"/>
      <c r="AE247" s="11" t="n"/>
      <c r="AF247" s="9" t="n"/>
      <c r="AG247" s="9" t="n"/>
      <c r="AH247" s="9" t="n"/>
      <c r="AI247" s="9" t="n"/>
      <c r="AJ247" s="8" t="n"/>
      <c r="AK247" s="9" t="n"/>
      <c r="AL247" s="9" t="n"/>
      <c r="AM247" s="9" t="n"/>
      <c r="AN247" s="9" t="n"/>
      <c r="AO247" s="9" t="n"/>
      <c r="AP247" s="9" t="n"/>
      <c r="AQ247" s="9" t="n"/>
      <c r="AR247" s="9" t="n"/>
      <c r="AS247" s="9" t="n"/>
      <c r="AT247" s="8" t="n"/>
      <c r="AU247" s="8" t="n"/>
      <c r="AV247" s="9" t="n"/>
      <c r="AW247" s="8" t="n"/>
      <c r="AX247" s="9" t="n"/>
      <c r="AY247" s="9" t="n"/>
      <c r="AZ247" s="9" t="n"/>
      <c r="BA247" s="9" t="n"/>
      <c r="BB247" s="9" t="n"/>
      <c r="BC247" s="9" t="n"/>
      <c r="BD247" s="9" t="n"/>
      <c r="BE247" s="9" t="n"/>
      <c r="BF247" s="9" t="n"/>
      <c r="BG247" s="9" t="n"/>
      <c r="BH247" s="9" t="n"/>
      <c r="BI247" s="9" t="n"/>
      <c r="BJ247" s="9" t="n"/>
      <c r="BK247" s="9" t="n"/>
      <c r="BL247" s="9" t="n"/>
      <c r="BM247" s="9" t="n"/>
      <c r="BN247" s="9" t="n"/>
      <c r="BO247" s="8" t="n"/>
      <c r="BP247" s="9" t="n"/>
      <c r="BQ247" s="9" t="n"/>
      <c r="BR247" s="12">
        <f>IF(AND(AI247="Y",AK247="Y",AL247="Y",AM247="Y",AY247="Y",AZ247="Y",BA247="Y",BB247="Y",BC247="Y",BE247&lt;&gt;"Y",AX247&lt;&gt;"Y",BL247&lt;&gt;"Y",IF(AS247="Y",AV247="Y",TRUE)),"Y","N")</f>
        <v/>
      </c>
      <c r="BS247" s="12">
        <f>IF(AND(BR247="Y",OR(AND(BJ247="Y",BM247="Y"),AND(BK247="Y",BN247="Y"),AND(BJ247&lt;&gt;"Y",BK247&lt;&gt;"Y",OR(BM247="Y",BN247="Y")))),"Y","N")</f>
        <v/>
      </c>
      <c r="BT247" s="10" t="n"/>
      <c r="BU247" s="13" t="n"/>
      <c r="BV247" s="13" t="n"/>
      <c r="BW247" s="13" t="n"/>
      <c r="BX247" s="13" t="n"/>
      <c r="BY247" s="13" t="n"/>
      <c r="BZ247" s="13" t="n"/>
      <c r="CA247" s="14" t="n"/>
      <c r="CB247" s="13" t="n"/>
      <c r="CC247" s="9" t="n"/>
      <c r="CD247" s="9" t="n"/>
      <c r="CE247" s="9" t="n"/>
      <c r="CF247" s="9" t="n"/>
      <c r="CG247" s="9" t="n"/>
      <c r="CH247" s="9" t="n"/>
    </row>
    <row r="248">
      <c r="A248" s="8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8" t="n"/>
      <c r="L248" s="9" t="n"/>
      <c r="M248" s="8" t="n"/>
      <c r="N248" s="8" t="n"/>
      <c r="O248" s="8" t="n"/>
      <c r="P248" s="8" t="n"/>
      <c r="Q248" s="8" t="n"/>
      <c r="R248" s="9" t="n"/>
      <c r="S248" s="9" t="n"/>
      <c r="T248" s="10" t="n"/>
      <c r="U248" s="10" t="n"/>
      <c r="V248" s="9" t="n"/>
      <c r="W248" s="9" t="n"/>
      <c r="X248" s="9" t="n"/>
      <c r="Y248" s="9" t="n"/>
      <c r="Z248" s="11" t="n"/>
      <c r="AA248" s="11" t="n"/>
      <c r="AB248" s="11" t="n"/>
      <c r="AC248" s="11" t="n"/>
      <c r="AD248" s="11" t="n"/>
      <c r="AE248" s="11" t="n"/>
      <c r="AF248" s="9" t="n"/>
      <c r="AG248" s="9" t="n"/>
      <c r="AH248" s="9" t="n"/>
      <c r="AI248" s="9" t="n"/>
      <c r="AJ248" s="8" t="n"/>
      <c r="AK248" s="9" t="n"/>
      <c r="AL248" s="9" t="n"/>
      <c r="AM248" s="9" t="n"/>
      <c r="AN248" s="9" t="n"/>
      <c r="AO248" s="9" t="n"/>
      <c r="AP248" s="9" t="n"/>
      <c r="AQ248" s="9" t="n"/>
      <c r="AR248" s="9" t="n"/>
      <c r="AS248" s="9" t="n"/>
      <c r="AT248" s="8" t="n"/>
      <c r="AU248" s="8" t="n"/>
      <c r="AV248" s="9" t="n"/>
      <c r="AW248" s="8" t="n"/>
      <c r="AX248" s="9" t="n"/>
      <c r="AY248" s="9" t="n"/>
      <c r="AZ248" s="9" t="n"/>
      <c r="BA248" s="9" t="n"/>
      <c r="BB248" s="9" t="n"/>
      <c r="BC248" s="9" t="n"/>
      <c r="BD248" s="9" t="n"/>
      <c r="BE248" s="9" t="n"/>
      <c r="BF248" s="9" t="n"/>
      <c r="BG248" s="9" t="n"/>
      <c r="BH248" s="9" t="n"/>
      <c r="BI248" s="9" t="n"/>
      <c r="BJ248" s="9" t="n"/>
      <c r="BK248" s="9" t="n"/>
      <c r="BL248" s="9" t="n"/>
      <c r="BM248" s="9" t="n"/>
      <c r="BN248" s="9" t="n"/>
      <c r="BO248" s="8" t="n"/>
      <c r="BP248" s="9" t="n"/>
      <c r="BQ248" s="9" t="n"/>
      <c r="BR248" s="12">
        <f>IF(AND(AI248="Y",AK248="Y",AL248="Y",AM248="Y",AY248="Y",AZ248="Y",BA248="Y",BB248="Y",BC248="Y",BE248&lt;&gt;"Y",AX248&lt;&gt;"Y",BL248&lt;&gt;"Y",IF(AS248="Y",AV248="Y",TRUE)),"Y","N")</f>
        <v/>
      </c>
      <c r="BS248" s="12">
        <f>IF(AND(BR248="Y",OR(AND(BJ248="Y",BM248="Y"),AND(BK248="Y",BN248="Y"),AND(BJ248&lt;&gt;"Y",BK248&lt;&gt;"Y",OR(BM248="Y",BN248="Y")))),"Y","N")</f>
        <v/>
      </c>
      <c r="BT248" s="10" t="n"/>
      <c r="BU248" s="13" t="n"/>
      <c r="BV248" s="13" t="n"/>
      <c r="BW248" s="13" t="n"/>
      <c r="BX248" s="13" t="n"/>
      <c r="BY248" s="13" t="n"/>
      <c r="BZ248" s="13" t="n"/>
      <c r="CA248" s="14" t="n"/>
      <c r="CB248" s="13" t="n"/>
      <c r="CC248" s="9" t="n"/>
      <c r="CD248" s="9" t="n"/>
      <c r="CE248" s="9" t="n"/>
      <c r="CF248" s="9" t="n"/>
      <c r="CG248" s="9" t="n"/>
      <c r="CH248" s="9" t="n"/>
    </row>
    <row r="249">
      <c r="A249" s="8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8" t="n"/>
      <c r="L249" s="9" t="n"/>
      <c r="M249" s="8" t="n"/>
      <c r="N249" s="8" t="n"/>
      <c r="O249" s="8" t="n"/>
      <c r="P249" s="8" t="n"/>
      <c r="Q249" s="8" t="n"/>
      <c r="R249" s="9" t="n"/>
      <c r="S249" s="9" t="n"/>
      <c r="T249" s="10" t="n"/>
      <c r="U249" s="10" t="n"/>
      <c r="V249" s="9" t="n"/>
      <c r="W249" s="9" t="n"/>
      <c r="X249" s="9" t="n"/>
      <c r="Y249" s="9" t="n"/>
      <c r="Z249" s="11" t="n"/>
      <c r="AA249" s="11" t="n"/>
      <c r="AB249" s="11" t="n"/>
      <c r="AC249" s="11" t="n"/>
      <c r="AD249" s="11" t="n"/>
      <c r="AE249" s="11" t="n"/>
      <c r="AF249" s="9" t="n"/>
      <c r="AG249" s="9" t="n"/>
      <c r="AH249" s="9" t="n"/>
      <c r="AI249" s="9" t="n"/>
      <c r="AJ249" s="8" t="n"/>
      <c r="AK249" s="9" t="n"/>
      <c r="AL249" s="9" t="n"/>
      <c r="AM249" s="9" t="n"/>
      <c r="AN249" s="9" t="n"/>
      <c r="AO249" s="9" t="n"/>
      <c r="AP249" s="9" t="n"/>
      <c r="AQ249" s="9" t="n"/>
      <c r="AR249" s="9" t="n"/>
      <c r="AS249" s="9" t="n"/>
      <c r="AT249" s="8" t="n"/>
      <c r="AU249" s="8" t="n"/>
      <c r="AV249" s="9" t="n"/>
      <c r="AW249" s="8" t="n"/>
      <c r="AX249" s="9" t="n"/>
      <c r="AY249" s="9" t="n"/>
      <c r="AZ249" s="9" t="n"/>
      <c r="BA249" s="9" t="n"/>
      <c r="BB249" s="9" t="n"/>
      <c r="BC249" s="9" t="n"/>
      <c r="BD249" s="9" t="n"/>
      <c r="BE249" s="9" t="n"/>
      <c r="BF249" s="9" t="n"/>
      <c r="BG249" s="9" t="n"/>
      <c r="BH249" s="9" t="n"/>
      <c r="BI249" s="9" t="n"/>
      <c r="BJ249" s="9" t="n"/>
      <c r="BK249" s="9" t="n"/>
      <c r="BL249" s="9" t="n"/>
      <c r="BM249" s="9" t="n"/>
      <c r="BN249" s="9" t="n"/>
      <c r="BO249" s="8" t="n"/>
      <c r="BP249" s="9" t="n"/>
      <c r="BQ249" s="9" t="n"/>
      <c r="BR249" s="12">
        <f>IF(AND(AI249="Y",AK249="Y",AL249="Y",AM249="Y",AY249="Y",AZ249="Y",BA249="Y",BB249="Y",BC249="Y",BE249&lt;&gt;"Y",AX249&lt;&gt;"Y",BL249&lt;&gt;"Y",IF(AS249="Y",AV249="Y",TRUE)),"Y","N")</f>
        <v/>
      </c>
      <c r="BS249" s="12">
        <f>IF(AND(BR249="Y",OR(AND(BJ249="Y",BM249="Y"),AND(BK249="Y",BN249="Y"),AND(BJ249&lt;&gt;"Y",BK249&lt;&gt;"Y",OR(BM249="Y",BN249="Y")))),"Y","N")</f>
        <v/>
      </c>
      <c r="BT249" s="10" t="n"/>
      <c r="BU249" s="13" t="n"/>
      <c r="BV249" s="13" t="n"/>
      <c r="BW249" s="13" t="n"/>
      <c r="BX249" s="13" t="n"/>
      <c r="BY249" s="13" t="n"/>
      <c r="BZ249" s="13" t="n"/>
      <c r="CA249" s="14" t="n"/>
      <c r="CB249" s="13" t="n"/>
      <c r="CC249" s="9" t="n"/>
      <c r="CD249" s="9" t="n"/>
      <c r="CE249" s="9" t="n"/>
      <c r="CF249" s="9" t="n"/>
      <c r="CG249" s="9" t="n"/>
      <c r="CH249" s="9" t="n"/>
    </row>
    <row r="250">
      <c r="A250" s="8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8" t="n"/>
      <c r="L250" s="9" t="n"/>
      <c r="M250" s="8" t="n"/>
      <c r="N250" s="8" t="n"/>
      <c r="O250" s="8" t="n"/>
      <c r="P250" s="8" t="n"/>
      <c r="Q250" s="8" t="n"/>
      <c r="R250" s="9" t="n"/>
      <c r="S250" s="9" t="n"/>
      <c r="T250" s="10" t="n"/>
      <c r="U250" s="10" t="n"/>
      <c r="V250" s="9" t="n"/>
      <c r="W250" s="9" t="n"/>
      <c r="X250" s="9" t="n"/>
      <c r="Y250" s="9" t="n"/>
      <c r="Z250" s="11" t="n"/>
      <c r="AA250" s="11" t="n"/>
      <c r="AB250" s="11" t="n"/>
      <c r="AC250" s="11" t="n"/>
      <c r="AD250" s="11" t="n"/>
      <c r="AE250" s="11" t="n"/>
      <c r="AF250" s="9" t="n"/>
      <c r="AG250" s="9" t="n"/>
      <c r="AH250" s="9" t="n"/>
      <c r="AI250" s="9" t="n"/>
      <c r="AJ250" s="8" t="n"/>
      <c r="AK250" s="9" t="n"/>
      <c r="AL250" s="9" t="n"/>
      <c r="AM250" s="9" t="n"/>
      <c r="AN250" s="9" t="n"/>
      <c r="AO250" s="9" t="n"/>
      <c r="AP250" s="9" t="n"/>
      <c r="AQ250" s="9" t="n"/>
      <c r="AR250" s="9" t="n"/>
      <c r="AS250" s="9" t="n"/>
      <c r="AT250" s="8" t="n"/>
      <c r="AU250" s="8" t="n"/>
      <c r="AV250" s="9" t="n"/>
      <c r="AW250" s="8" t="n"/>
      <c r="AX250" s="9" t="n"/>
      <c r="AY250" s="9" t="n"/>
      <c r="AZ250" s="9" t="n"/>
      <c r="BA250" s="9" t="n"/>
      <c r="BB250" s="9" t="n"/>
      <c r="BC250" s="9" t="n"/>
      <c r="BD250" s="9" t="n"/>
      <c r="BE250" s="9" t="n"/>
      <c r="BF250" s="9" t="n"/>
      <c r="BG250" s="9" t="n"/>
      <c r="BH250" s="9" t="n"/>
      <c r="BI250" s="9" t="n"/>
      <c r="BJ250" s="9" t="n"/>
      <c r="BK250" s="9" t="n"/>
      <c r="BL250" s="9" t="n"/>
      <c r="BM250" s="9" t="n"/>
      <c r="BN250" s="9" t="n"/>
      <c r="BO250" s="8" t="n"/>
      <c r="BP250" s="9" t="n"/>
      <c r="BQ250" s="9" t="n"/>
      <c r="BR250" s="12">
        <f>IF(AND(AI250="Y",AK250="Y",AL250="Y",AM250="Y",AY250="Y",AZ250="Y",BA250="Y",BB250="Y",BC250="Y",BE250&lt;&gt;"Y",AX250&lt;&gt;"Y",BL250&lt;&gt;"Y",IF(AS250="Y",AV250="Y",TRUE)),"Y","N")</f>
        <v/>
      </c>
      <c r="BS250" s="12">
        <f>IF(AND(BR250="Y",OR(AND(BJ250="Y",BM250="Y"),AND(BK250="Y",BN250="Y"),AND(BJ250&lt;&gt;"Y",BK250&lt;&gt;"Y",OR(BM250="Y",BN250="Y")))),"Y","N")</f>
        <v/>
      </c>
      <c r="BT250" s="10" t="n"/>
      <c r="BU250" s="13" t="n"/>
      <c r="BV250" s="13" t="n"/>
      <c r="BW250" s="13" t="n"/>
      <c r="BX250" s="13" t="n"/>
      <c r="BY250" s="13" t="n"/>
      <c r="BZ250" s="13" t="n"/>
      <c r="CA250" s="14" t="n"/>
      <c r="CB250" s="13" t="n"/>
      <c r="CC250" s="9" t="n"/>
      <c r="CD250" s="9" t="n"/>
      <c r="CE250" s="9" t="n"/>
      <c r="CF250" s="9" t="n"/>
      <c r="CG250" s="9" t="n"/>
      <c r="CH250" s="9" t="n"/>
    </row>
    <row r="251">
      <c r="A251" s="8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8" t="n"/>
      <c r="L251" s="9" t="n"/>
      <c r="M251" s="8" t="n"/>
      <c r="N251" s="8" t="n"/>
      <c r="O251" s="8" t="n"/>
      <c r="P251" s="8" t="n"/>
      <c r="Q251" s="8" t="n"/>
      <c r="R251" s="9" t="n"/>
      <c r="S251" s="9" t="n"/>
      <c r="T251" s="10" t="n"/>
      <c r="U251" s="10" t="n"/>
      <c r="V251" s="9" t="n"/>
      <c r="W251" s="9" t="n"/>
      <c r="X251" s="9" t="n"/>
      <c r="Y251" s="9" t="n"/>
      <c r="Z251" s="11" t="n"/>
      <c r="AA251" s="11" t="n"/>
      <c r="AB251" s="11" t="n"/>
      <c r="AC251" s="11" t="n"/>
      <c r="AD251" s="11" t="n"/>
      <c r="AE251" s="11" t="n"/>
      <c r="AF251" s="9" t="n"/>
      <c r="AG251" s="9" t="n"/>
      <c r="AH251" s="9" t="n"/>
      <c r="AI251" s="9" t="n"/>
      <c r="AJ251" s="8" t="n"/>
      <c r="AK251" s="9" t="n"/>
      <c r="AL251" s="9" t="n"/>
      <c r="AM251" s="9" t="n"/>
      <c r="AN251" s="9" t="n"/>
      <c r="AO251" s="9" t="n"/>
      <c r="AP251" s="9" t="n"/>
      <c r="AQ251" s="9" t="n"/>
      <c r="AR251" s="9" t="n"/>
      <c r="AS251" s="9" t="n"/>
      <c r="AT251" s="8" t="n"/>
      <c r="AU251" s="8" t="n"/>
      <c r="AV251" s="9" t="n"/>
      <c r="AW251" s="8" t="n"/>
      <c r="AX251" s="9" t="n"/>
      <c r="AY251" s="9" t="n"/>
      <c r="AZ251" s="9" t="n"/>
      <c r="BA251" s="9" t="n"/>
      <c r="BB251" s="9" t="n"/>
      <c r="BC251" s="9" t="n"/>
      <c r="BD251" s="9" t="n"/>
      <c r="BE251" s="9" t="n"/>
      <c r="BF251" s="9" t="n"/>
      <c r="BG251" s="9" t="n"/>
      <c r="BH251" s="9" t="n"/>
      <c r="BI251" s="9" t="n"/>
      <c r="BJ251" s="9" t="n"/>
      <c r="BK251" s="9" t="n"/>
      <c r="BL251" s="9" t="n"/>
      <c r="BM251" s="9" t="n"/>
      <c r="BN251" s="9" t="n"/>
      <c r="BO251" s="8" t="n"/>
      <c r="BP251" s="9" t="n"/>
      <c r="BQ251" s="9" t="n"/>
      <c r="BR251" s="12">
        <f>IF(AND(AI251="Y",AK251="Y",AL251="Y",AM251="Y",AY251="Y",AZ251="Y",BA251="Y",BB251="Y",BC251="Y",BE251&lt;&gt;"Y",AX251&lt;&gt;"Y",BL251&lt;&gt;"Y",IF(AS251="Y",AV251="Y",TRUE)),"Y","N")</f>
        <v/>
      </c>
      <c r="BS251" s="12">
        <f>IF(AND(BR251="Y",OR(AND(BJ251="Y",BM251="Y"),AND(BK251="Y",BN251="Y"),AND(BJ251&lt;&gt;"Y",BK251&lt;&gt;"Y",OR(BM251="Y",BN251="Y")))),"Y","N")</f>
        <v/>
      </c>
      <c r="BT251" s="10" t="n"/>
      <c r="BU251" s="13" t="n"/>
      <c r="BV251" s="13" t="n"/>
      <c r="BW251" s="13" t="n"/>
      <c r="BX251" s="13" t="n"/>
      <c r="BY251" s="13" t="n"/>
      <c r="BZ251" s="13" t="n"/>
      <c r="CA251" s="14" t="n"/>
      <c r="CB251" s="13" t="n"/>
      <c r="CC251" s="9" t="n"/>
      <c r="CD251" s="9" t="n"/>
      <c r="CE251" s="9" t="n"/>
      <c r="CF251" s="9" t="n"/>
      <c r="CG251" s="9" t="n"/>
      <c r="CH251" s="9" t="n"/>
    </row>
    <row r="252">
      <c r="A252" s="8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8" t="n"/>
      <c r="L252" s="9" t="n"/>
      <c r="M252" s="8" t="n"/>
      <c r="N252" s="8" t="n"/>
      <c r="O252" s="8" t="n"/>
      <c r="P252" s="8" t="n"/>
      <c r="Q252" s="8" t="n"/>
      <c r="R252" s="9" t="n"/>
      <c r="S252" s="9" t="n"/>
      <c r="T252" s="10" t="n"/>
      <c r="U252" s="10" t="n"/>
      <c r="V252" s="9" t="n"/>
      <c r="W252" s="9" t="n"/>
      <c r="X252" s="9" t="n"/>
      <c r="Y252" s="9" t="n"/>
      <c r="Z252" s="11" t="n"/>
      <c r="AA252" s="11" t="n"/>
      <c r="AB252" s="11" t="n"/>
      <c r="AC252" s="11" t="n"/>
      <c r="AD252" s="11" t="n"/>
      <c r="AE252" s="11" t="n"/>
      <c r="AF252" s="9" t="n"/>
      <c r="AG252" s="9" t="n"/>
      <c r="AH252" s="9" t="n"/>
      <c r="AI252" s="9" t="n"/>
      <c r="AJ252" s="8" t="n"/>
      <c r="AK252" s="9" t="n"/>
      <c r="AL252" s="9" t="n"/>
      <c r="AM252" s="9" t="n"/>
      <c r="AN252" s="9" t="n"/>
      <c r="AO252" s="9" t="n"/>
      <c r="AP252" s="9" t="n"/>
      <c r="AQ252" s="9" t="n"/>
      <c r="AR252" s="9" t="n"/>
      <c r="AS252" s="9" t="n"/>
      <c r="AT252" s="8" t="n"/>
      <c r="AU252" s="8" t="n"/>
      <c r="AV252" s="9" t="n"/>
      <c r="AW252" s="8" t="n"/>
      <c r="AX252" s="9" t="n"/>
      <c r="AY252" s="9" t="n"/>
      <c r="AZ252" s="9" t="n"/>
      <c r="BA252" s="9" t="n"/>
      <c r="BB252" s="9" t="n"/>
      <c r="BC252" s="9" t="n"/>
      <c r="BD252" s="9" t="n"/>
      <c r="BE252" s="9" t="n"/>
      <c r="BF252" s="9" t="n"/>
      <c r="BG252" s="9" t="n"/>
      <c r="BH252" s="9" t="n"/>
      <c r="BI252" s="9" t="n"/>
      <c r="BJ252" s="9" t="n"/>
      <c r="BK252" s="9" t="n"/>
      <c r="BL252" s="9" t="n"/>
      <c r="BM252" s="9" t="n"/>
      <c r="BN252" s="9" t="n"/>
      <c r="BO252" s="8" t="n"/>
      <c r="BP252" s="9" t="n"/>
      <c r="BQ252" s="9" t="n"/>
      <c r="BR252" s="12">
        <f>IF(AND(AI252="Y",AK252="Y",AL252="Y",AM252="Y",AY252="Y",AZ252="Y",BA252="Y",BB252="Y",BC252="Y",BE252&lt;&gt;"Y",AX252&lt;&gt;"Y",BL252&lt;&gt;"Y",IF(AS252="Y",AV252="Y",TRUE)),"Y","N")</f>
        <v/>
      </c>
      <c r="BS252" s="12">
        <f>IF(AND(BR252="Y",OR(AND(BJ252="Y",BM252="Y"),AND(BK252="Y",BN252="Y"),AND(BJ252&lt;&gt;"Y",BK252&lt;&gt;"Y",OR(BM252="Y",BN252="Y")))),"Y","N")</f>
        <v/>
      </c>
      <c r="BT252" s="10" t="n"/>
      <c r="BU252" s="13" t="n"/>
      <c r="BV252" s="13" t="n"/>
      <c r="BW252" s="13" t="n"/>
      <c r="BX252" s="13" t="n"/>
      <c r="BY252" s="13" t="n"/>
      <c r="BZ252" s="13" t="n"/>
      <c r="CA252" s="14" t="n"/>
      <c r="CB252" s="13" t="n"/>
      <c r="CC252" s="9" t="n"/>
      <c r="CD252" s="9" t="n"/>
      <c r="CE252" s="9" t="n"/>
      <c r="CF252" s="9" t="n"/>
      <c r="CG252" s="9" t="n"/>
      <c r="CH252" s="9" t="n"/>
    </row>
    <row r="253">
      <c r="A253" s="8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8" t="n"/>
      <c r="L253" s="9" t="n"/>
      <c r="M253" s="8" t="n"/>
      <c r="N253" s="8" t="n"/>
      <c r="O253" s="8" t="n"/>
      <c r="P253" s="8" t="n"/>
      <c r="Q253" s="8" t="n"/>
      <c r="R253" s="9" t="n"/>
      <c r="S253" s="9" t="n"/>
      <c r="T253" s="10" t="n"/>
      <c r="U253" s="10" t="n"/>
      <c r="V253" s="9" t="n"/>
      <c r="W253" s="9" t="n"/>
      <c r="X253" s="9" t="n"/>
      <c r="Y253" s="9" t="n"/>
      <c r="Z253" s="11" t="n"/>
      <c r="AA253" s="11" t="n"/>
      <c r="AB253" s="11" t="n"/>
      <c r="AC253" s="11" t="n"/>
      <c r="AD253" s="11" t="n"/>
      <c r="AE253" s="11" t="n"/>
      <c r="AF253" s="9" t="n"/>
      <c r="AG253" s="9" t="n"/>
      <c r="AH253" s="9" t="n"/>
      <c r="AI253" s="9" t="n"/>
      <c r="AJ253" s="8" t="n"/>
      <c r="AK253" s="9" t="n"/>
      <c r="AL253" s="9" t="n"/>
      <c r="AM253" s="9" t="n"/>
      <c r="AN253" s="9" t="n"/>
      <c r="AO253" s="9" t="n"/>
      <c r="AP253" s="9" t="n"/>
      <c r="AQ253" s="9" t="n"/>
      <c r="AR253" s="9" t="n"/>
      <c r="AS253" s="9" t="n"/>
      <c r="AT253" s="8" t="n"/>
      <c r="AU253" s="8" t="n"/>
      <c r="AV253" s="9" t="n"/>
      <c r="AW253" s="8" t="n"/>
      <c r="AX253" s="9" t="n"/>
      <c r="AY253" s="9" t="n"/>
      <c r="AZ253" s="9" t="n"/>
      <c r="BA253" s="9" t="n"/>
      <c r="BB253" s="9" t="n"/>
      <c r="BC253" s="9" t="n"/>
      <c r="BD253" s="9" t="n"/>
      <c r="BE253" s="9" t="n"/>
      <c r="BF253" s="9" t="n"/>
      <c r="BG253" s="9" t="n"/>
      <c r="BH253" s="9" t="n"/>
      <c r="BI253" s="9" t="n"/>
      <c r="BJ253" s="9" t="n"/>
      <c r="BK253" s="9" t="n"/>
      <c r="BL253" s="9" t="n"/>
      <c r="BM253" s="9" t="n"/>
      <c r="BN253" s="9" t="n"/>
      <c r="BO253" s="8" t="n"/>
      <c r="BP253" s="9" t="n"/>
      <c r="BQ253" s="9" t="n"/>
      <c r="BR253" s="12">
        <f>IF(AND(AI253="Y",AK253="Y",AL253="Y",AM253="Y",AY253="Y",AZ253="Y",BA253="Y",BB253="Y",BC253="Y",BE253&lt;&gt;"Y",AX253&lt;&gt;"Y",BL253&lt;&gt;"Y",IF(AS253="Y",AV253="Y",TRUE)),"Y","N")</f>
        <v/>
      </c>
      <c r="BS253" s="12">
        <f>IF(AND(BR253="Y",OR(AND(BJ253="Y",BM253="Y"),AND(BK253="Y",BN253="Y"),AND(BJ253&lt;&gt;"Y",BK253&lt;&gt;"Y",OR(BM253="Y",BN253="Y")))),"Y","N")</f>
        <v/>
      </c>
      <c r="BT253" s="10" t="n"/>
      <c r="BU253" s="13" t="n"/>
      <c r="BV253" s="13" t="n"/>
      <c r="BW253" s="13" t="n"/>
      <c r="BX253" s="13" t="n"/>
      <c r="BY253" s="13" t="n"/>
      <c r="BZ253" s="13" t="n"/>
      <c r="CA253" s="14" t="n"/>
      <c r="CB253" s="13" t="n"/>
      <c r="CC253" s="9" t="n"/>
      <c r="CD253" s="9" t="n"/>
      <c r="CE253" s="9" t="n"/>
      <c r="CF253" s="9" t="n"/>
      <c r="CG253" s="9" t="n"/>
      <c r="CH253" s="9" t="n"/>
    </row>
    <row r="254">
      <c r="A254" s="8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8" t="n"/>
      <c r="L254" s="9" t="n"/>
      <c r="M254" s="8" t="n"/>
      <c r="N254" s="8" t="n"/>
      <c r="O254" s="8" t="n"/>
      <c r="P254" s="8" t="n"/>
      <c r="Q254" s="8" t="n"/>
      <c r="R254" s="9" t="n"/>
      <c r="S254" s="9" t="n"/>
      <c r="T254" s="10" t="n"/>
      <c r="U254" s="10" t="n"/>
      <c r="V254" s="9" t="n"/>
      <c r="W254" s="9" t="n"/>
      <c r="X254" s="9" t="n"/>
      <c r="Y254" s="9" t="n"/>
      <c r="Z254" s="11" t="n"/>
      <c r="AA254" s="11" t="n"/>
      <c r="AB254" s="11" t="n"/>
      <c r="AC254" s="11" t="n"/>
      <c r="AD254" s="11" t="n"/>
      <c r="AE254" s="11" t="n"/>
      <c r="AF254" s="9" t="n"/>
      <c r="AG254" s="9" t="n"/>
      <c r="AH254" s="9" t="n"/>
      <c r="AI254" s="9" t="n"/>
      <c r="AJ254" s="8" t="n"/>
      <c r="AK254" s="9" t="n"/>
      <c r="AL254" s="9" t="n"/>
      <c r="AM254" s="9" t="n"/>
      <c r="AN254" s="9" t="n"/>
      <c r="AO254" s="9" t="n"/>
      <c r="AP254" s="9" t="n"/>
      <c r="AQ254" s="9" t="n"/>
      <c r="AR254" s="9" t="n"/>
      <c r="AS254" s="9" t="n"/>
      <c r="AT254" s="8" t="n"/>
      <c r="AU254" s="8" t="n"/>
      <c r="AV254" s="9" t="n"/>
      <c r="AW254" s="8" t="n"/>
      <c r="AX254" s="9" t="n"/>
      <c r="AY254" s="9" t="n"/>
      <c r="AZ254" s="9" t="n"/>
      <c r="BA254" s="9" t="n"/>
      <c r="BB254" s="9" t="n"/>
      <c r="BC254" s="9" t="n"/>
      <c r="BD254" s="9" t="n"/>
      <c r="BE254" s="9" t="n"/>
      <c r="BF254" s="9" t="n"/>
      <c r="BG254" s="9" t="n"/>
      <c r="BH254" s="9" t="n"/>
      <c r="BI254" s="9" t="n"/>
      <c r="BJ254" s="9" t="n"/>
      <c r="BK254" s="9" t="n"/>
      <c r="BL254" s="9" t="n"/>
      <c r="BM254" s="9" t="n"/>
      <c r="BN254" s="9" t="n"/>
      <c r="BO254" s="8" t="n"/>
      <c r="BP254" s="9" t="n"/>
      <c r="BQ254" s="9" t="n"/>
      <c r="BR254" s="12">
        <f>IF(AND(AI254="Y",AK254="Y",AL254="Y",AM254="Y",AY254="Y",AZ254="Y",BA254="Y",BB254="Y",BC254="Y",BE254&lt;&gt;"Y",AX254&lt;&gt;"Y",BL254&lt;&gt;"Y",IF(AS254="Y",AV254="Y",TRUE)),"Y","N")</f>
        <v/>
      </c>
      <c r="BS254" s="12">
        <f>IF(AND(BR254="Y",OR(AND(BJ254="Y",BM254="Y"),AND(BK254="Y",BN254="Y"),AND(BJ254&lt;&gt;"Y",BK254&lt;&gt;"Y",OR(BM254="Y",BN254="Y")))),"Y","N")</f>
        <v/>
      </c>
      <c r="BT254" s="10" t="n"/>
      <c r="BU254" s="13" t="n"/>
      <c r="BV254" s="13" t="n"/>
      <c r="BW254" s="13" t="n"/>
      <c r="BX254" s="13" t="n"/>
      <c r="BY254" s="13" t="n"/>
      <c r="BZ254" s="13" t="n"/>
      <c r="CA254" s="14" t="n"/>
      <c r="CB254" s="13" t="n"/>
      <c r="CC254" s="9" t="n"/>
      <c r="CD254" s="9" t="n"/>
      <c r="CE254" s="9" t="n"/>
      <c r="CF254" s="9" t="n"/>
      <c r="CG254" s="9" t="n"/>
      <c r="CH254" s="9" t="n"/>
    </row>
    <row r="255">
      <c r="A255" s="8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8" t="n"/>
      <c r="L255" s="9" t="n"/>
      <c r="M255" s="8" t="n"/>
      <c r="N255" s="8" t="n"/>
      <c r="O255" s="8" t="n"/>
      <c r="P255" s="8" t="n"/>
      <c r="Q255" s="8" t="n"/>
      <c r="R255" s="9" t="n"/>
      <c r="S255" s="9" t="n"/>
      <c r="T255" s="10" t="n"/>
      <c r="U255" s="10" t="n"/>
      <c r="V255" s="9" t="n"/>
      <c r="W255" s="9" t="n"/>
      <c r="X255" s="9" t="n"/>
      <c r="Y255" s="9" t="n"/>
      <c r="Z255" s="11" t="n"/>
      <c r="AA255" s="11" t="n"/>
      <c r="AB255" s="11" t="n"/>
      <c r="AC255" s="11" t="n"/>
      <c r="AD255" s="11" t="n"/>
      <c r="AE255" s="11" t="n"/>
      <c r="AF255" s="9" t="n"/>
      <c r="AG255" s="9" t="n"/>
      <c r="AH255" s="9" t="n"/>
      <c r="AI255" s="9" t="n"/>
      <c r="AJ255" s="8" t="n"/>
      <c r="AK255" s="9" t="n"/>
      <c r="AL255" s="9" t="n"/>
      <c r="AM255" s="9" t="n"/>
      <c r="AN255" s="9" t="n"/>
      <c r="AO255" s="9" t="n"/>
      <c r="AP255" s="9" t="n"/>
      <c r="AQ255" s="9" t="n"/>
      <c r="AR255" s="9" t="n"/>
      <c r="AS255" s="9" t="n"/>
      <c r="AT255" s="8" t="n"/>
      <c r="AU255" s="8" t="n"/>
      <c r="AV255" s="9" t="n"/>
      <c r="AW255" s="8" t="n"/>
      <c r="AX255" s="9" t="n"/>
      <c r="AY255" s="9" t="n"/>
      <c r="AZ255" s="9" t="n"/>
      <c r="BA255" s="9" t="n"/>
      <c r="BB255" s="9" t="n"/>
      <c r="BC255" s="9" t="n"/>
      <c r="BD255" s="9" t="n"/>
      <c r="BE255" s="9" t="n"/>
      <c r="BF255" s="9" t="n"/>
      <c r="BG255" s="9" t="n"/>
      <c r="BH255" s="9" t="n"/>
      <c r="BI255" s="9" t="n"/>
      <c r="BJ255" s="9" t="n"/>
      <c r="BK255" s="9" t="n"/>
      <c r="BL255" s="9" t="n"/>
      <c r="BM255" s="9" t="n"/>
      <c r="BN255" s="9" t="n"/>
      <c r="BO255" s="8" t="n"/>
      <c r="BP255" s="9" t="n"/>
      <c r="BQ255" s="9" t="n"/>
      <c r="BR255" s="12">
        <f>IF(AND(AI255="Y",AK255="Y",AL255="Y",AM255="Y",AY255="Y",AZ255="Y",BA255="Y",BB255="Y",BC255="Y",BE255&lt;&gt;"Y",AX255&lt;&gt;"Y",BL255&lt;&gt;"Y",IF(AS255="Y",AV255="Y",TRUE)),"Y","N")</f>
        <v/>
      </c>
      <c r="BS255" s="12">
        <f>IF(AND(BR255="Y",OR(AND(BJ255="Y",BM255="Y"),AND(BK255="Y",BN255="Y"),AND(BJ255&lt;&gt;"Y",BK255&lt;&gt;"Y",OR(BM255="Y",BN255="Y")))),"Y","N")</f>
        <v/>
      </c>
      <c r="BT255" s="10" t="n"/>
      <c r="BU255" s="13" t="n"/>
      <c r="BV255" s="13" t="n"/>
      <c r="BW255" s="13" t="n"/>
      <c r="BX255" s="13" t="n"/>
      <c r="BY255" s="13" t="n"/>
      <c r="BZ255" s="13" t="n"/>
      <c r="CA255" s="14" t="n"/>
      <c r="CB255" s="13" t="n"/>
      <c r="CC255" s="9" t="n"/>
      <c r="CD255" s="9" t="n"/>
      <c r="CE255" s="9" t="n"/>
      <c r="CF255" s="9" t="n"/>
      <c r="CG255" s="9" t="n"/>
      <c r="CH255" s="9" t="n"/>
    </row>
    <row r="256">
      <c r="A256" s="8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8" t="n"/>
      <c r="L256" s="9" t="n"/>
      <c r="M256" s="8" t="n"/>
      <c r="N256" s="8" t="n"/>
      <c r="O256" s="8" t="n"/>
      <c r="P256" s="8" t="n"/>
      <c r="Q256" s="8" t="n"/>
      <c r="R256" s="9" t="n"/>
      <c r="S256" s="9" t="n"/>
      <c r="T256" s="10" t="n"/>
      <c r="U256" s="10" t="n"/>
      <c r="V256" s="9" t="n"/>
      <c r="W256" s="9" t="n"/>
      <c r="X256" s="9" t="n"/>
      <c r="Y256" s="9" t="n"/>
      <c r="Z256" s="11" t="n"/>
      <c r="AA256" s="11" t="n"/>
      <c r="AB256" s="11" t="n"/>
      <c r="AC256" s="11" t="n"/>
      <c r="AD256" s="11" t="n"/>
      <c r="AE256" s="11" t="n"/>
      <c r="AF256" s="9" t="n"/>
      <c r="AG256" s="9" t="n"/>
      <c r="AH256" s="9" t="n"/>
      <c r="AI256" s="9" t="n"/>
      <c r="AJ256" s="8" t="n"/>
      <c r="AK256" s="9" t="n"/>
      <c r="AL256" s="9" t="n"/>
      <c r="AM256" s="9" t="n"/>
      <c r="AN256" s="9" t="n"/>
      <c r="AO256" s="9" t="n"/>
      <c r="AP256" s="9" t="n"/>
      <c r="AQ256" s="9" t="n"/>
      <c r="AR256" s="9" t="n"/>
      <c r="AS256" s="9" t="n"/>
      <c r="AT256" s="8" t="n"/>
      <c r="AU256" s="8" t="n"/>
      <c r="AV256" s="9" t="n"/>
      <c r="AW256" s="8" t="n"/>
      <c r="AX256" s="9" t="n"/>
      <c r="AY256" s="9" t="n"/>
      <c r="AZ256" s="9" t="n"/>
      <c r="BA256" s="9" t="n"/>
      <c r="BB256" s="9" t="n"/>
      <c r="BC256" s="9" t="n"/>
      <c r="BD256" s="9" t="n"/>
      <c r="BE256" s="9" t="n"/>
      <c r="BF256" s="9" t="n"/>
      <c r="BG256" s="9" t="n"/>
      <c r="BH256" s="9" t="n"/>
      <c r="BI256" s="9" t="n"/>
      <c r="BJ256" s="9" t="n"/>
      <c r="BK256" s="9" t="n"/>
      <c r="BL256" s="9" t="n"/>
      <c r="BM256" s="9" t="n"/>
      <c r="BN256" s="9" t="n"/>
      <c r="BO256" s="8" t="n"/>
      <c r="BP256" s="9" t="n"/>
      <c r="BQ256" s="9" t="n"/>
      <c r="BR256" s="12">
        <f>IF(AND(AI256="Y",AK256="Y",AL256="Y",AM256="Y",AY256="Y",AZ256="Y",BA256="Y",BB256="Y",BC256="Y",BE256&lt;&gt;"Y",AX256&lt;&gt;"Y",BL256&lt;&gt;"Y",IF(AS256="Y",AV256="Y",TRUE)),"Y","N")</f>
        <v/>
      </c>
      <c r="BS256" s="12">
        <f>IF(AND(BR256="Y",OR(AND(BJ256="Y",BM256="Y"),AND(BK256="Y",BN256="Y"),AND(BJ256&lt;&gt;"Y",BK256&lt;&gt;"Y",OR(BM256="Y",BN256="Y")))),"Y","N")</f>
        <v/>
      </c>
      <c r="BT256" s="10" t="n"/>
      <c r="BU256" s="13" t="n"/>
      <c r="BV256" s="13" t="n"/>
      <c r="BW256" s="13" t="n"/>
      <c r="BX256" s="13" t="n"/>
      <c r="BY256" s="13" t="n"/>
      <c r="BZ256" s="13" t="n"/>
      <c r="CA256" s="14" t="n"/>
      <c r="CB256" s="13" t="n"/>
      <c r="CC256" s="9" t="n"/>
      <c r="CD256" s="9" t="n"/>
      <c r="CE256" s="9" t="n"/>
      <c r="CF256" s="9" t="n"/>
      <c r="CG256" s="9" t="n"/>
      <c r="CH256" s="9" t="n"/>
    </row>
    <row r="257">
      <c r="A257" s="8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8" t="n"/>
      <c r="L257" s="9" t="n"/>
      <c r="M257" s="8" t="n"/>
      <c r="N257" s="8" t="n"/>
      <c r="O257" s="8" t="n"/>
      <c r="P257" s="8" t="n"/>
      <c r="Q257" s="8" t="n"/>
      <c r="R257" s="9" t="n"/>
      <c r="S257" s="9" t="n"/>
      <c r="T257" s="10" t="n"/>
      <c r="U257" s="10" t="n"/>
      <c r="V257" s="9" t="n"/>
      <c r="W257" s="9" t="n"/>
      <c r="X257" s="9" t="n"/>
      <c r="Y257" s="9" t="n"/>
      <c r="Z257" s="11" t="n"/>
      <c r="AA257" s="11" t="n"/>
      <c r="AB257" s="11" t="n"/>
      <c r="AC257" s="11" t="n"/>
      <c r="AD257" s="11" t="n"/>
      <c r="AE257" s="11" t="n"/>
      <c r="AF257" s="9" t="n"/>
      <c r="AG257" s="9" t="n"/>
      <c r="AH257" s="9" t="n"/>
      <c r="AI257" s="9" t="n"/>
      <c r="AJ257" s="8" t="n"/>
      <c r="AK257" s="9" t="n"/>
      <c r="AL257" s="9" t="n"/>
      <c r="AM257" s="9" t="n"/>
      <c r="AN257" s="9" t="n"/>
      <c r="AO257" s="9" t="n"/>
      <c r="AP257" s="9" t="n"/>
      <c r="AQ257" s="9" t="n"/>
      <c r="AR257" s="9" t="n"/>
      <c r="AS257" s="9" t="n"/>
      <c r="AT257" s="8" t="n"/>
      <c r="AU257" s="8" t="n"/>
      <c r="AV257" s="9" t="n"/>
      <c r="AW257" s="8" t="n"/>
      <c r="AX257" s="9" t="n"/>
      <c r="AY257" s="9" t="n"/>
      <c r="AZ257" s="9" t="n"/>
      <c r="BA257" s="9" t="n"/>
      <c r="BB257" s="9" t="n"/>
      <c r="BC257" s="9" t="n"/>
      <c r="BD257" s="9" t="n"/>
      <c r="BE257" s="9" t="n"/>
      <c r="BF257" s="9" t="n"/>
      <c r="BG257" s="9" t="n"/>
      <c r="BH257" s="9" t="n"/>
      <c r="BI257" s="9" t="n"/>
      <c r="BJ257" s="9" t="n"/>
      <c r="BK257" s="9" t="n"/>
      <c r="BL257" s="9" t="n"/>
      <c r="BM257" s="9" t="n"/>
      <c r="BN257" s="9" t="n"/>
      <c r="BO257" s="8" t="n"/>
      <c r="BP257" s="9" t="n"/>
      <c r="BQ257" s="9" t="n"/>
      <c r="BR257" s="12">
        <f>IF(AND(AI257="Y",AK257="Y",AL257="Y",AM257="Y",AY257="Y",AZ257="Y",BA257="Y",BB257="Y",BC257="Y",BE257&lt;&gt;"Y",AX257&lt;&gt;"Y",BL257&lt;&gt;"Y",IF(AS257="Y",AV257="Y",TRUE)),"Y","N")</f>
        <v/>
      </c>
      <c r="BS257" s="12">
        <f>IF(AND(BR257="Y",OR(AND(BJ257="Y",BM257="Y"),AND(BK257="Y",BN257="Y"),AND(BJ257&lt;&gt;"Y",BK257&lt;&gt;"Y",OR(BM257="Y",BN257="Y")))),"Y","N")</f>
        <v/>
      </c>
      <c r="BT257" s="10" t="n"/>
      <c r="BU257" s="13" t="n"/>
      <c r="BV257" s="13" t="n"/>
      <c r="BW257" s="13" t="n"/>
      <c r="BX257" s="13" t="n"/>
      <c r="BY257" s="13" t="n"/>
      <c r="BZ257" s="13" t="n"/>
      <c r="CA257" s="14" t="n"/>
      <c r="CB257" s="13" t="n"/>
      <c r="CC257" s="9" t="n"/>
      <c r="CD257" s="9" t="n"/>
      <c r="CE257" s="9" t="n"/>
      <c r="CF257" s="9" t="n"/>
      <c r="CG257" s="9" t="n"/>
      <c r="CH257" s="9" t="n"/>
    </row>
    <row r="258">
      <c r="A258" s="8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8" t="n"/>
      <c r="L258" s="9" t="n"/>
      <c r="M258" s="8" t="n"/>
      <c r="N258" s="8" t="n"/>
      <c r="O258" s="8" t="n"/>
      <c r="P258" s="8" t="n"/>
      <c r="Q258" s="8" t="n"/>
      <c r="R258" s="9" t="n"/>
      <c r="S258" s="9" t="n"/>
      <c r="T258" s="10" t="n"/>
      <c r="U258" s="10" t="n"/>
      <c r="V258" s="9" t="n"/>
      <c r="W258" s="9" t="n"/>
      <c r="X258" s="9" t="n"/>
      <c r="Y258" s="9" t="n"/>
      <c r="Z258" s="11" t="n"/>
      <c r="AA258" s="11" t="n"/>
      <c r="AB258" s="11" t="n"/>
      <c r="AC258" s="11" t="n"/>
      <c r="AD258" s="11" t="n"/>
      <c r="AE258" s="11" t="n"/>
      <c r="AF258" s="9" t="n"/>
      <c r="AG258" s="9" t="n"/>
      <c r="AH258" s="9" t="n"/>
      <c r="AI258" s="9" t="n"/>
      <c r="AJ258" s="8" t="n"/>
      <c r="AK258" s="9" t="n"/>
      <c r="AL258" s="9" t="n"/>
      <c r="AM258" s="9" t="n"/>
      <c r="AN258" s="9" t="n"/>
      <c r="AO258" s="9" t="n"/>
      <c r="AP258" s="9" t="n"/>
      <c r="AQ258" s="9" t="n"/>
      <c r="AR258" s="9" t="n"/>
      <c r="AS258" s="9" t="n"/>
      <c r="AT258" s="8" t="n"/>
      <c r="AU258" s="8" t="n"/>
      <c r="AV258" s="9" t="n"/>
      <c r="AW258" s="8" t="n"/>
      <c r="AX258" s="9" t="n"/>
      <c r="AY258" s="9" t="n"/>
      <c r="AZ258" s="9" t="n"/>
      <c r="BA258" s="9" t="n"/>
      <c r="BB258" s="9" t="n"/>
      <c r="BC258" s="9" t="n"/>
      <c r="BD258" s="9" t="n"/>
      <c r="BE258" s="9" t="n"/>
      <c r="BF258" s="9" t="n"/>
      <c r="BG258" s="9" t="n"/>
      <c r="BH258" s="9" t="n"/>
      <c r="BI258" s="9" t="n"/>
      <c r="BJ258" s="9" t="n"/>
      <c r="BK258" s="9" t="n"/>
      <c r="BL258" s="9" t="n"/>
      <c r="BM258" s="9" t="n"/>
      <c r="BN258" s="9" t="n"/>
      <c r="BO258" s="8" t="n"/>
      <c r="BP258" s="9" t="n"/>
      <c r="BQ258" s="9" t="n"/>
      <c r="BR258" s="12">
        <f>IF(AND(AI258="Y",AK258="Y",AL258="Y",AM258="Y",AY258="Y",AZ258="Y",BA258="Y",BB258="Y",BC258="Y",BE258&lt;&gt;"Y",AX258&lt;&gt;"Y",BL258&lt;&gt;"Y",IF(AS258="Y",AV258="Y",TRUE)),"Y","N")</f>
        <v/>
      </c>
      <c r="BS258" s="12">
        <f>IF(AND(BR258="Y",OR(AND(BJ258="Y",BM258="Y"),AND(BK258="Y",BN258="Y"),AND(BJ258&lt;&gt;"Y",BK258&lt;&gt;"Y",OR(BM258="Y",BN258="Y")))),"Y","N")</f>
        <v/>
      </c>
      <c r="BT258" s="10" t="n"/>
      <c r="BU258" s="13" t="n"/>
      <c r="BV258" s="13" t="n"/>
      <c r="BW258" s="13" t="n"/>
      <c r="BX258" s="13" t="n"/>
      <c r="BY258" s="13" t="n"/>
      <c r="BZ258" s="13" t="n"/>
      <c r="CA258" s="14" t="n"/>
      <c r="CB258" s="13" t="n"/>
      <c r="CC258" s="9" t="n"/>
      <c r="CD258" s="9" t="n"/>
      <c r="CE258" s="9" t="n"/>
      <c r="CF258" s="9" t="n"/>
      <c r="CG258" s="9" t="n"/>
      <c r="CH258" s="9" t="n"/>
    </row>
    <row r="259">
      <c r="A259" s="8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8" t="n"/>
      <c r="L259" s="9" t="n"/>
      <c r="M259" s="8" t="n"/>
      <c r="N259" s="8" t="n"/>
      <c r="O259" s="8" t="n"/>
      <c r="P259" s="8" t="n"/>
      <c r="Q259" s="8" t="n"/>
      <c r="R259" s="9" t="n"/>
      <c r="S259" s="9" t="n"/>
      <c r="T259" s="10" t="n"/>
      <c r="U259" s="10" t="n"/>
      <c r="V259" s="9" t="n"/>
      <c r="W259" s="9" t="n"/>
      <c r="X259" s="9" t="n"/>
      <c r="Y259" s="9" t="n"/>
      <c r="Z259" s="11" t="n"/>
      <c r="AA259" s="11" t="n"/>
      <c r="AB259" s="11" t="n"/>
      <c r="AC259" s="11" t="n"/>
      <c r="AD259" s="11" t="n"/>
      <c r="AE259" s="11" t="n"/>
      <c r="AF259" s="9" t="n"/>
      <c r="AG259" s="9" t="n"/>
      <c r="AH259" s="9" t="n"/>
      <c r="AI259" s="9" t="n"/>
      <c r="AJ259" s="8" t="n"/>
      <c r="AK259" s="9" t="n"/>
      <c r="AL259" s="9" t="n"/>
      <c r="AM259" s="9" t="n"/>
      <c r="AN259" s="9" t="n"/>
      <c r="AO259" s="9" t="n"/>
      <c r="AP259" s="9" t="n"/>
      <c r="AQ259" s="9" t="n"/>
      <c r="AR259" s="9" t="n"/>
      <c r="AS259" s="9" t="n"/>
      <c r="AT259" s="8" t="n"/>
      <c r="AU259" s="8" t="n"/>
      <c r="AV259" s="9" t="n"/>
      <c r="AW259" s="8" t="n"/>
      <c r="AX259" s="9" t="n"/>
      <c r="AY259" s="9" t="n"/>
      <c r="AZ259" s="9" t="n"/>
      <c r="BA259" s="9" t="n"/>
      <c r="BB259" s="9" t="n"/>
      <c r="BC259" s="9" t="n"/>
      <c r="BD259" s="9" t="n"/>
      <c r="BE259" s="9" t="n"/>
      <c r="BF259" s="9" t="n"/>
      <c r="BG259" s="9" t="n"/>
      <c r="BH259" s="9" t="n"/>
      <c r="BI259" s="9" t="n"/>
      <c r="BJ259" s="9" t="n"/>
      <c r="BK259" s="9" t="n"/>
      <c r="BL259" s="9" t="n"/>
      <c r="BM259" s="9" t="n"/>
      <c r="BN259" s="9" t="n"/>
      <c r="BO259" s="8" t="n"/>
      <c r="BP259" s="9" t="n"/>
      <c r="BQ259" s="9" t="n"/>
      <c r="BR259" s="12">
        <f>IF(AND(AI259="Y",AK259="Y",AL259="Y",AM259="Y",AY259="Y",AZ259="Y",BA259="Y",BB259="Y",BC259="Y",BE259&lt;&gt;"Y",AX259&lt;&gt;"Y",BL259&lt;&gt;"Y",IF(AS259="Y",AV259="Y",TRUE)),"Y","N")</f>
        <v/>
      </c>
      <c r="BS259" s="12">
        <f>IF(AND(BR259="Y",OR(AND(BJ259="Y",BM259="Y"),AND(BK259="Y",BN259="Y"),AND(BJ259&lt;&gt;"Y",BK259&lt;&gt;"Y",OR(BM259="Y",BN259="Y")))),"Y","N")</f>
        <v/>
      </c>
      <c r="BT259" s="10" t="n"/>
      <c r="BU259" s="13" t="n"/>
      <c r="BV259" s="13" t="n"/>
      <c r="BW259" s="13" t="n"/>
      <c r="BX259" s="13" t="n"/>
      <c r="BY259" s="13" t="n"/>
      <c r="BZ259" s="13" t="n"/>
      <c r="CA259" s="14" t="n"/>
      <c r="CB259" s="13" t="n"/>
      <c r="CC259" s="9" t="n"/>
      <c r="CD259" s="9" t="n"/>
      <c r="CE259" s="9" t="n"/>
      <c r="CF259" s="9" t="n"/>
      <c r="CG259" s="9" t="n"/>
      <c r="CH259" s="9" t="n"/>
    </row>
    <row r="260">
      <c r="A260" s="8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8" t="n"/>
      <c r="L260" s="9" t="n"/>
      <c r="M260" s="8" t="n"/>
      <c r="N260" s="8" t="n"/>
      <c r="O260" s="8" t="n"/>
      <c r="P260" s="8" t="n"/>
      <c r="Q260" s="8" t="n"/>
      <c r="R260" s="9" t="n"/>
      <c r="S260" s="9" t="n"/>
      <c r="T260" s="10" t="n"/>
      <c r="U260" s="10" t="n"/>
      <c r="V260" s="9" t="n"/>
      <c r="W260" s="9" t="n"/>
      <c r="X260" s="9" t="n"/>
      <c r="Y260" s="9" t="n"/>
      <c r="Z260" s="11" t="n"/>
      <c r="AA260" s="11" t="n"/>
      <c r="AB260" s="11" t="n"/>
      <c r="AC260" s="11" t="n"/>
      <c r="AD260" s="11" t="n"/>
      <c r="AE260" s="11" t="n"/>
      <c r="AF260" s="9" t="n"/>
      <c r="AG260" s="9" t="n"/>
      <c r="AH260" s="9" t="n"/>
      <c r="AI260" s="9" t="n"/>
      <c r="AJ260" s="8" t="n"/>
      <c r="AK260" s="9" t="n"/>
      <c r="AL260" s="9" t="n"/>
      <c r="AM260" s="9" t="n"/>
      <c r="AN260" s="9" t="n"/>
      <c r="AO260" s="9" t="n"/>
      <c r="AP260" s="9" t="n"/>
      <c r="AQ260" s="9" t="n"/>
      <c r="AR260" s="9" t="n"/>
      <c r="AS260" s="9" t="n"/>
      <c r="AT260" s="8" t="n"/>
      <c r="AU260" s="8" t="n"/>
      <c r="AV260" s="9" t="n"/>
      <c r="AW260" s="8" t="n"/>
      <c r="AX260" s="9" t="n"/>
      <c r="AY260" s="9" t="n"/>
      <c r="AZ260" s="9" t="n"/>
      <c r="BA260" s="9" t="n"/>
      <c r="BB260" s="9" t="n"/>
      <c r="BC260" s="9" t="n"/>
      <c r="BD260" s="9" t="n"/>
      <c r="BE260" s="9" t="n"/>
      <c r="BF260" s="9" t="n"/>
      <c r="BG260" s="9" t="n"/>
      <c r="BH260" s="9" t="n"/>
      <c r="BI260" s="9" t="n"/>
      <c r="BJ260" s="9" t="n"/>
      <c r="BK260" s="9" t="n"/>
      <c r="BL260" s="9" t="n"/>
      <c r="BM260" s="9" t="n"/>
      <c r="BN260" s="9" t="n"/>
      <c r="BO260" s="8" t="n"/>
      <c r="BP260" s="9" t="n"/>
      <c r="BQ260" s="9" t="n"/>
      <c r="BR260" s="12">
        <f>IF(AND(AI260="Y",AK260="Y",AL260="Y",AM260="Y",AY260="Y",AZ260="Y",BA260="Y",BB260="Y",BC260="Y",BE260&lt;&gt;"Y",AX260&lt;&gt;"Y",BL260&lt;&gt;"Y",IF(AS260="Y",AV260="Y",TRUE)),"Y","N")</f>
        <v/>
      </c>
      <c r="BS260" s="12">
        <f>IF(AND(BR260="Y",OR(AND(BJ260="Y",BM260="Y"),AND(BK260="Y",BN260="Y"),AND(BJ260&lt;&gt;"Y",BK260&lt;&gt;"Y",OR(BM260="Y",BN260="Y")))),"Y","N")</f>
        <v/>
      </c>
      <c r="BT260" s="10" t="n"/>
      <c r="BU260" s="13" t="n"/>
      <c r="BV260" s="13" t="n"/>
      <c r="BW260" s="13" t="n"/>
      <c r="BX260" s="13" t="n"/>
      <c r="BY260" s="13" t="n"/>
      <c r="BZ260" s="13" t="n"/>
      <c r="CA260" s="14" t="n"/>
      <c r="CB260" s="13" t="n"/>
      <c r="CC260" s="9" t="n"/>
      <c r="CD260" s="9" t="n"/>
      <c r="CE260" s="9" t="n"/>
      <c r="CF260" s="9" t="n"/>
      <c r="CG260" s="9" t="n"/>
      <c r="CH260" s="9" t="n"/>
    </row>
    <row r="261">
      <c r="A261" s="8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8" t="n"/>
      <c r="L261" s="9" t="n"/>
      <c r="M261" s="8" t="n"/>
      <c r="N261" s="8" t="n"/>
      <c r="O261" s="8" t="n"/>
      <c r="P261" s="8" t="n"/>
      <c r="Q261" s="8" t="n"/>
      <c r="R261" s="9" t="n"/>
      <c r="S261" s="9" t="n"/>
      <c r="T261" s="10" t="n"/>
      <c r="U261" s="10" t="n"/>
      <c r="V261" s="9" t="n"/>
      <c r="W261" s="9" t="n"/>
      <c r="X261" s="9" t="n"/>
      <c r="Y261" s="9" t="n"/>
      <c r="Z261" s="11" t="n"/>
      <c r="AA261" s="11" t="n"/>
      <c r="AB261" s="11" t="n"/>
      <c r="AC261" s="11" t="n"/>
      <c r="AD261" s="11" t="n"/>
      <c r="AE261" s="11" t="n"/>
      <c r="AF261" s="9" t="n"/>
      <c r="AG261" s="9" t="n"/>
      <c r="AH261" s="9" t="n"/>
      <c r="AI261" s="9" t="n"/>
      <c r="AJ261" s="8" t="n"/>
      <c r="AK261" s="9" t="n"/>
      <c r="AL261" s="9" t="n"/>
      <c r="AM261" s="9" t="n"/>
      <c r="AN261" s="9" t="n"/>
      <c r="AO261" s="9" t="n"/>
      <c r="AP261" s="9" t="n"/>
      <c r="AQ261" s="9" t="n"/>
      <c r="AR261" s="9" t="n"/>
      <c r="AS261" s="9" t="n"/>
      <c r="AT261" s="8" t="n"/>
      <c r="AU261" s="8" t="n"/>
      <c r="AV261" s="9" t="n"/>
      <c r="AW261" s="8" t="n"/>
      <c r="AX261" s="9" t="n"/>
      <c r="AY261" s="9" t="n"/>
      <c r="AZ261" s="9" t="n"/>
      <c r="BA261" s="9" t="n"/>
      <c r="BB261" s="9" t="n"/>
      <c r="BC261" s="9" t="n"/>
      <c r="BD261" s="9" t="n"/>
      <c r="BE261" s="9" t="n"/>
      <c r="BF261" s="9" t="n"/>
      <c r="BG261" s="9" t="n"/>
      <c r="BH261" s="9" t="n"/>
      <c r="BI261" s="9" t="n"/>
      <c r="BJ261" s="9" t="n"/>
      <c r="BK261" s="9" t="n"/>
      <c r="BL261" s="9" t="n"/>
      <c r="BM261" s="9" t="n"/>
      <c r="BN261" s="9" t="n"/>
      <c r="BO261" s="8" t="n"/>
      <c r="BP261" s="9" t="n"/>
      <c r="BQ261" s="9" t="n"/>
      <c r="BR261" s="12">
        <f>IF(AND(AI261="Y",AK261="Y",AL261="Y",AM261="Y",AY261="Y",AZ261="Y",BA261="Y",BB261="Y",BC261="Y",BE261&lt;&gt;"Y",AX261&lt;&gt;"Y",BL261&lt;&gt;"Y",IF(AS261="Y",AV261="Y",TRUE)),"Y","N")</f>
        <v/>
      </c>
      <c r="BS261" s="12">
        <f>IF(AND(BR261="Y",OR(AND(BJ261="Y",BM261="Y"),AND(BK261="Y",BN261="Y"),AND(BJ261&lt;&gt;"Y",BK261&lt;&gt;"Y",OR(BM261="Y",BN261="Y")))),"Y","N")</f>
        <v/>
      </c>
      <c r="BT261" s="10" t="n"/>
      <c r="BU261" s="13" t="n"/>
      <c r="BV261" s="13" t="n"/>
      <c r="BW261" s="13" t="n"/>
      <c r="BX261" s="13" t="n"/>
      <c r="BY261" s="13" t="n"/>
      <c r="BZ261" s="13" t="n"/>
      <c r="CA261" s="14" t="n"/>
      <c r="CB261" s="13" t="n"/>
      <c r="CC261" s="9" t="n"/>
      <c r="CD261" s="9" t="n"/>
      <c r="CE261" s="9" t="n"/>
      <c r="CF261" s="9" t="n"/>
      <c r="CG261" s="9" t="n"/>
      <c r="CH261" s="9" t="n"/>
    </row>
    <row r="262">
      <c r="A262" s="8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8" t="n"/>
      <c r="L262" s="9" t="n"/>
      <c r="M262" s="8" t="n"/>
      <c r="N262" s="8" t="n"/>
      <c r="O262" s="8" t="n"/>
      <c r="P262" s="8" t="n"/>
      <c r="Q262" s="8" t="n"/>
      <c r="R262" s="9" t="n"/>
      <c r="S262" s="9" t="n"/>
      <c r="T262" s="10" t="n"/>
      <c r="U262" s="10" t="n"/>
      <c r="V262" s="9" t="n"/>
      <c r="W262" s="9" t="n"/>
      <c r="X262" s="9" t="n"/>
      <c r="Y262" s="9" t="n"/>
      <c r="Z262" s="11" t="n"/>
      <c r="AA262" s="11" t="n"/>
      <c r="AB262" s="11" t="n"/>
      <c r="AC262" s="11" t="n"/>
      <c r="AD262" s="11" t="n"/>
      <c r="AE262" s="11" t="n"/>
      <c r="AF262" s="9" t="n"/>
      <c r="AG262" s="9" t="n"/>
      <c r="AH262" s="9" t="n"/>
      <c r="AI262" s="9" t="n"/>
      <c r="AJ262" s="8" t="n"/>
      <c r="AK262" s="9" t="n"/>
      <c r="AL262" s="9" t="n"/>
      <c r="AM262" s="9" t="n"/>
      <c r="AN262" s="9" t="n"/>
      <c r="AO262" s="9" t="n"/>
      <c r="AP262" s="9" t="n"/>
      <c r="AQ262" s="9" t="n"/>
      <c r="AR262" s="9" t="n"/>
      <c r="AS262" s="9" t="n"/>
      <c r="AT262" s="8" t="n"/>
      <c r="AU262" s="8" t="n"/>
      <c r="AV262" s="9" t="n"/>
      <c r="AW262" s="8" t="n"/>
      <c r="AX262" s="9" t="n"/>
      <c r="AY262" s="9" t="n"/>
      <c r="AZ262" s="9" t="n"/>
      <c r="BA262" s="9" t="n"/>
      <c r="BB262" s="9" t="n"/>
      <c r="BC262" s="9" t="n"/>
      <c r="BD262" s="9" t="n"/>
      <c r="BE262" s="9" t="n"/>
      <c r="BF262" s="9" t="n"/>
      <c r="BG262" s="9" t="n"/>
      <c r="BH262" s="9" t="n"/>
      <c r="BI262" s="9" t="n"/>
      <c r="BJ262" s="9" t="n"/>
      <c r="BK262" s="9" t="n"/>
      <c r="BL262" s="9" t="n"/>
      <c r="BM262" s="9" t="n"/>
      <c r="BN262" s="9" t="n"/>
      <c r="BO262" s="8" t="n"/>
      <c r="BP262" s="9" t="n"/>
      <c r="BQ262" s="9" t="n"/>
      <c r="BR262" s="12">
        <f>IF(AND(AI262="Y",AK262="Y",AL262="Y",AM262="Y",AY262="Y",AZ262="Y",BA262="Y",BB262="Y",BC262="Y",BE262&lt;&gt;"Y",AX262&lt;&gt;"Y",BL262&lt;&gt;"Y",IF(AS262="Y",AV262="Y",TRUE)),"Y","N")</f>
        <v/>
      </c>
      <c r="BS262" s="12">
        <f>IF(AND(BR262="Y",OR(AND(BJ262="Y",BM262="Y"),AND(BK262="Y",BN262="Y"),AND(BJ262&lt;&gt;"Y",BK262&lt;&gt;"Y",OR(BM262="Y",BN262="Y")))),"Y","N")</f>
        <v/>
      </c>
      <c r="BT262" s="10" t="n"/>
      <c r="BU262" s="13" t="n"/>
      <c r="BV262" s="13" t="n"/>
      <c r="BW262" s="13" t="n"/>
      <c r="BX262" s="13" t="n"/>
      <c r="BY262" s="13" t="n"/>
      <c r="BZ262" s="13" t="n"/>
      <c r="CA262" s="14" t="n"/>
      <c r="CB262" s="13" t="n"/>
      <c r="CC262" s="9" t="n"/>
      <c r="CD262" s="9" t="n"/>
      <c r="CE262" s="9" t="n"/>
      <c r="CF262" s="9" t="n"/>
      <c r="CG262" s="9" t="n"/>
      <c r="CH262" s="9" t="n"/>
    </row>
    <row r="263">
      <c r="A263" s="8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8" t="n"/>
      <c r="L263" s="9" t="n"/>
      <c r="M263" s="8" t="n"/>
      <c r="N263" s="8" t="n"/>
      <c r="O263" s="8" t="n"/>
      <c r="P263" s="8" t="n"/>
      <c r="Q263" s="8" t="n"/>
      <c r="R263" s="9" t="n"/>
      <c r="S263" s="9" t="n"/>
      <c r="T263" s="10" t="n"/>
      <c r="U263" s="10" t="n"/>
      <c r="V263" s="9" t="n"/>
      <c r="W263" s="9" t="n"/>
      <c r="X263" s="9" t="n"/>
      <c r="Y263" s="9" t="n"/>
      <c r="Z263" s="11" t="n"/>
      <c r="AA263" s="11" t="n"/>
      <c r="AB263" s="11" t="n"/>
      <c r="AC263" s="11" t="n"/>
      <c r="AD263" s="11" t="n"/>
      <c r="AE263" s="11" t="n"/>
      <c r="AF263" s="9" t="n"/>
      <c r="AG263" s="9" t="n"/>
      <c r="AH263" s="9" t="n"/>
      <c r="AI263" s="9" t="n"/>
      <c r="AJ263" s="8" t="n"/>
      <c r="AK263" s="9" t="n"/>
      <c r="AL263" s="9" t="n"/>
      <c r="AM263" s="9" t="n"/>
      <c r="AN263" s="9" t="n"/>
      <c r="AO263" s="9" t="n"/>
      <c r="AP263" s="9" t="n"/>
      <c r="AQ263" s="9" t="n"/>
      <c r="AR263" s="9" t="n"/>
      <c r="AS263" s="9" t="n"/>
      <c r="AT263" s="8" t="n"/>
      <c r="AU263" s="8" t="n"/>
      <c r="AV263" s="9" t="n"/>
      <c r="AW263" s="8" t="n"/>
      <c r="AX263" s="9" t="n"/>
      <c r="AY263" s="9" t="n"/>
      <c r="AZ263" s="9" t="n"/>
      <c r="BA263" s="9" t="n"/>
      <c r="BB263" s="9" t="n"/>
      <c r="BC263" s="9" t="n"/>
      <c r="BD263" s="9" t="n"/>
      <c r="BE263" s="9" t="n"/>
      <c r="BF263" s="9" t="n"/>
      <c r="BG263" s="9" t="n"/>
      <c r="BH263" s="9" t="n"/>
      <c r="BI263" s="9" t="n"/>
      <c r="BJ263" s="9" t="n"/>
      <c r="BK263" s="9" t="n"/>
      <c r="BL263" s="9" t="n"/>
      <c r="BM263" s="9" t="n"/>
      <c r="BN263" s="9" t="n"/>
      <c r="BO263" s="8" t="n"/>
      <c r="BP263" s="9" t="n"/>
      <c r="BQ263" s="9" t="n"/>
      <c r="BR263" s="12">
        <f>IF(AND(AI263="Y",AK263="Y",AL263="Y",AM263="Y",AY263="Y",AZ263="Y",BA263="Y",BB263="Y",BC263="Y",BE263&lt;&gt;"Y",AX263&lt;&gt;"Y",BL263&lt;&gt;"Y",IF(AS263="Y",AV263="Y",TRUE)),"Y","N")</f>
        <v/>
      </c>
      <c r="BS263" s="12">
        <f>IF(AND(BR263="Y",OR(AND(BJ263="Y",BM263="Y"),AND(BK263="Y",BN263="Y"),AND(BJ263&lt;&gt;"Y",BK263&lt;&gt;"Y",OR(BM263="Y",BN263="Y")))),"Y","N")</f>
        <v/>
      </c>
      <c r="BT263" s="10" t="n"/>
      <c r="BU263" s="13" t="n"/>
      <c r="BV263" s="13" t="n"/>
      <c r="BW263" s="13" t="n"/>
      <c r="BX263" s="13" t="n"/>
      <c r="BY263" s="13" t="n"/>
      <c r="BZ263" s="13" t="n"/>
      <c r="CA263" s="14" t="n"/>
      <c r="CB263" s="13" t="n"/>
      <c r="CC263" s="9" t="n"/>
      <c r="CD263" s="9" t="n"/>
      <c r="CE263" s="9" t="n"/>
      <c r="CF263" s="9" t="n"/>
      <c r="CG263" s="9" t="n"/>
      <c r="CH263" s="9" t="n"/>
    </row>
    <row r="264">
      <c r="A264" s="8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8" t="n"/>
      <c r="L264" s="9" t="n"/>
      <c r="M264" s="8" t="n"/>
      <c r="N264" s="8" t="n"/>
      <c r="O264" s="8" t="n"/>
      <c r="P264" s="8" t="n"/>
      <c r="Q264" s="8" t="n"/>
      <c r="R264" s="9" t="n"/>
      <c r="S264" s="9" t="n"/>
      <c r="T264" s="10" t="n"/>
      <c r="U264" s="10" t="n"/>
      <c r="V264" s="9" t="n"/>
      <c r="W264" s="9" t="n"/>
      <c r="X264" s="9" t="n"/>
      <c r="Y264" s="9" t="n"/>
      <c r="Z264" s="11" t="n"/>
      <c r="AA264" s="11" t="n"/>
      <c r="AB264" s="11" t="n"/>
      <c r="AC264" s="11" t="n"/>
      <c r="AD264" s="11" t="n"/>
      <c r="AE264" s="11" t="n"/>
      <c r="AF264" s="9" t="n"/>
      <c r="AG264" s="9" t="n"/>
      <c r="AH264" s="9" t="n"/>
      <c r="AI264" s="9" t="n"/>
      <c r="AJ264" s="8" t="n"/>
      <c r="AK264" s="9" t="n"/>
      <c r="AL264" s="9" t="n"/>
      <c r="AM264" s="9" t="n"/>
      <c r="AN264" s="9" t="n"/>
      <c r="AO264" s="9" t="n"/>
      <c r="AP264" s="9" t="n"/>
      <c r="AQ264" s="9" t="n"/>
      <c r="AR264" s="9" t="n"/>
      <c r="AS264" s="9" t="n"/>
      <c r="AT264" s="8" t="n"/>
      <c r="AU264" s="8" t="n"/>
      <c r="AV264" s="9" t="n"/>
      <c r="AW264" s="8" t="n"/>
      <c r="AX264" s="9" t="n"/>
      <c r="AY264" s="9" t="n"/>
      <c r="AZ264" s="9" t="n"/>
      <c r="BA264" s="9" t="n"/>
      <c r="BB264" s="9" t="n"/>
      <c r="BC264" s="9" t="n"/>
      <c r="BD264" s="9" t="n"/>
      <c r="BE264" s="9" t="n"/>
      <c r="BF264" s="9" t="n"/>
      <c r="BG264" s="9" t="n"/>
      <c r="BH264" s="9" t="n"/>
      <c r="BI264" s="9" t="n"/>
      <c r="BJ264" s="9" t="n"/>
      <c r="BK264" s="9" t="n"/>
      <c r="BL264" s="9" t="n"/>
      <c r="BM264" s="9" t="n"/>
      <c r="BN264" s="9" t="n"/>
      <c r="BO264" s="8" t="n"/>
      <c r="BP264" s="9" t="n"/>
      <c r="BQ264" s="9" t="n"/>
      <c r="BR264" s="12">
        <f>IF(AND(AI264="Y",AK264="Y",AL264="Y",AM264="Y",AY264="Y",AZ264="Y",BA264="Y",BB264="Y",BC264="Y",BE264&lt;&gt;"Y",AX264&lt;&gt;"Y",BL264&lt;&gt;"Y",IF(AS264="Y",AV264="Y",TRUE)),"Y","N")</f>
        <v/>
      </c>
      <c r="BS264" s="12">
        <f>IF(AND(BR264="Y",OR(AND(BJ264="Y",BM264="Y"),AND(BK264="Y",BN264="Y"),AND(BJ264&lt;&gt;"Y",BK264&lt;&gt;"Y",OR(BM264="Y",BN264="Y")))),"Y","N")</f>
        <v/>
      </c>
      <c r="BT264" s="10" t="n"/>
      <c r="BU264" s="13" t="n"/>
      <c r="BV264" s="13" t="n"/>
      <c r="BW264" s="13" t="n"/>
      <c r="BX264" s="13" t="n"/>
      <c r="BY264" s="13" t="n"/>
      <c r="BZ264" s="13" t="n"/>
      <c r="CA264" s="14" t="n"/>
      <c r="CB264" s="13" t="n"/>
      <c r="CC264" s="9" t="n"/>
      <c r="CD264" s="9" t="n"/>
      <c r="CE264" s="9" t="n"/>
      <c r="CF264" s="9" t="n"/>
      <c r="CG264" s="9" t="n"/>
      <c r="CH264" s="9" t="n"/>
    </row>
    <row r="265">
      <c r="A265" s="8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8" t="n"/>
      <c r="L265" s="9" t="n"/>
      <c r="M265" s="8" t="n"/>
      <c r="N265" s="8" t="n"/>
      <c r="O265" s="8" t="n"/>
      <c r="P265" s="8" t="n"/>
      <c r="Q265" s="8" t="n"/>
      <c r="R265" s="9" t="n"/>
      <c r="S265" s="9" t="n"/>
      <c r="T265" s="10" t="n"/>
      <c r="U265" s="10" t="n"/>
      <c r="V265" s="9" t="n"/>
      <c r="W265" s="9" t="n"/>
      <c r="X265" s="9" t="n"/>
      <c r="Y265" s="9" t="n"/>
      <c r="Z265" s="11" t="n"/>
      <c r="AA265" s="11" t="n"/>
      <c r="AB265" s="11" t="n"/>
      <c r="AC265" s="11" t="n"/>
      <c r="AD265" s="11" t="n"/>
      <c r="AE265" s="11" t="n"/>
      <c r="AF265" s="9" t="n"/>
      <c r="AG265" s="9" t="n"/>
      <c r="AH265" s="9" t="n"/>
      <c r="AI265" s="9" t="n"/>
      <c r="AJ265" s="8" t="n"/>
      <c r="AK265" s="9" t="n"/>
      <c r="AL265" s="9" t="n"/>
      <c r="AM265" s="9" t="n"/>
      <c r="AN265" s="9" t="n"/>
      <c r="AO265" s="9" t="n"/>
      <c r="AP265" s="9" t="n"/>
      <c r="AQ265" s="9" t="n"/>
      <c r="AR265" s="9" t="n"/>
      <c r="AS265" s="9" t="n"/>
      <c r="AT265" s="8" t="n"/>
      <c r="AU265" s="8" t="n"/>
      <c r="AV265" s="9" t="n"/>
      <c r="AW265" s="8" t="n"/>
      <c r="AX265" s="9" t="n"/>
      <c r="AY265" s="9" t="n"/>
      <c r="AZ265" s="9" t="n"/>
      <c r="BA265" s="9" t="n"/>
      <c r="BB265" s="9" t="n"/>
      <c r="BC265" s="9" t="n"/>
      <c r="BD265" s="9" t="n"/>
      <c r="BE265" s="9" t="n"/>
      <c r="BF265" s="9" t="n"/>
      <c r="BG265" s="9" t="n"/>
      <c r="BH265" s="9" t="n"/>
      <c r="BI265" s="9" t="n"/>
      <c r="BJ265" s="9" t="n"/>
      <c r="BK265" s="9" t="n"/>
      <c r="BL265" s="9" t="n"/>
      <c r="BM265" s="9" t="n"/>
      <c r="BN265" s="9" t="n"/>
      <c r="BO265" s="8" t="n"/>
      <c r="BP265" s="9" t="n"/>
      <c r="BQ265" s="9" t="n"/>
      <c r="BR265" s="12">
        <f>IF(AND(AI265="Y",AK265="Y",AL265="Y",AM265="Y",AY265="Y",AZ265="Y",BA265="Y",BB265="Y",BC265="Y",BE265&lt;&gt;"Y",AX265&lt;&gt;"Y",BL265&lt;&gt;"Y",IF(AS265="Y",AV265="Y",TRUE)),"Y","N")</f>
        <v/>
      </c>
      <c r="BS265" s="12">
        <f>IF(AND(BR265="Y",OR(AND(BJ265="Y",BM265="Y"),AND(BK265="Y",BN265="Y"),AND(BJ265&lt;&gt;"Y",BK265&lt;&gt;"Y",OR(BM265="Y",BN265="Y")))),"Y","N")</f>
        <v/>
      </c>
      <c r="BT265" s="10" t="n"/>
      <c r="BU265" s="13" t="n"/>
      <c r="BV265" s="13" t="n"/>
      <c r="BW265" s="13" t="n"/>
      <c r="BX265" s="13" t="n"/>
      <c r="BY265" s="13" t="n"/>
      <c r="BZ265" s="13" t="n"/>
      <c r="CA265" s="14" t="n"/>
      <c r="CB265" s="13" t="n"/>
      <c r="CC265" s="9" t="n"/>
      <c r="CD265" s="9" t="n"/>
      <c r="CE265" s="9" t="n"/>
      <c r="CF265" s="9" t="n"/>
      <c r="CG265" s="9" t="n"/>
      <c r="CH265" s="9" t="n"/>
    </row>
    <row r="266">
      <c r="A266" s="8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8" t="n"/>
      <c r="L266" s="9" t="n"/>
      <c r="M266" s="8" t="n"/>
      <c r="N266" s="8" t="n"/>
      <c r="O266" s="8" t="n"/>
      <c r="P266" s="8" t="n"/>
      <c r="Q266" s="8" t="n"/>
      <c r="R266" s="9" t="n"/>
      <c r="S266" s="9" t="n"/>
      <c r="T266" s="10" t="n"/>
      <c r="U266" s="10" t="n"/>
      <c r="V266" s="9" t="n"/>
      <c r="W266" s="9" t="n"/>
      <c r="X266" s="9" t="n"/>
      <c r="Y266" s="9" t="n"/>
      <c r="Z266" s="11" t="n"/>
      <c r="AA266" s="11" t="n"/>
      <c r="AB266" s="11" t="n"/>
      <c r="AC266" s="11" t="n"/>
      <c r="AD266" s="11" t="n"/>
      <c r="AE266" s="11" t="n"/>
      <c r="AF266" s="9" t="n"/>
      <c r="AG266" s="9" t="n"/>
      <c r="AH266" s="9" t="n"/>
      <c r="AI266" s="9" t="n"/>
      <c r="AJ266" s="8" t="n"/>
      <c r="AK266" s="9" t="n"/>
      <c r="AL266" s="9" t="n"/>
      <c r="AM266" s="9" t="n"/>
      <c r="AN266" s="9" t="n"/>
      <c r="AO266" s="9" t="n"/>
      <c r="AP266" s="9" t="n"/>
      <c r="AQ266" s="9" t="n"/>
      <c r="AR266" s="9" t="n"/>
      <c r="AS266" s="9" t="n"/>
      <c r="AT266" s="8" t="n"/>
      <c r="AU266" s="8" t="n"/>
      <c r="AV266" s="9" t="n"/>
      <c r="AW266" s="8" t="n"/>
      <c r="AX266" s="9" t="n"/>
      <c r="AY266" s="9" t="n"/>
      <c r="AZ266" s="9" t="n"/>
      <c r="BA266" s="9" t="n"/>
      <c r="BB266" s="9" t="n"/>
      <c r="BC266" s="9" t="n"/>
      <c r="BD266" s="9" t="n"/>
      <c r="BE266" s="9" t="n"/>
      <c r="BF266" s="9" t="n"/>
      <c r="BG266" s="9" t="n"/>
      <c r="BH266" s="9" t="n"/>
      <c r="BI266" s="9" t="n"/>
      <c r="BJ266" s="9" t="n"/>
      <c r="BK266" s="9" t="n"/>
      <c r="BL266" s="9" t="n"/>
      <c r="BM266" s="9" t="n"/>
      <c r="BN266" s="9" t="n"/>
      <c r="BO266" s="8" t="n"/>
      <c r="BP266" s="9" t="n"/>
      <c r="BQ266" s="9" t="n"/>
      <c r="BR266" s="12">
        <f>IF(AND(AI266="Y",AK266="Y",AL266="Y",AM266="Y",AY266="Y",AZ266="Y",BA266="Y",BB266="Y",BC266="Y",BE266&lt;&gt;"Y",AX266&lt;&gt;"Y",BL266&lt;&gt;"Y",IF(AS266="Y",AV266="Y",TRUE)),"Y","N")</f>
        <v/>
      </c>
      <c r="BS266" s="12">
        <f>IF(AND(BR266="Y",OR(AND(BJ266="Y",BM266="Y"),AND(BK266="Y",BN266="Y"),AND(BJ266&lt;&gt;"Y",BK266&lt;&gt;"Y",OR(BM266="Y",BN266="Y")))),"Y","N")</f>
        <v/>
      </c>
      <c r="BT266" s="10" t="n"/>
      <c r="BU266" s="13" t="n"/>
      <c r="BV266" s="13" t="n"/>
      <c r="BW266" s="13" t="n"/>
      <c r="BX266" s="13" t="n"/>
      <c r="BY266" s="13" t="n"/>
      <c r="BZ266" s="13" t="n"/>
      <c r="CA266" s="14" t="n"/>
      <c r="CB266" s="13" t="n"/>
      <c r="CC266" s="9" t="n"/>
      <c r="CD266" s="9" t="n"/>
      <c r="CE266" s="9" t="n"/>
      <c r="CF266" s="9" t="n"/>
      <c r="CG266" s="9" t="n"/>
      <c r="CH266" s="9" t="n"/>
    </row>
    <row r="267">
      <c r="A267" s="8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8" t="n"/>
      <c r="L267" s="9" t="n"/>
      <c r="M267" s="8" t="n"/>
      <c r="N267" s="8" t="n"/>
      <c r="O267" s="8" t="n"/>
      <c r="P267" s="8" t="n"/>
      <c r="Q267" s="8" t="n"/>
      <c r="R267" s="9" t="n"/>
      <c r="S267" s="9" t="n"/>
      <c r="T267" s="10" t="n"/>
      <c r="U267" s="10" t="n"/>
      <c r="V267" s="9" t="n"/>
      <c r="W267" s="9" t="n"/>
      <c r="X267" s="9" t="n"/>
      <c r="Y267" s="9" t="n"/>
      <c r="Z267" s="11" t="n"/>
      <c r="AA267" s="11" t="n"/>
      <c r="AB267" s="11" t="n"/>
      <c r="AC267" s="11" t="n"/>
      <c r="AD267" s="11" t="n"/>
      <c r="AE267" s="11" t="n"/>
      <c r="AF267" s="9" t="n"/>
      <c r="AG267" s="9" t="n"/>
      <c r="AH267" s="9" t="n"/>
      <c r="AI267" s="9" t="n"/>
      <c r="AJ267" s="8" t="n"/>
      <c r="AK267" s="9" t="n"/>
      <c r="AL267" s="9" t="n"/>
      <c r="AM267" s="9" t="n"/>
      <c r="AN267" s="9" t="n"/>
      <c r="AO267" s="9" t="n"/>
      <c r="AP267" s="9" t="n"/>
      <c r="AQ267" s="9" t="n"/>
      <c r="AR267" s="9" t="n"/>
      <c r="AS267" s="9" t="n"/>
      <c r="AT267" s="8" t="n"/>
      <c r="AU267" s="8" t="n"/>
      <c r="AV267" s="9" t="n"/>
      <c r="AW267" s="8" t="n"/>
      <c r="AX267" s="9" t="n"/>
      <c r="AY267" s="9" t="n"/>
      <c r="AZ267" s="9" t="n"/>
      <c r="BA267" s="9" t="n"/>
      <c r="BB267" s="9" t="n"/>
      <c r="BC267" s="9" t="n"/>
      <c r="BD267" s="9" t="n"/>
      <c r="BE267" s="9" t="n"/>
      <c r="BF267" s="9" t="n"/>
      <c r="BG267" s="9" t="n"/>
      <c r="BH267" s="9" t="n"/>
      <c r="BI267" s="9" t="n"/>
      <c r="BJ267" s="9" t="n"/>
      <c r="BK267" s="9" t="n"/>
      <c r="BL267" s="9" t="n"/>
      <c r="BM267" s="9" t="n"/>
      <c r="BN267" s="9" t="n"/>
      <c r="BO267" s="8" t="n"/>
      <c r="BP267" s="9" t="n"/>
      <c r="BQ267" s="9" t="n"/>
      <c r="BR267" s="12">
        <f>IF(AND(AI267="Y",AK267="Y",AL267="Y",AM267="Y",AY267="Y",AZ267="Y",BA267="Y",BB267="Y",BC267="Y",BE267&lt;&gt;"Y",AX267&lt;&gt;"Y",BL267&lt;&gt;"Y",IF(AS267="Y",AV267="Y",TRUE)),"Y","N")</f>
        <v/>
      </c>
      <c r="BS267" s="12">
        <f>IF(AND(BR267="Y",OR(AND(BJ267="Y",BM267="Y"),AND(BK267="Y",BN267="Y"),AND(BJ267&lt;&gt;"Y",BK267&lt;&gt;"Y",OR(BM267="Y",BN267="Y")))),"Y","N")</f>
        <v/>
      </c>
      <c r="BT267" s="10" t="n"/>
      <c r="BU267" s="13" t="n"/>
      <c r="BV267" s="13" t="n"/>
      <c r="BW267" s="13" t="n"/>
      <c r="BX267" s="13" t="n"/>
      <c r="BY267" s="13" t="n"/>
      <c r="BZ267" s="13" t="n"/>
      <c r="CA267" s="14" t="n"/>
      <c r="CB267" s="13" t="n"/>
      <c r="CC267" s="9" t="n"/>
      <c r="CD267" s="9" t="n"/>
      <c r="CE267" s="9" t="n"/>
      <c r="CF267" s="9" t="n"/>
      <c r="CG267" s="9" t="n"/>
      <c r="CH267" s="9" t="n"/>
    </row>
    <row r="268">
      <c r="A268" s="8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8" t="n"/>
      <c r="L268" s="9" t="n"/>
      <c r="M268" s="8" t="n"/>
      <c r="N268" s="8" t="n"/>
      <c r="O268" s="8" t="n"/>
      <c r="P268" s="8" t="n"/>
      <c r="Q268" s="8" t="n"/>
      <c r="R268" s="9" t="n"/>
      <c r="S268" s="9" t="n"/>
      <c r="T268" s="10" t="n"/>
      <c r="U268" s="10" t="n"/>
      <c r="V268" s="9" t="n"/>
      <c r="W268" s="9" t="n"/>
      <c r="X268" s="9" t="n"/>
      <c r="Y268" s="9" t="n"/>
      <c r="Z268" s="11" t="n"/>
      <c r="AA268" s="11" t="n"/>
      <c r="AB268" s="11" t="n"/>
      <c r="AC268" s="11" t="n"/>
      <c r="AD268" s="11" t="n"/>
      <c r="AE268" s="11" t="n"/>
      <c r="AF268" s="9" t="n"/>
      <c r="AG268" s="9" t="n"/>
      <c r="AH268" s="9" t="n"/>
      <c r="AI268" s="9" t="n"/>
      <c r="AJ268" s="8" t="n"/>
      <c r="AK268" s="9" t="n"/>
      <c r="AL268" s="9" t="n"/>
      <c r="AM268" s="9" t="n"/>
      <c r="AN268" s="9" t="n"/>
      <c r="AO268" s="9" t="n"/>
      <c r="AP268" s="9" t="n"/>
      <c r="AQ268" s="9" t="n"/>
      <c r="AR268" s="9" t="n"/>
      <c r="AS268" s="9" t="n"/>
      <c r="AT268" s="8" t="n"/>
      <c r="AU268" s="8" t="n"/>
      <c r="AV268" s="9" t="n"/>
      <c r="AW268" s="8" t="n"/>
      <c r="AX268" s="9" t="n"/>
      <c r="AY268" s="9" t="n"/>
      <c r="AZ268" s="9" t="n"/>
      <c r="BA268" s="9" t="n"/>
      <c r="BB268" s="9" t="n"/>
      <c r="BC268" s="9" t="n"/>
      <c r="BD268" s="9" t="n"/>
      <c r="BE268" s="9" t="n"/>
      <c r="BF268" s="9" t="n"/>
      <c r="BG268" s="9" t="n"/>
      <c r="BH268" s="9" t="n"/>
      <c r="BI268" s="9" t="n"/>
      <c r="BJ268" s="9" t="n"/>
      <c r="BK268" s="9" t="n"/>
      <c r="BL268" s="9" t="n"/>
      <c r="BM268" s="9" t="n"/>
      <c r="BN268" s="9" t="n"/>
      <c r="BO268" s="8" t="n"/>
      <c r="BP268" s="9" t="n"/>
      <c r="BQ268" s="9" t="n"/>
      <c r="BR268" s="12">
        <f>IF(AND(AI268="Y",AK268="Y",AL268="Y",AM268="Y",AY268="Y",AZ268="Y",BA268="Y",BB268="Y",BC268="Y",BE268&lt;&gt;"Y",AX268&lt;&gt;"Y",BL268&lt;&gt;"Y",IF(AS268="Y",AV268="Y",TRUE)),"Y","N")</f>
        <v/>
      </c>
      <c r="BS268" s="12">
        <f>IF(AND(BR268="Y",OR(AND(BJ268="Y",BM268="Y"),AND(BK268="Y",BN268="Y"),AND(BJ268&lt;&gt;"Y",BK268&lt;&gt;"Y",OR(BM268="Y",BN268="Y")))),"Y","N")</f>
        <v/>
      </c>
      <c r="BT268" s="10" t="n"/>
      <c r="BU268" s="13" t="n"/>
      <c r="BV268" s="13" t="n"/>
      <c r="BW268" s="13" t="n"/>
      <c r="BX268" s="13" t="n"/>
      <c r="BY268" s="13" t="n"/>
      <c r="BZ268" s="13" t="n"/>
      <c r="CA268" s="14" t="n"/>
      <c r="CB268" s="13" t="n"/>
      <c r="CC268" s="9" t="n"/>
      <c r="CD268" s="9" t="n"/>
      <c r="CE268" s="9" t="n"/>
      <c r="CF268" s="9" t="n"/>
      <c r="CG268" s="9" t="n"/>
      <c r="CH268" s="9" t="n"/>
    </row>
    <row r="269">
      <c r="A269" s="8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8" t="n"/>
      <c r="L269" s="9" t="n"/>
      <c r="M269" s="8" t="n"/>
      <c r="N269" s="8" t="n"/>
      <c r="O269" s="8" t="n"/>
      <c r="P269" s="8" t="n"/>
      <c r="Q269" s="8" t="n"/>
      <c r="R269" s="9" t="n"/>
      <c r="S269" s="9" t="n"/>
      <c r="T269" s="10" t="n"/>
      <c r="U269" s="10" t="n"/>
      <c r="V269" s="9" t="n"/>
      <c r="W269" s="9" t="n"/>
      <c r="X269" s="9" t="n"/>
      <c r="Y269" s="9" t="n"/>
      <c r="Z269" s="11" t="n"/>
      <c r="AA269" s="11" t="n"/>
      <c r="AB269" s="11" t="n"/>
      <c r="AC269" s="11" t="n"/>
      <c r="AD269" s="11" t="n"/>
      <c r="AE269" s="11" t="n"/>
      <c r="AF269" s="9" t="n"/>
      <c r="AG269" s="9" t="n"/>
      <c r="AH269" s="9" t="n"/>
      <c r="AI269" s="9" t="n"/>
      <c r="AJ269" s="8" t="n"/>
      <c r="AK269" s="9" t="n"/>
      <c r="AL269" s="9" t="n"/>
      <c r="AM269" s="9" t="n"/>
      <c r="AN269" s="9" t="n"/>
      <c r="AO269" s="9" t="n"/>
      <c r="AP269" s="9" t="n"/>
      <c r="AQ269" s="9" t="n"/>
      <c r="AR269" s="9" t="n"/>
      <c r="AS269" s="9" t="n"/>
      <c r="AT269" s="8" t="n"/>
      <c r="AU269" s="8" t="n"/>
      <c r="AV269" s="9" t="n"/>
      <c r="AW269" s="8" t="n"/>
      <c r="AX269" s="9" t="n"/>
      <c r="AY269" s="9" t="n"/>
      <c r="AZ269" s="9" t="n"/>
      <c r="BA269" s="9" t="n"/>
      <c r="BB269" s="9" t="n"/>
      <c r="BC269" s="9" t="n"/>
      <c r="BD269" s="9" t="n"/>
      <c r="BE269" s="9" t="n"/>
      <c r="BF269" s="9" t="n"/>
      <c r="BG269" s="9" t="n"/>
      <c r="BH269" s="9" t="n"/>
      <c r="BI269" s="9" t="n"/>
      <c r="BJ269" s="9" t="n"/>
      <c r="BK269" s="9" t="n"/>
      <c r="BL269" s="9" t="n"/>
      <c r="BM269" s="9" t="n"/>
      <c r="BN269" s="9" t="n"/>
      <c r="BO269" s="8" t="n"/>
      <c r="BP269" s="9" t="n"/>
      <c r="BQ269" s="9" t="n"/>
      <c r="BR269" s="12">
        <f>IF(AND(AI269="Y",AK269="Y",AL269="Y",AM269="Y",AY269="Y",AZ269="Y",BA269="Y",BB269="Y",BC269="Y",BE269&lt;&gt;"Y",AX269&lt;&gt;"Y",BL269&lt;&gt;"Y",IF(AS269="Y",AV269="Y",TRUE)),"Y","N")</f>
        <v/>
      </c>
      <c r="BS269" s="12">
        <f>IF(AND(BR269="Y",OR(AND(BJ269="Y",BM269="Y"),AND(BK269="Y",BN269="Y"),AND(BJ269&lt;&gt;"Y",BK269&lt;&gt;"Y",OR(BM269="Y",BN269="Y")))),"Y","N")</f>
        <v/>
      </c>
      <c r="BT269" s="10" t="n"/>
      <c r="BU269" s="13" t="n"/>
      <c r="BV269" s="13" t="n"/>
      <c r="BW269" s="13" t="n"/>
      <c r="BX269" s="13" t="n"/>
      <c r="BY269" s="13" t="n"/>
      <c r="BZ269" s="13" t="n"/>
      <c r="CA269" s="14" t="n"/>
      <c r="CB269" s="13" t="n"/>
      <c r="CC269" s="9" t="n"/>
      <c r="CD269" s="9" t="n"/>
      <c r="CE269" s="9" t="n"/>
      <c r="CF269" s="9" t="n"/>
      <c r="CG269" s="9" t="n"/>
      <c r="CH269" s="9" t="n"/>
    </row>
    <row r="270">
      <c r="A270" s="8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8" t="n"/>
      <c r="L270" s="9" t="n"/>
      <c r="M270" s="8" t="n"/>
      <c r="N270" s="8" t="n"/>
      <c r="O270" s="8" t="n"/>
      <c r="P270" s="8" t="n"/>
      <c r="Q270" s="8" t="n"/>
      <c r="R270" s="9" t="n"/>
      <c r="S270" s="9" t="n"/>
      <c r="T270" s="10" t="n"/>
      <c r="U270" s="10" t="n"/>
      <c r="V270" s="9" t="n"/>
      <c r="W270" s="9" t="n"/>
      <c r="X270" s="9" t="n"/>
      <c r="Y270" s="9" t="n"/>
      <c r="Z270" s="11" t="n"/>
      <c r="AA270" s="11" t="n"/>
      <c r="AB270" s="11" t="n"/>
      <c r="AC270" s="11" t="n"/>
      <c r="AD270" s="11" t="n"/>
      <c r="AE270" s="11" t="n"/>
      <c r="AF270" s="9" t="n"/>
      <c r="AG270" s="9" t="n"/>
      <c r="AH270" s="9" t="n"/>
      <c r="AI270" s="9" t="n"/>
      <c r="AJ270" s="8" t="n"/>
      <c r="AK270" s="9" t="n"/>
      <c r="AL270" s="9" t="n"/>
      <c r="AM270" s="9" t="n"/>
      <c r="AN270" s="9" t="n"/>
      <c r="AO270" s="9" t="n"/>
      <c r="AP270" s="9" t="n"/>
      <c r="AQ270" s="9" t="n"/>
      <c r="AR270" s="9" t="n"/>
      <c r="AS270" s="9" t="n"/>
      <c r="AT270" s="8" t="n"/>
      <c r="AU270" s="8" t="n"/>
      <c r="AV270" s="9" t="n"/>
      <c r="AW270" s="8" t="n"/>
      <c r="AX270" s="9" t="n"/>
      <c r="AY270" s="9" t="n"/>
      <c r="AZ270" s="9" t="n"/>
      <c r="BA270" s="9" t="n"/>
      <c r="BB270" s="9" t="n"/>
      <c r="BC270" s="9" t="n"/>
      <c r="BD270" s="9" t="n"/>
      <c r="BE270" s="9" t="n"/>
      <c r="BF270" s="9" t="n"/>
      <c r="BG270" s="9" t="n"/>
      <c r="BH270" s="9" t="n"/>
      <c r="BI270" s="9" t="n"/>
      <c r="BJ270" s="9" t="n"/>
      <c r="BK270" s="9" t="n"/>
      <c r="BL270" s="9" t="n"/>
      <c r="BM270" s="9" t="n"/>
      <c r="BN270" s="9" t="n"/>
      <c r="BO270" s="8" t="n"/>
      <c r="BP270" s="9" t="n"/>
      <c r="BQ270" s="9" t="n"/>
      <c r="BR270" s="12">
        <f>IF(AND(AI270="Y",AK270="Y",AL270="Y",AM270="Y",AY270="Y",AZ270="Y",BA270="Y",BB270="Y",BC270="Y",BE270&lt;&gt;"Y",AX270&lt;&gt;"Y",BL270&lt;&gt;"Y",IF(AS270="Y",AV270="Y",TRUE)),"Y","N")</f>
        <v/>
      </c>
      <c r="BS270" s="12">
        <f>IF(AND(BR270="Y",OR(AND(BJ270="Y",BM270="Y"),AND(BK270="Y",BN270="Y"),AND(BJ270&lt;&gt;"Y",BK270&lt;&gt;"Y",OR(BM270="Y",BN270="Y")))),"Y","N")</f>
        <v/>
      </c>
      <c r="BT270" s="10" t="n"/>
      <c r="BU270" s="13" t="n"/>
      <c r="BV270" s="13" t="n"/>
      <c r="BW270" s="13" t="n"/>
      <c r="BX270" s="13" t="n"/>
      <c r="BY270" s="13" t="n"/>
      <c r="BZ270" s="13" t="n"/>
      <c r="CA270" s="14" t="n"/>
      <c r="CB270" s="13" t="n"/>
      <c r="CC270" s="9" t="n"/>
      <c r="CD270" s="9" t="n"/>
      <c r="CE270" s="9" t="n"/>
      <c r="CF270" s="9" t="n"/>
      <c r="CG270" s="9" t="n"/>
      <c r="CH270" s="9" t="n"/>
    </row>
    <row r="271">
      <c r="A271" s="8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8" t="n"/>
      <c r="L271" s="9" t="n"/>
      <c r="M271" s="8" t="n"/>
      <c r="N271" s="8" t="n"/>
      <c r="O271" s="8" t="n"/>
      <c r="P271" s="8" t="n"/>
      <c r="Q271" s="8" t="n"/>
      <c r="R271" s="9" t="n"/>
      <c r="S271" s="9" t="n"/>
      <c r="T271" s="10" t="n"/>
      <c r="U271" s="10" t="n"/>
      <c r="V271" s="9" t="n"/>
      <c r="W271" s="9" t="n"/>
      <c r="X271" s="9" t="n"/>
      <c r="Y271" s="9" t="n"/>
      <c r="Z271" s="11" t="n"/>
      <c r="AA271" s="11" t="n"/>
      <c r="AB271" s="11" t="n"/>
      <c r="AC271" s="11" t="n"/>
      <c r="AD271" s="11" t="n"/>
      <c r="AE271" s="11" t="n"/>
      <c r="AF271" s="9" t="n"/>
      <c r="AG271" s="9" t="n"/>
      <c r="AH271" s="9" t="n"/>
      <c r="AI271" s="9" t="n"/>
      <c r="AJ271" s="8" t="n"/>
      <c r="AK271" s="9" t="n"/>
      <c r="AL271" s="9" t="n"/>
      <c r="AM271" s="9" t="n"/>
      <c r="AN271" s="9" t="n"/>
      <c r="AO271" s="9" t="n"/>
      <c r="AP271" s="9" t="n"/>
      <c r="AQ271" s="9" t="n"/>
      <c r="AR271" s="9" t="n"/>
      <c r="AS271" s="9" t="n"/>
      <c r="AT271" s="8" t="n"/>
      <c r="AU271" s="8" t="n"/>
      <c r="AV271" s="9" t="n"/>
      <c r="AW271" s="8" t="n"/>
      <c r="AX271" s="9" t="n"/>
      <c r="AY271" s="9" t="n"/>
      <c r="AZ271" s="9" t="n"/>
      <c r="BA271" s="9" t="n"/>
      <c r="BB271" s="9" t="n"/>
      <c r="BC271" s="9" t="n"/>
      <c r="BD271" s="9" t="n"/>
      <c r="BE271" s="9" t="n"/>
      <c r="BF271" s="9" t="n"/>
      <c r="BG271" s="9" t="n"/>
      <c r="BH271" s="9" t="n"/>
      <c r="BI271" s="9" t="n"/>
      <c r="BJ271" s="9" t="n"/>
      <c r="BK271" s="9" t="n"/>
      <c r="BL271" s="9" t="n"/>
      <c r="BM271" s="9" t="n"/>
      <c r="BN271" s="9" t="n"/>
      <c r="BO271" s="8" t="n"/>
      <c r="BP271" s="9" t="n"/>
      <c r="BQ271" s="9" t="n"/>
      <c r="BR271" s="12">
        <f>IF(AND(AI271="Y",AK271="Y",AL271="Y",AM271="Y",AY271="Y",AZ271="Y",BA271="Y",BB271="Y",BC271="Y",BE271&lt;&gt;"Y",AX271&lt;&gt;"Y",BL271&lt;&gt;"Y",IF(AS271="Y",AV271="Y",TRUE)),"Y","N")</f>
        <v/>
      </c>
      <c r="BS271" s="12">
        <f>IF(AND(BR271="Y",OR(AND(BJ271="Y",BM271="Y"),AND(BK271="Y",BN271="Y"),AND(BJ271&lt;&gt;"Y",BK271&lt;&gt;"Y",OR(BM271="Y",BN271="Y")))),"Y","N")</f>
        <v/>
      </c>
      <c r="BT271" s="10" t="n"/>
      <c r="BU271" s="13" t="n"/>
      <c r="BV271" s="13" t="n"/>
      <c r="BW271" s="13" t="n"/>
      <c r="BX271" s="13" t="n"/>
      <c r="BY271" s="13" t="n"/>
      <c r="BZ271" s="13" t="n"/>
      <c r="CA271" s="14" t="n"/>
      <c r="CB271" s="13" t="n"/>
      <c r="CC271" s="9" t="n"/>
      <c r="CD271" s="9" t="n"/>
      <c r="CE271" s="9" t="n"/>
      <c r="CF271" s="9" t="n"/>
      <c r="CG271" s="9" t="n"/>
      <c r="CH271" s="9" t="n"/>
    </row>
    <row r="272">
      <c r="A272" s="8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8" t="n"/>
      <c r="L272" s="9" t="n"/>
      <c r="M272" s="8" t="n"/>
      <c r="N272" s="8" t="n"/>
      <c r="O272" s="8" t="n"/>
      <c r="P272" s="8" t="n"/>
      <c r="Q272" s="8" t="n"/>
      <c r="R272" s="9" t="n"/>
      <c r="S272" s="9" t="n"/>
      <c r="T272" s="10" t="n"/>
      <c r="U272" s="10" t="n"/>
      <c r="V272" s="9" t="n"/>
      <c r="W272" s="9" t="n"/>
      <c r="X272" s="9" t="n"/>
      <c r="Y272" s="9" t="n"/>
      <c r="Z272" s="11" t="n"/>
      <c r="AA272" s="11" t="n"/>
      <c r="AB272" s="11" t="n"/>
      <c r="AC272" s="11" t="n"/>
      <c r="AD272" s="11" t="n"/>
      <c r="AE272" s="11" t="n"/>
      <c r="AF272" s="9" t="n"/>
      <c r="AG272" s="9" t="n"/>
      <c r="AH272" s="9" t="n"/>
      <c r="AI272" s="9" t="n"/>
      <c r="AJ272" s="8" t="n"/>
      <c r="AK272" s="9" t="n"/>
      <c r="AL272" s="9" t="n"/>
      <c r="AM272" s="9" t="n"/>
      <c r="AN272" s="9" t="n"/>
      <c r="AO272" s="9" t="n"/>
      <c r="AP272" s="9" t="n"/>
      <c r="AQ272" s="9" t="n"/>
      <c r="AR272" s="9" t="n"/>
      <c r="AS272" s="9" t="n"/>
      <c r="AT272" s="8" t="n"/>
      <c r="AU272" s="8" t="n"/>
      <c r="AV272" s="9" t="n"/>
      <c r="AW272" s="8" t="n"/>
      <c r="AX272" s="9" t="n"/>
      <c r="AY272" s="9" t="n"/>
      <c r="AZ272" s="9" t="n"/>
      <c r="BA272" s="9" t="n"/>
      <c r="BB272" s="9" t="n"/>
      <c r="BC272" s="9" t="n"/>
      <c r="BD272" s="9" t="n"/>
      <c r="BE272" s="9" t="n"/>
      <c r="BF272" s="9" t="n"/>
      <c r="BG272" s="9" t="n"/>
      <c r="BH272" s="9" t="n"/>
      <c r="BI272" s="9" t="n"/>
      <c r="BJ272" s="9" t="n"/>
      <c r="BK272" s="9" t="n"/>
      <c r="BL272" s="9" t="n"/>
      <c r="BM272" s="9" t="n"/>
      <c r="BN272" s="9" t="n"/>
      <c r="BO272" s="8" t="n"/>
      <c r="BP272" s="9" t="n"/>
      <c r="BQ272" s="9" t="n"/>
      <c r="BR272" s="12">
        <f>IF(AND(AI272="Y",AK272="Y",AL272="Y",AM272="Y",AY272="Y",AZ272="Y",BA272="Y",BB272="Y",BC272="Y",BE272&lt;&gt;"Y",AX272&lt;&gt;"Y",BL272&lt;&gt;"Y",IF(AS272="Y",AV272="Y",TRUE)),"Y","N")</f>
        <v/>
      </c>
      <c r="BS272" s="12">
        <f>IF(AND(BR272="Y",OR(AND(BJ272="Y",BM272="Y"),AND(BK272="Y",BN272="Y"),AND(BJ272&lt;&gt;"Y",BK272&lt;&gt;"Y",OR(BM272="Y",BN272="Y")))),"Y","N")</f>
        <v/>
      </c>
      <c r="BT272" s="10" t="n"/>
      <c r="BU272" s="13" t="n"/>
      <c r="BV272" s="13" t="n"/>
      <c r="BW272" s="13" t="n"/>
      <c r="BX272" s="13" t="n"/>
      <c r="BY272" s="13" t="n"/>
      <c r="BZ272" s="13" t="n"/>
      <c r="CA272" s="14" t="n"/>
      <c r="CB272" s="13" t="n"/>
      <c r="CC272" s="9" t="n"/>
      <c r="CD272" s="9" t="n"/>
      <c r="CE272" s="9" t="n"/>
      <c r="CF272" s="9" t="n"/>
      <c r="CG272" s="9" t="n"/>
      <c r="CH272" s="9" t="n"/>
    </row>
    <row r="273">
      <c r="A273" s="8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8" t="n"/>
      <c r="L273" s="9" t="n"/>
      <c r="M273" s="8" t="n"/>
      <c r="N273" s="8" t="n"/>
      <c r="O273" s="8" t="n"/>
      <c r="P273" s="8" t="n"/>
      <c r="Q273" s="8" t="n"/>
      <c r="R273" s="9" t="n"/>
      <c r="S273" s="9" t="n"/>
      <c r="T273" s="10" t="n"/>
      <c r="U273" s="10" t="n"/>
      <c r="V273" s="9" t="n"/>
      <c r="W273" s="9" t="n"/>
      <c r="X273" s="9" t="n"/>
      <c r="Y273" s="9" t="n"/>
      <c r="Z273" s="11" t="n"/>
      <c r="AA273" s="11" t="n"/>
      <c r="AB273" s="11" t="n"/>
      <c r="AC273" s="11" t="n"/>
      <c r="AD273" s="11" t="n"/>
      <c r="AE273" s="11" t="n"/>
      <c r="AF273" s="9" t="n"/>
      <c r="AG273" s="9" t="n"/>
      <c r="AH273" s="9" t="n"/>
      <c r="AI273" s="9" t="n"/>
      <c r="AJ273" s="8" t="n"/>
      <c r="AK273" s="9" t="n"/>
      <c r="AL273" s="9" t="n"/>
      <c r="AM273" s="9" t="n"/>
      <c r="AN273" s="9" t="n"/>
      <c r="AO273" s="9" t="n"/>
      <c r="AP273" s="9" t="n"/>
      <c r="AQ273" s="9" t="n"/>
      <c r="AR273" s="9" t="n"/>
      <c r="AS273" s="9" t="n"/>
      <c r="AT273" s="8" t="n"/>
      <c r="AU273" s="8" t="n"/>
      <c r="AV273" s="9" t="n"/>
      <c r="AW273" s="8" t="n"/>
      <c r="AX273" s="9" t="n"/>
      <c r="AY273" s="9" t="n"/>
      <c r="AZ273" s="9" t="n"/>
      <c r="BA273" s="9" t="n"/>
      <c r="BB273" s="9" t="n"/>
      <c r="BC273" s="9" t="n"/>
      <c r="BD273" s="9" t="n"/>
      <c r="BE273" s="9" t="n"/>
      <c r="BF273" s="9" t="n"/>
      <c r="BG273" s="9" t="n"/>
      <c r="BH273" s="9" t="n"/>
      <c r="BI273" s="9" t="n"/>
      <c r="BJ273" s="9" t="n"/>
      <c r="BK273" s="9" t="n"/>
      <c r="BL273" s="9" t="n"/>
      <c r="BM273" s="9" t="n"/>
      <c r="BN273" s="9" t="n"/>
      <c r="BO273" s="8" t="n"/>
      <c r="BP273" s="9" t="n"/>
      <c r="BQ273" s="9" t="n"/>
      <c r="BR273" s="12">
        <f>IF(AND(AI273="Y",AK273="Y",AL273="Y",AM273="Y",AY273="Y",AZ273="Y",BA273="Y",BB273="Y",BC273="Y",BE273&lt;&gt;"Y",AX273&lt;&gt;"Y",BL273&lt;&gt;"Y",IF(AS273="Y",AV273="Y",TRUE)),"Y","N")</f>
        <v/>
      </c>
      <c r="BS273" s="12">
        <f>IF(AND(BR273="Y",OR(AND(BJ273="Y",BM273="Y"),AND(BK273="Y",BN273="Y"),AND(BJ273&lt;&gt;"Y",BK273&lt;&gt;"Y",OR(BM273="Y",BN273="Y")))),"Y","N")</f>
        <v/>
      </c>
      <c r="BT273" s="10" t="n"/>
      <c r="BU273" s="13" t="n"/>
      <c r="BV273" s="13" t="n"/>
      <c r="BW273" s="13" t="n"/>
      <c r="BX273" s="13" t="n"/>
      <c r="BY273" s="13" t="n"/>
      <c r="BZ273" s="13" t="n"/>
      <c r="CA273" s="14" t="n"/>
      <c r="CB273" s="13" t="n"/>
      <c r="CC273" s="9" t="n"/>
      <c r="CD273" s="9" t="n"/>
      <c r="CE273" s="9" t="n"/>
      <c r="CF273" s="9" t="n"/>
      <c r="CG273" s="9" t="n"/>
      <c r="CH273" s="9" t="n"/>
    </row>
    <row r="274">
      <c r="A274" s="8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8" t="n"/>
      <c r="L274" s="9" t="n"/>
      <c r="M274" s="8" t="n"/>
      <c r="N274" s="8" t="n"/>
      <c r="O274" s="8" t="n"/>
      <c r="P274" s="8" t="n"/>
      <c r="Q274" s="8" t="n"/>
      <c r="R274" s="9" t="n"/>
      <c r="S274" s="9" t="n"/>
      <c r="T274" s="10" t="n"/>
      <c r="U274" s="10" t="n"/>
      <c r="V274" s="9" t="n"/>
      <c r="W274" s="9" t="n"/>
      <c r="X274" s="9" t="n"/>
      <c r="Y274" s="9" t="n"/>
      <c r="Z274" s="11" t="n"/>
      <c r="AA274" s="11" t="n"/>
      <c r="AB274" s="11" t="n"/>
      <c r="AC274" s="11" t="n"/>
      <c r="AD274" s="11" t="n"/>
      <c r="AE274" s="11" t="n"/>
      <c r="AF274" s="9" t="n"/>
      <c r="AG274" s="9" t="n"/>
      <c r="AH274" s="9" t="n"/>
      <c r="AI274" s="9" t="n"/>
      <c r="AJ274" s="8" t="n"/>
      <c r="AK274" s="9" t="n"/>
      <c r="AL274" s="9" t="n"/>
      <c r="AM274" s="9" t="n"/>
      <c r="AN274" s="9" t="n"/>
      <c r="AO274" s="9" t="n"/>
      <c r="AP274" s="9" t="n"/>
      <c r="AQ274" s="9" t="n"/>
      <c r="AR274" s="9" t="n"/>
      <c r="AS274" s="9" t="n"/>
      <c r="AT274" s="8" t="n"/>
      <c r="AU274" s="8" t="n"/>
      <c r="AV274" s="9" t="n"/>
      <c r="AW274" s="8" t="n"/>
      <c r="AX274" s="9" t="n"/>
      <c r="AY274" s="9" t="n"/>
      <c r="AZ274" s="9" t="n"/>
      <c r="BA274" s="9" t="n"/>
      <c r="BB274" s="9" t="n"/>
      <c r="BC274" s="9" t="n"/>
      <c r="BD274" s="9" t="n"/>
      <c r="BE274" s="9" t="n"/>
      <c r="BF274" s="9" t="n"/>
      <c r="BG274" s="9" t="n"/>
      <c r="BH274" s="9" t="n"/>
      <c r="BI274" s="9" t="n"/>
      <c r="BJ274" s="9" t="n"/>
      <c r="BK274" s="9" t="n"/>
      <c r="BL274" s="9" t="n"/>
      <c r="BM274" s="9" t="n"/>
      <c r="BN274" s="9" t="n"/>
      <c r="BO274" s="8" t="n"/>
      <c r="BP274" s="9" t="n"/>
      <c r="BQ274" s="9" t="n"/>
      <c r="BR274" s="12">
        <f>IF(AND(AI274="Y",AK274="Y",AL274="Y",AM274="Y",AY274="Y",AZ274="Y",BA274="Y",BB274="Y",BC274="Y",BE274&lt;&gt;"Y",AX274&lt;&gt;"Y",BL274&lt;&gt;"Y",IF(AS274="Y",AV274="Y",TRUE)),"Y","N")</f>
        <v/>
      </c>
      <c r="BS274" s="12">
        <f>IF(AND(BR274="Y",OR(AND(BJ274="Y",BM274="Y"),AND(BK274="Y",BN274="Y"),AND(BJ274&lt;&gt;"Y",BK274&lt;&gt;"Y",OR(BM274="Y",BN274="Y")))),"Y","N")</f>
        <v/>
      </c>
      <c r="BT274" s="10" t="n"/>
      <c r="BU274" s="13" t="n"/>
      <c r="BV274" s="13" t="n"/>
      <c r="BW274" s="13" t="n"/>
      <c r="BX274" s="13" t="n"/>
      <c r="BY274" s="13" t="n"/>
      <c r="BZ274" s="13" t="n"/>
      <c r="CA274" s="14" t="n"/>
      <c r="CB274" s="13" t="n"/>
      <c r="CC274" s="9" t="n"/>
      <c r="CD274" s="9" t="n"/>
      <c r="CE274" s="9" t="n"/>
      <c r="CF274" s="9" t="n"/>
      <c r="CG274" s="9" t="n"/>
      <c r="CH274" s="9" t="n"/>
    </row>
    <row r="275">
      <c r="A275" s="8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8" t="n"/>
      <c r="L275" s="9" t="n"/>
      <c r="M275" s="8" t="n"/>
      <c r="N275" s="8" t="n"/>
      <c r="O275" s="8" t="n"/>
      <c r="P275" s="8" t="n"/>
      <c r="Q275" s="8" t="n"/>
      <c r="R275" s="9" t="n"/>
      <c r="S275" s="9" t="n"/>
      <c r="T275" s="10" t="n"/>
      <c r="U275" s="10" t="n"/>
      <c r="V275" s="9" t="n"/>
      <c r="W275" s="9" t="n"/>
      <c r="X275" s="9" t="n"/>
      <c r="Y275" s="9" t="n"/>
      <c r="Z275" s="11" t="n"/>
      <c r="AA275" s="11" t="n"/>
      <c r="AB275" s="11" t="n"/>
      <c r="AC275" s="11" t="n"/>
      <c r="AD275" s="11" t="n"/>
      <c r="AE275" s="11" t="n"/>
      <c r="AF275" s="9" t="n"/>
      <c r="AG275" s="9" t="n"/>
      <c r="AH275" s="9" t="n"/>
      <c r="AI275" s="9" t="n"/>
      <c r="AJ275" s="8" t="n"/>
      <c r="AK275" s="9" t="n"/>
      <c r="AL275" s="9" t="n"/>
      <c r="AM275" s="9" t="n"/>
      <c r="AN275" s="9" t="n"/>
      <c r="AO275" s="9" t="n"/>
      <c r="AP275" s="9" t="n"/>
      <c r="AQ275" s="9" t="n"/>
      <c r="AR275" s="9" t="n"/>
      <c r="AS275" s="9" t="n"/>
      <c r="AT275" s="8" t="n"/>
      <c r="AU275" s="8" t="n"/>
      <c r="AV275" s="9" t="n"/>
      <c r="AW275" s="8" t="n"/>
      <c r="AX275" s="9" t="n"/>
      <c r="AY275" s="9" t="n"/>
      <c r="AZ275" s="9" t="n"/>
      <c r="BA275" s="9" t="n"/>
      <c r="BB275" s="9" t="n"/>
      <c r="BC275" s="9" t="n"/>
      <c r="BD275" s="9" t="n"/>
      <c r="BE275" s="9" t="n"/>
      <c r="BF275" s="9" t="n"/>
      <c r="BG275" s="9" t="n"/>
      <c r="BH275" s="9" t="n"/>
      <c r="BI275" s="9" t="n"/>
      <c r="BJ275" s="9" t="n"/>
      <c r="BK275" s="9" t="n"/>
      <c r="BL275" s="9" t="n"/>
      <c r="BM275" s="9" t="n"/>
      <c r="BN275" s="9" t="n"/>
      <c r="BO275" s="8" t="n"/>
      <c r="BP275" s="9" t="n"/>
      <c r="BQ275" s="9" t="n"/>
      <c r="BR275" s="12">
        <f>IF(AND(AI275="Y",AK275="Y",AL275="Y",AM275="Y",AY275="Y",AZ275="Y",BA275="Y",BB275="Y",BC275="Y",BE275&lt;&gt;"Y",AX275&lt;&gt;"Y",BL275&lt;&gt;"Y",IF(AS275="Y",AV275="Y",TRUE)),"Y","N")</f>
        <v/>
      </c>
      <c r="BS275" s="12">
        <f>IF(AND(BR275="Y",OR(AND(BJ275="Y",BM275="Y"),AND(BK275="Y",BN275="Y"),AND(BJ275&lt;&gt;"Y",BK275&lt;&gt;"Y",OR(BM275="Y",BN275="Y")))),"Y","N")</f>
        <v/>
      </c>
      <c r="BT275" s="10" t="n"/>
      <c r="BU275" s="13" t="n"/>
      <c r="BV275" s="13" t="n"/>
      <c r="BW275" s="13" t="n"/>
      <c r="BX275" s="13" t="n"/>
      <c r="BY275" s="13" t="n"/>
      <c r="BZ275" s="13" t="n"/>
      <c r="CA275" s="14" t="n"/>
      <c r="CB275" s="13" t="n"/>
      <c r="CC275" s="9" t="n"/>
      <c r="CD275" s="9" t="n"/>
      <c r="CE275" s="9" t="n"/>
      <c r="CF275" s="9" t="n"/>
      <c r="CG275" s="9" t="n"/>
      <c r="CH275" s="9" t="n"/>
    </row>
    <row r="276">
      <c r="A276" s="8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8" t="n"/>
      <c r="L276" s="9" t="n"/>
      <c r="M276" s="8" t="n"/>
      <c r="N276" s="8" t="n"/>
      <c r="O276" s="8" t="n"/>
      <c r="P276" s="8" t="n"/>
      <c r="Q276" s="8" t="n"/>
      <c r="R276" s="9" t="n"/>
      <c r="S276" s="9" t="n"/>
      <c r="T276" s="10" t="n"/>
      <c r="U276" s="10" t="n"/>
      <c r="V276" s="9" t="n"/>
      <c r="W276" s="9" t="n"/>
      <c r="X276" s="9" t="n"/>
      <c r="Y276" s="9" t="n"/>
      <c r="Z276" s="11" t="n"/>
      <c r="AA276" s="11" t="n"/>
      <c r="AB276" s="11" t="n"/>
      <c r="AC276" s="11" t="n"/>
      <c r="AD276" s="11" t="n"/>
      <c r="AE276" s="11" t="n"/>
      <c r="AF276" s="9" t="n"/>
      <c r="AG276" s="9" t="n"/>
      <c r="AH276" s="9" t="n"/>
      <c r="AI276" s="9" t="n"/>
      <c r="AJ276" s="8" t="n"/>
      <c r="AK276" s="9" t="n"/>
      <c r="AL276" s="9" t="n"/>
      <c r="AM276" s="9" t="n"/>
      <c r="AN276" s="9" t="n"/>
      <c r="AO276" s="9" t="n"/>
      <c r="AP276" s="9" t="n"/>
      <c r="AQ276" s="9" t="n"/>
      <c r="AR276" s="9" t="n"/>
      <c r="AS276" s="9" t="n"/>
      <c r="AT276" s="8" t="n"/>
      <c r="AU276" s="8" t="n"/>
      <c r="AV276" s="9" t="n"/>
      <c r="AW276" s="8" t="n"/>
      <c r="AX276" s="9" t="n"/>
      <c r="AY276" s="9" t="n"/>
      <c r="AZ276" s="9" t="n"/>
      <c r="BA276" s="9" t="n"/>
      <c r="BB276" s="9" t="n"/>
      <c r="BC276" s="9" t="n"/>
      <c r="BD276" s="9" t="n"/>
      <c r="BE276" s="9" t="n"/>
      <c r="BF276" s="9" t="n"/>
      <c r="BG276" s="9" t="n"/>
      <c r="BH276" s="9" t="n"/>
      <c r="BI276" s="9" t="n"/>
      <c r="BJ276" s="9" t="n"/>
      <c r="BK276" s="9" t="n"/>
      <c r="BL276" s="9" t="n"/>
      <c r="BM276" s="9" t="n"/>
      <c r="BN276" s="9" t="n"/>
      <c r="BO276" s="8" t="n"/>
      <c r="BP276" s="9" t="n"/>
      <c r="BQ276" s="9" t="n"/>
      <c r="BR276" s="12">
        <f>IF(AND(AI276="Y",AK276="Y",AL276="Y",AM276="Y",AY276="Y",AZ276="Y",BA276="Y",BB276="Y",BC276="Y",BE276&lt;&gt;"Y",AX276&lt;&gt;"Y",BL276&lt;&gt;"Y",IF(AS276="Y",AV276="Y",TRUE)),"Y","N")</f>
        <v/>
      </c>
      <c r="BS276" s="12">
        <f>IF(AND(BR276="Y",OR(AND(BJ276="Y",BM276="Y"),AND(BK276="Y",BN276="Y"),AND(BJ276&lt;&gt;"Y",BK276&lt;&gt;"Y",OR(BM276="Y",BN276="Y")))),"Y","N")</f>
        <v/>
      </c>
      <c r="BT276" s="10" t="n"/>
      <c r="BU276" s="13" t="n"/>
      <c r="BV276" s="13" t="n"/>
      <c r="BW276" s="13" t="n"/>
      <c r="BX276" s="13" t="n"/>
      <c r="BY276" s="13" t="n"/>
      <c r="BZ276" s="13" t="n"/>
      <c r="CA276" s="14" t="n"/>
      <c r="CB276" s="13" t="n"/>
      <c r="CC276" s="9" t="n"/>
      <c r="CD276" s="9" t="n"/>
      <c r="CE276" s="9" t="n"/>
      <c r="CF276" s="9" t="n"/>
      <c r="CG276" s="9" t="n"/>
      <c r="CH276" s="9" t="n"/>
    </row>
    <row r="277">
      <c r="A277" s="8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8" t="n"/>
      <c r="L277" s="9" t="n"/>
      <c r="M277" s="8" t="n"/>
      <c r="N277" s="8" t="n"/>
      <c r="O277" s="8" t="n"/>
      <c r="P277" s="8" t="n"/>
      <c r="Q277" s="8" t="n"/>
      <c r="R277" s="9" t="n"/>
      <c r="S277" s="9" t="n"/>
      <c r="T277" s="10" t="n"/>
      <c r="U277" s="10" t="n"/>
      <c r="V277" s="9" t="n"/>
      <c r="W277" s="9" t="n"/>
      <c r="X277" s="9" t="n"/>
      <c r="Y277" s="9" t="n"/>
      <c r="Z277" s="11" t="n"/>
      <c r="AA277" s="11" t="n"/>
      <c r="AB277" s="11" t="n"/>
      <c r="AC277" s="11" t="n"/>
      <c r="AD277" s="11" t="n"/>
      <c r="AE277" s="11" t="n"/>
      <c r="AF277" s="9" t="n"/>
      <c r="AG277" s="9" t="n"/>
      <c r="AH277" s="9" t="n"/>
      <c r="AI277" s="9" t="n"/>
      <c r="AJ277" s="8" t="n"/>
      <c r="AK277" s="9" t="n"/>
      <c r="AL277" s="9" t="n"/>
      <c r="AM277" s="9" t="n"/>
      <c r="AN277" s="9" t="n"/>
      <c r="AO277" s="9" t="n"/>
      <c r="AP277" s="9" t="n"/>
      <c r="AQ277" s="9" t="n"/>
      <c r="AR277" s="9" t="n"/>
      <c r="AS277" s="9" t="n"/>
      <c r="AT277" s="8" t="n"/>
      <c r="AU277" s="8" t="n"/>
      <c r="AV277" s="9" t="n"/>
      <c r="AW277" s="8" t="n"/>
      <c r="AX277" s="9" t="n"/>
      <c r="AY277" s="9" t="n"/>
      <c r="AZ277" s="9" t="n"/>
      <c r="BA277" s="9" t="n"/>
      <c r="BB277" s="9" t="n"/>
      <c r="BC277" s="9" t="n"/>
      <c r="BD277" s="9" t="n"/>
      <c r="BE277" s="9" t="n"/>
      <c r="BF277" s="9" t="n"/>
      <c r="BG277" s="9" t="n"/>
      <c r="BH277" s="9" t="n"/>
      <c r="BI277" s="9" t="n"/>
      <c r="BJ277" s="9" t="n"/>
      <c r="BK277" s="9" t="n"/>
      <c r="BL277" s="9" t="n"/>
      <c r="BM277" s="9" t="n"/>
      <c r="BN277" s="9" t="n"/>
      <c r="BO277" s="8" t="n"/>
      <c r="BP277" s="9" t="n"/>
      <c r="BQ277" s="9" t="n"/>
      <c r="BR277" s="12">
        <f>IF(AND(AI277="Y",AK277="Y",AL277="Y",AM277="Y",AY277="Y",AZ277="Y",BA277="Y",BB277="Y",BC277="Y",BE277&lt;&gt;"Y",AX277&lt;&gt;"Y",BL277&lt;&gt;"Y",IF(AS277="Y",AV277="Y",TRUE)),"Y","N")</f>
        <v/>
      </c>
      <c r="BS277" s="12">
        <f>IF(AND(BR277="Y",OR(AND(BJ277="Y",BM277="Y"),AND(BK277="Y",BN277="Y"),AND(BJ277&lt;&gt;"Y",BK277&lt;&gt;"Y",OR(BM277="Y",BN277="Y")))),"Y","N")</f>
        <v/>
      </c>
      <c r="BT277" s="10" t="n"/>
      <c r="BU277" s="13" t="n"/>
      <c r="BV277" s="13" t="n"/>
      <c r="BW277" s="13" t="n"/>
      <c r="BX277" s="13" t="n"/>
      <c r="BY277" s="13" t="n"/>
      <c r="BZ277" s="13" t="n"/>
      <c r="CA277" s="14" t="n"/>
      <c r="CB277" s="13" t="n"/>
      <c r="CC277" s="9" t="n"/>
      <c r="CD277" s="9" t="n"/>
      <c r="CE277" s="9" t="n"/>
      <c r="CF277" s="9" t="n"/>
      <c r="CG277" s="9" t="n"/>
      <c r="CH277" s="9" t="n"/>
    </row>
    <row r="278">
      <c r="A278" s="8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8" t="n"/>
      <c r="L278" s="9" t="n"/>
      <c r="M278" s="8" t="n"/>
      <c r="N278" s="8" t="n"/>
      <c r="O278" s="8" t="n"/>
      <c r="P278" s="8" t="n"/>
      <c r="Q278" s="8" t="n"/>
      <c r="R278" s="9" t="n"/>
      <c r="S278" s="9" t="n"/>
      <c r="T278" s="10" t="n"/>
      <c r="U278" s="10" t="n"/>
      <c r="V278" s="9" t="n"/>
      <c r="W278" s="9" t="n"/>
      <c r="X278" s="9" t="n"/>
      <c r="Y278" s="9" t="n"/>
      <c r="Z278" s="11" t="n"/>
      <c r="AA278" s="11" t="n"/>
      <c r="AB278" s="11" t="n"/>
      <c r="AC278" s="11" t="n"/>
      <c r="AD278" s="11" t="n"/>
      <c r="AE278" s="11" t="n"/>
      <c r="AF278" s="9" t="n"/>
      <c r="AG278" s="9" t="n"/>
      <c r="AH278" s="9" t="n"/>
      <c r="AI278" s="9" t="n"/>
      <c r="AJ278" s="8" t="n"/>
      <c r="AK278" s="9" t="n"/>
      <c r="AL278" s="9" t="n"/>
      <c r="AM278" s="9" t="n"/>
      <c r="AN278" s="9" t="n"/>
      <c r="AO278" s="9" t="n"/>
      <c r="AP278" s="9" t="n"/>
      <c r="AQ278" s="9" t="n"/>
      <c r="AR278" s="9" t="n"/>
      <c r="AS278" s="9" t="n"/>
      <c r="AT278" s="8" t="n"/>
      <c r="AU278" s="8" t="n"/>
      <c r="AV278" s="9" t="n"/>
      <c r="AW278" s="8" t="n"/>
      <c r="AX278" s="9" t="n"/>
      <c r="AY278" s="9" t="n"/>
      <c r="AZ278" s="9" t="n"/>
      <c r="BA278" s="9" t="n"/>
      <c r="BB278" s="9" t="n"/>
      <c r="BC278" s="9" t="n"/>
      <c r="BD278" s="9" t="n"/>
      <c r="BE278" s="9" t="n"/>
      <c r="BF278" s="9" t="n"/>
      <c r="BG278" s="9" t="n"/>
      <c r="BH278" s="9" t="n"/>
      <c r="BI278" s="9" t="n"/>
      <c r="BJ278" s="9" t="n"/>
      <c r="BK278" s="9" t="n"/>
      <c r="BL278" s="9" t="n"/>
      <c r="BM278" s="9" t="n"/>
      <c r="BN278" s="9" t="n"/>
      <c r="BO278" s="8" t="n"/>
      <c r="BP278" s="9" t="n"/>
      <c r="BQ278" s="9" t="n"/>
      <c r="BR278" s="12">
        <f>IF(AND(AI278="Y",AK278="Y",AL278="Y",AM278="Y",AY278="Y",AZ278="Y",BA278="Y",BB278="Y",BC278="Y",BE278&lt;&gt;"Y",AX278&lt;&gt;"Y",BL278&lt;&gt;"Y",IF(AS278="Y",AV278="Y",TRUE)),"Y","N")</f>
        <v/>
      </c>
      <c r="BS278" s="12">
        <f>IF(AND(BR278="Y",OR(AND(BJ278="Y",BM278="Y"),AND(BK278="Y",BN278="Y"),AND(BJ278&lt;&gt;"Y",BK278&lt;&gt;"Y",OR(BM278="Y",BN278="Y")))),"Y","N")</f>
        <v/>
      </c>
      <c r="BT278" s="10" t="n"/>
      <c r="BU278" s="13" t="n"/>
      <c r="BV278" s="13" t="n"/>
      <c r="BW278" s="13" t="n"/>
      <c r="BX278" s="13" t="n"/>
      <c r="BY278" s="13" t="n"/>
      <c r="BZ278" s="13" t="n"/>
      <c r="CA278" s="14" t="n"/>
      <c r="CB278" s="13" t="n"/>
      <c r="CC278" s="9" t="n"/>
      <c r="CD278" s="9" t="n"/>
      <c r="CE278" s="9" t="n"/>
      <c r="CF278" s="9" t="n"/>
      <c r="CG278" s="9" t="n"/>
      <c r="CH278" s="9" t="n"/>
    </row>
    <row r="279">
      <c r="A279" s="8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8" t="n"/>
      <c r="L279" s="9" t="n"/>
      <c r="M279" s="8" t="n"/>
      <c r="N279" s="8" t="n"/>
      <c r="O279" s="8" t="n"/>
      <c r="P279" s="8" t="n"/>
      <c r="Q279" s="8" t="n"/>
      <c r="R279" s="9" t="n"/>
      <c r="S279" s="9" t="n"/>
      <c r="T279" s="10" t="n"/>
      <c r="U279" s="10" t="n"/>
      <c r="V279" s="9" t="n"/>
      <c r="W279" s="9" t="n"/>
      <c r="X279" s="9" t="n"/>
      <c r="Y279" s="9" t="n"/>
      <c r="Z279" s="11" t="n"/>
      <c r="AA279" s="11" t="n"/>
      <c r="AB279" s="11" t="n"/>
      <c r="AC279" s="11" t="n"/>
      <c r="AD279" s="11" t="n"/>
      <c r="AE279" s="11" t="n"/>
      <c r="AF279" s="9" t="n"/>
      <c r="AG279" s="9" t="n"/>
      <c r="AH279" s="9" t="n"/>
      <c r="AI279" s="9" t="n"/>
      <c r="AJ279" s="8" t="n"/>
      <c r="AK279" s="9" t="n"/>
      <c r="AL279" s="9" t="n"/>
      <c r="AM279" s="9" t="n"/>
      <c r="AN279" s="9" t="n"/>
      <c r="AO279" s="9" t="n"/>
      <c r="AP279" s="9" t="n"/>
      <c r="AQ279" s="9" t="n"/>
      <c r="AR279" s="9" t="n"/>
      <c r="AS279" s="9" t="n"/>
      <c r="AT279" s="8" t="n"/>
      <c r="AU279" s="8" t="n"/>
      <c r="AV279" s="9" t="n"/>
      <c r="AW279" s="8" t="n"/>
      <c r="AX279" s="9" t="n"/>
      <c r="AY279" s="9" t="n"/>
      <c r="AZ279" s="9" t="n"/>
      <c r="BA279" s="9" t="n"/>
      <c r="BB279" s="9" t="n"/>
      <c r="BC279" s="9" t="n"/>
      <c r="BD279" s="9" t="n"/>
      <c r="BE279" s="9" t="n"/>
      <c r="BF279" s="9" t="n"/>
      <c r="BG279" s="9" t="n"/>
      <c r="BH279" s="9" t="n"/>
      <c r="BI279" s="9" t="n"/>
      <c r="BJ279" s="9" t="n"/>
      <c r="BK279" s="9" t="n"/>
      <c r="BL279" s="9" t="n"/>
      <c r="BM279" s="9" t="n"/>
      <c r="BN279" s="9" t="n"/>
      <c r="BO279" s="8" t="n"/>
      <c r="BP279" s="9" t="n"/>
      <c r="BQ279" s="9" t="n"/>
      <c r="BR279" s="12">
        <f>IF(AND(AI279="Y",AK279="Y",AL279="Y",AM279="Y",AY279="Y",AZ279="Y",BA279="Y",BB279="Y",BC279="Y",BE279&lt;&gt;"Y",AX279&lt;&gt;"Y",BL279&lt;&gt;"Y",IF(AS279="Y",AV279="Y",TRUE)),"Y","N")</f>
        <v/>
      </c>
      <c r="BS279" s="12">
        <f>IF(AND(BR279="Y",OR(AND(BJ279="Y",BM279="Y"),AND(BK279="Y",BN279="Y"),AND(BJ279&lt;&gt;"Y",BK279&lt;&gt;"Y",OR(BM279="Y",BN279="Y")))),"Y","N")</f>
        <v/>
      </c>
      <c r="BT279" s="10" t="n"/>
      <c r="BU279" s="13" t="n"/>
      <c r="BV279" s="13" t="n"/>
      <c r="BW279" s="13" t="n"/>
      <c r="BX279" s="13" t="n"/>
      <c r="BY279" s="13" t="n"/>
      <c r="BZ279" s="13" t="n"/>
      <c r="CA279" s="14" t="n"/>
      <c r="CB279" s="13" t="n"/>
      <c r="CC279" s="9" t="n"/>
      <c r="CD279" s="9" t="n"/>
      <c r="CE279" s="9" t="n"/>
      <c r="CF279" s="9" t="n"/>
      <c r="CG279" s="9" t="n"/>
      <c r="CH279" s="9" t="n"/>
    </row>
    <row r="280">
      <c r="A280" s="8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8" t="n"/>
      <c r="L280" s="9" t="n"/>
      <c r="M280" s="8" t="n"/>
      <c r="N280" s="8" t="n"/>
      <c r="O280" s="8" t="n"/>
      <c r="P280" s="8" t="n"/>
      <c r="Q280" s="8" t="n"/>
      <c r="R280" s="9" t="n"/>
      <c r="S280" s="9" t="n"/>
      <c r="T280" s="10" t="n"/>
      <c r="U280" s="10" t="n"/>
      <c r="V280" s="9" t="n"/>
      <c r="W280" s="9" t="n"/>
      <c r="X280" s="9" t="n"/>
      <c r="Y280" s="9" t="n"/>
      <c r="Z280" s="11" t="n"/>
      <c r="AA280" s="11" t="n"/>
      <c r="AB280" s="11" t="n"/>
      <c r="AC280" s="11" t="n"/>
      <c r="AD280" s="11" t="n"/>
      <c r="AE280" s="11" t="n"/>
      <c r="AF280" s="9" t="n"/>
      <c r="AG280" s="9" t="n"/>
      <c r="AH280" s="9" t="n"/>
      <c r="AI280" s="9" t="n"/>
      <c r="AJ280" s="8" t="n"/>
      <c r="AK280" s="9" t="n"/>
      <c r="AL280" s="9" t="n"/>
      <c r="AM280" s="9" t="n"/>
      <c r="AN280" s="9" t="n"/>
      <c r="AO280" s="9" t="n"/>
      <c r="AP280" s="9" t="n"/>
      <c r="AQ280" s="9" t="n"/>
      <c r="AR280" s="9" t="n"/>
      <c r="AS280" s="9" t="n"/>
      <c r="AT280" s="8" t="n"/>
      <c r="AU280" s="8" t="n"/>
      <c r="AV280" s="9" t="n"/>
      <c r="AW280" s="8" t="n"/>
      <c r="AX280" s="9" t="n"/>
      <c r="AY280" s="9" t="n"/>
      <c r="AZ280" s="9" t="n"/>
      <c r="BA280" s="9" t="n"/>
      <c r="BB280" s="9" t="n"/>
      <c r="BC280" s="9" t="n"/>
      <c r="BD280" s="9" t="n"/>
      <c r="BE280" s="9" t="n"/>
      <c r="BF280" s="9" t="n"/>
      <c r="BG280" s="9" t="n"/>
      <c r="BH280" s="9" t="n"/>
      <c r="BI280" s="9" t="n"/>
      <c r="BJ280" s="9" t="n"/>
      <c r="BK280" s="9" t="n"/>
      <c r="BL280" s="9" t="n"/>
      <c r="BM280" s="9" t="n"/>
      <c r="BN280" s="9" t="n"/>
      <c r="BO280" s="8" t="n"/>
      <c r="BP280" s="9" t="n"/>
      <c r="BQ280" s="9" t="n"/>
      <c r="BR280" s="12">
        <f>IF(AND(AI280="Y",AK280="Y",AL280="Y",AM280="Y",AY280="Y",AZ280="Y",BA280="Y",BB280="Y",BC280="Y",BE280&lt;&gt;"Y",AX280&lt;&gt;"Y",BL280&lt;&gt;"Y",IF(AS280="Y",AV280="Y",TRUE)),"Y","N")</f>
        <v/>
      </c>
      <c r="BS280" s="12">
        <f>IF(AND(BR280="Y",OR(AND(BJ280="Y",BM280="Y"),AND(BK280="Y",BN280="Y"),AND(BJ280&lt;&gt;"Y",BK280&lt;&gt;"Y",OR(BM280="Y",BN280="Y")))),"Y","N")</f>
        <v/>
      </c>
      <c r="BT280" s="10" t="n"/>
      <c r="BU280" s="13" t="n"/>
      <c r="BV280" s="13" t="n"/>
      <c r="BW280" s="13" t="n"/>
      <c r="BX280" s="13" t="n"/>
      <c r="BY280" s="13" t="n"/>
      <c r="BZ280" s="13" t="n"/>
      <c r="CA280" s="14" t="n"/>
      <c r="CB280" s="13" t="n"/>
      <c r="CC280" s="9" t="n"/>
      <c r="CD280" s="9" t="n"/>
      <c r="CE280" s="9" t="n"/>
      <c r="CF280" s="9" t="n"/>
      <c r="CG280" s="9" t="n"/>
      <c r="CH280" s="9" t="n"/>
    </row>
    <row r="281">
      <c r="A281" s="8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8" t="n"/>
      <c r="L281" s="9" t="n"/>
      <c r="M281" s="8" t="n"/>
      <c r="N281" s="8" t="n"/>
      <c r="O281" s="8" t="n"/>
      <c r="P281" s="8" t="n"/>
      <c r="Q281" s="8" t="n"/>
      <c r="R281" s="9" t="n"/>
      <c r="S281" s="9" t="n"/>
      <c r="T281" s="10" t="n"/>
      <c r="U281" s="10" t="n"/>
      <c r="V281" s="9" t="n"/>
      <c r="W281" s="9" t="n"/>
      <c r="X281" s="9" t="n"/>
      <c r="Y281" s="9" t="n"/>
      <c r="Z281" s="11" t="n"/>
      <c r="AA281" s="11" t="n"/>
      <c r="AB281" s="11" t="n"/>
      <c r="AC281" s="11" t="n"/>
      <c r="AD281" s="11" t="n"/>
      <c r="AE281" s="11" t="n"/>
      <c r="AF281" s="9" t="n"/>
      <c r="AG281" s="9" t="n"/>
      <c r="AH281" s="9" t="n"/>
      <c r="AI281" s="9" t="n"/>
      <c r="AJ281" s="8" t="n"/>
      <c r="AK281" s="9" t="n"/>
      <c r="AL281" s="9" t="n"/>
      <c r="AM281" s="9" t="n"/>
      <c r="AN281" s="9" t="n"/>
      <c r="AO281" s="9" t="n"/>
      <c r="AP281" s="9" t="n"/>
      <c r="AQ281" s="9" t="n"/>
      <c r="AR281" s="9" t="n"/>
      <c r="AS281" s="9" t="n"/>
      <c r="AT281" s="8" t="n"/>
      <c r="AU281" s="8" t="n"/>
      <c r="AV281" s="9" t="n"/>
      <c r="AW281" s="8" t="n"/>
      <c r="AX281" s="9" t="n"/>
      <c r="AY281" s="9" t="n"/>
      <c r="AZ281" s="9" t="n"/>
      <c r="BA281" s="9" t="n"/>
      <c r="BB281" s="9" t="n"/>
      <c r="BC281" s="9" t="n"/>
      <c r="BD281" s="9" t="n"/>
      <c r="BE281" s="9" t="n"/>
      <c r="BF281" s="9" t="n"/>
      <c r="BG281" s="9" t="n"/>
      <c r="BH281" s="9" t="n"/>
      <c r="BI281" s="9" t="n"/>
      <c r="BJ281" s="9" t="n"/>
      <c r="BK281" s="9" t="n"/>
      <c r="BL281" s="9" t="n"/>
      <c r="BM281" s="9" t="n"/>
      <c r="BN281" s="9" t="n"/>
      <c r="BO281" s="8" t="n"/>
      <c r="BP281" s="9" t="n"/>
      <c r="BQ281" s="9" t="n"/>
      <c r="BR281" s="12">
        <f>IF(AND(AI281="Y",AK281="Y",AL281="Y",AM281="Y",AY281="Y",AZ281="Y",BA281="Y",BB281="Y",BC281="Y",BE281&lt;&gt;"Y",AX281&lt;&gt;"Y",BL281&lt;&gt;"Y",IF(AS281="Y",AV281="Y",TRUE)),"Y","N")</f>
        <v/>
      </c>
      <c r="BS281" s="12">
        <f>IF(AND(BR281="Y",OR(AND(BJ281="Y",BM281="Y"),AND(BK281="Y",BN281="Y"),AND(BJ281&lt;&gt;"Y",BK281&lt;&gt;"Y",OR(BM281="Y",BN281="Y")))),"Y","N")</f>
        <v/>
      </c>
      <c r="BT281" s="10" t="n"/>
      <c r="BU281" s="13" t="n"/>
      <c r="BV281" s="13" t="n"/>
      <c r="BW281" s="13" t="n"/>
      <c r="BX281" s="13" t="n"/>
      <c r="BY281" s="13" t="n"/>
      <c r="BZ281" s="13" t="n"/>
      <c r="CA281" s="14" t="n"/>
      <c r="CB281" s="13" t="n"/>
      <c r="CC281" s="9" t="n"/>
      <c r="CD281" s="9" t="n"/>
      <c r="CE281" s="9" t="n"/>
      <c r="CF281" s="9" t="n"/>
      <c r="CG281" s="9" t="n"/>
      <c r="CH281" s="9" t="n"/>
    </row>
    <row r="282">
      <c r="A282" s="8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8" t="n"/>
      <c r="L282" s="9" t="n"/>
      <c r="M282" s="8" t="n"/>
      <c r="N282" s="8" t="n"/>
      <c r="O282" s="8" t="n"/>
      <c r="P282" s="8" t="n"/>
      <c r="Q282" s="8" t="n"/>
      <c r="R282" s="9" t="n"/>
      <c r="S282" s="9" t="n"/>
      <c r="T282" s="10" t="n"/>
      <c r="U282" s="10" t="n"/>
      <c r="V282" s="9" t="n"/>
      <c r="W282" s="9" t="n"/>
      <c r="X282" s="9" t="n"/>
      <c r="Y282" s="9" t="n"/>
      <c r="Z282" s="11" t="n"/>
      <c r="AA282" s="11" t="n"/>
      <c r="AB282" s="11" t="n"/>
      <c r="AC282" s="11" t="n"/>
      <c r="AD282" s="11" t="n"/>
      <c r="AE282" s="11" t="n"/>
      <c r="AF282" s="9" t="n"/>
      <c r="AG282" s="9" t="n"/>
      <c r="AH282" s="9" t="n"/>
      <c r="AI282" s="9" t="n"/>
      <c r="AJ282" s="8" t="n"/>
      <c r="AK282" s="9" t="n"/>
      <c r="AL282" s="9" t="n"/>
      <c r="AM282" s="9" t="n"/>
      <c r="AN282" s="9" t="n"/>
      <c r="AO282" s="9" t="n"/>
      <c r="AP282" s="9" t="n"/>
      <c r="AQ282" s="9" t="n"/>
      <c r="AR282" s="9" t="n"/>
      <c r="AS282" s="9" t="n"/>
      <c r="AT282" s="8" t="n"/>
      <c r="AU282" s="8" t="n"/>
      <c r="AV282" s="9" t="n"/>
      <c r="AW282" s="8" t="n"/>
      <c r="AX282" s="9" t="n"/>
      <c r="AY282" s="9" t="n"/>
      <c r="AZ282" s="9" t="n"/>
      <c r="BA282" s="9" t="n"/>
      <c r="BB282" s="9" t="n"/>
      <c r="BC282" s="9" t="n"/>
      <c r="BD282" s="9" t="n"/>
      <c r="BE282" s="9" t="n"/>
      <c r="BF282" s="9" t="n"/>
      <c r="BG282" s="9" t="n"/>
      <c r="BH282" s="9" t="n"/>
      <c r="BI282" s="9" t="n"/>
      <c r="BJ282" s="9" t="n"/>
      <c r="BK282" s="9" t="n"/>
      <c r="BL282" s="9" t="n"/>
      <c r="BM282" s="9" t="n"/>
      <c r="BN282" s="9" t="n"/>
      <c r="BO282" s="8" t="n"/>
      <c r="BP282" s="9" t="n"/>
      <c r="BQ282" s="9" t="n"/>
      <c r="BR282" s="12">
        <f>IF(AND(AI282="Y",AK282="Y",AL282="Y",AM282="Y",AY282="Y",AZ282="Y",BA282="Y",BB282="Y",BC282="Y",BE282&lt;&gt;"Y",AX282&lt;&gt;"Y",BL282&lt;&gt;"Y",IF(AS282="Y",AV282="Y",TRUE)),"Y","N")</f>
        <v/>
      </c>
      <c r="BS282" s="12">
        <f>IF(AND(BR282="Y",OR(AND(BJ282="Y",BM282="Y"),AND(BK282="Y",BN282="Y"),AND(BJ282&lt;&gt;"Y",BK282&lt;&gt;"Y",OR(BM282="Y",BN282="Y")))),"Y","N")</f>
        <v/>
      </c>
      <c r="BT282" s="10" t="n"/>
      <c r="BU282" s="13" t="n"/>
      <c r="BV282" s="13" t="n"/>
      <c r="BW282" s="13" t="n"/>
      <c r="BX282" s="13" t="n"/>
      <c r="BY282" s="13" t="n"/>
      <c r="BZ282" s="13" t="n"/>
      <c r="CA282" s="14" t="n"/>
      <c r="CB282" s="13" t="n"/>
      <c r="CC282" s="9" t="n"/>
      <c r="CD282" s="9" t="n"/>
      <c r="CE282" s="9" t="n"/>
      <c r="CF282" s="9" t="n"/>
      <c r="CG282" s="9" t="n"/>
      <c r="CH282" s="9" t="n"/>
    </row>
    <row r="283">
      <c r="A283" s="8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8" t="n"/>
      <c r="L283" s="9" t="n"/>
      <c r="M283" s="8" t="n"/>
      <c r="N283" s="8" t="n"/>
      <c r="O283" s="8" t="n"/>
      <c r="P283" s="8" t="n"/>
      <c r="Q283" s="8" t="n"/>
      <c r="R283" s="9" t="n"/>
      <c r="S283" s="9" t="n"/>
      <c r="T283" s="10" t="n"/>
      <c r="U283" s="10" t="n"/>
      <c r="V283" s="9" t="n"/>
      <c r="W283" s="9" t="n"/>
      <c r="X283" s="9" t="n"/>
      <c r="Y283" s="9" t="n"/>
      <c r="Z283" s="11" t="n"/>
      <c r="AA283" s="11" t="n"/>
      <c r="AB283" s="11" t="n"/>
      <c r="AC283" s="11" t="n"/>
      <c r="AD283" s="11" t="n"/>
      <c r="AE283" s="11" t="n"/>
      <c r="AF283" s="9" t="n"/>
      <c r="AG283" s="9" t="n"/>
      <c r="AH283" s="9" t="n"/>
      <c r="AI283" s="9" t="n"/>
      <c r="AJ283" s="8" t="n"/>
      <c r="AK283" s="9" t="n"/>
      <c r="AL283" s="9" t="n"/>
      <c r="AM283" s="9" t="n"/>
      <c r="AN283" s="9" t="n"/>
      <c r="AO283" s="9" t="n"/>
      <c r="AP283" s="9" t="n"/>
      <c r="AQ283" s="9" t="n"/>
      <c r="AR283" s="9" t="n"/>
      <c r="AS283" s="9" t="n"/>
      <c r="AT283" s="8" t="n"/>
      <c r="AU283" s="8" t="n"/>
      <c r="AV283" s="9" t="n"/>
      <c r="AW283" s="8" t="n"/>
      <c r="AX283" s="9" t="n"/>
      <c r="AY283" s="9" t="n"/>
      <c r="AZ283" s="9" t="n"/>
      <c r="BA283" s="9" t="n"/>
      <c r="BB283" s="9" t="n"/>
      <c r="BC283" s="9" t="n"/>
      <c r="BD283" s="9" t="n"/>
      <c r="BE283" s="9" t="n"/>
      <c r="BF283" s="9" t="n"/>
      <c r="BG283" s="9" t="n"/>
      <c r="BH283" s="9" t="n"/>
      <c r="BI283" s="9" t="n"/>
      <c r="BJ283" s="9" t="n"/>
      <c r="BK283" s="9" t="n"/>
      <c r="BL283" s="9" t="n"/>
      <c r="BM283" s="9" t="n"/>
      <c r="BN283" s="9" t="n"/>
      <c r="BO283" s="8" t="n"/>
      <c r="BP283" s="9" t="n"/>
      <c r="BQ283" s="9" t="n"/>
      <c r="BR283" s="12">
        <f>IF(AND(AI283="Y",AK283="Y",AL283="Y",AM283="Y",AY283="Y",AZ283="Y",BA283="Y",BB283="Y",BC283="Y",BE283&lt;&gt;"Y",AX283&lt;&gt;"Y",BL283&lt;&gt;"Y",IF(AS283="Y",AV283="Y",TRUE)),"Y","N")</f>
        <v/>
      </c>
      <c r="BS283" s="12">
        <f>IF(AND(BR283="Y",OR(AND(BJ283="Y",BM283="Y"),AND(BK283="Y",BN283="Y"),AND(BJ283&lt;&gt;"Y",BK283&lt;&gt;"Y",OR(BM283="Y",BN283="Y")))),"Y","N")</f>
        <v/>
      </c>
      <c r="BT283" s="10" t="n"/>
      <c r="BU283" s="13" t="n"/>
      <c r="BV283" s="13" t="n"/>
      <c r="BW283" s="13" t="n"/>
      <c r="BX283" s="13" t="n"/>
      <c r="BY283" s="13" t="n"/>
      <c r="BZ283" s="13" t="n"/>
      <c r="CA283" s="14" t="n"/>
      <c r="CB283" s="13" t="n"/>
      <c r="CC283" s="9" t="n"/>
      <c r="CD283" s="9" t="n"/>
      <c r="CE283" s="9" t="n"/>
      <c r="CF283" s="9" t="n"/>
      <c r="CG283" s="9" t="n"/>
      <c r="CH283" s="9" t="n"/>
    </row>
    <row r="284">
      <c r="A284" s="8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8" t="n"/>
      <c r="L284" s="9" t="n"/>
      <c r="M284" s="8" t="n"/>
      <c r="N284" s="8" t="n"/>
      <c r="O284" s="8" t="n"/>
      <c r="P284" s="8" t="n"/>
      <c r="Q284" s="8" t="n"/>
      <c r="R284" s="9" t="n"/>
      <c r="S284" s="9" t="n"/>
      <c r="T284" s="10" t="n"/>
      <c r="U284" s="10" t="n"/>
      <c r="V284" s="9" t="n"/>
      <c r="W284" s="9" t="n"/>
      <c r="X284" s="9" t="n"/>
      <c r="Y284" s="9" t="n"/>
      <c r="Z284" s="11" t="n"/>
      <c r="AA284" s="11" t="n"/>
      <c r="AB284" s="11" t="n"/>
      <c r="AC284" s="11" t="n"/>
      <c r="AD284" s="11" t="n"/>
      <c r="AE284" s="11" t="n"/>
      <c r="AF284" s="9" t="n"/>
      <c r="AG284" s="9" t="n"/>
      <c r="AH284" s="9" t="n"/>
      <c r="AI284" s="9" t="n"/>
      <c r="AJ284" s="8" t="n"/>
      <c r="AK284" s="9" t="n"/>
      <c r="AL284" s="9" t="n"/>
      <c r="AM284" s="9" t="n"/>
      <c r="AN284" s="9" t="n"/>
      <c r="AO284" s="9" t="n"/>
      <c r="AP284" s="9" t="n"/>
      <c r="AQ284" s="9" t="n"/>
      <c r="AR284" s="9" t="n"/>
      <c r="AS284" s="9" t="n"/>
      <c r="AT284" s="8" t="n"/>
      <c r="AU284" s="8" t="n"/>
      <c r="AV284" s="9" t="n"/>
      <c r="AW284" s="8" t="n"/>
      <c r="AX284" s="9" t="n"/>
      <c r="AY284" s="9" t="n"/>
      <c r="AZ284" s="9" t="n"/>
      <c r="BA284" s="9" t="n"/>
      <c r="BB284" s="9" t="n"/>
      <c r="BC284" s="9" t="n"/>
      <c r="BD284" s="9" t="n"/>
      <c r="BE284" s="9" t="n"/>
      <c r="BF284" s="9" t="n"/>
      <c r="BG284" s="9" t="n"/>
      <c r="BH284" s="9" t="n"/>
      <c r="BI284" s="9" t="n"/>
      <c r="BJ284" s="9" t="n"/>
      <c r="BK284" s="9" t="n"/>
      <c r="BL284" s="9" t="n"/>
      <c r="BM284" s="9" t="n"/>
      <c r="BN284" s="9" t="n"/>
      <c r="BO284" s="8" t="n"/>
      <c r="BP284" s="9" t="n"/>
      <c r="BQ284" s="9" t="n"/>
      <c r="BR284" s="12">
        <f>IF(AND(AI284="Y",AK284="Y",AL284="Y",AM284="Y",AY284="Y",AZ284="Y",BA284="Y",BB284="Y",BC284="Y",BE284&lt;&gt;"Y",AX284&lt;&gt;"Y",BL284&lt;&gt;"Y",IF(AS284="Y",AV284="Y",TRUE)),"Y","N")</f>
        <v/>
      </c>
      <c r="BS284" s="12">
        <f>IF(AND(BR284="Y",OR(AND(BJ284="Y",BM284="Y"),AND(BK284="Y",BN284="Y"),AND(BJ284&lt;&gt;"Y",BK284&lt;&gt;"Y",OR(BM284="Y",BN284="Y")))),"Y","N")</f>
        <v/>
      </c>
      <c r="BT284" s="10" t="n"/>
      <c r="BU284" s="13" t="n"/>
      <c r="BV284" s="13" t="n"/>
      <c r="BW284" s="13" t="n"/>
      <c r="BX284" s="13" t="n"/>
      <c r="BY284" s="13" t="n"/>
      <c r="BZ284" s="13" t="n"/>
      <c r="CA284" s="14" t="n"/>
      <c r="CB284" s="13" t="n"/>
      <c r="CC284" s="9" t="n"/>
      <c r="CD284" s="9" t="n"/>
      <c r="CE284" s="9" t="n"/>
      <c r="CF284" s="9" t="n"/>
      <c r="CG284" s="9" t="n"/>
      <c r="CH284" s="9" t="n"/>
    </row>
    <row r="285">
      <c r="A285" s="8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8" t="n"/>
      <c r="L285" s="9" t="n"/>
      <c r="M285" s="8" t="n"/>
      <c r="N285" s="8" t="n"/>
      <c r="O285" s="8" t="n"/>
      <c r="P285" s="8" t="n"/>
      <c r="Q285" s="8" t="n"/>
      <c r="R285" s="9" t="n"/>
      <c r="S285" s="9" t="n"/>
      <c r="T285" s="10" t="n"/>
      <c r="U285" s="10" t="n"/>
      <c r="V285" s="9" t="n"/>
      <c r="W285" s="9" t="n"/>
      <c r="X285" s="9" t="n"/>
      <c r="Y285" s="9" t="n"/>
      <c r="Z285" s="11" t="n"/>
      <c r="AA285" s="11" t="n"/>
      <c r="AB285" s="11" t="n"/>
      <c r="AC285" s="11" t="n"/>
      <c r="AD285" s="11" t="n"/>
      <c r="AE285" s="11" t="n"/>
      <c r="AF285" s="9" t="n"/>
      <c r="AG285" s="9" t="n"/>
      <c r="AH285" s="9" t="n"/>
      <c r="AI285" s="9" t="n"/>
      <c r="AJ285" s="8" t="n"/>
      <c r="AK285" s="9" t="n"/>
      <c r="AL285" s="9" t="n"/>
      <c r="AM285" s="9" t="n"/>
      <c r="AN285" s="9" t="n"/>
      <c r="AO285" s="9" t="n"/>
      <c r="AP285" s="9" t="n"/>
      <c r="AQ285" s="9" t="n"/>
      <c r="AR285" s="9" t="n"/>
      <c r="AS285" s="9" t="n"/>
      <c r="AT285" s="8" t="n"/>
      <c r="AU285" s="8" t="n"/>
      <c r="AV285" s="9" t="n"/>
      <c r="AW285" s="8" t="n"/>
      <c r="AX285" s="9" t="n"/>
      <c r="AY285" s="9" t="n"/>
      <c r="AZ285" s="9" t="n"/>
      <c r="BA285" s="9" t="n"/>
      <c r="BB285" s="9" t="n"/>
      <c r="BC285" s="9" t="n"/>
      <c r="BD285" s="9" t="n"/>
      <c r="BE285" s="9" t="n"/>
      <c r="BF285" s="9" t="n"/>
      <c r="BG285" s="9" t="n"/>
      <c r="BH285" s="9" t="n"/>
      <c r="BI285" s="9" t="n"/>
      <c r="BJ285" s="9" t="n"/>
      <c r="BK285" s="9" t="n"/>
      <c r="BL285" s="9" t="n"/>
      <c r="BM285" s="9" t="n"/>
      <c r="BN285" s="9" t="n"/>
      <c r="BO285" s="8" t="n"/>
      <c r="BP285" s="9" t="n"/>
      <c r="BQ285" s="9" t="n"/>
      <c r="BR285" s="12">
        <f>IF(AND(AI285="Y",AK285="Y",AL285="Y",AM285="Y",AY285="Y",AZ285="Y",BA285="Y",BB285="Y",BC285="Y",BE285&lt;&gt;"Y",AX285&lt;&gt;"Y",BL285&lt;&gt;"Y",IF(AS285="Y",AV285="Y",TRUE)),"Y","N")</f>
        <v/>
      </c>
      <c r="BS285" s="12">
        <f>IF(AND(BR285="Y",OR(AND(BJ285="Y",BM285="Y"),AND(BK285="Y",BN285="Y"),AND(BJ285&lt;&gt;"Y",BK285&lt;&gt;"Y",OR(BM285="Y",BN285="Y")))),"Y","N")</f>
        <v/>
      </c>
      <c r="BT285" s="10" t="n"/>
      <c r="BU285" s="13" t="n"/>
      <c r="BV285" s="13" t="n"/>
      <c r="BW285" s="13" t="n"/>
      <c r="BX285" s="13" t="n"/>
      <c r="BY285" s="13" t="n"/>
      <c r="BZ285" s="13" t="n"/>
      <c r="CA285" s="14" t="n"/>
      <c r="CB285" s="13" t="n"/>
      <c r="CC285" s="9" t="n"/>
      <c r="CD285" s="9" t="n"/>
      <c r="CE285" s="9" t="n"/>
      <c r="CF285" s="9" t="n"/>
      <c r="CG285" s="9" t="n"/>
      <c r="CH285" s="9" t="n"/>
    </row>
    <row r="286">
      <c r="A286" s="8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8" t="n"/>
      <c r="L286" s="9" t="n"/>
      <c r="M286" s="8" t="n"/>
      <c r="N286" s="8" t="n"/>
      <c r="O286" s="8" t="n"/>
      <c r="P286" s="8" t="n"/>
      <c r="Q286" s="8" t="n"/>
      <c r="R286" s="9" t="n"/>
      <c r="S286" s="9" t="n"/>
      <c r="T286" s="10" t="n"/>
      <c r="U286" s="10" t="n"/>
      <c r="V286" s="9" t="n"/>
      <c r="W286" s="9" t="n"/>
      <c r="X286" s="9" t="n"/>
      <c r="Y286" s="9" t="n"/>
      <c r="Z286" s="11" t="n"/>
      <c r="AA286" s="11" t="n"/>
      <c r="AB286" s="11" t="n"/>
      <c r="AC286" s="11" t="n"/>
      <c r="AD286" s="11" t="n"/>
      <c r="AE286" s="11" t="n"/>
      <c r="AF286" s="9" t="n"/>
      <c r="AG286" s="9" t="n"/>
      <c r="AH286" s="9" t="n"/>
      <c r="AI286" s="9" t="n"/>
      <c r="AJ286" s="8" t="n"/>
      <c r="AK286" s="9" t="n"/>
      <c r="AL286" s="9" t="n"/>
      <c r="AM286" s="9" t="n"/>
      <c r="AN286" s="9" t="n"/>
      <c r="AO286" s="9" t="n"/>
      <c r="AP286" s="9" t="n"/>
      <c r="AQ286" s="9" t="n"/>
      <c r="AR286" s="9" t="n"/>
      <c r="AS286" s="9" t="n"/>
      <c r="AT286" s="8" t="n"/>
      <c r="AU286" s="8" t="n"/>
      <c r="AV286" s="9" t="n"/>
      <c r="AW286" s="8" t="n"/>
      <c r="AX286" s="9" t="n"/>
      <c r="AY286" s="9" t="n"/>
      <c r="AZ286" s="9" t="n"/>
      <c r="BA286" s="9" t="n"/>
      <c r="BB286" s="9" t="n"/>
      <c r="BC286" s="9" t="n"/>
      <c r="BD286" s="9" t="n"/>
      <c r="BE286" s="9" t="n"/>
      <c r="BF286" s="9" t="n"/>
      <c r="BG286" s="9" t="n"/>
      <c r="BH286" s="9" t="n"/>
      <c r="BI286" s="9" t="n"/>
      <c r="BJ286" s="9" t="n"/>
      <c r="BK286" s="9" t="n"/>
      <c r="BL286" s="9" t="n"/>
      <c r="BM286" s="9" t="n"/>
      <c r="BN286" s="9" t="n"/>
      <c r="BO286" s="8" t="n"/>
      <c r="BP286" s="9" t="n"/>
      <c r="BQ286" s="9" t="n"/>
      <c r="BR286" s="12">
        <f>IF(AND(AI286="Y",AK286="Y",AL286="Y",AM286="Y",AY286="Y",AZ286="Y",BA286="Y",BB286="Y",BC286="Y",BE286&lt;&gt;"Y",AX286&lt;&gt;"Y",BL286&lt;&gt;"Y",IF(AS286="Y",AV286="Y",TRUE)),"Y","N")</f>
        <v/>
      </c>
      <c r="BS286" s="12">
        <f>IF(AND(BR286="Y",OR(AND(BJ286="Y",BM286="Y"),AND(BK286="Y",BN286="Y"),AND(BJ286&lt;&gt;"Y",BK286&lt;&gt;"Y",OR(BM286="Y",BN286="Y")))),"Y","N")</f>
        <v/>
      </c>
      <c r="BT286" s="10" t="n"/>
      <c r="BU286" s="13" t="n"/>
      <c r="BV286" s="13" t="n"/>
      <c r="BW286" s="13" t="n"/>
      <c r="BX286" s="13" t="n"/>
      <c r="BY286" s="13" t="n"/>
      <c r="BZ286" s="13" t="n"/>
      <c r="CA286" s="14" t="n"/>
      <c r="CB286" s="13" t="n"/>
      <c r="CC286" s="9" t="n"/>
      <c r="CD286" s="9" t="n"/>
      <c r="CE286" s="9" t="n"/>
      <c r="CF286" s="9" t="n"/>
      <c r="CG286" s="9" t="n"/>
      <c r="CH286" s="9" t="n"/>
    </row>
    <row r="287">
      <c r="A287" s="8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8" t="n"/>
      <c r="L287" s="9" t="n"/>
      <c r="M287" s="8" t="n"/>
      <c r="N287" s="8" t="n"/>
      <c r="O287" s="8" t="n"/>
      <c r="P287" s="8" t="n"/>
      <c r="Q287" s="8" t="n"/>
      <c r="R287" s="9" t="n"/>
      <c r="S287" s="9" t="n"/>
      <c r="T287" s="10" t="n"/>
      <c r="U287" s="10" t="n"/>
      <c r="V287" s="9" t="n"/>
      <c r="W287" s="9" t="n"/>
      <c r="X287" s="9" t="n"/>
      <c r="Y287" s="9" t="n"/>
      <c r="Z287" s="11" t="n"/>
      <c r="AA287" s="11" t="n"/>
      <c r="AB287" s="11" t="n"/>
      <c r="AC287" s="11" t="n"/>
      <c r="AD287" s="11" t="n"/>
      <c r="AE287" s="11" t="n"/>
      <c r="AF287" s="9" t="n"/>
      <c r="AG287" s="9" t="n"/>
      <c r="AH287" s="9" t="n"/>
      <c r="AI287" s="9" t="n"/>
      <c r="AJ287" s="8" t="n"/>
      <c r="AK287" s="9" t="n"/>
      <c r="AL287" s="9" t="n"/>
      <c r="AM287" s="9" t="n"/>
      <c r="AN287" s="9" t="n"/>
      <c r="AO287" s="9" t="n"/>
      <c r="AP287" s="9" t="n"/>
      <c r="AQ287" s="9" t="n"/>
      <c r="AR287" s="9" t="n"/>
      <c r="AS287" s="9" t="n"/>
      <c r="AT287" s="8" t="n"/>
      <c r="AU287" s="8" t="n"/>
      <c r="AV287" s="9" t="n"/>
      <c r="AW287" s="8" t="n"/>
      <c r="AX287" s="9" t="n"/>
      <c r="AY287" s="9" t="n"/>
      <c r="AZ287" s="9" t="n"/>
      <c r="BA287" s="9" t="n"/>
      <c r="BB287" s="9" t="n"/>
      <c r="BC287" s="9" t="n"/>
      <c r="BD287" s="9" t="n"/>
      <c r="BE287" s="9" t="n"/>
      <c r="BF287" s="9" t="n"/>
      <c r="BG287" s="9" t="n"/>
      <c r="BH287" s="9" t="n"/>
      <c r="BI287" s="9" t="n"/>
      <c r="BJ287" s="9" t="n"/>
      <c r="BK287" s="9" t="n"/>
      <c r="BL287" s="9" t="n"/>
      <c r="BM287" s="9" t="n"/>
      <c r="BN287" s="9" t="n"/>
      <c r="BO287" s="8" t="n"/>
      <c r="BP287" s="9" t="n"/>
      <c r="BQ287" s="9" t="n"/>
      <c r="BR287" s="12">
        <f>IF(AND(AI287="Y",AK287="Y",AL287="Y",AM287="Y",AY287="Y",AZ287="Y",BA287="Y",BB287="Y",BC287="Y",BE287&lt;&gt;"Y",AX287&lt;&gt;"Y",BL287&lt;&gt;"Y",IF(AS287="Y",AV287="Y",TRUE)),"Y","N")</f>
        <v/>
      </c>
      <c r="BS287" s="12">
        <f>IF(AND(BR287="Y",OR(AND(BJ287="Y",BM287="Y"),AND(BK287="Y",BN287="Y"),AND(BJ287&lt;&gt;"Y",BK287&lt;&gt;"Y",OR(BM287="Y",BN287="Y")))),"Y","N")</f>
        <v/>
      </c>
      <c r="BT287" s="10" t="n"/>
      <c r="BU287" s="13" t="n"/>
      <c r="BV287" s="13" t="n"/>
      <c r="BW287" s="13" t="n"/>
      <c r="BX287" s="13" t="n"/>
      <c r="BY287" s="13" t="n"/>
      <c r="BZ287" s="13" t="n"/>
      <c r="CA287" s="14" t="n"/>
      <c r="CB287" s="13" t="n"/>
      <c r="CC287" s="9" t="n"/>
      <c r="CD287" s="9" t="n"/>
      <c r="CE287" s="9" t="n"/>
      <c r="CF287" s="9" t="n"/>
      <c r="CG287" s="9" t="n"/>
      <c r="CH287" s="9" t="n"/>
    </row>
    <row r="288">
      <c r="A288" s="8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8" t="n"/>
      <c r="L288" s="9" t="n"/>
      <c r="M288" s="8" t="n"/>
      <c r="N288" s="8" t="n"/>
      <c r="O288" s="8" t="n"/>
      <c r="P288" s="8" t="n"/>
      <c r="Q288" s="8" t="n"/>
      <c r="R288" s="9" t="n"/>
      <c r="S288" s="9" t="n"/>
      <c r="T288" s="10" t="n"/>
      <c r="U288" s="10" t="n"/>
      <c r="V288" s="9" t="n"/>
      <c r="W288" s="9" t="n"/>
      <c r="X288" s="9" t="n"/>
      <c r="Y288" s="9" t="n"/>
      <c r="Z288" s="11" t="n"/>
      <c r="AA288" s="11" t="n"/>
      <c r="AB288" s="11" t="n"/>
      <c r="AC288" s="11" t="n"/>
      <c r="AD288" s="11" t="n"/>
      <c r="AE288" s="11" t="n"/>
      <c r="AF288" s="9" t="n"/>
      <c r="AG288" s="9" t="n"/>
      <c r="AH288" s="9" t="n"/>
      <c r="AI288" s="9" t="n"/>
      <c r="AJ288" s="8" t="n"/>
      <c r="AK288" s="9" t="n"/>
      <c r="AL288" s="9" t="n"/>
      <c r="AM288" s="9" t="n"/>
      <c r="AN288" s="9" t="n"/>
      <c r="AO288" s="9" t="n"/>
      <c r="AP288" s="9" t="n"/>
      <c r="AQ288" s="9" t="n"/>
      <c r="AR288" s="9" t="n"/>
      <c r="AS288" s="9" t="n"/>
      <c r="AT288" s="8" t="n"/>
      <c r="AU288" s="8" t="n"/>
      <c r="AV288" s="9" t="n"/>
      <c r="AW288" s="8" t="n"/>
      <c r="AX288" s="9" t="n"/>
      <c r="AY288" s="9" t="n"/>
      <c r="AZ288" s="9" t="n"/>
      <c r="BA288" s="9" t="n"/>
      <c r="BB288" s="9" t="n"/>
      <c r="BC288" s="9" t="n"/>
      <c r="BD288" s="9" t="n"/>
      <c r="BE288" s="9" t="n"/>
      <c r="BF288" s="9" t="n"/>
      <c r="BG288" s="9" t="n"/>
      <c r="BH288" s="9" t="n"/>
      <c r="BI288" s="9" t="n"/>
      <c r="BJ288" s="9" t="n"/>
      <c r="BK288" s="9" t="n"/>
      <c r="BL288" s="9" t="n"/>
      <c r="BM288" s="9" t="n"/>
      <c r="BN288" s="9" t="n"/>
      <c r="BO288" s="8" t="n"/>
      <c r="BP288" s="9" t="n"/>
      <c r="BQ288" s="9" t="n"/>
      <c r="BR288" s="12">
        <f>IF(AND(AI288="Y",AK288="Y",AL288="Y",AM288="Y",AY288="Y",AZ288="Y",BA288="Y",BB288="Y",BC288="Y",BE288&lt;&gt;"Y",AX288&lt;&gt;"Y",BL288&lt;&gt;"Y",IF(AS288="Y",AV288="Y",TRUE)),"Y","N")</f>
        <v/>
      </c>
      <c r="BS288" s="12">
        <f>IF(AND(BR288="Y",OR(AND(BJ288="Y",BM288="Y"),AND(BK288="Y",BN288="Y"),AND(BJ288&lt;&gt;"Y",BK288&lt;&gt;"Y",OR(BM288="Y",BN288="Y")))),"Y","N")</f>
        <v/>
      </c>
      <c r="BT288" s="10" t="n"/>
      <c r="BU288" s="13" t="n"/>
      <c r="BV288" s="13" t="n"/>
      <c r="BW288" s="13" t="n"/>
      <c r="BX288" s="13" t="n"/>
      <c r="BY288" s="13" t="n"/>
      <c r="BZ288" s="13" t="n"/>
      <c r="CA288" s="14" t="n"/>
      <c r="CB288" s="13" t="n"/>
      <c r="CC288" s="9" t="n"/>
      <c r="CD288" s="9" t="n"/>
      <c r="CE288" s="9" t="n"/>
      <c r="CF288" s="9" t="n"/>
      <c r="CG288" s="9" t="n"/>
      <c r="CH288" s="9" t="n"/>
    </row>
    <row r="289">
      <c r="A289" s="8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8" t="n"/>
      <c r="L289" s="9" t="n"/>
      <c r="M289" s="8" t="n"/>
      <c r="N289" s="8" t="n"/>
      <c r="O289" s="8" t="n"/>
      <c r="P289" s="8" t="n"/>
      <c r="Q289" s="8" t="n"/>
      <c r="R289" s="9" t="n"/>
      <c r="S289" s="9" t="n"/>
      <c r="T289" s="10" t="n"/>
      <c r="U289" s="10" t="n"/>
      <c r="V289" s="9" t="n"/>
      <c r="W289" s="9" t="n"/>
      <c r="X289" s="9" t="n"/>
      <c r="Y289" s="9" t="n"/>
      <c r="Z289" s="11" t="n"/>
      <c r="AA289" s="11" t="n"/>
      <c r="AB289" s="11" t="n"/>
      <c r="AC289" s="11" t="n"/>
      <c r="AD289" s="11" t="n"/>
      <c r="AE289" s="11" t="n"/>
      <c r="AF289" s="9" t="n"/>
      <c r="AG289" s="9" t="n"/>
      <c r="AH289" s="9" t="n"/>
      <c r="AI289" s="9" t="n"/>
      <c r="AJ289" s="8" t="n"/>
      <c r="AK289" s="9" t="n"/>
      <c r="AL289" s="9" t="n"/>
      <c r="AM289" s="9" t="n"/>
      <c r="AN289" s="9" t="n"/>
      <c r="AO289" s="9" t="n"/>
      <c r="AP289" s="9" t="n"/>
      <c r="AQ289" s="9" t="n"/>
      <c r="AR289" s="9" t="n"/>
      <c r="AS289" s="9" t="n"/>
      <c r="AT289" s="8" t="n"/>
      <c r="AU289" s="8" t="n"/>
      <c r="AV289" s="9" t="n"/>
      <c r="AW289" s="8" t="n"/>
      <c r="AX289" s="9" t="n"/>
      <c r="AY289" s="9" t="n"/>
      <c r="AZ289" s="9" t="n"/>
      <c r="BA289" s="9" t="n"/>
      <c r="BB289" s="9" t="n"/>
      <c r="BC289" s="9" t="n"/>
      <c r="BD289" s="9" t="n"/>
      <c r="BE289" s="9" t="n"/>
      <c r="BF289" s="9" t="n"/>
      <c r="BG289" s="9" t="n"/>
      <c r="BH289" s="9" t="n"/>
      <c r="BI289" s="9" t="n"/>
      <c r="BJ289" s="9" t="n"/>
      <c r="BK289" s="9" t="n"/>
      <c r="BL289" s="9" t="n"/>
      <c r="BM289" s="9" t="n"/>
      <c r="BN289" s="9" t="n"/>
      <c r="BO289" s="8" t="n"/>
      <c r="BP289" s="9" t="n"/>
      <c r="BQ289" s="9" t="n"/>
      <c r="BR289" s="12">
        <f>IF(AND(AI289="Y",AK289="Y",AL289="Y",AM289="Y",AY289="Y",AZ289="Y",BA289="Y",BB289="Y",BC289="Y",BE289&lt;&gt;"Y",AX289&lt;&gt;"Y",BL289&lt;&gt;"Y",IF(AS289="Y",AV289="Y",TRUE)),"Y","N")</f>
        <v/>
      </c>
      <c r="BS289" s="12">
        <f>IF(AND(BR289="Y",OR(AND(BJ289="Y",BM289="Y"),AND(BK289="Y",BN289="Y"),AND(BJ289&lt;&gt;"Y",BK289&lt;&gt;"Y",OR(BM289="Y",BN289="Y")))),"Y","N")</f>
        <v/>
      </c>
      <c r="BT289" s="10" t="n"/>
      <c r="BU289" s="13" t="n"/>
      <c r="BV289" s="13" t="n"/>
      <c r="BW289" s="13" t="n"/>
      <c r="BX289" s="13" t="n"/>
      <c r="BY289" s="13" t="n"/>
      <c r="BZ289" s="13" t="n"/>
      <c r="CA289" s="14" t="n"/>
      <c r="CB289" s="13" t="n"/>
      <c r="CC289" s="9" t="n"/>
      <c r="CD289" s="9" t="n"/>
      <c r="CE289" s="9" t="n"/>
      <c r="CF289" s="9" t="n"/>
      <c r="CG289" s="9" t="n"/>
      <c r="CH289" s="9" t="n"/>
    </row>
    <row r="290">
      <c r="A290" s="8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8" t="n"/>
      <c r="L290" s="9" t="n"/>
      <c r="M290" s="8" t="n"/>
      <c r="N290" s="8" t="n"/>
      <c r="O290" s="8" t="n"/>
      <c r="P290" s="8" t="n"/>
      <c r="Q290" s="8" t="n"/>
      <c r="R290" s="9" t="n"/>
      <c r="S290" s="9" t="n"/>
      <c r="T290" s="10" t="n"/>
      <c r="U290" s="10" t="n"/>
      <c r="V290" s="9" t="n"/>
      <c r="W290" s="9" t="n"/>
      <c r="X290" s="9" t="n"/>
      <c r="Y290" s="9" t="n"/>
      <c r="Z290" s="11" t="n"/>
      <c r="AA290" s="11" t="n"/>
      <c r="AB290" s="11" t="n"/>
      <c r="AC290" s="11" t="n"/>
      <c r="AD290" s="11" t="n"/>
      <c r="AE290" s="11" t="n"/>
      <c r="AF290" s="9" t="n"/>
      <c r="AG290" s="9" t="n"/>
      <c r="AH290" s="9" t="n"/>
      <c r="AI290" s="9" t="n"/>
      <c r="AJ290" s="8" t="n"/>
      <c r="AK290" s="9" t="n"/>
      <c r="AL290" s="9" t="n"/>
      <c r="AM290" s="9" t="n"/>
      <c r="AN290" s="9" t="n"/>
      <c r="AO290" s="9" t="n"/>
      <c r="AP290" s="9" t="n"/>
      <c r="AQ290" s="9" t="n"/>
      <c r="AR290" s="9" t="n"/>
      <c r="AS290" s="9" t="n"/>
      <c r="AT290" s="8" t="n"/>
      <c r="AU290" s="8" t="n"/>
      <c r="AV290" s="9" t="n"/>
      <c r="AW290" s="8" t="n"/>
      <c r="AX290" s="9" t="n"/>
      <c r="AY290" s="9" t="n"/>
      <c r="AZ290" s="9" t="n"/>
      <c r="BA290" s="9" t="n"/>
      <c r="BB290" s="9" t="n"/>
      <c r="BC290" s="9" t="n"/>
      <c r="BD290" s="9" t="n"/>
      <c r="BE290" s="9" t="n"/>
      <c r="BF290" s="9" t="n"/>
      <c r="BG290" s="9" t="n"/>
      <c r="BH290" s="9" t="n"/>
      <c r="BI290" s="9" t="n"/>
      <c r="BJ290" s="9" t="n"/>
      <c r="BK290" s="9" t="n"/>
      <c r="BL290" s="9" t="n"/>
      <c r="BM290" s="9" t="n"/>
      <c r="BN290" s="9" t="n"/>
      <c r="BO290" s="8" t="n"/>
      <c r="BP290" s="9" t="n"/>
      <c r="BQ290" s="9" t="n"/>
      <c r="BR290" s="12">
        <f>IF(AND(AI290="Y",AK290="Y",AL290="Y",AM290="Y",AY290="Y",AZ290="Y",BA290="Y",BB290="Y",BC290="Y",BE290&lt;&gt;"Y",AX290&lt;&gt;"Y",BL290&lt;&gt;"Y",IF(AS290="Y",AV290="Y",TRUE)),"Y","N")</f>
        <v/>
      </c>
      <c r="BS290" s="12">
        <f>IF(AND(BR290="Y",OR(AND(BJ290="Y",BM290="Y"),AND(BK290="Y",BN290="Y"),AND(BJ290&lt;&gt;"Y",BK290&lt;&gt;"Y",OR(BM290="Y",BN290="Y")))),"Y","N")</f>
        <v/>
      </c>
      <c r="BT290" s="10" t="n"/>
      <c r="BU290" s="13" t="n"/>
      <c r="BV290" s="13" t="n"/>
      <c r="BW290" s="13" t="n"/>
      <c r="BX290" s="13" t="n"/>
      <c r="BY290" s="13" t="n"/>
      <c r="BZ290" s="13" t="n"/>
      <c r="CA290" s="14" t="n"/>
      <c r="CB290" s="13" t="n"/>
      <c r="CC290" s="9" t="n"/>
      <c r="CD290" s="9" t="n"/>
      <c r="CE290" s="9" t="n"/>
      <c r="CF290" s="9" t="n"/>
      <c r="CG290" s="9" t="n"/>
      <c r="CH290" s="9" t="n"/>
    </row>
    <row r="291">
      <c r="A291" s="8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8" t="n"/>
      <c r="L291" s="9" t="n"/>
      <c r="M291" s="8" t="n"/>
      <c r="N291" s="8" t="n"/>
      <c r="O291" s="8" t="n"/>
      <c r="P291" s="8" t="n"/>
      <c r="Q291" s="8" t="n"/>
      <c r="R291" s="9" t="n"/>
      <c r="S291" s="9" t="n"/>
      <c r="T291" s="10" t="n"/>
      <c r="U291" s="10" t="n"/>
      <c r="V291" s="9" t="n"/>
      <c r="W291" s="9" t="n"/>
      <c r="X291" s="9" t="n"/>
      <c r="Y291" s="9" t="n"/>
      <c r="Z291" s="11" t="n"/>
      <c r="AA291" s="11" t="n"/>
      <c r="AB291" s="11" t="n"/>
      <c r="AC291" s="11" t="n"/>
      <c r="AD291" s="11" t="n"/>
      <c r="AE291" s="11" t="n"/>
      <c r="AF291" s="9" t="n"/>
      <c r="AG291" s="9" t="n"/>
      <c r="AH291" s="9" t="n"/>
      <c r="AI291" s="9" t="n"/>
      <c r="AJ291" s="8" t="n"/>
      <c r="AK291" s="9" t="n"/>
      <c r="AL291" s="9" t="n"/>
      <c r="AM291" s="9" t="n"/>
      <c r="AN291" s="9" t="n"/>
      <c r="AO291" s="9" t="n"/>
      <c r="AP291" s="9" t="n"/>
      <c r="AQ291" s="9" t="n"/>
      <c r="AR291" s="9" t="n"/>
      <c r="AS291" s="9" t="n"/>
      <c r="AT291" s="8" t="n"/>
      <c r="AU291" s="8" t="n"/>
      <c r="AV291" s="9" t="n"/>
      <c r="AW291" s="8" t="n"/>
      <c r="AX291" s="9" t="n"/>
      <c r="AY291" s="9" t="n"/>
      <c r="AZ291" s="9" t="n"/>
      <c r="BA291" s="9" t="n"/>
      <c r="BB291" s="9" t="n"/>
      <c r="BC291" s="9" t="n"/>
      <c r="BD291" s="9" t="n"/>
      <c r="BE291" s="9" t="n"/>
      <c r="BF291" s="9" t="n"/>
      <c r="BG291" s="9" t="n"/>
      <c r="BH291" s="9" t="n"/>
      <c r="BI291" s="9" t="n"/>
      <c r="BJ291" s="9" t="n"/>
      <c r="BK291" s="9" t="n"/>
      <c r="BL291" s="9" t="n"/>
      <c r="BM291" s="9" t="n"/>
      <c r="BN291" s="9" t="n"/>
      <c r="BO291" s="8" t="n"/>
      <c r="BP291" s="9" t="n"/>
      <c r="BQ291" s="9" t="n"/>
      <c r="BR291" s="12">
        <f>IF(AND(AI291="Y",AK291="Y",AL291="Y",AM291="Y",AY291="Y",AZ291="Y",BA291="Y",BB291="Y",BC291="Y",BE291&lt;&gt;"Y",AX291&lt;&gt;"Y",BL291&lt;&gt;"Y",IF(AS291="Y",AV291="Y",TRUE)),"Y","N")</f>
        <v/>
      </c>
      <c r="BS291" s="12">
        <f>IF(AND(BR291="Y",OR(AND(BJ291="Y",BM291="Y"),AND(BK291="Y",BN291="Y"),AND(BJ291&lt;&gt;"Y",BK291&lt;&gt;"Y",OR(BM291="Y",BN291="Y")))),"Y","N")</f>
        <v/>
      </c>
      <c r="BT291" s="10" t="n"/>
      <c r="BU291" s="13" t="n"/>
      <c r="BV291" s="13" t="n"/>
      <c r="BW291" s="13" t="n"/>
      <c r="BX291" s="13" t="n"/>
      <c r="BY291" s="13" t="n"/>
      <c r="BZ291" s="13" t="n"/>
      <c r="CA291" s="14" t="n"/>
      <c r="CB291" s="13" t="n"/>
      <c r="CC291" s="9" t="n"/>
      <c r="CD291" s="9" t="n"/>
      <c r="CE291" s="9" t="n"/>
      <c r="CF291" s="9" t="n"/>
      <c r="CG291" s="9" t="n"/>
      <c r="CH291" s="9" t="n"/>
    </row>
    <row r="292">
      <c r="A292" s="8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8" t="n"/>
      <c r="L292" s="9" t="n"/>
      <c r="M292" s="8" t="n"/>
      <c r="N292" s="8" t="n"/>
      <c r="O292" s="8" t="n"/>
      <c r="P292" s="8" t="n"/>
      <c r="Q292" s="8" t="n"/>
      <c r="R292" s="9" t="n"/>
      <c r="S292" s="9" t="n"/>
      <c r="T292" s="10" t="n"/>
      <c r="U292" s="10" t="n"/>
      <c r="V292" s="9" t="n"/>
      <c r="W292" s="9" t="n"/>
      <c r="X292" s="9" t="n"/>
      <c r="Y292" s="9" t="n"/>
      <c r="Z292" s="11" t="n"/>
      <c r="AA292" s="11" t="n"/>
      <c r="AB292" s="11" t="n"/>
      <c r="AC292" s="11" t="n"/>
      <c r="AD292" s="11" t="n"/>
      <c r="AE292" s="11" t="n"/>
      <c r="AF292" s="9" t="n"/>
      <c r="AG292" s="9" t="n"/>
      <c r="AH292" s="9" t="n"/>
      <c r="AI292" s="9" t="n"/>
      <c r="AJ292" s="8" t="n"/>
      <c r="AK292" s="9" t="n"/>
      <c r="AL292" s="9" t="n"/>
      <c r="AM292" s="9" t="n"/>
      <c r="AN292" s="9" t="n"/>
      <c r="AO292" s="9" t="n"/>
      <c r="AP292" s="9" t="n"/>
      <c r="AQ292" s="9" t="n"/>
      <c r="AR292" s="9" t="n"/>
      <c r="AS292" s="9" t="n"/>
      <c r="AT292" s="8" t="n"/>
      <c r="AU292" s="8" t="n"/>
      <c r="AV292" s="9" t="n"/>
      <c r="AW292" s="8" t="n"/>
      <c r="AX292" s="9" t="n"/>
      <c r="AY292" s="9" t="n"/>
      <c r="AZ292" s="9" t="n"/>
      <c r="BA292" s="9" t="n"/>
      <c r="BB292" s="9" t="n"/>
      <c r="BC292" s="9" t="n"/>
      <c r="BD292" s="9" t="n"/>
      <c r="BE292" s="9" t="n"/>
      <c r="BF292" s="9" t="n"/>
      <c r="BG292" s="9" t="n"/>
      <c r="BH292" s="9" t="n"/>
      <c r="BI292" s="9" t="n"/>
      <c r="BJ292" s="9" t="n"/>
      <c r="BK292" s="9" t="n"/>
      <c r="BL292" s="9" t="n"/>
      <c r="BM292" s="9" t="n"/>
      <c r="BN292" s="9" t="n"/>
      <c r="BO292" s="8" t="n"/>
      <c r="BP292" s="9" t="n"/>
      <c r="BQ292" s="9" t="n"/>
      <c r="BR292" s="12">
        <f>IF(AND(AI292="Y",AK292="Y",AL292="Y",AM292="Y",AY292="Y",AZ292="Y",BA292="Y",BB292="Y",BC292="Y",BE292&lt;&gt;"Y",AX292&lt;&gt;"Y",BL292&lt;&gt;"Y",IF(AS292="Y",AV292="Y",TRUE)),"Y","N")</f>
        <v/>
      </c>
      <c r="BS292" s="12">
        <f>IF(AND(BR292="Y",OR(AND(BJ292="Y",BM292="Y"),AND(BK292="Y",BN292="Y"),AND(BJ292&lt;&gt;"Y",BK292&lt;&gt;"Y",OR(BM292="Y",BN292="Y")))),"Y","N")</f>
        <v/>
      </c>
      <c r="BT292" s="10" t="n"/>
      <c r="BU292" s="13" t="n"/>
      <c r="BV292" s="13" t="n"/>
      <c r="BW292" s="13" t="n"/>
      <c r="BX292" s="13" t="n"/>
      <c r="BY292" s="13" t="n"/>
      <c r="BZ292" s="13" t="n"/>
      <c r="CA292" s="14" t="n"/>
      <c r="CB292" s="13" t="n"/>
      <c r="CC292" s="9" t="n"/>
      <c r="CD292" s="9" t="n"/>
      <c r="CE292" s="9" t="n"/>
      <c r="CF292" s="9" t="n"/>
      <c r="CG292" s="9" t="n"/>
      <c r="CH292" s="9" t="n"/>
    </row>
    <row r="293">
      <c r="A293" s="8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8" t="n"/>
      <c r="L293" s="9" t="n"/>
      <c r="M293" s="8" t="n"/>
      <c r="N293" s="8" t="n"/>
      <c r="O293" s="8" t="n"/>
      <c r="P293" s="8" t="n"/>
      <c r="Q293" s="8" t="n"/>
      <c r="R293" s="9" t="n"/>
      <c r="S293" s="9" t="n"/>
      <c r="T293" s="10" t="n"/>
      <c r="U293" s="10" t="n"/>
      <c r="V293" s="9" t="n"/>
      <c r="W293" s="9" t="n"/>
      <c r="X293" s="9" t="n"/>
      <c r="Y293" s="9" t="n"/>
      <c r="Z293" s="11" t="n"/>
      <c r="AA293" s="11" t="n"/>
      <c r="AB293" s="11" t="n"/>
      <c r="AC293" s="11" t="n"/>
      <c r="AD293" s="11" t="n"/>
      <c r="AE293" s="11" t="n"/>
      <c r="AF293" s="9" t="n"/>
      <c r="AG293" s="9" t="n"/>
      <c r="AH293" s="9" t="n"/>
      <c r="AI293" s="9" t="n"/>
      <c r="AJ293" s="8" t="n"/>
      <c r="AK293" s="9" t="n"/>
      <c r="AL293" s="9" t="n"/>
      <c r="AM293" s="9" t="n"/>
      <c r="AN293" s="9" t="n"/>
      <c r="AO293" s="9" t="n"/>
      <c r="AP293" s="9" t="n"/>
      <c r="AQ293" s="9" t="n"/>
      <c r="AR293" s="9" t="n"/>
      <c r="AS293" s="9" t="n"/>
      <c r="AT293" s="8" t="n"/>
      <c r="AU293" s="8" t="n"/>
      <c r="AV293" s="9" t="n"/>
      <c r="AW293" s="8" t="n"/>
      <c r="AX293" s="9" t="n"/>
      <c r="AY293" s="9" t="n"/>
      <c r="AZ293" s="9" t="n"/>
      <c r="BA293" s="9" t="n"/>
      <c r="BB293" s="9" t="n"/>
      <c r="BC293" s="9" t="n"/>
      <c r="BD293" s="9" t="n"/>
      <c r="BE293" s="9" t="n"/>
      <c r="BF293" s="9" t="n"/>
      <c r="BG293" s="9" t="n"/>
      <c r="BH293" s="9" t="n"/>
      <c r="BI293" s="9" t="n"/>
      <c r="BJ293" s="9" t="n"/>
      <c r="BK293" s="9" t="n"/>
      <c r="BL293" s="9" t="n"/>
      <c r="BM293" s="9" t="n"/>
      <c r="BN293" s="9" t="n"/>
      <c r="BO293" s="8" t="n"/>
      <c r="BP293" s="9" t="n"/>
      <c r="BQ293" s="9" t="n"/>
      <c r="BR293" s="12">
        <f>IF(AND(AI293="Y",AK293="Y",AL293="Y",AM293="Y",AY293="Y",AZ293="Y",BA293="Y",BB293="Y",BC293="Y",BE293&lt;&gt;"Y",AX293&lt;&gt;"Y",BL293&lt;&gt;"Y",IF(AS293="Y",AV293="Y",TRUE)),"Y","N")</f>
        <v/>
      </c>
      <c r="BS293" s="12">
        <f>IF(AND(BR293="Y",OR(AND(BJ293="Y",BM293="Y"),AND(BK293="Y",BN293="Y"),AND(BJ293&lt;&gt;"Y",BK293&lt;&gt;"Y",OR(BM293="Y",BN293="Y")))),"Y","N")</f>
        <v/>
      </c>
      <c r="BT293" s="10" t="n"/>
      <c r="BU293" s="13" t="n"/>
      <c r="BV293" s="13" t="n"/>
      <c r="BW293" s="13" t="n"/>
      <c r="BX293" s="13" t="n"/>
      <c r="BY293" s="13" t="n"/>
      <c r="BZ293" s="13" t="n"/>
      <c r="CA293" s="14" t="n"/>
      <c r="CB293" s="13" t="n"/>
      <c r="CC293" s="9" t="n"/>
      <c r="CD293" s="9" t="n"/>
      <c r="CE293" s="9" t="n"/>
      <c r="CF293" s="9" t="n"/>
      <c r="CG293" s="9" t="n"/>
      <c r="CH293" s="9" t="n"/>
    </row>
    <row r="294">
      <c r="A294" s="8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8" t="n"/>
      <c r="L294" s="9" t="n"/>
      <c r="M294" s="8" t="n"/>
      <c r="N294" s="8" t="n"/>
      <c r="O294" s="8" t="n"/>
      <c r="P294" s="8" t="n"/>
      <c r="Q294" s="8" t="n"/>
      <c r="R294" s="9" t="n"/>
      <c r="S294" s="9" t="n"/>
      <c r="T294" s="10" t="n"/>
      <c r="U294" s="10" t="n"/>
      <c r="V294" s="9" t="n"/>
      <c r="W294" s="9" t="n"/>
      <c r="X294" s="9" t="n"/>
      <c r="Y294" s="9" t="n"/>
      <c r="Z294" s="11" t="n"/>
      <c r="AA294" s="11" t="n"/>
      <c r="AB294" s="11" t="n"/>
      <c r="AC294" s="11" t="n"/>
      <c r="AD294" s="11" t="n"/>
      <c r="AE294" s="11" t="n"/>
      <c r="AF294" s="9" t="n"/>
      <c r="AG294" s="9" t="n"/>
      <c r="AH294" s="9" t="n"/>
      <c r="AI294" s="9" t="n"/>
      <c r="AJ294" s="8" t="n"/>
      <c r="AK294" s="9" t="n"/>
      <c r="AL294" s="9" t="n"/>
      <c r="AM294" s="9" t="n"/>
      <c r="AN294" s="9" t="n"/>
      <c r="AO294" s="9" t="n"/>
      <c r="AP294" s="9" t="n"/>
      <c r="AQ294" s="9" t="n"/>
      <c r="AR294" s="9" t="n"/>
      <c r="AS294" s="9" t="n"/>
      <c r="AT294" s="8" t="n"/>
      <c r="AU294" s="8" t="n"/>
      <c r="AV294" s="9" t="n"/>
      <c r="AW294" s="8" t="n"/>
      <c r="AX294" s="9" t="n"/>
      <c r="AY294" s="9" t="n"/>
      <c r="AZ294" s="9" t="n"/>
      <c r="BA294" s="9" t="n"/>
      <c r="BB294" s="9" t="n"/>
      <c r="BC294" s="9" t="n"/>
      <c r="BD294" s="9" t="n"/>
      <c r="BE294" s="9" t="n"/>
      <c r="BF294" s="9" t="n"/>
      <c r="BG294" s="9" t="n"/>
      <c r="BH294" s="9" t="n"/>
      <c r="BI294" s="9" t="n"/>
      <c r="BJ294" s="9" t="n"/>
      <c r="BK294" s="9" t="n"/>
      <c r="BL294" s="9" t="n"/>
      <c r="BM294" s="9" t="n"/>
      <c r="BN294" s="9" t="n"/>
      <c r="BO294" s="8" t="n"/>
      <c r="BP294" s="9" t="n"/>
      <c r="BQ294" s="9" t="n"/>
      <c r="BR294" s="12">
        <f>IF(AND(AI294="Y",AK294="Y",AL294="Y",AM294="Y",AY294="Y",AZ294="Y",BA294="Y",BB294="Y",BC294="Y",BE294&lt;&gt;"Y",AX294&lt;&gt;"Y",BL294&lt;&gt;"Y",IF(AS294="Y",AV294="Y",TRUE)),"Y","N")</f>
        <v/>
      </c>
      <c r="BS294" s="12">
        <f>IF(AND(BR294="Y",OR(AND(BJ294="Y",BM294="Y"),AND(BK294="Y",BN294="Y"),AND(BJ294&lt;&gt;"Y",BK294&lt;&gt;"Y",OR(BM294="Y",BN294="Y")))),"Y","N")</f>
        <v/>
      </c>
      <c r="BT294" s="10" t="n"/>
      <c r="BU294" s="13" t="n"/>
      <c r="BV294" s="13" t="n"/>
      <c r="BW294" s="13" t="n"/>
      <c r="BX294" s="13" t="n"/>
      <c r="BY294" s="13" t="n"/>
      <c r="BZ294" s="13" t="n"/>
      <c r="CA294" s="14" t="n"/>
      <c r="CB294" s="13" t="n"/>
      <c r="CC294" s="9" t="n"/>
      <c r="CD294" s="9" t="n"/>
      <c r="CE294" s="9" t="n"/>
      <c r="CF294" s="9" t="n"/>
      <c r="CG294" s="9" t="n"/>
      <c r="CH294" s="9" t="n"/>
    </row>
    <row r="295">
      <c r="A295" s="8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8" t="n"/>
      <c r="L295" s="9" t="n"/>
      <c r="M295" s="8" t="n"/>
      <c r="N295" s="8" t="n"/>
      <c r="O295" s="8" t="n"/>
      <c r="P295" s="8" t="n"/>
      <c r="Q295" s="8" t="n"/>
      <c r="R295" s="9" t="n"/>
      <c r="S295" s="9" t="n"/>
      <c r="T295" s="10" t="n"/>
      <c r="U295" s="10" t="n"/>
      <c r="V295" s="9" t="n"/>
      <c r="W295" s="9" t="n"/>
      <c r="X295" s="9" t="n"/>
      <c r="Y295" s="9" t="n"/>
      <c r="Z295" s="11" t="n"/>
      <c r="AA295" s="11" t="n"/>
      <c r="AB295" s="11" t="n"/>
      <c r="AC295" s="11" t="n"/>
      <c r="AD295" s="11" t="n"/>
      <c r="AE295" s="11" t="n"/>
      <c r="AF295" s="9" t="n"/>
      <c r="AG295" s="9" t="n"/>
      <c r="AH295" s="9" t="n"/>
      <c r="AI295" s="9" t="n"/>
      <c r="AJ295" s="8" t="n"/>
      <c r="AK295" s="9" t="n"/>
      <c r="AL295" s="9" t="n"/>
      <c r="AM295" s="9" t="n"/>
      <c r="AN295" s="9" t="n"/>
      <c r="AO295" s="9" t="n"/>
      <c r="AP295" s="9" t="n"/>
      <c r="AQ295" s="9" t="n"/>
      <c r="AR295" s="9" t="n"/>
      <c r="AS295" s="9" t="n"/>
      <c r="AT295" s="8" t="n"/>
      <c r="AU295" s="8" t="n"/>
      <c r="AV295" s="9" t="n"/>
      <c r="AW295" s="8" t="n"/>
      <c r="AX295" s="9" t="n"/>
      <c r="AY295" s="9" t="n"/>
      <c r="AZ295" s="9" t="n"/>
      <c r="BA295" s="9" t="n"/>
      <c r="BB295" s="9" t="n"/>
      <c r="BC295" s="9" t="n"/>
      <c r="BD295" s="9" t="n"/>
      <c r="BE295" s="9" t="n"/>
      <c r="BF295" s="9" t="n"/>
      <c r="BG295" s="9" t="n"/>
      <c r="BH295" s="9" t="n"/>
      <c r="BI295" s="9" t="n"/>
      <c r="BJ295" s="9" t="n"/>
      <c r="BK295" s="9" t="n"/>
      <c r="BL295" s="9" t="n"/>
      <c r="BM295" s="9" t="n"/>
      <c r="BN295" s="9" t="n"/>
      <c r="BO295" s="8" t="n"/>
      <c r="BP295" s="9" t="n"/>
      <c r="BQ295" s="9" t="n"/>
      <c r="BR295" s="12">
        <f>IF(AND(AI295="Y",AK295="Y",AL295="Y",AM295="Y",AY295="Y",AZ295="Y",BA295="Y",BB295="Y",BC295="Y",BE295&lt;&gt;"Y",AX295&lt;&gt;"Y",BL295&lt;&gt;"Y",IF(AS295="Y",AV295="Y",TRUE)),"Y","N")</f>
        <v/>
      </c>
      <c r="BS295" s="12">
        <f>IF(AND(BR295="Y",OR(AND(BJ295="Y",BM295="Y"),AND(BK295="Y",BN295="Y"),AND(BJ295&lt;&gt;"Y",BK295&lt;&gt;"Y",OR(BM295="Y",BN295="Y")))),"Y","N")</f>
        <v/>
      </c>
      <c r="BT295" s="10" t="n"/>
      <c r="BU295" s="13" t="n"/>
      <c r="BV295" s="13" t="n"/>
      <c r="BW295" s="13" t="n"/>
      <c r="BX295" s="13" t="n"/>
      <c r="BY295" s="13" t="n"/>
      <c r="BZ295" s="13" t="n"/>
      <c r="CA295" s="14" t="n"/>
      <c r="CB295" s="13" t="n"/>
      <c r="CC295" s="9" t="n"/>
      <c r="CD295" s="9" t="n"/>
      <c r="CE295" s="9" t="n"/>
      <c r="CF295" s="9" t="n"/>
      <c r="CG295" s="9" t="n"/>
      <c r="CH295" s="9" t="n"/>
    </row>
    <row r="296">
      <c r="A296" s="8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8" t="n"/>
      <c r="L296" s="9" t="n"/>
      <c r="M296" s="8" t="n"/>
      <c r="N296" s="8" t="n"/>
      <c r="O296" s="8" t="n"/>
      <c r="P296" s="8" t="n"/>
      <c r="Q296" s="8" t="n"/>
      <c r="R296" s="9" t="n"/>
      <c r="S296" s="9" t="n"/>
      <c r="T296" s="10" t="n"/>
      <c r="U296" s="10" t="n"/>
      <c r="V296" s="9" t="n"/>
      <c r="W296" s="9" t="n"/>
      <c r="X296" s="9" t="n"/>
      <c r="Y296" s="9" t="n"/>
      <c r="Z296" s="11" t="n"/>
      <c r="AA296" s="11" t="n"/>
      <c r="AB296" s="11" t="n"/>
      <c r="AC296" s="11" t="n"/>
      <c r="AD296" s="11" t="n"/>
      <c r="AE296" s="11" t="n"/>
      <c r="AF296" s="9" t="n"/>
      <c r="AG296" s="9" t="n"/>
      <c r="AH296" s="9" t="n"/>
      <c r="AI296" s="9" t="n"/>
      <c r="AJ296" s="8" t="n"/>
      <c r="AK296" s="9" t="n"/>
      <c r="AL296" s="9" t="n"/>
      <c r="AM296" s="9" t="n"/>
      <c r="AN296" s="9" t="n"/>
      <c r="AO296" s="9" t="n"/>
      <c r="AP296" s="9" t="n"/>
      <c r="AQ296" s="9" t="n"/>
      <c r="AR296" s="9" t="n"/>
      <c r="AS296" s="9" t="n"/>
      <c r="AT296" s="8" t="n"/>
      <c r="AU296" s="8" t="n"/>
      <c r="AV296" s="9" t="n"/>
      <c r="AW296" s="8" t="n"/>
      <c r="AX296" s="9" t="n"/>
      <c r="AY296" s="9" t="n"/>
      <c r="AZ296" s="9" t="n"/>
      <c r="BA296" s="9" t="n"/>
      <c r="BB296" s="9" t="n"/>
      <c r="BC296" s="9" t="n"/>
      <c r="BD296" s="9" t="n"/>
      <c r="BE296" s="9" t="n"/>
      <c r="BF296" s="9" t="n"/>
      <c r="BG296" s="9" t="n"/>
      <c r="BH296" s="9" t="n"/>
      <c r="BI296" s="9" t="n"/>
      <c r="BJ296" s="9" t="n"/>
      <c r="BK296" s="9" t="n"/>
      <c r="BL296" s="9" t="n"/>
      <c r="BM296" s="9" t="n"/>
      <c r="BN296" s="9" t="n"/>
      <c r="BO296" s="8" t="n"/>
      <c r="BP296" s="9" t="n"/>
      <c r="BQ296" s="9" t="n"/>
      <c r="BR296" s="12">
        <f>IF(AND(AI296="Y",AK296="Y",AL296="Y",AM296="Y",AY296="Y",AZ296="Y",BA296="Y",BB296="Y",BC296="Y",BE296&lt;&gt;"Y",AX296&lt;&gt;"Y",BL296&lt;&gt;"Y",IF(AS296="Y",AV296="Y",TRUE)),"Y","N")</f>
        <v/>
      </c>
      <c r="BS296" s="12">
        <f>IF(AND(BR296="Y",OR(AND(BJ296="Y",BM296="Y"),AND(BK296="Y",BN296="Y"),AND(BJ296&lt;&gt;"Y",BK296&lt;&gt;"Y",OR(BM296="Y",BN296="Y")))),"Y","N")</f>
        <v/>
      </c>
      <c r="BT296" s="10" t="n"/>
      <c r="BU296" s="13" t="n"/>
      <c r="BV296" s="13" t="n"/>
      <c r="BW296" s="13" t="n"/>
      <c r="BX296" s="13" t="n"/>
      <c r="BY296" s="13" t="n"/>
      <c r="BZ296" s="13" t="n"/>
      <c r="CA296" s="14" t="n"/>
      <c r="CB296" s="13" t="n"/>
      <c r="CC296" s="9" t="n"/>
      <c r="CD296" s="9" t="n"/>
      <c r="CE296" s="9" t="n"/>
      <c r="CF296" s="9" t="n"/>
      <c r="CG296" s="9" t="n"/>
      <c r="CH296" s="9" t="n"/>
    </row>
    <row r="297">
      <c r="A297" s="8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8" t="n"/>
      <c r="L297" s="9" t="n"/>
      <c r="M297" s="8" t="n"/>
      <c r="N297" s="8" t="n"/>
      <c r="O297" s="8" t="n"/>
      <c r="P297" s="8" t="n"/>
      <c r="Q297" s="8" t="n"/>
      <c r="R297" s="9" t="n"/>
      <c r="S297" s="9" t="n"/>
      <c r="T297" s="10" t="n"/>
      <c r="U297" s="10" t="n"/>
      <c r="V297" s="9" t="n"/>
      <c r="W297" s="9" t="n"/>
      <c r="X297" s="9" t="n"/>
      <c r="Y297" s="9" t="n"/>
      <c r="Z297" s="11" t="n"/>
      <c r="AA297" s="11" t="n"/>
      <c r="AB297" s="11" t="n"/>
      <c r="AC297" s="11" t="n"/>
      <c r="AD297" s="11" t="n"/>
      <c r="AE297" s="11" t="n"/>
      <c r="AF297" s="9" t="n"/>
      <c r="AG297" s="9" t="n"/>
      <c r="AH297" s="9" t="n"/>
      <c r="AI297" s="9" t="n"/>
      <c r="AJ297" s="8" t="n"/>
      <c r="AK297" s="9" t="n"/>
      <c r="AL297" s="9" t="n"/>
      <c r="AM297" s="9" t="n"/>
      <c r="AN297" s="9" t="n"/>
      <c r="AO297" s="9" t="n"/>
      <c r="AP297" s="9" t="n"/>
      <c r="AQ297" s="9" t="n"/>
      <c r="AR297" s="9" t="n"/>
      <c r="AS297" s="9" t="n"/>
      <c r="AT297" s="8" t="n"/>
      <c r="AU297" s="8" t="n"/>
      <c r="AV297" s="9" t="n"/>
      <c r="AW297" s="8" t="n"/>
      <c r="AX297" s="9" t="n"/>
      <c r="AY297" s="9" t="n"/>
      <c r="AZ297" s="9" t="n"/>
      <c r="BA297" s="9" t="n"/>
      <c r="BB297" s="9" t="n"/>
      <c r="BC297" s="9" t="n"/>
      <c r="BD297" s="9" t="n"/>
      <c r="BE297" s="9" t="n"/>
      <c r="BF297" s="9" t="n"/>
      <c r="BG297" s="9" t="n"/>
      <c r="BH297" s="9" t="n"/>
      <c r="BI297" s="9" t="n"/>
      <c r="BJ297" s="9" t="n"/>
      <c r="BK297" s="9" t="n"/>
      <c r="BL297" s="9" t="n"/>
      <c r="BM297" s="9" t="n"/>
      <c r="BN297" s="9" t="n"/>
      <c r="BO297" s="8" t="n"/>
      <c r="BP297" s="9" t="n"/>
      <c r="BQ297" s="9" t="n"/>
      <c r="BR297" s="12">
        <f>IF(AND(AI297="Y",AK297="Y",AL297="Y",AM297="Y",AY297="Y",AZ297="Y",BA297="Y",BB297="Y",BC297="Y",BE297&lt;&gt;"Y",AX297&lt;&gt;"Y",BL297&lt;&gt;"Y",IF(AS297="Y",AV297="Y",TRUE)),"Y","N")</f>
        <v/>
      </c>
      <c r="BS297" s="12">
        <f>IF(AND(BR297="Y",OR(AND(BJ297="Y",BM297="Y"),AND(BK297="Y",BN297="Y"),AND(BJ297&lt;&gt;"Y",BK297&lt;&gt;"Y",OR(BM297="Y",BN297="Y")))),"Y","N")</f>
        <v/>
      </c>
      <c r="BT297" s="10" t="n"/>
      <c r="BU297" s="13" t="n"/>
      <c r="BV297" s="13" t="n"/>
      <c r="BW297" s="13" t="n"/>
      <c r="BX297" s="13" t="n"/>
      <c r="BY297" s="13" t="n"/>
      <c r="BZ297" s="13" t="n"/>
      <c r="CA297" s="14" t="n"/>
      <c r="CB297" s="13" t="n"/>
      <c r="CC297" s="9" t="n"/>
      <c r="CD297" s="9" t="n"/>
      <c r="CE297" s="9" t="n"/>
      <c r="CF297" s="9" t="n"/>
      <c r="CG297" s="9" t="n"/>
      <c r="CH297" s="9" t="n"/>
    </row>
    <row r="298">
      <c r="A298" s="8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8" t="n"/>
      <c r="L298" s="9" t="n"/>
      <c r="M298" s="8" t="n"/>
      <c r="N298" s="8" t="n"/>
      <c r="O298" s="8" t="n"/>
      <c r="P298" s="8" t="n"/>
      <c r="Q298" s="8" t="n"/>
      <c r="R298" s="9" t="n"/>
      <c r="S298" s="9" t="n"/>
      <c r="T298" s="10" t="n"/>
      <c r="U298" s="10" t="n"/>
      <c r="V298" s="9" t="n"/>
      <c r="W298" s="9" t="n"/>
      <c r="X298" s="9" t="n"/>
      <c r="Y298" s="9" t="n"/>
      <c r="Z298" s="11" t="n"/>
      <c r="AA298" s="11" t="n"/>
      <c r="AB298" s="11" t="n"/>
      <c r="AC298" s="11" t="n"/>
      <c r="AD298" s="11" t="n"/>
      <c r="AE298" s="11" t="n"/>
      <c r="AF298" s="9" t="n"/>
      <c r="AG298" s="9" t="n"/>
      <c r="AH298" s="9" t="n"/>
      <c r="AI298" s="9" t="n"/>
      <c r="AJ298" s="8" t="n"/>
      <c r="AK298" s="9" t="n"/>
      <c r="AL298" s="9" t="n"/>
      <c r="AM298" s="9" t="n"/>
      <c r="AN298" s="9" t="n"/>
      <c r="AO298" s="9" t="n"/>
      <c r="AP298" s="9" t="n"/>
      <c r="AQ298" s="9" t="n"/>
      <c r="AR298" s="9" t="n"/>
      <c r="AS298" s="9" t="n"/>
      <c r="AT298" s="8" t="n"/>
      <c r="AU298" s="8" t="n"/>
      <c r="AV298" s="9" t="n"/>
      <c r="AW298" s="8" t="n"/>
      <c r="AX298" s="9" t="n"/>
      <c r="AY298" s="9" t="n"/>
      <c r="AZ298" s="9" t="n"/>
      <c r="BA298" s="9" t="n"/>
      <c r="BB298" s="9" t="n"/>
      <c r="BC298" s="9" t="n"/>
      <c r="BD298" s="9" t="n"/>
      <c r="BE298" s="9" t="n"/>
      <c r="BF298" s="9" t="n"/>
      <c r="BG298" s="9" t="n"/>
      <c r="BH298" s="9" t="n"/>
      <c r="BI298" s="9" t="n"/>
      <c r="BJ298" s="9" t="n"/>
      <c r="BK298" s="9" t="n"/>
      <c r="BL298" s="9" t="n"/>
      <c r="BM298" s="9" t="n"/>
      <c r="BN298" s="9" t="n"/>
      <c r="BO298" s="8" t="n"/>
      <c r="BP298" s="9" t="n"/>
      <c r="BQ298" s="9" t="n"/>
      <c r="BR298" s="12">
        <f>IF(AND(AI298="Y",AK298="Y",AL298="Y",AM298="Y",AY298="Y",AZ298="Y",BA298="Y",BB298="Y",BC298="Y",BE298&lt;&gt;"Y",AX298&lt;&gt;"Y",BL298&lt;&gt;"Y",IF(AS298="Y",AV298="Y",TRUE)),"Y","N")</f>
        <v/>
      </c>
      <c r="BS298" s="12">
        <f>IF(AND(BR298="Y",OR(AND(BJ298="Y",BM298="Y"),AND(BK298="Y",BN298="Y"),AND(BJ298&lt;&gt;"Y",BK298&lt;&gt;"Y",OR(BM298="Y",BN298="Y")))),"Y","N")</f>
        <v/>
      </c>
      <c r="BT298" s="10" t="n"/>
      <c r="BU298" s="13" t="n"/>
      <c r="BV298" s="13" t="n"/>
      <c r="BW298" s="13" t="n"/>
      <c r="BX298" s="13" t="n"/>
      <c r="BY298" s="13" t="n"/>
      <c r="BZ298" s="13" t="n"/>
      <c r="CA298" s="14" t="n"/>
      <c r="CB298" s="13" t="n"/>
      <c r="CC298" s="9" t="n"/>
      <c r="CD298" s="9" t="n"/>
      <c r="CE298" s="9" t="n"/>
      <c r="CF298" s="9" t="n"/>
      <c r="CG298" s="9" t="n"/>
      <c r="CH298" s="9" t="n"/>
    </row>
    <row r="299">
      <c r="A299" s="8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8" t="n"/>
      <c r="L299" s="9" t="n"/>
      <c r="M299" s="8" t="n"/>
      <c r="N299" s="8" t="n"/>
      <c r="O299" s="8" t="n"/>
      <c r="P299" s="8" t="n"/>
      <c r="Q299" s="8" t="n"/>
      <c r="R299" s="9" t="n"/>
      <c r="S299" s="9" t="n"/>
      <c r="T299" s="10" t="n"/>
      <c r="U299" s="10" t="n"/>
      <c r="V299" s="9" t="n"/>
      <c r="W299" s="9" t="n"/>
      <c r="X299" s="9" t="n"/>
      <c r="Y299" s="9" t="n"/>
      <c r="Z299" s="11" t="n"/>
      <c r="AA299" s="11" t="n"/>
      <c r="AB299" s="11" t="n"/>
      <c r="AC299" s="11" t="n"/>
      <c r="AD299" s="11" t="n"/>
      <c r="AE299" s="11" t="n"/>
      <c r="AF299" s="9" t="n"/>
      <c r="AG299" s="9" t="n"/>
      <c r="AH299" s="9" t="n"/>
      <c r="AI299" s="9" t="n"/>
      <c r="AJ299" s="8" t="n"/>
      <c r="AK299" s="9" t="n"/>
      <c r="AL299" s="9" t="n"/>
      <c r="AM299" s="9" t="n"/>
      <c r="AN299" s="9" t="n"/>
      <c r="AO299" s="9" t="n"/>
      <c r="AP299" s="9" t="n"/>
      <c r="AQ299" s="9" t="n"/>
      <c r="AR299" s="9" t="n"/>
      <c r="AS299" s="9" t="n"/>
      <c r="AT299" s="8" t="n"/>
      <c r="AU299" s="8" t="n"/>
      <c r="AV299" s="9" t="n"/>
      <c r="AW299" s="8" t="n"/>
      <c r="AX299" s="9" t="n"/>
      <c r="AY299" s="9" t="n"/>
      <c r="AZ299" s="9" t="n"/>
      <c r="BA299" s="9" t="n"/>
      <c r="BB299" s="9" t="n"/>
      <c r="BC299" s="9" t="n"/>
      <c r="BD299" s="9" t="n"/>
      <c r="BE299" s="9" t="n"/>
      <c r="BF299" s="9" t="n"/>
      <c r="BG299" s="9" t="n"/>
      <c r="BH299" s="9" t="n"/>
      <c r="BI299" s="9" t="n"/>
      <c r="BJ299" s="9" t="n"/>
      <c r="BK299" s="9" t="n"/>
      <c r="BL299" s="9" t="n"/>
      <c r="BM299" s="9" t="n"/>
      <c r="BN299" s="9" t="n"/>
      <c r="BO299" s="8" t="n"/>
      <c r="BP299" s="9" t="n"/>
      <c r="BQ299" s="9" t="n"/>
      <c r="BR299" s="12">
        <f>IF(AND(AI299="Y",AK299="Y",AL299="Y",AM299="Y",AY299="Y",AZ299="Y",BA299="Y",BB299="Y",BC299="Y",BE299&lt;&gt;"Y",AX299&lt;&gt;"Y",BL299&lt;&gt;"Y",IF(AS299="Y",AV299="Y",TRUE)),"Y","N")</f>
        <v/>
      </c>
      <c r="BS299" s="12">
        <f>IF(AND(BR299="Y",OR(AND(BJ299="Y",BM299="Y"),AND(BK299="Y",BN299="Y"),AND(BJ299&lt;&gt;"Y",BK299&lt;&gt;"Y",OR(BM299="Y",BN299="Y")))),"Y","N")</f>
        <v/>
      </c>
      <c r="BT299" s="10" t="n"/>
      <c r="BU299" s="13" t="n"/>
      <c r="BV299" s="13" t="n"/>
      <c r="BW299" s="13" t="n"/>
      <c r="BX299" s="13" t="n"/>
      <c r="BY299" s="13" t="n"/>
      <c r="BZ299" s="13" t="n"/>
      <c r="CA299" s="14" t="n"/>
      <c r="CB299" s="13" t="n"/>
      <c r="CC299" s="9" t="n"/>
      <c r="CD299" s="9" t="n"/>
      <c r="CE299" s="9" t="n"/>
      <c r="CF299" s="9" t="n"/>
      <c r="CG299" s="9" t="n"/>
      <c r="CH299" s="9" t="n"/>
    </row>
    <row r="300">
      <c r="A300" s="8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8" t="n"/>
      <c r="L300" s="9" t="n"/>
      <c r="M300" s="8" t="n"/>
      <c r="N300" s="8" t="n"/>
      <c r="O300" s="8" t="n"/>
      <c r="P300" s="8" t="n"/>
      <c r="Q300" s="8" t="n"/>
      <c r="R300" s="9" t="n"/>
      <c r="S300" s="9" t="n"/>
      <c r="T300" s="10" t="n"/>
      <c r="U300" s="10" t="n"/>
      <c r="V300" s="9" t="n"/>
      <c r="W300" s="9" t="n"/>
      <c r="X300" s="9" t="n"/>
      <c r="Y300" s="9" t="n"/>
      <c r="Z300" s="11" t="n"/>
      <c r="AA300" s="11" t="n"/>
      <c r="AB300" s="11" t="n"/>
      <c r="AC300" s="11" t="n"/>
      <c r="AD300" s="11" t="n"/>
      <c r="AE300" s="11" t="n"/>
      <c r="AF300" s="9" t="n"/>
      <c r="AG300" s="9" t="n"/>
      <c r="AH300" s="9" t="n"/>
      <c r="AI300" s="9" t="n"/>
      <c r="AJ300" s="8" t="n"/>
      <c r="AK300" s="9" t="n"/>
      <c r="AL300" s="9" t="n"/>
      <c r="AM300" s="9" t="n"/>
      <c r="AN300" s="9" t="n"/>
      <c r="AO300" s="9" t="n"/>
      <c r="AP300" s="9" t="n"/>
      <c r="AQ300" s="9" t="n"/>
      <c r="AR300" s="9" t="n"/>
      <c r="AS300" s="9" t="n"/>
      <c r="AT300" s="8" t="n"/>
      <c r="AU300" s="8" t="n"/>
      <c r="AV300" s="9" t="n"/>
      <c r="AW300" s="8" t="n"/>
      <c r="AX300" s="9" t="n"/>
      <c r="AY300" s="9" t="n"/>
      <c r="AZ300" s="9" t="n"/>
      <c r="BA300" s="9" t="n"/>
      <c r="BB300" s="9" t="n"/>
      <c r="BC300" s="9" t="n"/>
      <c r="BD300" s="9" t="n"/>
      <c r="BE300" s="9" t="n"/>
      <c r="BF300" s="9" t="n"/>
      <c r="BG300" s="9" t="n"/>
      <c r="BH300" s="9" t="n"/>
      <c r="BI300" s="9" t="n"/>
      <c r="BJ300" s="9" t="n"/>
      <c r="BK300" s="9" t="n"/>
      <c r="BL300" s="9" t="n"/>
      <c r="BM300" s="9" t="n"/>
      <c r="BN300" s="9" t="n"/>
      <c r="BO300" s="8" t="n"/>
      <c r="BP300" s="9" t="n"/>
      <c r="BQ300" s="9" t="n"/>
      <c r="BR300" s="12">
        <f>IF(AND(AI300="Y",AK300="Y",AL300="Y",AM300="Y",AY300="Y",AZ300="Y",BA300="Y",BB300="Y",BC300="Y",BE300&lt;&gt;"Y",AX300&lt;&gt;"Y",BL300&lt;&gt;"Y",IF(AS300="Y",AV300="Y",TRUE)),"Y","N")</f>
        <v/>
      </c>
      <c r="BS300" s="12">
        <f>IF(AND(BR300="Y",OR(AND(BJ300="Y",BM300="Y"),AND(BK300="Y",BN300="Y"),AND(BJ300&lt;&gt;"Y",BK300&lt;&gt;"Y",OR(BM300="Y",BN300="Y")))),"Y","N")</f>
        <v/>
      </c>
      <c r="BT300" s="10" t="n"/>
      <c r="BU300" s="13" t="n"/>
      <c r="BV300" s="13" t="n"/>
      <c r="BW300" s="13" t="n"/>
      <c r="BX300" s="13" t="n"/>
      <c r="BY300" s="13" t="n"/>
      <c r="BZ300" s="13" t="n"/>
      <c r="CA300" s="14" t="n"/>
      <c r="CB300" s="13" t="n"/>
      <c r="CC300" s="9" t="n"/>
      <c r="CD300" s="9" t="n"/>
      <c r="CE300" s="9" t="n"/>
      <c r="CF300" s="9" t="n"/>
      <c r="CG300" s="9" t="n"/>
      <c r="CH300" s="9" t="n"/>
    </row>
    <row r="301">
      <c r="A301" s="8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8" t="n"/>
      <c r="L301" s="9" t="n"/>
      <c r="M301" s="8" t="n"/>
      <c r="N301" s="8" t="n"/>
      <c r="O301" s="8" t="n"/>
      <c r="P301" s="8" t="n"/>
      <c r="Q301" s="8" t="n"/>
      <c r="R301" s="9" t="n"/>
      <c r="S301" s="9" t="n"/>
      <c r="T301" s="10" t="n"/>
      <c r="U301" s="10" t="n"/>
      <c r="V301" s="9" t="n"/>
      <c r="W301" s="9" t="n"/>
      <c r="X301" s="9" t="n"/>
      <c r="Y301" s="9" t="n"/>
      <c r="Z301" s="11" t="n"/>
      <c r="AA301" s="11" t="n"/>
      <c r="AB301" s="11" t="n"/>
      <c r="AC301" s="11" t="n"/>
      <c r="AD301" s="11" t="n"/>
      <c r="AE301" s="11" t="n"/>
      <c r="AF301" s="9" t="n"/>
      <c r="AG301" s="9" t="n"/>
      <c r="AH301" s="9" t="n"/>
      <c r="AI301" s="9" t="n"/>
      <c r="AJ301" s="8" t="n"/>
      <c r="AK301" s="9" t="n"/>
      <c r="AL301" s="9" t="n"/>
      <c r="AM301" s="9" t="n"/>
      <c r="AN301" s="9" t="n"/>
      <c r="AO301" s="9" t="n"/>
      <c r="AP301" s="9" t="n"/>
      <c r="AQ301" s="9" t="n"/>
      <c r="AR301" s="9" t="n"/>
      <c r="AS301" s="9" t="n"/>
      <c r="AT301" s="8" t="n"/>
      <c r="AU301" s="8" t="n"/>
      <c r="AV301" s="9" t="n"/>
      <c r="AW301" s="8" t="n"/>
      <c r="AX301" s="9" t="n"/>
      <c r="AY301" s="9" t="n"/>
      <c r="AZ301" s="9" t="n"/>
      <c r="BA301" s="9" t="n"/>
      <c r="BB301" s="9" t="n"/>
      <c r="BC301" s="9" t="n"/>
      <c r="BD301" s="9" t="n"/>
      <c r="BE301" s="9" t="n"/>
      <c r="BF301" s="9" t="n"/>
      <c r="BG301" s="9" t="n"/>
      <c r="BH301" s="9" t="n"/>
      <c r="BI301" s="9" t="n"/>
      <c r="BJ301" s="9" t="n"/>
      <c r="BK301" s="9" t="n"/>
      <c r="BL301" s="9" t="n"/>
      <c r="BM301" s="9" t="n"/>
      <c r="BN301" s="9" t="n"/>
      <c r="BO301" s="8" t="n"/>
      <c r="BP301" s="9" t="n"/>
      <c r="BQ301" s="9" t="n"/>
      <c r="BR301" s="12">
        <f>IF(AND(AI301="Y",AK301="Y",AL301="Y",AM301="Y",AY301="Y",AZ301="Y",BA301="Y",BB301="Y",BC301="Y",BE301&lt;&gt;"Y",AX301&lt;&gt;"Y",BL301&lt;&gt;"Y",IF(AS301="Y",AV301="Y",TRUE)),"Y","N")</f>
        <v/>
      </c>
      <c r="BS301" s="12">
        <f>IF(AND(BR301="Y",OR(AND(BJ301="Y",BM301="Y"),AND(BK301="Y",BN301="Y"),AND(BJ301&lt;&gt;"Y",BK301&lt;&gt;"Y",OR(BM301="Y",BN301="Y")))),"Y","N")</f>
        <v/>
      </c>
      <c r="BT301" s="10" t="n"/>
      <c r="BU301" s="13" t="n"/>
      <c r="BV301" s="13" t="n"/>
      <c r="BW301" s="13" t="n"/>
      <c r="BX301" s="13" t="n"/>
      <c r="BY301" s="13" t="n"/>
      <c r="BZ301" s="13" t="n"/>
      <c r="CA301" s="14" t="n"/>
      <c r="CB301" s="13" t="n"/>
      <c r="CC301" s="9" t="n"/>
      <c r="CD301" s="9" t="n"/>
      <c r="CE301" s="9" t="n"/>
      <c r="CF301" s="9" t="n"/>
      <c r="CG301" s="9" t="n"/>
      <c r="CH301" s="9" t="n"/>
    </row>
    <row r="302">
      <c r="A302" s="8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8" t="n"/>
      <c r="L302" s="9" t="n"/>
      <c r="M302" s="8" t="n"/>
      <c r="N302" s="8" t="n"/>
      <c r="O302" s="8" t="n"/>
      <c r="P302" s="8" t="n"/>
      <c r="Q302" s="8" t="n"/>
      <c r="R302" s="9" t="n"/>
      <c r="S302" s="9" t="n"/>
      <c r="T302" s="10" t="n"/>
      <c r="U302" s="10" t="n"/>
      <c r="V302" s="9" t="n"/>
      <c r="W302" s="9" t="n"/>
      <c r="X302" s="9" t="n"/>
      <c r="Y302" s="9" t="n"/>
      <c r="Z302" s="11" t="n"/>
      <c r="AA302" s="11" t="n"/>
      <c r="AB302" s="11" t="n"/>
      <c r="AC302" s="11" t="n"/>
      <c r="AD302" s="11" t="n"/>
      <c r="AE302" s="11" t="n"/>
      <c r="AF302" s="9" t="n"/>
      <c r="AG302" s="9" t="n"/>
      <c r="AH302" s="9" t="n"/>
      <c r="AI302" s="9" t="n"/>
      <c r="AJ302" s="8" t="n"/>
      <c r="AK302" s="9" t="n"/>
      <c r="AL302" s="9" t="n"/>
      <c r="AM302" s="9" t="n"/>
      <c r="AN302" s="9" t="n"/>
      <c r="AO302" s="9" t="n"/>
      <c r="AP302" s="9" t="n"/>
      <c r="AQ302" s="9" t="n"/>
      <c r="AR302" s="9" t="n"/>
      <c r="AS302" s="9" t="n"/>
      <c r="AT302" s="8" t="n"/>
      <c r="AU302" s="8" t="n"/>
      <c r="AV302" s="9" t="n"/>
      <c r="AW302" s="8" t="n"/>
      <c r="AX302" s="9" t="n"/>
      <c r="AY302" s="9" t="n"/>
      <c r="AZ302" s="9" t="n"/>
      <c r="BA302" s="9" t="n"/>
      <c r="BB302" s="9" t="n"/>
      <c r="BC302" s="9" t="n"/>
      <c r="BD302" s="9" t="n"/>
      <c r="BE302" s="9" t="n"/>
      <c r="BF302" s="9" t="n"/>
      <c r="BG302" s="9" t="n"/>
      <c r="BH302" s="9" t="n"/>
      <c r="BI302" s="9" t="n"/>
      <c r="BJ302" s="9" t="n"/>
      <c r="BK302" s="9" t="n"/>
      <c r="BL302" s="9" t="n"/>
      <c r="BM302" s="9" t="n"/>
      <c r="BN302" s="9" t="n"/>
      <c r="BO302" s="8" t="n"/>
      <c r="BP302" s="9" t="n"/>
      <c r="BQ302" s="9" t="n"/>
      <c r="BR302" s="12">
        <f>IF(AND(AI302="Y",AK302="Y",AL302="Y",AM302="Y",AY302="Y",AZ302="Y",BA302="Y",BB302="Y",BC302="Y",BE302&lt;&gt;"Y",AX302&lt;&gt;"Y",BL302&lt;&gt;"Y",IF(AS302="Y",AV302="Y",TRUE)),"Y","N")</f>
        <v/>
      </c>
      <c r="BS302" s="12">
        <f>IF(AND(BR302="Y",OR(AND(BJ302="Y",BM302="Y"),AND(BK302="Y",BN302="Y"),AND(BJ302&lt;&gt;"Y",BK302&lt;&gt;"Y",OR(BM302="Y",BN302="Y")))),"Y","N")</f>
        <v/>
      </c>
      <c r="BT302" s="10" t="n"/>
      <c r="BU302" s="13" t="n"/>
      <c r="BV302" s="13" t="n"/>
      <c r="BW302" s="13" t="n"/>
      <c r="BX302" s="13" t="n"/>
      <c r="BY302" s="13" t="n"/>
      <c r="BZ302" s="13" t="n"/>
      <c r="CA302" s="14" t="n"/>
      <c r="CB302" s="13" t="n"/>
      <c r="CC302" s="9" t="n"/>
      <c r="CD302" s="9" t="n"/>
      <c r="CE302" s="9" t="n"/>
      <c r="CF302" s="9" t="n"/>
      <c r="CG302" s="9" t="n"/>
      <c r="CH302" s="9" t="n"/>
    </row>
    <row r="303">
      <c r="A303" s="8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8" t="n"/>
      <c r="L303" s="9" t="n"/>
      <c r="M303" s="8" t="n"/>
      <c r="N303" s="8" t="n"/>
      <c r="O303" s="8" t="n"/>
      <c r="P303" s="8" t="n"/>
      <c r="Q303" s="8" t="n"/>
      <c r="R303" s="9" t="n"/>
      <c r="S303" s="9" t="n"/>
      <c r="T303" s="10" t="n"/>
      <c r="U303" s="10" t="n"/>
      <c r="V303" s="9" t="n"/>
      <c r="W303" s="9" t="n"/>
      <c r="X303" s="9" t="n"/>
      <c r="Y303" s="9" t="n"/>
      <c r="Z303" s="11" t="n"/>
      <c r="AA303" s="11" t="n"/>
      <c r="AB303" s="11" t="n"/>
      <c r="AC303" s="11" t="n"/>
      <c r="AD303" s="11" t="n"/>
      <c r="AE303" s="11" t="n"/>
      <c r="AF303" s="9" t="n"/>
      <c r="AG303" s="9" t="n"/>
      <c r="AH303" s="9" t="n"/>
      <c r="AI303" s="9" t="n"/>
      <c r="AJ303" s="8" t="n"/>
      <c r="AK303" s="9" t="n"/>
      <c r="AL303" s="9" t="n"/>
      <c r="AM303" s="9" t="n"/>
      <c r="AN303" s="9" t="n"/>
      <c r="AO303" s="9" t="n"/>
      <c r="AP303" s="9" t="n"/>
      <c r="AQ303" s="9" t="n"/>
      <c r="AR303" s="9" t="n"/>
      <c r="AS303" s="9" t="n"/>
      <c r="AT303" s="8" t="n"/>
      <c r="AU303" s="8" t="n"/>
      <c r="AV303" s="9" t="n"/>
      <c r="AW303" s="8" t="n"/>
      <c r="AX303" s="9" t="n"/>
      <c r="AY303" s="9" t="n"/>
      <c r="AZ303" s="9" t="n"/>
      <c r="BA303" s="9" t="n"/>
      <c r="BB303" s="9" t="n"/>
      <c r="BC303" s="9" t="n"/>
      <c r="BD303" s="9" t="n"/>
      <c r="BE303" s="9" t="n"/>
      <c r="BF303" s="9" t="n"/>
      <c r="BG303" s="9" t="n"/>
      <c r="BH303" s="9" t="n"/>
      <c r="BI303" s="9" t="n"/>
      <c r="BJ303" s="9" t="n"/>
      <c r="BK303" s="9" t="n"/>
      <c r="BL303" s="9" t="n"/>
      <c r="BM303" s="9" t="n"/>
      <c r="BN303" s="9" t="n"/>
      <c r="BO303" s="8" t="n"/>
      <c r="BP303" s="9" t="n"/>
      <c r="BQ303" s="9" t="n"/>
      <c r="BR303" s="12">
        <f>IF(AND(AI303="Y",AK303="Y",AL303="Y",AM303="Y",AY303="Y",AZ303="Y",BA303="Y",BB303="Y",BC303="Y",BE303&lt;&gt;"Y",AX303&lt;&gt;"Y",BL303&lt;&gt;"Y",IF(AS303="Y",AV303="Y",TRUE)),"Y","N")</f>
        <v/>
      </c>
      <c r="BS303" s="12">
        <f>IF(AND(BR303="Y",OR(AND(BJ303="Y",BM303="Y"),AND(BK303="Y",BN303="Y"),AND(BJ303&lt;&gt;"Y",BK303&lt;&gt;"Y",OR(BM303="Y",BN303="Y")))),"Y","N")</f>
        <v/>
      </c>
      <c r="BT303" s="10" t="n"/>
      <c r="BU303" s="13" t="n"/>
      <c r="BV303" s="13" t="n"/>
      <c r="BW303" s="13" t="n"/>
      <c r="BX303" s="13" t="n"/>
      <c r="BY303" s="13" t="n"/>
      <c r="BZ303" s="13" t="n"/>
      <c r="CA303" s="14" t="n"/>
      <c r="CB303" s="13" t="n"/>
      <c r="CC303" s="9" t="n"/>
      <c r="CD303" s="9" t="n"/>
      <c r="CE303" s="9" t="n"/>
      <c r="CF303" s="9" t="n"/>
      <c r="CG303" s="9" t="n"/>
      <c r="CH303" s="9" t="n"/>
    </row>
    <row r="304">
      <c r="A304" s="8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8" t="n"/>
      <c r="L304" s="9" t="n"/>
      <c r="M304" s="8" t="n"/>
      <c r="N304" s="8" t="n"/>
      <c r="O304" s="8" t="n"/>
      <c r="P304" s="8" t="n"/>
      <c r="Q304" s="8" t="n"/>
      <c r="R304" s="9" t="n"/>
      <c r="S304" s="9" t="n"/>
      <c r="T304" s="10" t="n"/>
      <c r="U304" s="10" t="n"/>
      <c r="V304" s="9" t="n"/>
      <c r="W304" s="9" t="n"/>
      <c r="X304" s="9" t="n"/>
      <c r="Y304" s="9" t="n"/>
      <c r="Z304" s="11" t="n"/>
      <c r="AA304" s="11" t="n"/>
      <c r="AB304" s="11" t="n"/>
      <c r="AC304" s="11" t="n"/>
      <c r="AD304" s="11" t="n"/>
      <c r="AE304" s="11" t="n"/>
      <c r="AF304" s="9" t="n"/>
      <c r="AG304" s="9" t="n"/>
      <c r="AH304" s="9" t="n"/>
      <c r="AI304" s="9" t="n"/>
      <c r="AJ304" s="8" t="n"/>
      <c r="AK304" s="9" t="n"/>
      <c r="AL304" s="9" t="n"/>
      <c r="AM304" s="9" t="n"/>
      <c r="AN304" s="9" t="n"/>
      <c r="AO304" s="9" t="n"/>
      <c r="AP304" s="9" t="n"/>
      <c r="AQ304" s="9" t="n"/>
      <c r="AR304" s="9" t="n"/>
      <c r="AS304" s="9" t="n"/>
      <c r="AT304" s="8" t="n"/>
      <c r="AU304" s="8" t="n"/>
      <c r="AV304" s="9" t="n"/>
      <c r="AW304" s="8" t="n"/>
      <c r="AX304" s="9" t="n"/>
      <c r="AY304" s="9" t="n"/>
      <c r="AZ304" s="9" t="n"/>
      <c r="BA304" s="9" t="n"/>
      <c r="BB304" s="9" t="n"/>
      <c r="BC304" s="9" t="n"/>
      <c r="BD304" s="9" t="n"/>
      <c r="BE304" s="9" t="n"/>
      <c r="BF304" s="9" t="n"/>
      <c r="BG304" s="9" t="n"/>
      <c r="BH304" s="9" t="n"/>
      <c r="BI304" s="9" t="n"/>
      <c r="BJ304" s="9" t="n"/>
      <c r="BK304" s="9" t="n"/>
      <c r="BL304" s="9" t="n"/>
      <c r="BM304" s="9" t="n"/>
      <c r="BN304" s="9" t="n"/>
      <c r="BO304" s="8" t="n"/>
      <c r="BP304" s="9" t="n"/>
      <c r="BQ304" s="9" t="n"/>
      <c r="BR304" s="12">
        <f>IF(AND(AI304="Y",AK304="Y",AL304="Y",AM304="Y",AY304="Y",AZ304="Y",BA304="Y",BB304="Y",BC304="Y",BE304&lt;&gt;"Y",AX304&lt;&gt;"Y",BL304&lt;&gt;"Y",IF(AS304="Y",AV304="Y",TRUE)),"Y","N")</f>
        <v/>
      </c>
      <c r="BS304" s="12">
        <f>IF(AND(BR304="Y",OR(AND(BJ304="Y",BM304="Y"),AND(BK304="Y",BN304="Y"),AND(BJ304&lt;&gt;"Y",BK304&lt;&gt;"Y",OR(BM304="Y",BN304="Y")))),"Y","N")</f>
        <v/>
      </c>
      <c r="BT304" s="10" t="n"/>
      <c r="BU304" s="13" t="n"/>
      <c r="BV304" s="13" t="n"/>
      <c r="BW304" s="13" t="n"/>
      <c r="BX304" s="13" t="n"/>
      <c r="BY304" s="13" t="n"/>
      <c r="BZ304" s="13" t="n"/>
      <c r="CA304" s="14" t="n"/>
      <c r="CB304" s="13" t="n"/>
      <c r="CC304" s="9" t="n"/>
      <c r="CD304" s="9" t="n"/>
      <c r="CE304" s="9" t="n"/>
      <c r="CF304" s="9" t="n"/>
      <c r="CG304" s="9" t="n"/>
      <c r="CH304" s="9" t="n"/>
    </row>
    <row r="305">
      <c r="A305" s="8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8" t="n"/>
      <c r="L305" s="9" t="n"/>
      <c r="M305" s="8" t="n"/>
      <c r="N305" s="8" t="n"/>
      <c r="O305" s="8" t="n"/>
      <c r="P305" s="8" t="n"/>
      <c r="Q305" s="8" t="n"/>
      <c r="R305" s="9" t="n"/>
      <c r="S305" s="9" t="n"/>
      <c r="T305" s="10" t="n"/>
      <c r="U305" s="10" t="n"/>
      <c r="V305" s="9" t="n"/>
      <c r="W305" s="9" t="n"/>
      <c r="X305" s="9" t="n"/>
      <c r="Y305" s="9" t="n"/>
      <c r="Z305" s="11" t="n"/>
      <c r="AA305" s="11" t="n"/>
      <c r="AB305" s="11" t="n"/>
      <c r="AC305" s="11" t="n"/>
      <c r="AD305" s="11" t="n"/>
      <c r="AE305" s="11" t="n"/>
      <c r="AF305" s="9" t="n"/>
      <c r="AG305" s="9" t="n"/>
      <c r="AH305" s="9" t="n"/>
      <c r="AI305" s="9" t="n"/>
      <c r="AJ305" s="8" t="n"/>
      <c r="AK305" s="9" t="n"/>
      <c r="AL305" s="9" t="n"/>
      <c r="AM305" s="9" t="n"/>
      <c r="AN305" s="9" t="n"/>
      <c r="AO305" s="9" t="n"/>
      <c r="AP305" s="9" t="n"/>
      <c r="AQ305" s="9" t="n"/>
      <c r="AR305" s="9" t="n"/>
      <c r="AS305" s="9" t="n"/>
      <c r="AT305" s="8" t="n"/>
      <c r="AU305" s="8" t="n"/>
      <c r="AV305" s="9" t="n"/>
      <c r="AW305" s="8" t="n"/>
      <c r="AX305" s="9" t="n"/>
      <c r="AY305" s="9" t="n"/>
      <c r="AZ305" s="9" t="n"/>
      <c r="BA305" s="9" t="n"/>
      <c r="BB305" s="9" t="n"/>
      <c r="BC305" s="9" t="n"/>
      <c r="BD305" s="9" t="n"/>
      <c r="BE305" s="9" t="n"/>
      <c r="BF305" s="9" t="n"/>
      <c r="BG305" s="9" t="n"/>
      <c r="BH305" s="9" t="n"/>
      <c r="BI305" s="9" t="n"/>
      <c r="BJ305" s="9" t="n"/>
      <c r="BK305" s="9" t="n"/>
      <c r="BL305" s="9" t="n"/>
      <c r="BM305" s="9" t="n"/>
      <c r="BN305" s="9" t="n"/>
      <c r="BO305" s="8" t="n"/>
      <c r="BP305" s="9" t="n"/>
      <c r="BQ305" s="9" t="n"/>
      <c r="BR305" s="12">
        <f>IF(AND(AI305="Y",AK305="Y",AL305="Y",AM305="Y",AY305="Y",AZ305="Y",BA305="Y",BB305="Y",BC305="Y",BE305&lt;&gt;"Y",AX305&lt;&gt;"Y",BL305&lt;&gt;"Y",IF(AS305="Y",AV305="Y",TRUE)),"Y","N")</f>
        <v/>
      </c>
      <c r="BS305" s="12">
        <f>IF(AND(BR305="Y",OR(AND(BJ305="Y",BM305="Y"),AND(BK305="Y",BN305="Y"),AND(BJ305&lt;&gt;"Y",BK305&lt;&gt;"Y",OR(BM305="Y",BN305="Y")))),"Y","N")</f>
        <v/>
      </c>
      <c r="BT305" s="10" t="n"/>
      <c r="BU305" s="13" t="n"/>
      <c r="BV305" s="13" t="n"/>
      <c r="BW305" s="13" t="n"/>
      <c r="BX305" s="13" t="n"/>
      <c r="BY305" s="13" t="n"/>
      <c r="BZ305" s="13" t="n"/>
      <c r="CA305" s="14" t="n"/>
      <c r="CB305" s="13" t="n"/>
      <c r="CC305" s="9" t="n"/>
      <c r="CD305" s="9" t="n"/>
      <c r="CE305" s="9" t="n"/>
      <c r="CF305" s="9" t="n"/>
      <c r="CG305" s="9" t="n"/>
      <c r="CH305" s="9" t="n"/>
    </row>
    <row r="306">
      <c r="A306" s="8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8" t="n"/>
      <c r="L306" s="9" t="n"/>
      <c r="M306" s="8" t="n"/>
      <c r="N306" s="8" t="n"/>
      <c r="O306" s="8" t="n"/>
      <c r="P306" s="8" t="n"/>
      <c r="Q306" s="8" t="n"/>
      <c r="R306" s="9" t="n"/>
      <c r="S306" s="9" t="n"/>
      <c r="T306" s="10" t="n"/>
      <c r="U306" s="10" t="n"/>
      <c r="V306" s="9" t="n"/>
      <c r="W306" s="9" t="n"/>
      <c r="X306" s="9" t="n"/>
      <c r="Y306" s="9" t="n"/>
      <c r="Z306" s="11" t="n"/>
      <c r="AA306" s="11" t="n"/>
      <c r="AB306" s="11" t="n"/>
      <c r="AC306" s="11" t="n"/>
      <c r="AD306" s="11" t="n"/>
      <c r="AE306" s="11" t="n"/>
      <c r="AF306" s="9" t="n"/>
      <c r="AG306" s="9" t="n"/>
      <c r="AH306" s="9" t="n"/>
      <c r="AI306" s="9" t="n"/>
      <c r="AJ306" s="8" t="n"/>
      <c r="AK306" s="9" t="n"/>
      <c r="AL306" s="9" t="n"/>
      <c r="AM306" s="9" t="n"/>
      <c r="AN306" s="9" t="n"/>
      <c r="AO306" s="9" t="n"/>
      <c r="AP306" s="9" t="n"/>
      <c r="AQ306" s="9" t="n"/>
      <c r="AR306" s="9" t="n"/>
      <c r="AS306" s="9" t="n"/>
      <c r="AT306" s="8" t="n"/>
      <c r="AU306" s="8" t="n"/>
      <c r="AV306" s="9" t="n"/>
      <c r="AW306" s="8" t="n"/>
      <c r="AX306" s="9" t="n"/>
      <c r="AY306" s="9" t="n"/>
      <c r="AZ306" s="9" t="n"/>
      <c r="BA306" s="9" t="n"/>
      <c r="BB306" s="9" t="n"/>
      <c r="BC306" s="9" t="n"/>
      <c r="BD306" s="9" t="n"/>
      <c r="BE306" s="9" t="n"/>
      <c r="BF306" s="9" t="n"/>
      <c r="BG306" s="9" t="n"/>
      <c r="BH306" s="9" t="n"/>
      <c r="BI306" s="9" t="n"/>
      <c r="BJ306" s="9" t="n"/>
      <c r="BK306" s="9" t="n"/>
      <c r="BL306" s="9" t="n"/>
      <c r="BM306" s="9" t="n"/>
      <c r="BN306" s="9" t="n"/>
      <c r="BO306" s="8" t="n"/>
      <c r="BP306" s="9" t="n"/>
      <c r="BQ306" s="9" t="n"/>
      <c r="BR306" s="12">
        <f>IF(AND(AI306="Y",AK306="Y",AL306="Y",AM306="Y",AY306="Y",AZ306="Y",BA306="Y",BB306="Y",BC306="Y",BE306&lt;&gt;"Y",AX306&lt;&gt;"Y",BL306&lt;&gt;"Y",IF(AS306="Y",AV306="Y",TRUE)),"Y","N")</f>
        <v/>
      </c>
      <c r="BS306" s="12">
        <f>IF(AND(BR306="Y",OR(AND(BJ306="Y",BM306="Y"),AND(BK306="Y",BN306="Y"),AND(BJ306&lt;&gt;"Y",BK306&lt;&gt;"Y",OR(BM306="Y",BN306="Y")))),"Y","N")</f>
        <v/>
      </c>
      <c r="BT306" s="10" t="n"/>
      <c r="BU306" s="13" t="n"/>
      <c r="BV306" s="13" t="n"/>
      <c r="BW306" s="13" t="n"/>
      <c r="BX306" s="13" t="n"/>
      <c r="BY306" s="13" t="n"/>
      <c r="BZ306" s="13" t="n"/>
      <c r="CA306" s="14" t="n"/>
      <c r="CB306" s="13" t="n"/>
      <c r="CC306" s="9" t="n"/>
      <c r="CD306" s="9" t="n"/>
      <c r="CE306" s="9" t="n"/>
      <c r="CF306" s="9" t="n"/>
      <c r="CG306" s="9" t="n"/>
      <c r="CH306" s="9" t="n"/>
    </row>
    <row r="307">
      <c r="A307" s="8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8" t="n"/>
      <c r="L307" s="9" t="n"/>
      <c r="M307" s="8" t="n"/>
      <c r="N307" s="8" t="n"/>
      <c r="O307" s="8" t="n"/>
      <c r="P307" s="8" t="n"/>
      <c r="Q307" s="8" t="n"/>
      <c r="R307" s="9" t="n"/>
      <c r="S307" s="9" t="n"/>
      <c r="T307" s="10" t="n"/>
      <c r="U307" s="10" t="n"/>
      <c r="V307" s="9" t="n"/>
      <c r="W307" s="9" t="n"/>
      <c r="X307" s="9" t="n"/>
      <c r="Y307" s="9" t="n"/>
      <c r="Z307" s="11" t="n"/>
      <c r="AA307" s="11" t="n"/>
      <c r="AB307" s="11" t="n"/>
      <c r="AC307" s="11" t="n"/>
      <c r="AD307" s="11" t="n"/>
      <c r="AE307" s="11" t="n"/>
      <c r="AF307" s="9" t="n"/>
      <c r="AG307" s="9" t="n"/>
      <c r="AH307" s="9" t="n"/>
      <c r="AI307" s="9" t="n"/>
      <c r="AJ307" s="8" t="n"/>
      <c r="AK307" s="9" t="n"/>
      <c r="AL307" s="9" t="n"/>
      <c r="AM307" s="9" t="n"/>
      <c r="AN307" s="9" t="n"/>
      <c r="AO307" s="9" t="n"/>
      <c r="AP307" s="9" t="n"/>
      <c r="AQ307" s="9" t="n"/>
      <c r="AR307" s="9" t="n"/>
      <c r="AS307" s="9" t="n"/>
      <c r="AT307" s="8" t="n"/>
      <c r="AU307" s="8" t="n"/>
      <c r="AV307" s="9" t="n"/>
      <c r="AW307" s="8" t="n"/>
      <c r="AX307" s="9" t="n"/>
      <c r="AY307" s="9" t="n"/>
      <c r="AZ307" s="9" t="n"/>
      <c r="BA307" s="9" t="n"/>
      <c r="BB307" s="9" t="n"/>
      <c r="BC307" s="9" t="n"/>
      <c r="BD307" s="9" t="n"/>
      <c r="BE307" s="9" t="n"/>
      <c r="BF307" s="9" t="n"/>
      <c r="BG307" s="9" t="n"/>
      <c r="BH307" s="9" t="n"/>
      <c r="BI307" s="9" t="n"/>
      <c r="BJ307" s="9" t="n"/>
      <c r="BK307" s="9" t="n"/>
      <c r="BL307" s="9" t="n"/>
      <c r="BM307" s="9" t="n"/>
      <c r="BN307" s="9" t="n"/>
      <c r="BO307" s="8" t="n"/>
      <c r="BP307" s="9" t="n"/>
      <c r="BQ307" s="9" t="n"/>
      <c r="BR307" s="12">
        <f>IF(AND(AI307="Y",AK307="Y",AL307="Y",AM307="Y",AY307="Y",AZ307="Y",BA307="Y",BB307="Y",BC307="Y",BE307&lt;&gt;"Y",AX307&lt;&gt;"Y",BL307&lt;&gt;"Y",IF(AS307="Y",AV307="Y",TRUE)),"Y","N")</f>
        <v/>
      </c>
      <c r="BS307" s="12">
        <f>IF(AND(BR307="Y",OR(AND(BJ307="Y",BM307="Y"),AND(BK307="Y",BN307="Y"),AND(BJ307&lt;&gt;"Y",BK307&lt;&gt;"Y",OR(BM307="Y",BN307="Y")))),"Y","N")</f>
        <v/>
      </c>
      <c r="BT307" s="10" t="n"/>
      <c r="BU307" s="13" t="n"/>
      <c r="BV307" s="13" t="n"/>
      <c r="BW307" s="13" t="n"/>
      <c r="BX307" s="13" t="n"/>
      <c r="BY307" s="13" t="n"/>
      <c r="BZ307" s="13" t="n"/>
      <c r="CA307" s="14" t="n"/>
      <c r="CB307" s="13" t="n"/>
      <c r="CC307" s="9" t="n"/>
      <c r="CD307" s="9" t="n"/>
      <c r="CE307" s="9" t="n"/>
      <c r="CF307" s="9" t="n"/>
      <c r="CG307" s="9" t="n"/>
      <c r="CH307" s="9" t="n"/>
    </row>
    <row r="308">
      <c r="A308" s="8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8" t="n"/>
      <c r="L308" s="9" t="n"/>
      <c r="M308" s="8" t="n"/>
      <c r="N308" s="8" t="n"/>
      <c r="O308" s="8" t="n"/>
      <c r="P308" s="8" t="n"/>
      <c r="Q308" s="8" t="n"/>
      <c r="R308" s="9" t="n"/>
      <c r="S308" s="9" t="n"/>
      <c r="T308" s="10" t="n"/>
      <c r="U308" s="10" t="n"/>
      <c r="V308" s="9" t="n"/>
      <c r="W308" s="9" t="n"/>
      <c r="X308" s="9" t="n"/>
      <c r="Y308" s="9" t="n"/>
      <c r="Z308" s="11" t="n"/>
      <c r="AA308" s="11" t="n"/>
      <c r="AB308" s="11" t="n"/>
      <c r="AC308" s="11" t="n"/>
      <c r="AD308" s="11" t="n"/>
      <c r="AE308" s="11" t="n"/>
      <c r="AF308" s="9" t="n"/>
      <c r="AG308" s="9" t="n"/>
      <c r="AH308" s="9" t="n"/>
      <c r="AI308" s="9" t="n"/>
      <c r="AJ308" s="8" t="n"/>
      <c r="AK308" s="9" t="n"/>
      <c r="AL308" s="9" t="n"/>
      <c r="AM308" s="9" t="n"/>
      <c r="AN308" s="9" t="n"/>
      <c r="AO308" s="9" t="n"/>
      <c r="AP308" s="9" t="n"/>
      <c r="AQ308" s="9" t="n"/>
      <c r="AR308" s="9" t="n"/>
      <c r="AS308" s="9" t="n"/>
      <c r="AT308" s="8" t="n"/>
      <c r="AU308" s="8" t="n"/>
      <c r="AV308" s="9" t="n"/>
      <c r="AW308" s="8" t="n"/>
      <c r="AX308" s="9" t="n"/>
      <c r="AY308" s="9" t="n"/>
      <c r="AZ308" s="9" t="n"/>
      <c r="BA308" s="9" t="n"/>
      <c r="BB308" s="9" t="n"/>
      <c r="BC308" s="9" t="n"/>
      <c r="BD308" s="9" t="n"/>
      <c r="BE308" s="9" t="n"/>
      <c r="BF308" s="9" t="n"/>
      <c r="BG308" s="9" t="n"/>
      <c r="BH308" s="9" t="n"/>
      <c r="BI308" s="9" t="n"/>
      <c r="BJ308" s="9" t="n"/>
      <c r="BK308" s="9" t="n"/>
      <c r="BL308" s="9" t="n"/>
      <c r="BM308" s="9" t="n"/>
      <c r="BN308" s="9" t="n"/>
      <c r="BO308" s="8" t="n"/>
      <c r="BP308" s="9" t="n"/>
      <c r="BQ308" s="9" t="n"/>
      <c r="BR308" s="12">
        <f>IF(AND(AI308="Y",AK308="Y",AL308="Y",AM308="Y",AY308="Y",AZ308="Y",BA308="Y",BB308="Y",BC308="Y",BE308&lt;&gt;"Y",AX308&lt;&gt;"Y",BL308&lt;&gt;"Y",IF(AS308="Y",AV308="Y",TRUE)),"Y","N")</f>
        <v/>
      </c>
      <c r="BS308" s="12">
        <f>IF(AND(BR308="Y",OR(AND(BJ308="Y",BM308="Y"),AND(BK308="Y",BN308="Y"),AND(BJ308&lt;&gt;"Y",BK308&lt;&gt;"Y",OR(BM308="Y",BN308="Y")))),"Y","N")</f>
        <v/>
      </c>
      <c r="BT308" s="10" t="n"/>
      <c r="BU308" s="13" t="n"/>
      <c r="BV308" s="13" t="n"/>
      <c r="BW308" s="13" t="n"/>
      <c r="BX308" s="13" t="n"/>
      <c r="BY308" s="13" t="n"/>
      <c r="BZ308" s="13" t="n"/>
      <c r="CA308" s="14" t="n"/>
      <c r="CB308" s="13" t="n"/>
      <c r="CC308" s="9" t="n"/>
      <c r="CD308" s="9" t="n"/>
      <c r="CE308" s="9" t="n"/>
      <c r="CF308" s="9" t="n"/>
      <c r="CG308" s="9" t="n"/>
      <c r="CH308" s="9" t="n"/>
    </row>
    <row r="309">
      <c r="A309" s="8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8" t="n"/>
      <c r="L309" s="9" t="n"/>
      <c r="M309" s="8" t="n"/>
      <c r="N309" s="8" t="n"/>
      <c r="O309" s="8" t="n"/>
      <c r="P309" s="8" t="n"/>
      <c r="Q309" s="8" t="n"/>
      <c r="R309" s="9" t="n"/>
      <c r="S309" s="9" t="n"/>
      <c r="T309" s="10" t="n"/>
      <c r="U309" s="10" t="n"/>
      <c r="V309" s="9" t="n"/>
      <c r="W309" s="9" t="n"/>
      <c r="X309" s="9" t="n"/>
      <c r="Y309" s="9" t="n"/>
      <c r="Z309" s="11" t="n"/>
      <c r="AA309" s="11" t="n"/>
      <c r="AB309" s="11" t="n"/>
      <c r="AC309" s="11" t="n"/>
      <c r="AD309" s="11" t="n"/>
      <c r="AE309" s="11" t="n"/>
      <c r="AF309" s="9" t="n"/>
      <c r="AG309" s="9" t="n"/>
      <c r="AH309" s="9" t="n"/>
      <c r="AI309" s="9" t="n"/>
      <c r="AJ309" s="8" t="n"/>
      <c r="AK309" s="9" t="n"/>
      <c r="AL309" s="9" t="n"/>
      <c r="AM309" s="9" t="n"/>
      <c r="AN309" s="9" t="n"/>
      <c r="AO309" s="9" t="n"/>
      <c r="AP309" s="9" t="n"/>
      <c r="AQ309" s="9" t="n"/>
      <c r="AR309" s="9" t="n"/>
      <c r="AS309" s="9" t="n"/>
      <c r="AT309" s="8" t="n"/>
      <c r="AU309" s="8" t="n"/>
      <c r="AV309" s="9" t="n"/>
      <c r="AW309" s="8" t="n"/>
      <c r="AX309" s="9" t="n"/>
      <c r="AY309" s="9" t="n"/>
      <c r="AZ309" s="9" t="n"/>
      <c r="BA309" s="9" t="n"/>
      <c r="BB309" s="9" t="n"/>
      <c r="BC309" s="9" t="n"/>
      <c r="BD309" s="9" t="n"/>
      <c r="BE309" s="9" t="n"/>
      <c r="BF309" s="9" t="n"/>
      <c r="BG309" s="9" t="n"/>
      <c r="BH309" s="9" t="n"/>
      <c r="BI309" s="9" t="n"/>
      <c r="BJ309" s="9" t="n"/>
      <c r="BK309" s="9" t="n"/>
      <c r="BL309" s="9" t="n"/>
      <c r="BM309" s="9" t="n"/>
      <c r="BN309" s="9" t="n"/>
      <c r="BO309" s="8" t="n"/>
      <c r="BP309" s="9" t="n"/>
      <c r="BQ309" s="9" t="n"/>
      <c r="BR309" s="12">
        <f>IF(AND(AI309="Y",AK309="Y",AL309="Y",AM309="Y",AY309="Y",AZ309="Y",BA309="Y",BB309="Y",BC309="Y",BE309&lt;&gt;"Y",AX309&lt;&gt;"Y",BL309&lt;&gt;"Y",IF(AS309="Y",AV309="Y",TRUE)),"Y","N")</f>
        <v/>
      </c>
      <c r="BS309" s="12">
        <f>IF(AND(BR309="Y",OR(AND(BJ309="Y",BM309="Y"),AND(BK309="Y",BN309="Y"),AND(BJ309&lt;&gt;"Y",BK309&lt;&gt;"Y",OR(BM309="Y",BN309="Y")))),"Y","N")</f>
        <v/>
      </c>
      <c r="BT309" s="10" t="n"/>
      <c r="BU309" s="13" t="n"/>
      <c r="BV309" s="13" t="n"/>
      <c r="BW309" s="13" t="n"/>
      <c r="BX309" s="13" t="n"/>
      <c r="BY309" s="13" t="n"/>
      <c r="BZ309" s="13" t="n"/>
      <c r="CA309" s="14" t="n"/>
      <c r="CB309" s="13" t="n"/>
      <c r="CC309" s="9" t="n"/>
      <c r="CD309" s="9" t="n"/>
      <c r="CE309" s="9" t="n"/>
      <c r="CF309" s="9" t="n"/>
      <c r="CG309" s="9" t="n"/>
      <c r="CH309" s="9" t="n"/>
    </row>
    <row r="310">
      <c r="A310" s="8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8" t="n"/>
      <c r="L310" s="9" t="n"/>
      <c r="M310" s="8" t="n"/>
      <c r="N310" s="8" t="n"/>
      <c r="O310" s="8" t="n"/>
      <c r="P310" s="8" t="n"/>
      <c r="Q310" s="8" t="n"/>
      <c r="R310" s="9" t="n"/>
      <c r="S310" s="9" t="n"/>
      <c r="T310" s="10" t="n"/>
      <c r="U310" s="10" t="n"/>
      <c r="V310" s="9" t="n"/>
      <c r="W310" s="9" t="n"/>
      <c r="X310" s="9" t="n"/>
      <c r="Y310" s="9" t="n"/>
      <c r="Z310" s="11" t="n"/>
      <c r="AA310" s="11" t="n"/>
      <c r="AB310" s="11" t="n"/>
      <c r="AC310" s="11" t="n"/>
      <c r="AD310" s="11" t="n"/>
      <c r="AE310" s="11" t="n"/>
      <c r="AF310" s="9" t="n"/>
      <c r="AG310" s="9" t="n"/>
      <c r="AH310" s="9" t="n"/>
      <c r="AI310" s="9" t="n"/>
      <c r="AJ310" s="8" t="n"/>
      <c r="AK310" s="9" t="n"/>
      <c r="AL310" s="9" t="n"/>
      <c r="AM310" s="9" t="n"/>
      <c r="AN310" s="9" t="n"/>
      <c r="AO310" s="9" t="n"/>
      <c r="AP310" s="9" t="n"/>
      <c r="AQ310" s="9" t="n"/>
      <c r="AR310" s="9" t="n"/>
      <c r="AS310" s="9" t="n"/>
      <c r="AT310" s="8" t="n"/>
      <c r="AU310" s="8" t="n"/>
      <c r="AV310" s="9" t="n"/>
      <c r="AW310" s="8" t="n"/>
      <c r="AX310" s="9" t="n"/>
      <c r="AY310" s="9" t="n"/>
      <c r="AZ310" s="9" t="n"/>
      <c r="BA310" s="9" t="n"/>
      <c r="BB310" s="9" t="n"/>
      <c r="BC310" s="9" t="n"/>
      <c r="BD310" s="9" t="n"/>
      <c r="BE310" s="9" t="n"/>
      <c r="BF310" s="9" t="n"/>
      <c r="BG310" s="9" t="n"/>
      <c r="BH310" s="9" t="n"/>
      <c r="BI310" s="9" t="n"/>
      <c r="BJ310" s="9" t="n"/>
      <c r="BK310" s="9" t="n"/>
      <c r="BL310" s="9" t="n"/>
      <c r="BM310" s="9" t="n"/>
      <c r="BN310" s="9" t="n"/>
      <c r="BO310" s="8" t="n"/>
      <c r="BP310" s="9" t="n"/>
      <c r="BQ310" s="9" t="n"/>
      <c r="BR310" s="12">
        <f>IF(AND(AI310="Y",AK310="Y",AL310="Y",AM310="Y",AY310="Y",AZ310="Y",BA310="Y",BB310="Y",BC310="Y",BE310&lt;&gt;"Y",AX310&lt;&gt;"Y",BL310&lt;&gt;"Y",IF(AS310="Y",AV310="Y",TRUE)),"Y","N")</f>
        <v/>
      </c>
      <c r="BS310" s="12">
        <f>IF(AND(BR310="Y",OR(AND(BJ310="Y",BM310="Y"),AND(BK310="Y",BN310="Y"),AND(BJ310&lt;&gt;"Y",BK310&lt;&gt;"Y",OR(BM310="Y",BN310="Y")))),"Y","N")</f>
        <v/>
      </c>
      <c r="BT310" s="10" t="n"/>
      <c r="BU310" s="13" t="n"/>
      <c r="BV310" s="13" t="n"/>
      <c r="BW310" s="13" t="n"/>
      <c r="BX310" s="13" t="n"/>
      <c r="BY310" s="13" t="n"/>
      <c r="BZ310" s="13" t="n"/>
      <c r="CA310" s="14" t="n"/>
      <c r="CB310" s="13" t="n"/>
      <c r="CC310" s="9" t="n"/>
      <c r="CD310" s="9" t="n"/>
      <c r="CE310" s="9" t="n"/>
      <c r="CF310" s="9" t="n"/>
      <c r="CG310" s="9" t="n"/>
      <c r="CH310" s="9" t="n"/>
    </row>
    <row r="311">
      <c r="A311" s="8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8" t="n"/>
      <c r="L311" s="9" t="n"/>
      <c r="M311" s="8" t="n"/>
      <c r="N311" s="8" t="n"/>
      <c r="O311" s="8" t="n"/>
      <c r="P311" s="8" t="n"/>
      <c r="Q311" s="8" t="n"/>
      <c r="R311" s="9" t="n"/>
      <c r="S311" s="9" t="n"/>
      <c r="T311" s="10" t="n"/>
      <c r="U311" s="10" t="n"/>
      <c r="V311" s="9" t="n"/>
      <c r="W311" s="9" t="n"/>
      <c r="X311" s="9" t="n"/>
      <c r="Y311" s="9" t="n"/>
      <c r="Z311" s="11" t="n"/>
      <c r="AA311" s="11" t="n"/>
      <c r="AB311" s="11" t="n"/>
      <c r="AC311" s="11" t="n"/>
      <c r="AD311" s="11" t="n"/>
      <c r="AE311" s="11" t="n"/>
      <c r="AF311" s="9" t="n"/>
      <c r="AG311" s="9" t="n"/>
      <c r="AH311" s="9" t="n"/>
      <c r="AI311" s="9" t="n"/>
      <c r="AJ311" s="8" t="n"/>
      <c r="AK311" s="9" t="n"/>
      <c r="AL311" s="9" t="n"/>
      <c r="AM311" s="9" t="n"/>
      <c r="AN311" s="9" t="n"/>
      <c r="AO311" s="9" t="n"/>
      <c r="AP311" s="9" t="n"/>
      <c r="AQ311" s="9" t="n"/>
      <c r="AR311" s="9" t="n"/>
      <c r="AS311" s="9" t="n"/>
      <c r="AT311" s="8" t="n"/>
      <c r="AU311" s="8" t="n"/>
      <c r="AV311" s="9" t="n"/>
      <c r="AW311" s="8" t="n"/>
      <c r="AX311" s="9" t="n"/>
      <c r="AY311" s="9" t="n"/>
      <c r="AZ311" s="9" t="n"/>
      <c r="BA311" s="9" t="n"/>
      <c r="BB311" s="9" t="n"/>
      <c r="BC311" s="9" t="n"/>
      <c r="BD311" s="9" t="n"/>
      <c r="BE311" s="9" t="n"/>
      <c r="BF311" s="9" t="n"/>
      <c r="BG311" s="9" t="n"/>
      <c r="BH311" s="9" t="n"/>
      <c r="BI311" s="9" t="n"/>
      <c r="BJ311" s="9" t="n"/>
      <c r="BK311" s="9" t="n"/>
      <c r="BL311" s="9" t="n"/>
      <c r="BM311" s="9" t="n"/>
      <c r="BN311" s="9" t="n"/>
      <c r="BO311" s="8" t="n"/>
      <c r="BP311" s="9" t="n"/>
      <c r="BQ311" s="9" t="n"/>
      <c r="BR311" s="12">
        <f>IF(AND(AI311="Y",AK311="Y",AL311="Y",AM311="Y",AY311="Y",AZ311="Y",BA311="Y",BB311="Y",BC311="Y",BE311&lt;&gt;"Y",AX311&lt;&gt;"Y",BL311&lt;&gt;"Y",IF(AS311="Y",AV311="Y",TRUE)),"Y","N")</f>
        <v/>
      </c>
      <c r="BS311" s="12">
        <f>IF(AND(BR311="Y",OR(AND(BJ311="Y",BM311="Y"),AND(BK311="Y",BN311="Y"),AND(BJ311&lt;&gt;"Y",BK311&lt;&gt;"Y",OR(BM311="Y",BN311="Y")))),"Y","N")</f>
        <v/>
      </c>
      <c r="BT311" s="10" t="n"/>
      <c r="BU311" s="13" t="n"/>
      <c r="BV311" s="13" t="n"/>
      <c r="BW311" s="13" t="n"/>
      <c r="BX311" s="13" t="n"/>
      <c r="BY311" s="13" t="n"/>
      <c r="BZ311" s="13" t="n"/>
      <c r="CA311" s="14" t="n"/>
      <c r="CB311" s="13" t="n"/>
      <c r="CC311" s="9" t="n"/>
      <c r="CD311" s="9" t="n"/>
      <c r="CE311" s="9" t="n"/>
      <c r="CF311" s="9" t="n"/>
      <c r="CG311" s="9" t="n"/>
      <c r="CH311" s="9" t="n"/>
    </row>
    <row r="312">
      <c r="A312" s="8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8" t="n"/>
      <c r="L312" s="9" t="n"/>
      <c r="M312" s="8" t="n"/>
      <c r="N312" s="8" t="n"/>
      <c r="O312" s="8" t="n"/>
      <c r="P312" s="8" t="n"/>
      <c r="Q312" s="8" t="n"/>
      <c r="R312" s="9" t="n"/>
      <c r="S312" s="9" t="n"/>
      <c r="T312" s="10" t="n"/>
      <c r="U312" s="10" t="n"/>
      <c r="V312" s="9" t="n"/>
      <c r="W312" s="9" t="n"/>
      <c r="X312" s="9" t="n"/>
      <c r="Y312" s="9" t="n"/>
      <c r="Z312" s="11" t="n"/>
      <c r="AA312" s="11" t="n"/>
      <c r="AB312" s="11" t="n"/>
      <c r="AC312" s="11" t="n"/>
      <c r="AD312" s="11" t="n"/>
      <c r="AE312" s="11" t="n"/>
      <c r="AF312" s="9" t="n"/>
      <c r="AG312" s="9" t="n"/>
      <c r="AH312" s="9" t="n"/>
      <c r="AI312" s="9" t="n"/>
      <c r="AJ312" s="8" t="n"/>
      <c r="AK312" s="9" t="n"/>
      <c r="AL312" s="9" t="n"/>
      <c r="AM312" s="9" t="n"/>
      <c r="AN312" s="9" t="n"/>
      <c r="AO312" s="9" t="n"/>
      <c r="AP312" s="9" t="n"/>
      <c r="AQ312" s="9" t="n"/>
      <c r="AR312" s="9" t="n"/>
      <c r="AS312" s="9" t="n"/>
      <c r="AT312" s="8" t="n"/>
      <c r="AU312" s="8" t="n"/>
      <c r="AV312" s="9" t="n"/>
      <c r="AW312" s="8" t="n"/>
      <c r="AX312" s="9" t="n"/>
      <c r="AY312" s="9" t="n"/>
      <c r="AZ312" s="9" t="n"/>
      <c r="BA312" s="9" t="n"/>
      <c r="BB312" s="9" t="n"/>
      <c r="BC312" s="9" t="n"/>
      <c r="BD312" s="9" t="n"/>
      <c r="BE312" s="9" t="n"/>
      <c r="BF312" s="9" t="n"/>
      <c r="BG312" s="9" t="n"/>
      <c r="BH312" s="9" t="n"/>
      <c r="BI312" s="9" t="n"/>
      <c r="BJ312" s="9" t="n"/>
      <c r="BK312" s="9" t="n"/>
      <c r="BL312" s="9" t="n"/>
      <c r="BM312" s="9" t="n"/>
      <c r="BN312" s="9" t="n"/>
      <c r="BO312" s="8" t="n"/>
      <c r="BP312" s="9" t="n"/>
      <c r="BQ312" s="9" t="n"/>
      <c r="BR312" s="12">
        <f>IF(AND(AI312="Y",AK312="Y",AL312="Y",AM312="Y",AY312="Y",AZ312="Y",BA312="Y",BB312="Y",BC312="Y",BE312&lt;&gt;"Y",AX312&lt;&gt;"Y",BL312&lt;&gt;"Y",IF(AS312="Y",AV312="Y",TRUE)),"Y","N")</f>
        <v/>
      </c>
      <c r="BS312" s="12">
        <f>IF(AND(BR312="Y",OR(AND(BJ312="Y",BM312="Y"),AND(BK312="Y",BN312="Y"),AND(BJ312&lt;&gt;"Y",BK312&lt;&gt;"Y",OR(BM312="Y",BN312="Y")))),"Y","N")</f>
        <v/>
      </c>
      <c r="BT312" s="10" t="n"/>
      <c r="BU312" s="13" t="n"/>
      <c r="BV312" s="13" t="n"/>
      <c r="BW312" s="13" t="n"/>
      <c r="BX312" s="13" t="n"/>
      <c r="BY312" s="13" t="n"/>
      <c r="BZ312" s="13" t="n"/>
      <c r="CA312" s="14" t="n"/>
      <c r="CB312" s="13" t="n"/>
      <c r="CC312" s="9" t="n"/>
      <c r="CD312" s="9" t="n"/>
      <c r="CE312" s="9" t="n"/>
      <c r="CF312" s="9" t="n"/>
      <c r="CG312" s="9" t="n"/>
      <c r="CH312" s="9" t="n"/>
    </row>
    <row r="313">
      <c r="A313" s="8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8" t="n"/>
      <c r="L313" s="9" t="n"/>
      <c r="M313" s="8" t="n"/>
      <c r="N313" s="8" t="n"/>
      <c r="O313" s="8" t="n"/>
      <c r="P313" s="8" t="n"/>
      <c r="Q313" s="8" t="n"/>
      <c r="R313" s="9" t="n"/>
      <c r="S313" s="9" t="n"/>
      <c r="T313" s="10" t="n"/>
      <c r="U313" s="10" t="n"/>
      <c r="V313" s="9" t="n"/>
      <c r="W313" s="9" t="n"/>
      <c r="X313" s="9" t="n"/>
      <c r="Y313" s="9" t="n"/>
      <c r="Z313" s="11" t="n"/>
      <c r="AA313" s="11" t="n"/>
      <c r="AB313" s="11" t="n"/>
      <c r="AC313" s="11" t="n"/>
      <c r="AD313" s="11" t="n"/>
      <c r="AE313" s="11" t="n"/>
      <c r="AF313" s="9" t="n"/>
      <c r="AG313" s="9" t="n"/>
      <c r="AH313" s="9" t="n"/>
      <c r="AI313" s="9" t="n"/>
      <c r="AJ313" s="8" t="n"/>
      <c r="AK313" s="9" t="n"/>
      <c r="AL313" s="9" t="n"/>
      <c r="AM313" s="9" t="n"/>
      <c r="AN313" s="9" t="n"/>
      <c r="AO313" s="9" t="n"/>
      <c r="AP313" s="9" t="n"/>
      <c r="AQ313" s="9" t="n"/>
      <c r="AR313" s="9" t="n"/>
      <c r="AS313" s="9" t="n"/>
      <c r="AT313" s="8" t="n"/>
      <c r="AU313" s="8" t="n"/>
      <c r="AV313" s="9" t="n"/>
      <c r="AW313" s="8" t="n"/>
      <c r="AX313" s="9" t="n"/>
      <c r="AY313" s="9" t="n"/>
      <c r="AZ313" s="9" t="n"/>
      <c r="BA313" s="9" t="n"/>
      <c r="BB313" s="9" t="n"/>
      <c r="BC313" s="9" t="n"/>
      <c r="BD313" s="9" t="n"/>
      <c r="BE313" s="9" t="n"/>
      <c r="BF313" s="9" t="n"/>
      <c r="BG313" s="9" t="n"/>
      <c r="BH313" s="9" t="n"/>
      <c r="BI313" s="9" t="n"/>
      <c r="BJ313" s="9" t="n"/>
      <c r="BK313" s="9" t="n"/>
      <c r="BL313" s="9" t="n"/>
      <c r="BM313" s="9" t="n"/>
      <c r="BN313" s="9" t="n"/>
      <c r="BO313" s="8" t="n"/>
      <c r="BP313" s="9" t="n"/>
      <c r="BQ313" s="9" t="n"/>
      <c r="BR313" s="12">
        <f>IF(AND(AI313="Y",AK313="Y",AL313="Y",AM313="Y",AY313="Y",AZ313="Y",BA313="Y",BB313="Y",BC313="Y",BE313&lt;&gt;"Y",AX313&lt;&gt;"Y",BL313&lt;&gt;"Y",IF(AS313="Y",AV313="Y",TRUE)),"Y","N")</f>
        <v/>
      </c>
      <c r="BS313" s="12">
        <f>IF(AND(BR313="Y",OR(AND(BJ313="Y",BM313="Y"),AND(BK313="Y",BN313="Y"),AND(BJ313&lt;&gt;"Y",BK313&lt;&gt;"Y",OR(BM313="Y",BN313="Y")))),"Y","N")</f>
        <v/>
      </c>
      <c r="BT313" s="10" t="n"/>
      <c r="BU313" s="13" t="n"/>
      <c r="BV313" s="13" t="n"/>
      <c r="BW313" s="13" t="n"/>
      <c r="BX313" s="13" t="n"/>
      <c r="BY313" s="13" t="n"/>
      <c r="BZ313" s="13" t="n"/>
      <c r="CA313" s="14" t="n"/>
      <c r="CB313" s="13" t="n"/>
      <c r="CC313" s="9" t="n"/>
      <c r="CD313" s="9" t="n"/>
      <c r="CE313" s="9" t="n"/>
      <c r="CF313" s="9" t="n"/>
      <c r="CG313" s="9" t="n"/>
      <c r="CH313" s="9" t="n"/>
    </row>
    <row r="314">
      <c r="A314" s="8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8" t="n"/>
      <c r="L314" s="9" t="n"/>
      <c r="M314" s="8" t="n"/>
      <c r="N314" s="8" t="n"/>
      <c r="O314" s="8" t="n"/>
      <c r="P314" s="8" t="n"/>
      <c r="Q314" s="8" t="n"/>
      <c r="R314" s="9" t="n"/>
      <c r="S314" s="9" t="n"/>
      <c r="T314" s="10" t="n"/>
      <c r="U314" s="10" t="n"/>
      <c r="V314" s="9" t="n"/>
      <c r="W314" s="9" t="n"/>
      <c r="X314" s="9" t="n"/>
      <c r="Y314" s="9" t="n"/>
      <c r="Z314" s="11" t="n"/>
      <c r="AA314" s="11" t="n"/>
      <c r="AB314" s="11" t="n"/>
      <c r="AC314" s="11" t="n"/>
      <c r="AD314" s="11" t="n"/>
      <c r="AE314" s="11" t="n"/>
      <c r="AF314" s="9" t="n"/>
      <c r="AG314" s="9" t="n"/>
      <c r="AH314" s="9" t="n"/>
      <c r="AI314" s="9" t="n"/>
      <c r="AJ314" s="8" t="n"/>
      <c r="AK314" s="9" t="n"/>
      <c r="AL314" s="9" t="n"/>
      <c r="AM314" s="9" t="n"/>
      <c r="AN314" s="9" t="n"/>
      <c r="AO314" s="9" t="n"/>
      <c r="AP314" s="9" t="n"/>
      <c r="AQ314" s="9" t="n"/>
      <c r="AR314" s="9" t="n"/>
      <c r="AS314" s="9" t="n"/>
      <c r="AT314" s="8" t="n"/>
      <c r="AU314" s="8" t="n"/>
      <c r="AV314" s="9" t="n"/>
      <c r="AW314" s="8" t="n"/>
      <c r="AX314" s="9" t="n"/>
      <c r="AY314" s="9" t="n"/>
      <c r="AZ314" s="9" t="n"/>
      <c r="BA314" s="9" t="n"/>
      <c r="BB314" s="9" t="n"/>
      <c r="BC314" s="9" t="n"/>
      <c r="BD314" s="9" t="n"/>
      <c r="BE314" s="9" t="n"/>
      <c r="BF314" s="9" t="n"/>
      <c r="BG314" s="9" t="n"/>
      <c r="BH314" s="9" t="n"/>
      <c r="BI314" s="9" t="n"/>
      <c r="BJ314" s="9" t="n"/>
      <c r="BK314" s="9" t="n"/>
      <c r="BL314" s="9" t="n"/>
      <c r="BM314" s="9" t="n"/>
      <c r="BN314" s="9" t="n"/>
      <c r="BO314" s="8" t="n"/>
      <c r="BP314" s="9" t="n"/>
      <c r="BQ314" s="9" t="n"/>
      <c r="BR314" s="12">
        <f>IF(AND(AI314="Y",AK314="Y",AL314="Y",AM314="Y",AY314="Y",AZ314="Y",BA314="Y",BB314="Y",BC314="Y",BE314&lt;&gt;"Y",AX314&lt;&gt;"Y",BL314&lt;&gt;"Y",IF(AS314="Y",AV314="Y",TRUE)),"Y","N")</f>
        <v/>
      </c>
      <c r="BS314" s="12">
        <f>IF(AND(BR314="Y",OR(AND(BJ314="Y",BM314="Y"),AND(BK314="Y",BN314="Y"),AND(BJ314&lt;&gt;"Y",BK314&lt;&gt;"Y",OR(BM314="Y",BN314="Y")))),"Y","N")</f>
        <v/>
      </c>
      <c r="BT314" s="10" t="n"/>
      <c r="BU314" s="13" t="n"/>
      <c r="BV314" s="13" t="n"/>
      <c r="BW314" s="13" t="n"/>
      <c r="BX314" s="13" t="n"/>
      <c r="BY314" s="13" t="n"/>
      <c r="BZ314" s="13" t="n"/>
      <c r="CA314" s="14" t="n"/>
      <c r="CB314" s="13" t="n"/>
      <c r="CC314" s="9" t="n"/>
      <c r="CD314" s="9" t="n"/>
      <c r="CE314" s="9" t="n"/>
      <c r="CF314" s="9" t="n"/>
      <c r="CG314" s="9" t="n"/>
      <c r="CH314" s="9" t="n"/>
    </row>
    <row r="315">
      <c r="A315" s="8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8" t="n"/>
      <c r="L315" s="9" t="n"/>
      <c r="M315" s="8" t="n"/>
      <c r="N315" s="8" t="n"/>
      <c r="O315" s="8" t="n"/>
      <c r="P315" s="8" t="n"/>
      <c r="Q315" s="8" t="n"/>
      <c r="R315" s="9" t="n"/>
      <c r="S315" s="9" t="n"/>
      <c r="T315" s="10" t="n"/>
      <c r="U315" s="10" t="n"/>
      <c r="V315" s="9" t="n"/>
      <c r="W315" s="9" t="n"/>
      <c r="X315" s="9" t="n"/>
      <c r="Y315" s="9" t="n"/>
      <c r="Z315" s="11" t="n"/>
      <c r="AA315" s="11" t="n"/>
      <c r="AB315" s="11" t="n"/>
      <c r="AC315" s="11" t="n"/>
      <c r="AD315" s="11" t="n"/>
      <c r="AE315" s="11" t="n"/>
      <c r="AF315" s="9" t="n"/>
      <c r="AG315" s="9" t="n"/>
      <c r="AH315" s="9" t="n"/>
      <c r="AI315" s="9" t="n"/>
      <c r="AJ315" s="8" t="n"/>
      <c r="AK315" s="9" t="n"/>
      <c r="AL315" s="9" t="n"/>
      <c r="AM315" s="9" t="n"/>
      <c r="AN315" s="9" t="n"/>
      <c r="AO315" s="9" t="n"/>
      <c r="AP315" s="9" t="n"/>
      <c r="AQ315" s="9" t="n"/>
      <c r="AR315" s="9" t="n"/>
      <c r="AS315" s="9" t="n"/>
      <c r="AT315" s="8" t="n"/>
      <c r="AU315" s="8" t="n"/>
      <c r="AV315" s="9" t="n"/>
      <c r="AW315" s="8" t="n"/>
      <c r="AX315" s="9" t="n"/>
      <c r="AY315" s="9" t="n"/>
      <c r="AZ315" s="9" t="n"/>
      <c r="BA315" s="9" t="n"/>
      <c r="BB315" s="9" t="n"/>
      <c r="BC315" s="9" t="n"/>
      <c r="BD315" s="9" t="n"/>
      <c r="BE315" s="9" t="n"/>
      <c r="BF315" s="9" t="n"/>
      <c r="BG315" s="9" t="n"/>
      <c r="BH315" s="9" t="n"/>
      <c r="BI315" s="9" t="n"/>
      <c r="BJ315" s="9" t="n"/>
      <c r="BK315" s="9" t="n"/>
      <c r="BL315" s="9" t="n"/>
      <c r="BM315" s="9" t="n"/>
      <c r="BN315" s="9" t="n"/>
      <c r="BO315" s="8" t="n"/>
      <c r="BP315" s="9" t="n"/>
      <c r="BQ315" s="9" t="n"/>
      <c r="BR315" s="12">
        <f>IF(AND(AI315="Y",AK315="Y",AL315="Y",AM315="Y",AY315="Y",AZ315="Y",BA315="Y",BB315="Y",BC315="Y",BE315&lt;&gt;"Y",AX315&lt;&gt;"Y",BL315&lt;&gt;"Y",IF(AS315="Y",AV315="Y",TRUE)),"Y","N")</f>
        <v/>
      </c>
      <c r="BS315" s="12">
        <f>IF(AND(BR315="Y",OR(AND(BJ315="Y",BM315="Y"),AND(BK315="Y",BN315="Y"),AND(BJ315&lt;&gt;"Y",BK315&lt;&gt;"Y",OR(BM315="Y",BN315="Y")))),"Y","N")</f>
        <v/>
      </c>
      <c r="BT315" s="10" t="n"/>
      <c r="BU315" s="13" t="n"/>
      <c r="BV315" s="13" t="n"/>
      <c r="BW315" s="13" t="n"/>
      <c r="BX315" s="13" t="n"/>
      <c r="BY315" s="13" t="n"/>
      <c r="BZ315" s="13" t="n"/>
      <c r="CA315" s="14" t="n"/>
      <c r="CB315" s="13" t="n"/>
      <c r="CC315" s="9" t="n"/>
      <c r="CD315" s="9" t="n"/>
      <c r="CE315" s="9" t="n"/>
      <c r="CF315" s="9" t="n"/>
      <c r="CG315" s="9" t="n"/>
      <c r="CH315" s="9" t="n"/>
    </row>
    <row r="316">
      <c r="A316" s="8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8" t="n"/>
      <c r="L316" s="9" t="n"/>
      <c r="M316" s="8" t="n"/>
      <c r="N316" s="8" t="n"/>
      <c r="O316" s="8" t="n"/>
      <c r="P316" s="8" t="n"/>
      <c r="Q316" s="8" t="n"/>
      <c r="R316" s="9" t="n"/>
      <c r="S316" s="9" t="n"/>
      <c r="T316" s="10" t="n"/>
      <c r="U316" s="10" t="n"/>
      <c r="V316" s="9" t="n"/>
      <c r="W316" s="9" t="n"/>
      <c r="X316" s="9" t="n"/>
      <c r="Y316" s="9" t="n"/>
      <c r="Z316" s="11" t="n"/>
      <c r="AA316" s="11" t="n"/>
      <c r="AB316" s="11" t="n"/>
      <c r="AC316" s="11" t="n"/>
      <c r="AD316" s="11" t="n"/>
      <c r="AE316" s="11" t="n"/>
      <c r="AF316" s="9" t="n"/>
      <c r="AG316" s="9" t="n"/>
      <c r="AH316" s="9" t="n"/>
      <c r="AI316" s="9" t="n"/>
      <c r="AJ316" s="8" t="n"/>
      <c r="AK316" s="9" t="n"/>
      <c r="AL316" s="9" t="n"/>
      <c r="AM316" s="9" t="n"/>
      <c r="AN316" s="9" t="n"/>
      <c r="AO316" s="9" t="n"/>
      <c r="AP316" s="9" t="n"/>
      <c r="AQ316" s="9" t="n"/>
      <c r="AR316" s="9" t="n"/>
      <c r="AS316" s="9" t="n"/>
      <c r="AT316" s="8" t="n"/>
      <c r="AU316" s="8" t="n"/>
      <c r="AV316" s="9" t="n"/>
      <c r="AW316" s="8" t="n"/>
      <c r="AX316" s="9" t="n"/>
      <c r="AY316" s="9" t="n"/>
      <c r="AZ316" s="9" t="n"/>
      <c r="BA316" s="9" t="n"/>
      <c r="BB316" s="9" t="n"/>
      <c r="BC316" s="9" t="n"/>
      <c r="BD316" s="9" t="n"/>
      <c r="BE316" s="9" t="n"/>
      <c r="BF316" s="9" t="n"/>
      <c r="BG316" s="9" t="n"/>
      <c r="BH316" s="9" t="n"/>
      <c r="BI316" s="9" t="n"/>
      <c r="BJ316" s="9" t="n"/>
      <c r="BK316" s="9" t="n"/>
      <c r="BL316" s="9" t="n"/>
      <c r="BM316" s="9" t="n"/>
      <c r="BN316" s="9" t="n"/>
      <c r="BO316" s="8" t="n"/>
      <c r="BP316" s="9" t="n"/>
      <c r="BQ316" s="9" t="n"/>
      <c r="BR316" s="12">
        <f>IF(AND(AI316="Y",AK316="Y",AL316="Y",AM316="Y",AY316="Y",AZ316="Y",BA316="Y",BB316="Y",BC316="Y",BE316&lt;&gt;"Y",AX316&lt;&gt;"Y",BL316&lt;&gt;"Y",IF(AS316="Y",AV316="Y",TRUE)),"Y","N")</f>
        <v/>
      </c>
      <c r="BS316" s="12">
        <f>IF(AND(BR316="Y",OR(AND(BJ316="Y",BM316="Y"),AND(BK316="Y",BN316="Y"),AND(BJ316&lt;&gt;"Y",BK316&lt;&gt;"Y",OR(BM316="Y",BN316="Y")))),"Y","N")</f>
        <v/>
      </c>
      <c r="BT316" s="10" t="n"/>
      <c r="BU316" s="13" t="n"/>
      <c r="BV316" s="13" t="n"/>
      <c r="BW316" s="13" t="n"/>
      <c r="BX316" s="13" t="n"/>
      <c r="BY316" s="13" t="n"/>
      <c r="BZ316" s="13" t="n"/>
      <c r="CA316" s="14" t="n"/>
      <c r="CB316" s="13" t="n"/>
      <c r="CC316" s="9" t="n"/>
      <c r="CD316" s="9" t="n"/>
      <c r="CE316" s="9" t="n"/>
      <c r="CF316" s="9" t="n"/>
      <c r="CG316" s="9" t="n"/>
      <c r="CH316" s="9" t="n"/>
    </row>
    <row r="317">
      <c r="A317" s="8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8" t="n"/>
      <c r="L317" s="9" t="n"/>
      <c r="M317" s="8" t="n"/>
      <c r="N317" s="8" t="n"/>
      <c r="O317" s="8" t="n"/>
      <c r="P317" s="8" t="n"/>
      <c r="Q317" s="8" t="n"/>
      <c r="R317" s="9" t="n"/>
      <c r="S317" s="9" t="n"/>
      <c r="T317" s="10" t="n"/>
      <c r="U317" s="10" t="n"/>
      <c r="V317" s="9" t="n"/>
      <c r="W317" s="9" t="n"/>
      <c r="X317" s="9" t="n"/>
      <c r="Y317" s="9" t="n"/>
      <c r="Z317" s="11" t="n"/>
      <c r="AA317" s="11" t="n"/>
      <c r="AB317" s="11" t="n"/>
      <c r="AC317" s="11" t="n"/>
      <c r="AD317" s="11" t="n"/>
      <c r="AE317" s="11" t="n"/>
      <c r="AF317" s="9" t="n"/>
      <c r="AG317" s="9" t="n"/>
      <c r="AH317" s="9" t="n"/>
      <c r="AI317" s="9" t="n"/>
      <c r="AJ317" s="8" t="n"/>
      <c r="AK317" s="9" t="n"/>
      <c r="AL317" s="9" t="n"/>
      <c r="AM317" s="9" t="n"/>
      <c r="AN317" s="9" t="n"/>
      <c r="AO317" s="9" t="n"/>
      <c r="AP317" s="9" t="n"/>
      <c r="AQ317" s="9" t="n"/>
      <c r="AR317" s="9" t="n"/>
      <c r="AS317" s="9" t="n"/>
      <c r="AT317" s="8" t="n"/>
      <c r="AU317" s="8" t="n"/>
      <c r="AV317" s="9" t="n"/>
      <c r="AW317" s="8" t="n"/>
      <c r="AX317" s="9" t="n"/>
      <c r="AY317" s="9" t="n"/>
      <c r="AZ317" s="9" t="n"/>
      <c r="BA317" s="9" t="n"/>
      <c r="BB317" s="9" t="n"/>
      <c r="BC317" s="9" t="n"/>
      <c r="BD317" s="9" t="n"/>
      <c r="BE317" s="9" t="n"/>
      <c r="BF317" s="9" t="n"/>
      <c r="BG317" s="9" t="n"/>
      <c r="BH317" s="9" t="n"/>
      <c r="BI317" s="9" t="n"/>
      <c r="BJ317" s="9" t="n"/>
      <c r="BK317" s="9" t="n"/>
      <c r="BL317" s="9" t="n"/>
      <c r="BM317" s="9" t="n"/>
      <c r="BN317" s="9" t="n"/>
      <c r="BO317" s="8" t="n"/>
      <c r="BP317" s="9" t="n"/>
      <c r="BQ317" s="9" t="n"/>
      <c r="BR317" s="12">
        <f>IF(AND(AI317="Y",AK317="Y",AL317="Y",AM317="Y",AY317="Y",AZ317="Y",BA317="Y",BB317="Y",BC317="Y",BE317&lt;&gt;"Y",AX317&lt;&gt;"Y",BL317&lt;&gt;"Y",IF(AS317="Y",AV317="Y",TRUE)),"Y","N")</f>
        <v/>
      </c>
      <c r="BS317" s="12">
        <f>IF(AND(BR317="Y",OR(AND(BJ317="Y",BM317="Y"),AND(BK317="Y",BN317="Y"),AND(BJ317&lt;&gt;"Y",BK317&lt;&gt;"Y",OR(BM317="Y",BN317="Y")))),"Y","N")</f>
        <v/>
      </c>
      <c r="BT317" s="10" t="n"/>
      <c r="BU317" s="13" t="n"/>
      <c r="BV317" s="13" t="n"/>
      <c r="BW317" s="13" t="n"/>
      <c r="BX317" s="13" t="n"/>
      <c r="BY317" s="13" t="n"/>
      <c r="BZ317" s="13" t="n"/>
      <c r="CA317" s="14" t="n"/>
      <c r="CB317" s="13" t="n"/>
      <c r="CC317" s="9" t="n"/>
      <c r="CD317" s="9" t="n"/>
      <c r="CE317" s="9" t="n"/>
      <c r="CF317" s="9" t="n"/>
      <c r="CG317" s="9" t="n"/>
      <c r="CH317" s="9" t="n"/>
    </row>
    <row r="318">
      <c r="A318" s="8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8" t="n"/>
      <c r="L318" s="9" t="n"/>
      <c r="M318" s="8" t="n"/>
      <c r="N318" s="8" t="n"/>
      <c r="O318" s="8" t="n"/>
      <c r="P318" s="8" t="n"/>
      <c r="Q318" s="8" t="n"/>
      <c r="R318" s="9" t="n"/>
      <c r="S318" s="9" t="n"/>
      <c r="T318" s="10" t="n"/>
      <c r="U318" s="10" t="n"/>
      <c r="V318" s="9" t="n"/>
      <c r="W318" s="9" t="n"/>
      <c r="X318" s="9" t="n"/>
      <c r="Y318" s="9" t="n"/>
      <c r="Z318" s="11" t="n"/>
      <c r="AA318" s="11" t="n"/>
      <c r="AB318" s="11" t="n"/>
      <c r="AC318" s="11" t="n"/>
      <c r="AD318" s="11" t="n"/>
      <c r="AE318" s="11" t="n"/>
      <c r="AF318" s="9" t="n"/>
      <c r="AG318" s="9" t="n"/>
      <c r="AH318" s="9" t="n"/>
      <c r="AI318" s="9" t="n"/>
      <c r="AJ318" s="8" t="n"/>
      <c r="AK318" s="9" t="n"/>
      <c r="AL318" s="9" t="n"/>
      <c r="AM318" s="9" t="n"/>
      <c r="AN318" s="9" t="n"/>
      <c r="AO318" s="9" t="n"/>
      <c r="AP318" s="9" t="n"/>
      <c r="AQ318" s="9" t="n"/>
      <c r="AR318" s="9" t="n"/>
      <c r="AS318" s="9" t="n"/>
      <c r="AT318" s="8" t="n"/>
      <c r="AU318" s="8" t="n"/>
      <c r="AV318" s="9" t="n"/>
      <c r="AW318" s="8" t="n"/>
      <c r="AX318" s="9" t="n"/>
      <c r="AY318" s="9" t="n"/>
      <c r="AZ318" s="9" t="n"/>
      <c r="BA318" s="9" t="n"/>
      <c r="BB318" s="9" t="n"/>
      <c r="BC318" s="9" t="n"/>
      <c r="BD318" s="9" t="n"/>
      <c r="BE318" s="9" t="n"/>
      <c r="BF318" s="9" t="n"/>
      <c r="BG318" s="9" t="n"/>
      <c r="BH318" s="9" t="n"/>
      <c r="BI318" s="9" t="n"/>
      <c r="BJ318" s="9" t="n"/>
      <c r="BK318" s="9" t="n"/>
      <c r="BL318" s="9" t="n"/>
      <c r="BM318" s="9" t="n"/>
      <c r="BN318" s="9" t="n"/>
      <c r="BO318" s="8" t="n"/>
      <c r="BP318" s="9" t="n"/>
      <c r="BQ318" s="9" t="n"/>
      <c r="BR318" s="12">
        <f>IF(AND(AI318="Y",AK318="Y",AL318="Y",AM318="Y",AY318="Y",AZ318="Y",BA318="Y",BB318="Y",BC318="Y",BE318&lt;&gt;"Y",AX318&lt;&gt;"Y",BL318&lt;&gt;"Y",IF(AS318="Y",AV318="Y",TRUE)),"Y","N")</f>
        <v/>
      </c>
      <c r="BS318" s="12">
        <f>IF(AND(BR318="Y",OR(AND(BJ318="Y",BM318="Y"),AND(BK318="Y",BN318="Y"),AND(BJ318&lt;&gt;"Y",BK318&lt;&gt;"Y",OR(BM318="Y",BN318="Y")))),"Y","N")</f>
        <v/>
      </c>
      <c r="BT318" s="10" t="n"/>
      <c r="BU318" s="13" t="n"/>
      <c r="BV318" s="13" t="n"/>
      <c r="BW318" s="13" t="n"/>
      <c r="BX318" s="13" t="n"/>
      <c r="BY318" s="13" t="n"/>
      <c r="BZ318" s="13" t="n"/>
      <c r="CA318" s="14" t="n"/>
      <c r="CB318" s="13" t="n"/>
      <c r="CC318" s="9" t="n"/>
      <c r="CD318" s="9" t="n"/>
      <c r="CE318" s="9" t="n"/>
      <c r="CF318" s="9" t="n"/>
      <c r="CG318" s="9" t="n"/>
      <c r="CH318" s="9" t="n"/>
    </row>
    <row r="319">
      <c r="A319" s="8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8" t="n"/>
      <c r="L319" s="9" t="n"/>
      <c r="M319" s="8" t="n"/>
      <c r="N319" s="8" t="n"/>
      <c r="O319" s="8" t="n"/>
      <c r="P319" s="8" t="n"/>
      <c r="Q319" s="8" t="n"/>
      <c r="R319" s="9" t="n"/>
      <c r="S319" s="9" t="n"/>
      <c r="T319" s="10" t="n"/>
      <c r="U319" s="10" t="n"/>
      <c r="V319" s="9" t="n"/>
      <c r="W319" s="9" t="n"/>
      <c r="X319" s="9" t="n"/>
      <c r="Y319" s="9" t="n"/>
      <c r="Z319" s="11" t="n"/>
      <c r="AA319" s="11" t="n"/>
      <c r="AB319" s="11" t="n"/>
      <c r="AC319" s="11" t="n"/>
      <c r="AD319" s="11" t="n"/>
      <c r="AE319" s="11" t="n"/>
      <c r="AF319" s="9" t="n"/>
      <c r="AG319" s="9" t="n"/>
      <c r="AH319" s="9" t="n"/>
      <c r="AI319" s="9" t="n"/>
      <c r="AJ319" s="8" t="n"/>
      <c r="AK319" s="9" t="n"/>
      <c r="AL319" s="9" t="n"/>
      <c r="AM319" s="9" t="n"/>
      <c r="AN319" s="9" t="n"/>
      <c r="AO319" s="9" t="n"/>
      <c r="AP319" s="9" t="n"/>
      <c r="AQ319" s="9" t="n"/>
      <c r="AR319" s="9" t="n"/>
      <c r="AS319" s="9" t="n"/>
      <c r="AT319" s="8" t="n"/>
      <c r="AU319" s="8" t="n"/>
      <c r="AV319" s="9" t="n"/>
      <c r="AW319" s="8" t="n"/>
      <c r="AX319" s="9" t="n"/>
      <c r="AY319" s="9" t="n"/>
      <c r="AZ319" s="9" t="n"/>
      <c r="BA319" s="9" t="n"/>
      <c r="BB319" s="9" t="n"/>
      <c r="BC319" s="9" t="n"/>
      <c r="BD319" s="9" t="n"/>
      <c r="BE319" s="9" t="n"/>
      <c r="BF319" s="9" t="n"/>
      <c r="BG319" s="9" t="n"/>
      <c r="BH319" s="9" t="n"/>
      <c r="BI319" s="9" t="n"/>
      <c r="BJ319" s="9" t="n"/>
      <c r="BK319" s="9" t="n"/>
      <c r="BL319" s="9" t="n"/>
      <c r="BM319" s="9" t="n"/>
      <c r="BN319" s="9" t="n"/>
      <c r="BO319" s="8" t="n"/>
      <c r="BP319" s="9" t="n"/>
      <c r="BQ319" s="9" t="n"/>
      <c r="BR319" s="12">
        <f>IF(AND(AI319="Y",AK319="Y",AL319="Y",AM319="Y",AY319="Y",AZ319="Y",BA319="Y",BB319="Y",BC319="Y",BE319&lt;&gt;"Y",AX319&lt;&gt;"Y",BL319&lt;&gt;"Y",IF(AS319="Y",AV319="Y",TRUE)),"Y","N")</f>
        <v/>
      </c>
      <c r="BS319" s="12">
        <f>IF(AND(BR319="Y",OR(AND(BJ319="Y",BM319="Y"),AND(BK319="Y",BN319="Y"),AND(BJ319&lt;&gt;"Y",BK319&lt;&gt;"Y",OR(BM319="Y",BN319="Y")))),"Y","N")</f>
        <v/>
      </c>
      <c r="BT319" s="10" t="n"/>
      <c r="BU319" s="13" t="n"/>
      <c r="BV319" s="13" t="n"/>
      <c r="BW319" s="13" t="n"/>
      <c r="BX319" s="13" t="n"/>
      <c r="BY319" s="13" t="n"/>
      <c r="BZ319" s="13" t="n"/>
      <c r="CA319" s="14" t="n"/>
      <c r="CB319" s="13" t="n"/>
      <c r="CC319" s="9" t="n"/>
      <c r="CD319" s="9" t="n"/>
      <c r="CE319" s="9" t="n"/>
      <c r="CF319" s="9" t="n"/>
      <c r="CG319" s="9" t="n"/>
      <c r="CH319" s="9" t="n"/>
    </row>
    <row r="320">
      <c r="A320" s="8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8" t="n"/>
      <c r="L320" s="9" t="n"/>
      <c r="M320" s="8" t="n"/>
      <c r="N320" s="8" t="n"/>
      <c r="O320" s="8" t="n"/>
      <c r="P320" s="8" t="n"/>
      <c r="Q320" s="8" t="n"/>
      <c r="R320" s="9" t="n"/>
      <c r="S320" s="9" t="n"/>
      <c r="T320" s="10" t="n"/>
      <c r="U320" s="10" t="n"/>
      <c r="V320" s="9" t="n"/>
      <c r="W320" s="9" t="n"/>
      <c r="X320" s="9" t="n"/>
      <c r="Y320" s="9" t="n"/>
      <c r="Z320" s="11" t="n"/>
      <c r="AA320" s="11" t="n"/>
      <c r="AB320" s="11" t="n"/>
      <c r="AC320" s="11" t="n"/>
      <c r="AD320" s="11" t="n"/>
      <c r="AE320" s="11" t="n"/>
      <c r="AF320" s="9" t="n"/>
      <c r="AG320" s="9" t="n"/>
      <c r="AH320" s="9" t="n"/>
      <c r="AI320" s="9" t="n"/>
      <c r="AJ320" s="8" t="n"/>
      <c r="AK320" s="9" t="n"/>
      <c r="AL320" s="9" t="n"/>
      <c r="AM320" s="9" t="n"/>
      <c r="AN320" s="9" t="n"/>
      <c r="AO320" s="9" t="n"/>
      <c r="AP320" s="9" t="n"/>
      <c r="AQ320" s="9" t="n"/>
      <c r="AR320" s="9" t="n"/>
      <c r="AS320" s="9" t="n"/>
      <c r="AT320" s="8" t="n"/>
      <c r="AU320" s="8" t="n"/>
      <c r="AV320" s="9" t="n"/>
      <c r="AW320" s="8" t="n"/>
      <c r="AX320" s="9" t="n"/>
      <c r="AY320" s="9" t="n"/>
      <c r="AZ320" s="9" t="n"/>
      <c r="BA320" s="9" t="n"/>
      <c r="BB320" s="9" t="n"/>
      <c r="BC320" s="9" t="n"/>
      <c r="BD320" s="9" t="n"/>
      <c r="BE320" s="9" t="n"/>
      <c r="BF320" s="9" t="n"/>
      <c r="BG320" s="9" t="n"/>
      <c r="BH320" s="9" t="n"/>
      <c r="BI320" s="9" t="n"/>
      <c r="BJ320" s="9" t="n"/>
      <c r="BK320" s="9" t="n"/>
      <c r="BL320" s="9" t="n"/>
      <c r="BM320" s="9" t="n"/>
      <c r="BN320" s="9" t="n"/>
      <c r="BO320" s="8" t="n"/>
      <c r="BP320" s="9" t="n"/>
      <c r="BQ320" s="9" t="n"/>
      <c r="BR320" s="12">
        <f>IF(AND(AI320="Y",AK320="Y",AL320="Y",AM320="Y",AY320="Y",AZ320="Y",BA320="Y",BB320="Y",BC320="Y",BE320&lt;&gt;"Y",AX320&lt;&gt;"Y",BL320&lt;&gt;"Y",IF(AS320="Y",AV320="Y",TRUE)),"Y","N")</f>
        <v/>
      </c>
      <c r="BS320" s="12">
        <f>IF(AND(BR320="Y",OR(AND(BJ320="Y",BM320="Y"),AND(BK320="Y",BN320="Y"),AND(BJ320&lt;&gt;"Y",BK320&lt;&gt;"Y",OR(BM320="Y",BN320="Y")))),"Y","N")</f>
        <v/>
      </c>
      <c r="BT320" s="10" t="n"/>
      <c r="BU320" s="13" t="n"/>
      <c r="BV320" s="13" t="n"/>
      <c r="BW320" s="13" t="n"/>
      <c r="BX320" s="13" t="n"/>
      <c r="BY320" s="13" t="n"/>
      <c r="BZ320" s="13" t="n"/>
      <c r="CA320" s="14" t="n"/>
      <c r="CB320" s="13" t="n"/>
      <c r="CC320" s="9" t="n"/>
      <c r="CD320" s="9" t="n"/>
      <c r="CE320" s="9" t="n"/>
      <c r="CF320" s="9" t="n"/>
      <c r="CG320" s="9" t="n"/>
      <c r="CH320" s="9" t="n"/>
    </row>
    <row r="321">
      <c r="A321" s="8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8" t="n"/>
      <c r="L321" s="9" t="n"/>
      <c r="M321" s="8" t="n"/>
      <c r="N321" s="8" t="n"/>
      <c r="O321" s="8" t="n"/>
      <c r="P321" s="8" t="n"/>
      <c r="Q321" s="8" t="n"/>
      <c r="R321" s="9" t="n"/>
      <c r="S321" s="9" t="n"/>
      <c r="T321" s="10" t="n"/>
      <c r="U321" s="10" t="n"/>
      <c r="V321" s="9" t="n"/>
      <c r="W321" s="9" t="n"/>
      <c r="X321" s="9" t="n"/>
      <c r="Y321" s="9" t="n"/>
      <c r="Z321" s="11" t="n"/>
      <c r="AA321" s="11" t="n"/>
      <c r="AB321" s="11" t="n"/>
      <c r="AC321" s="11" t="n"/>
      <c r="AD321" s="11" t="n"/>
      <c r="AE321" s="11" t="n"/>
      <c r="AF321" s="9" t="n"/>
      <c r="AG321" s="9" t="n"/>
      <c r="AH321" s="9" t="n"/>
      <c r="AI321" s="9" t="n"/>
      <c r="AJ321" s="8" t="n"/>
      <c r="AK321" s="9" t="n"/>
      <c r="AL321" s="9" t="n"/>
      <c r="AM321" s="9" t="n"/>
      <c r="AN321" s="9" t="n"/>
      <c r="AO321" s="9" t="n"/>
      <c r="AP321" s="9" t="n"/>
      <c r="AQ321" s="9" t="n"/>
      <c r="AR321" s="9" t="n"/>
      <c r="AS321" s="9" t="n"/>
      <c r="AT321" s="8" t="n"/>
      <c r="AU321" s="8" t="n"/>
      <c r="AV321" s="9" t="n"/>
      <c r="AW321" s="8" t="n"/>
      <c r="AX321" s="9" t="n"/>
      <c r="AY321" s="9" t="n"/>
      <c r="AZ321" s="9" t="n"/>
      <c r="BA321" s="9" t="n"/>
      <c r="BB321" s="9" t="n"/>
      <c r="BC321" s="9" t="n"/>
      <c r="BD321" s="9" t="n"/>
      <c r="BE321" s="9" t="n"/>
      <c r="BF321" s="9" t="n"/>
      <c r="BG321" s="9" t="n"/>
      <c r="BH321" s="9" t="n"/>
      <c r="BI321" s="9" t="n"/>
      <c r="BJ321" s="9" t="n"/>
      <c r="BK321" s="9" t="n"/>
      <c r="BL321" s="9" t="n"/>
      <c r="BM321" s="9" t="n"/>
      <c r="BN321" s="9" t="n"/>
      <c r="BO321" s="8" t="n"/>
      <c r="BP321" s="9" t="n"/>
      <c r="BQ321" s="9" t="n"/>
      <c r="BR321" s="12">
        <f>IF(AND(AI321="Y",AK321="Y",AL321="Y",AM321="Y",AY321="Y",AZ321="Y",BA321="Y",BB321="Y",BC321="Y",BE321&lt;&gt;"Y",AX321&lt;&gt;"Y",BL321&lt;&gt;"Y",IF(AS321="Y",AV321="Y",TRUE)),"Y","N")</f>
        <v/>
      </c>
      <c r="BS321" s="12">
        <f>IF(AND(BR321="Y",OR(AND(BJ321="Y",BM321="Y"),AND(BK321="Y",BN321="Y"),AND(BJ321&lt;&gt;"Y",BK321&lt;&gt;"Y",OR(BM321="Y",BN321="Y")))),"Y","N")</f>
        <v/>
      </c>
      <c r="BT321" s="10" t="n"/>
      <c r="BU321" s="13" t="n"/>
      <c r="BV321" s="13" t="n"/>
      <c r="BW321" s="13" t="n"/>
      <c r="BX321" s="13" t="n"/>
      <c r="BY321" s="13" t="n"/>
      <c r="BZ321" s="13" t="n"/>
      <c r="CA321" s="14" t="n"/>
      <c r="CB321" s="13" t="n"/>
      <c r="CC321" s="9" t="n"/>
      <c r="CD321" s="9" t="n"/>
      <c r="CE321" s="9" t="n"/>
      <c r="CF321" s="9" t="n"/>
      <c r="CG321" s="9" t="n"/>
      <c r="CH321" s="9" t="n"/>
    </row>
    <row r="322">
      <c r="A322" s="8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8" t="n"/>
      <c r="L322" s="9" t="n"/>
      <c r="M322" s="8" t="n"/>
      <c r="N322" s="8" t="n"/>
      <c r="O322" s="8" t="n"/>
      <c r="P322" s="8" t="n"/>
      <c r="Q322" s="8" t="n"/>
      <c r="R322" s="9" t="n"/>
      <c r="S322" s="9" t="n"/>
      <c r="T322" s="10" t="n"/>
      <c r="U322" s="10" t="n"/>
      <c r="V322" s="9" t="n"/>
      <c r="W322" s="9" t="n"/>
      <c r="X322" s="9" t="n"/>
      <c r="Y322" s="9" t="n"/>
      <c r="Z322" s="11" t="n"/>
      <c r="AA322" s="11" t="n"/>
      <c r="AB322" s="11" t="n"/>
      <c r="AC322" s="11" t="n"/>
      <c r="AD322" s="11" t="n"/>
      <c r="AE322" s="11" t="n"/>
      <c r="AF322" s="9" t="n"/>
      <c r="AG322" s="9" t="n"/>
      <c r="AH322" s="9" t="n"/>
      <c r="AI322" s="9" t="n"/>
      <c r="AJ322" s="8" t="n"/>
      <c r="AK322" s="9" t="n"/>
      <c r="AL322" s="9" t="n"/>
      <c r="AM322" s="9" t="n"/>
      <c r="AN322" s="9" t="n"/>
      <c r="AO322" s="9" t="n"/>
      <c r="AP322" s="9" t="n"/>
      <c r="AQ322" s="9" t="n"/>
      <c r="AR322" s="9" t="n"/>
      <c r="AS322" s="9" t="n"/>
      <c r="AT322" s="8" t="n"/>
      <c r="AU322" s="8" t="n"/>
      <c r="AV322" s="9" t="n"/>
      <c r="AW322" s="8" t="n"/>
      <c r="AX322" s="9" t="n"/>
      <c r="AY322" s="9" t="n"/>
      <c r="AZ322" s="9" t="n"/>
      <c r="BA322" s="9" t="n"/>
      <c r="BB322" s="9" t="n"/>
      <c r="BC322" s="9" t="n"/>
      <c r="BD322" s="9" t="n"/>
      <c r="BE322" s="9" t="n"/>
      <c r="BF322" s="9" t="n"/>
      <c r="BG322" s="9" t="n"/>
      <c r="BH322" s="9" t="n"/>
      <c r="BI322" s="9" t="n"/>
      <c r="BJ322" s="9" t="n"/>
      <c r="BK322" s="9" t="n"/>
      <c r="BL322" s="9" t="n"/>
      <c r="BM322" s="9" t="n"/>
      <c r="BN322" s="9" t="n"/>
      <c r="BO322" s="8" t="n"/>
      <c r="BP322" s="9" t="n"/>
      <c r="BQ322" s="9" t="n"/>
      <c r="BR322" s="12">
        <f>IF(AND(AI322="Y",AK322="Y",AL322="Y",AM322="Y",AY322="Y",AZ322="Y",BA322="Y",BB322="Y",BC322="Y",BE322&lt;&gt;"Y",AX322&lt;&gt;"Y",BL322&lt;&gt;"Y",IF(AS322="Y",AV322="Y",TRUE)),"Y","N")</f>
        <v/>
      </c>
      <c r="BS322" s="12">
        <f>IF(AND(BR322="Y",OR(AND(BJ322="Y",BM322="Y"),AND(BK322="Y",BN322="Y"),AND(BJ322&lt;&gt;"Y",BK322&lt;&gt;"Y",OR(BM322="Y",BN322="Y")))),"Y","N")</f>
        <v/>
      </c>
      <c r="BT322" s="10" t="n"/>
      <c r="BU322" s="13" t="n"/>
      <c r="BV322" s="13" t="n"/>
      <c r="BW322" s="13" t="n"/>
      <c r="BX322" s="13" t="n"/>
      <c r="BY322" s="13" t="n"/>
      <c r="BZ322" s="13" t="n"/>
      <c r="CA322" s="14" t="n"/>
      <c r="CB322" s="13" t="n"/>
      <c r="CC322" s="9" t="n"/>
      <c r="CD322" s="9" t="n"/>
      <c r="CE322" s="9" t="n"/>
      <c r="CF322" s="9" t="n"/>
      <c r="CG322" s="9" t="n"/>
      <c r="CH322" s="9" t="n"/>
    </row>
    <row r="323">
      <c r="A323" s="8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8" t="n"/>
      <c r="L323" s="9" t="n"/>
      <c r="M323" s="8" t="n"/>
      <c r="N323" s="8" t="n"/>
      <c r="O323" s="8" t="n"/>
      <c r="P323" s="8" t="n"/>
      <c r="Q323" s="8" t="n"/>
      <c r="R323" s="9" t="n"/>
      <c r="S323" s="9" t="n"/>
      <c r="T323" s="10" t="n"/>
      <c r="U323" s="10" t="n"/>
      <c r="V323" s="9" t="n"/>
      <c r="W323" s="9" t="n"/>
      <c r="X323" s="9" t="n"/>
      <c r="Y323" s="9" t="n"/>
      <c r="Z323" s="11" t="n"/>
      <c r="AA323" s="11" t="n"/>
      <c r="AB323" s="11" t="n"/>
      <c r="AC323" s="11" t="n"/>
      <c r="AD323" s="11" t="n"/>
      <c r="AE323" s="11" t="n"/>
      <c r="AF323" s="9" t="n"/>
      <c r="AG323" s="9" t="n"/>
      <c r="AH323" s="9" t="n"/>
      <c r="AI323" s="9" t="n"/>
      <c r="AJ323" s="8" t="n"/>
      <c r="AK323" s="9" t="n"/>
      <c r="AL323" s="9" t="n"/>
      <c r="AM323" s="9" t="n"/>
      <c r="AN323" s="9" t="n"/>
      <c r="AO323" s="9" t="n"/>
      <c r="AP323" s="9" t="n"/>
      <c r="AQ323" s="9" t="n"/>
      <c r="AR323" s="9" t="n"/>
      <c r="AS323" s="9" t="n"/>
      <c r="AT323" s="8" t="n"/>
      <c r="AU323" s="8" t="n"/>
      <c r="AV323" s="9" t="n"/>
      <c r="AW323" s="8" t="n"/>
      <c r="AX323" s="9" t="n"/>
      <c r="AY323" s="9" t="n"/>
      <c r="AZ323" s="9" t="n"/>
      <c r="BA323" s="9" t="n"/>
      <c r="BB323" s="9" t="n"/>
      <c r="BC323" s="9" t="n"/>
      <c r="BD323" s="9" t="n"/>
      <c r="BE323" s="9" t="n"/>
      <c r="BF323" s="9" t="n"/>
      <c r="BG323" s="9" t="n"/>
      <c r="BH323" s="9" t="n"/>
      <c r="BI323" s="9" t="n"/>
      <c r="BJ323" s="9" t="n"/>
      <c r="BK323" s="9" t="n"/>
      <c r="BL323" s="9" t="n"/>
      <c r="BM323" s="9" t="n"/>
      <c r="BN323" s="9" t="n"/>
      <c r="BO323" s="8" t="n"/>
      <c r="BP323" s="9" t="n"/>
      <c r="BQ323" s="9" t="n"/>
      <c r="BR323" s="12">
        <f>IF(AND(AI323="Y",AK323="Y",AL323="Y",AM323="Y",AY323="Y",AZ323="Y",BA323="Y",BB323="Y",BC323="Y",BE323&lt;&gt;"Y",AX323&lt;&gt;"Y",BL323&lt;&gt;"Y",IF(AS323="Y",AV323="Y",TRUE)),"Y","N")</f>
        <v/>
      </c>
      <c r="BS323" s="12">
        <f>IF(AND(BR323="Y",OR(AND(BJ323="Y",BM323="Y"),AND(BK323="Y",BN323="Y"),AND(BJ323&lt;&gt;"Y",BK323&lt;&gt;"Y",OR(BM323="Y",BN323="Y")))),"Y","N")</f>
        <v/>
      </c>
      <c r="BT323" s="10" t="n"/>
      <c r="BU323" s="13" t="n"/>
      <c r="BV323" s="13" t="n"/>
      <c r="BW323" s="13" t="n"/>
      <c r="BX323" s="13" t="n"/>
      <c r="BY323" s="13" t="n"/>
      <c r="BZ323" s="13" t="n"/>
      <c r="CA323" s="14" t="n"/>
      <c r="CB323" s="13" t="n"/>
      <c r="CC323" s="9" t="n"/>
      <c r="CD323" s="9" t="n"/>
      <c r="CE323" s="9" t="n"/>
      <c r="CF323" s="9" t="n"/>
      <c r="CG323" s="9" t="n"/>
      <c r="CH323" s="9" t="n"/>
    </row>
    <row r="324">
      <c r="A324" s="8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8" t="n"/>
      <c r="L324" s="9" t="n"/>
      <c r="M324" s="8" t="n"/>
      <c r="N324" s="8" t="n"/>
      <c r="O324" s="8" t="n"/>
      <c r="P324" s="8" t="n"/>
      <c r="Q324" s="8" t="n"/>
      <c r="R324" s="9" t="n"/>
      <c r="S324" s="9" t="n"/>
      <c r="T324" s="10" t="n"/>
      <c r="U324" s="10" t="n"/>
      <c r="V324" s="9" t="n"/>
      <c r="W324" s="9" t="n"/>
      <c r="X324" s="9" t="n"/>
      <c r="Y324" s="9" t="n"/>
      <c r="Z324" s="11" t="n"/>
      <c r="AA324" s="11" t="n"/>
      <c r="AB324" s="11" t="n"/>
      <c r="AC324" s="11" t="n"/>
      <c r="AD324" s="11" t="n"/>
      <c r="AE324" s="11" t="n"/>
      <c r="AF324" s="9" t="n"/>
      <c r="AG324" s="9" t="n"/>
      <c r="AH324" s="9" t="n"/>
      <c r="AI324" s="9" t="n"/>
      <c r="AJ324" s="8" t="n"/>
      <c r="AK324" s="9" t="n"/>
      <c r="AL324" s="9" t="n"/>
      <c r="AM324" s="9" t="n"/>
      <c r="AN324" s="9" t="n"/>
      <c r="AO324" s="9" t="n"/>
      <c r="AP324" s="9" t="n"/>
      <c r="AQ324" s="9" t="n"/>
      <c r="AR324" s="9" t="n"/>
      <c r="AS324" s="9" t="n"/>
      <c r="AT324" s="8" t="n"/>
      <c r="AU324" s="8" t="n"/>
      <c r="AV324" s="9" t="n"/>
      <c r="AW324" s="8" t="n"/>
      <c r="AX324" s="9" t="n"/>
      <c r="AY324" s="9" t="n"/>
      <c r="AZ324" s="9" t="n"/>
      <c r="BA324" s="9" t="n"/>
      <c r="BB324" s="9" t="n"/>
      <c r="BC324" s="9" t="n"/>
      <c r="BD324" s="9" t="n"/>
      <c r="BE324" s="9" t="n"/>
      <c r="BF324" s="9" t="n"/>
      <c r="BG324" s="9" t="n"/>
      <c r="BH324" s="9" t="n"/>
      <c r="BI324" s="9" t="n"/>
      <c r="BJ324" s="9" t="n"/>
      <c r="BK324" s="9" t="n"/>
      <c r="BL324" s="9" t="n"/>
      <c r="BM324" s="9" t="n"/>
      <c r="BN324" s="9" t="n"/>
      <c r="BO324" s="8" t="n"/>
      <c r="BP324" s="9" t="n"/>
      <c r="BQ324" s="9" t="n"/>
      <c r="BR324" s="12">
        <f>IF(AND(AI324="Y",AK324="Y",AL324="Y",AM324="Y",AY324="Y",AZ324="Y",BA324="Y",BB324="Y",BC324="Y",BE324&lt;&gt;"Y",AX324&lt;&gt;"Y",BL324&lt;&gt;"Y",IF(AS324="Y",AV324="Y",TRUE)),"Y","N")</f>
        <v/>
      </c>
      <c r="BS324" s="12">
        <f>IF(AND(BR324="Y",OR(AND(BJ324="Y",BM324="Y"),AND(BK324="Y",BN324="Y"),AND(BJ324&lt;&gt;"Y",BK324&lt;&gt;"Y",OR(BM324="Y",BN324="Y")))),"Y","N")</f>
        <v/>
      </c>
      <c r="BT324" s="10" t="n"/>
      <c r="BU324" s="13" t="n"/>
      <c r="BV324" s="13" t="n"/>
      <c r="BW324" s="13" t="n"/>
      <c r="BX324" s="13" t="n"/>
      <c r="BY324" s="13" t="n"/>
      <c r="BZ324" s="13" t="n"/>
      <c r="CA324" s="14" t="n"/>
      <c r="CB324" s="13" t="n"/>
      <c r="CC324" s="9" t="n"/>
      <c r="CD324" s="9" t="n"/>
      <c r="CE324" s="9" t="n"/>
      <c r="CF324" s="9" t="n"/>
      <c r="CG324" s="9" t="n"/>
      <c r="CH324" s="9" t="n"/>
    </row>
    <row r="325">
      <c r="A325" s="8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8" t="n"/>
      <c r="L325" s="9" t="n"/>
      <c r="M325" s="8" t="n"/>
      <c r="N325" s="8" t="n"/>
      <c r="O325" s="8" t="n"/>
      <c r="P325" s="8" t="n"/>
      <c r="Q325" s="8" t="n"/>
      <c r="R325" s="9" t="n"/>
      <c r="S325" s="9" t="n"/>
      <c r="T325" s="10" t="n"/>
      <c r="U325" s="10" t="n"/>
      <c r="V325" s="9" t="n"/>
      <c r="W325" s="9" t="n"/>
      <c r="X325" s="9" t="n"/>
      <c r="Y325" s="9" t="n"/>
      <c r="Z325" s="11" t="n"/>
      <c r="AA325" s="11" t="n"/>
      <c r="AB325" s="11" t="n"/>
      <c r="AC325" s="11" t="n"/>
      <c r="AD325" s="11" t="n"/>
      <c r="AE325" s="11" t="n"/>
      <c r="AF325" s="9" t="n"/>
      <c r="AG325" s="9" t="n"/>
      <c r="AH325" s="9" t="n"/>
      <c r="AI325" s="9" t="n"/>
      <c r="AJ325" s="8" t="n"/>
      <c r="AK325" s="9" t="n"/>
      <c r="AL325" s="9" t="n"/>
      <c r="AM325" s="9" t="n"/>
      <c r="AN325" s="9" t="n"/>
      <c r="AO325" s="9" t="n"/>
      <c r="AP325" s="9" t="n"/>
      <c r="AQ325" s="9" t="n"/>
      <c r="AR325" s="9" t="n"/>
      <c r="AS325" s="9" t="n"/>
      <c r="AT325" s="8" t="n"/>
      <c r="AU325" s="8" t="n"/>
      <c r="AV325" s="9" t="n"/>
      <c r="AW325" s="8" t="n"/>
      <c r="AX325" s="9" t="n"/>
      <c r="AY325" s="9" t="n"/>
      <c r="AZ325" s="9" t="n"/>
      <c r="BA325" s="9" t="n"/>
      <c r="BB325" s="9" t="n"/>
      <c r="BC325" s="9" t="n"/>
      <c r="BD325" s="9" t="n"/>
      <c r="BE325" s="9" t="n"/>
      <c r="BF325" s="9" t="n"/>
      <c r="BG325" s="9" t="n"/>
      <c r="BH325" s="9" t="n"/>
      <c r="BI325" s="9" t="n"/>
      <c r="BJ325" s="9" t="n"/>
      <c r="BK325" s="9" t="n"/>
      <c r="BL325" s="9" t="n"/>
      <c r="BM325" s="9" t="n"/>
      <c r="BN325" s="9" t="n"/>
      <c r="BO325" s="8" t="n"/>
      <c r="BP325" s="9" t="n"/>
      <c r="BQ325" s="9" t="n"/>
      <c r="BR325" s="12">
        <f>IF(AND(AI325="Y",AK325="Y",AL325="Y",AM325="Y",AY325="Y",AZ325="Y",BA325="Y",BB325="Y",BC325="Y",BE325&lt;&gt;"Y",AX325&lt;&gt;"Y",BL325&lt;&gt;"Y",IF(AS325="Y",AV325="Y",TRUE)),"Y","N")</f>
        <v/>
      </c>
      <c r="BS325" s="12">
        <f>IF(AND(BR325="Y",OR(AND(BJ325="Y",BM325="Y"),AND(BK325="Y",BN325="Y"),AND(BJ325&lt;&gt;"Y",BK325&lt;&gt;"Y",OR(BM325="Y",BN325="Y")))),"Y","N")</f>
        <v/>
      </c>
      <c r="BT325" s="10" t="n"/>
      <c r="BU325" s="13" t="n"/>
      <c r="BV325" s="13" t="n"/>
      <c r="BW325" s="13" t="n"/>
      <c r="BX325" s="13" t="n"/>
      <c r="BY325" s="13" t="n"/>
      <c r="BZ325" s="13" t="n"/>
      <c r="CA325" s="14" t="n"/>
      <c r="CB325" s="13" t="n"/>
      <c r="CC325" s="9" t="n"/>
      <c r="CD325" s="9" t="n"/>
      <c r="CE325" s="9" t="n"/>
      <c r="CF325" s="9" t="n"/>
      <c r="CG325" s="9" t="n"/>
      <c r="CH325" s="9" t="n"/>
    </row>
    <row r="326">
      <c r="A326" s="8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8" t="n"/>
      <c r="L326" s="9" t="n"/>
      <c r="M326" s="8" t="n"/>
      <c r="N326" s="8" t="n"/>
      <c r="O326" s="8" t="n"/>
      <c r="P326" s="8" t="n"/>
      <c r="Q326" s="8" t="n"/>
      <c r="R326" s="9" t="n"/>
      <c r="S326" s="9" t="n"/>
      <c r="T326" s="10" t="n"/>
      <c r="U326" s="10" t="n"/>
      <c r="V326" s="9" t="n"/>
      <c r="W326" s="9" t="n"/>
      <c r="X326" s="9" t="n"/>
      <c r="Y326" s="9" t="n"/>
      <c r="Z326" s="11" t="n"/>
      <c r="AA326" s="11" t="n"/>
      <c r="AB326" s="11" t="n"/>
      <c r="AC326" s="11" t="n"/>
      <c r="AD326" s="11" t="n"/>
      <c r="AE326" s="11" t="n"/>
      <c r="AF326" s="9" t="n"/>
      <c r="AG326" s="9" t="n"/>
      <c r="AH326" s="9" t="n"/>
      <c r="AI326" s="9" t="n"/>
      <c r="AJ326" s="8" t="n"/>
      <c r="AK326" s="9" t="n"/>
      <c r="AL326" s="9" t="n"/>
      <c r="AM326" s="9" t="n"/>
      <c r="AN326" s="9" t="n"/>
      <c r="AO326" s="9" t="n"/>
      <c r="AP326" s="9" t="n"/>
      <c r="AQ326" s="9" t="n"/>
      <c r="AR326" s="9" t="n"/>
      <c r="AS326" s="9" t="n"/>
      <c r="AT326" s="8" t="n"/>
      <c r="AU326" s="8" t="n"/>
      <c r="AV326" s="9" t="n"/>
      <c r="AW326" s="8" t="n"/>
      <c r="AX326" s="9" t="n"/>
      <c r="AY326" s="9" t="n"/>
      <c r="AZ326" s="9" t="n"/>
      <c r="BA326" s="9" t="n"/>
      <c r="BB326" s="9" t="n"/>
      <c r="BC326" s="9" t="n"/>
      <c r="BD326" s="9" t="n"/>
      <c r="BE326" s="9" t="n"/>
      <c r="BF326" s="9" t="n"/>
      <c r="BG326" s="9" t="n"/>
      <c r="BH326" s="9" t="n"/>
      <c r="BI326" s="9" t="n"/>
      <c r="BJ326" s="9" t="n"/>
      <c r="BK326" s="9" t="n"/>
      <c r="BL326" s="9" t="n"/>
      <c r="BM326" s="9" t="n"/>
      <c r="BN326" s="9" t="n"/>
      <c r="BO326" s="8" t="n"/>
      <c r="BP326" s="9" t="n"/>
      <c r="BQ326" s="9" t="n"/>
      <c r="BR326" s="12">
        <f>IF(AND(AI326="Y",AK326="Y",AL326="Y",AM326="Y",AY326="Y",AZ326="Y",BA326="Y",BB326="Y",BC326="Y",BE326&lt;&gt;"Y",AX326&lt;&gt;"Y",BL326&lt;&gt;"Y",IF(AS326="Y",AV326="Y",TRUE)),"Y","N")</f>
        <v/>
      </c>
      <c r="BS326" s="12">
        <f>IF(AND(BR326="Y",OR(AND(BJ326="Y",BM326="Y"),AND(BK326="Y",BN326="Y"),AND(BJ326&lt;&gt;"Y",BK326&lt;&gt;"Y",OR(BM326="Y",BN326="Y")))),"Y","N")</f>
        <v/>
      </c>
      <c r="BT326" s="10" t="n"/>
      <c r="BU326" s="13" t="n"/>
      <c r="BV326" s="13" t="n"/>
      <c r="BW326" s="13" t="n"/>
      <c r="BX326" s="13" t="n"/>
      <c r="BY326" s="13" t="n"/>
      <c r="BZ326" s="13" t="n"/>
      <c r="CA326" s="14" t="n"/>
      <c r="CB326" s="13" t="n"/>
      <c r="CC326" s="9" t="n"/>
      <c r="CD326" s="9" t="n"/>
      <c r="CE326" s="9" t="n"/>
      <c r="CF326" s="9" t="n"/>
      <c r="CG326" s="9" t="n"/>
      <c r="CH326" s="9" t="n"/>
    </row>
    <row r="327">
      <c r="A327" s="8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8" t="n"/>
      <c r="L327" s="9" t="n"/>
      <c r="M327" s="8" t="n"/>
      <c r="N327" s="8" t="n"/>
      <c r="O327" s="8" t="n"/>
      <c r="P327" s="8" t="n"/>
      <c r="Q327" s="8" t="n"/>
      <c r="R327" s="9" t="n"/>
      <c r="S327" s="9" t="n"/>
      <c r="T327" s="10" t="n"/>
      <c r="U327" s="10" t="n"/>
      <c r="V327" s="9" t="n"/>
      <c r="W327" s="9" t="n"/>
      <c r="X327" s="9" t="n"/>
      <c r="Y327" s="9" t="n"/>
      <c r="Z327" s="11" t="n"/>
      <c r="AA327" s="11" t="n"/>
      <c r="AB327" s="11" t="n"/>
      <c r="AC327" s="11" t="n"/>
      <c r="AD327" s="11" t="n"/>
      <c r="AE327" s="11" t="n"/>
      <c r="AF327" s="9" t="n"/>
      <c r="AG327" s="9" t="n"/>
      <c r="AH327" s="9" t="n"/>
      <c r="AI327" s="9" t="n"/>
      <c r="AJ327" s="8" t="n"/>
      <c r="AK327" s="9" t="n"/>
      <c r="AL327" s="9" t="n"/>
      <c r="AM327" s="9" t="n"/>
      <c r="AN327" s="9" t="n"/>
      <c r="AO327" s="9" t="n"/>
      <c r="AP327" s="9" t="n"/>
      <c r="AQ327" s="9" t="n"/>
      <c r="AR327" s="9" t="n"/>
      <c r="AS327" s="9" t="n"/>
      <c r="AT327" s="8" t="n"/>
      <c r="AU327" s="8" t="n"/>
      <c r="AV327" s="9" t="n"/>
      <c r="AW327" s="8" t="n"/>
      <c r="AX327" s="9" t="n"/>
      <c r="AY327" s="9" t="n"/>
      <c r="AZ327" s="9" t="n"/>
      <c r="BA327" s="9" t="n"/>
      <c r="BB327" s="9" t="n"/>
      <c r="BC327" s="9" t="n"/>
      <c r="BD327" s="9" t="n"/>
      <c r="BE327" s="9" t="n"/>
      <c r="BF327" s="9" t="n"/>
      <c r="BG327" s="9" t="n"/>
      <c r="BH327" s="9" t="n"/>
      <c r="BI327" s="9" t="n"/>
      <c r="BJ327" s="9" t="n"/>
      <c r="BK327" s="9" t="n"/>
      <c r="BL327" s="9" t="n"/>
      <c r="BM327" s="9" t="n"/>
      <c r="BN327" s="9" t="n"/>
      <c r="BO327" s="8" t="n"/>
      <c r="BP327" s="9" t="n"/>
      <c r="BQ327" s="9" t="n"/>
      <c r="BR327" s="12">
        <f>IF(AND(AI327="Y",AK327="Y",AL327="Y",AM327="Y",AY327="Y",AZ327="Y",BA327="Y",BB327="Y",BC327="Y",BE327&lt;&gt;"Y",AX327&lt;&gt;"Y",BL327&lt;&gt;"Y",IF(AS327="Y",AV327="Y",TRUE)),"Y","N")</f>
        <v/>
      </c>
      <c r="BS327" s="12">
        <f>IF(AND(BR327="Y",OR(AND(BJ327="Y",BM327="Y"),AND(BK327="Y",BN327="Y"),AND(BJ327&lt;&gt;"Y",BK327&lt;&gt;"Y",OR(BM327="Y",BN327="Y")))),"Y","N")</f>
        <v/>
      </c>
      <c r="BT327" s="10" t="n"/>
      <c r="BU327" s="13" t="n"/>
      <c r="BV327" s="13" t="n"/>
      <c r="BW327" s="13" t="n"/>
      <c r="BX327" s="13" t="n"/>
      <c r="BY327" s="13" t="n"/>
      <c r="BZ327" s="13" t="n"/>
      <c r="CA327" s="14" t="n"/>
      <c r="CB327" s="13" t="n"/>
      <c r="CC327" s="9" t="n"/>
      <c r="CD327" s="9" t="n"/>
      <c r="CE327" s="9" t="n"/>
      <c r="CF327" s="9" t="n"/>
      <c r="CG327" s="9" t="n"/>
      <c r="CH327" s="9" t="n"/>
    </row>
    <row r="328">
      <c r="A328" s="8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8" t="n"/>
      <c r="L328" s="9" t="n"/>
      <c r="M328" s="8" t="n"/>
      <c r="N328" s="8" t="n"/>
      <c r="O328" s="8" t="n"/>
      <c r="P328" s="8" t="n"/>
      <c r="Q328" s="8" t="n"/>
      <c r="R328" s="9" t="n"/>
      <c r="S328" s="9" t="n"/>
      <c r="T328" s="10" t="n"/>
      <c r="U328" s="10" t="n"/>
      <c r="V328" s="9" t="n"/>
      <c r="W328" s="9" t="n"/>
      <c r="X328" s="9" t="n"/>
      <c r="Y328" s="9" t="n"/>
      <c r="Z328" s="11" t="n"/>
      <c r="AA328" s="11" t="n"/>
      <c r="AB328" s="11" t="n"/>
      <c r="AC328" s="11" t="n"/>
      <c r="AD328" s="11" t="n"/>
      <c r="AE328" s="11" t="n"/>
      <c r="AF328" s="9" t="n"/>
      <c r="AG328" s="9" t="n"/>
      <c r="AH328" s="9" t="n"/>
      <c r="AI328" s="9" t="n"/>
      <c r="AJ328" s="8" t="n"/>
      <c r="AK328" s="9" t="n"/>
      <c r="AL328" s="9" t="n"/>
      <c r="AM328" s="9" t="n"/>
      <c r="AN328" s="9" t="n"/>
      <c r="AO328" s="9" t="n"/>
      <c r="AP328" s="9" t="n"/>
      <c r="AQ328" s="9" t="n"/>
      <c r="AR328" s="9" t="n"/>
      <c r="AS328" s="9" t="n"/>
      <c r="AT328" s="8" t="n"/>
      <c r="AU328" s="8" t="n"/>
      <c r="AV328" s="9" t="n"/>
      <c r="AW328" s="8" t="n"/>
      <c r="AX328" s="9" t="n"/>
      <c r="AY328" s="9" t="n"/>
      <c r="AZ328" s="9" t="n"/>
      <c r="BA328" s="9" t="n"/>
      <c r="BB328" s="9" t="n"/>
      <c r="BC328" s="9" t="n"/>
      <c r="BD328" s="9" t="n"/>
      <c r="BE328" s="9" t="n"/>
      <c r="BF328" s="9" t="n"/>
      <c r="BG328" s="9" t="n"/>
      <c r="BH328" s="9" t="n"/>
      <c r="BI328" s="9" t="n"/>
      <c r="BJ328" s="9" t="n"/>
      <c r="BK328" s="9" t="n"/>
      <c r="BL328" s="9" t="n"/>
      <c r="BM328" s="9" t="n"/>
      <c r="BN328" s="9" t="n"/>
      <c r="BO328" s="8" t="n"/>
      <c r="BP328" s="9" t="n"/>
      <c r="BQ328" s="9" t="n"/>
      <c r="BR328" s="12">
        <f>IF(AND(AI328="Y",AK328="Y",AL328="Y",AM328="Y",AY328="Y",AZ328="Y",BA328="Y",BB328="Y",BC328="Y",BE328&lt;&gt;"Y",AX328&lt;&gt;"Y",BL328&lt;&gt;"Y",IF(AS328="Y",AV328="Y",TRUE)),"Y","N")</f>
        <v/>
      </c>
      <c r="BS328" s="12">
        <f>IF(AND(BR328="Y",OR(AND(BJ328="Y",BM328="Y"),AND(BK328="Y",BN328="Y"),AND(BJ328&lt;&gt;"Y",BK328&lt;&gt;"Y",OR(BM328="Y",BN328="Y")))),"Y","N")</f>
        <v/>
      </c>
      <c r="BT328" s="10" t="n"/>
      <c r="BU328" s="13" t="n"/>
      <c r="BV328" s="13" t="n"/>
      <c r="BW328" s="13" t="n"/>
      <c r="BX328" s="13" t="n"/>
      <c r="BY328" s="13" t="n"/>
      <c r="BZ328" s="13" t="n"/>
      <c r="CA328" s="14" t="n"/>
      <c r="CB328" s="13" t="n"/>
      <c r="CC328" s="9" t="n"/>
      <c r="CD328" s="9" t="n"/>
      <c r="CE328" s="9" t="n"/>
      <c r="CF328" s="9" t="n"/>
      <c r="CG328" s="9" t="n"/>
      <c r="CH328" s="9" t="n"/>
    </row>
    <row r="329">
      <c r="A329" s="8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8" t="n"/>
      <c r="L329" s="9" t="n"/>
      <c r="M329" s="8" t="n"/>
      <c r="N329" s="8" t="n"/>
      <c r="O329" s="8" t="n"/>
      <c r="P329" s="8" t="n"/>
      <c r="Q329" s="8" t="n"/>
      <c r="R329" s="9" t="n"/>
      <c r="S329" s="9" t="n"/>
      <c r="T329" s="10" t="n"/>
      <c r="U329" s="10" t="n"/>
      <c r="V329" s="9" t="n"/>
      <c r="W329" s="9" t="n"/>
      <c r="X329" s="9" t="n"/>
      <c r="Y329" s="9" t="n"/>
      <c r="Z329" s="11" t="n"/>
      <c r="AA329" s="11" t="n"/>
      <c r="AB329" s="11" t="n"/>
      <c r="AC329" s="11" t="n"/>
      <c r="AD329" s="11" t="n"/>
      <c r="AE329" s="11" t="n"/>
      <c r="AF329" s="9" t="n"/>
      <c r="AG329" s="9" t="n"/>
      <c r="AH329" s="9" t="n"/>
      <c r="AI329" s="9" t="n"/>
      <c r="AJ329" s="8" t="n"/>
      <c r="AK329" s="9" t="n"/>
      <c r="AL329" s="9" t="n"/>
      <c r="AM329" s="9" t="n"/>
      <c r="AN329" s="9" t="n"/>
      <c r="AO329" s="9" t="n"/>
      <c r="AP329" s="9" t="n"/>
      <c r="AQ329" s="9" t="n"/>
      <c r="AR329" s="9" t="n"/>
      <c r="AS329" s="9" t="n"/>
      <c r="AT329" s="8" t="n"/>
      <c r="AU329" s="8" t="n"/>
      <c r="AV329" s="9" t="n"/>
      <c r="AW329" s="8" t="n"/>
      <c r="AX329" s="9" t="n"/>
      <c r="AY329" s="9" t="n"/>
      <c r="AZ329" s="9" t="n"/>
      <c r="BA329" s="9" t="n"/>
      <c r="BB329" s="9" t="n"/>
      <c r="BC329" s="9" t="n"/>
      <c r="BD329" s="9" t="n"/>
      <c r="BE329" s="9" t="n"/>
      <c r="BF329" s="9" t="n"/>
      <c r="BG329" s="9" t="n"/>
      <c r="BH329" s="9" t="n"/>
      <c r="BI329" s="9" t="n"/>
      <c r="BJ329" s="9" t="n"/>
      <c r="BK329" s="9" t="n"/>
      <c r="BL329" s="9" t="n"/>
      <c r="BM329" s="9" t="n"/>
      <c r="BN329" s="9" t="n"/>
      <c r="BO329" s="8" t="n"/>
      <c r="BP329" s="9" t="n"/>
      <c r="BQ329" s="9" t="n"/>
      <c r="BR329" s="12">
        <f>IF(AND(AI329="Y",AK329="Y",AL329="Y",AM329="Y",AY329="Y",AZ329="Y",BA329="Y",BB329="Y",BC329="Y",BE329&lt;&gt;"Y",AX329&lt;&gt;"Y",BL329&lt;&gt;"Y",IF(AS329="Y",AV329="Y",TRUE)),"Y","N")</f>
        <v/>
      </c>
      <c r="BS329" s="12">
        <f>IF(AND(BR329="Y",OR(AND(BJ329="Y",BM329="Y"),AND(BK329="Y",BN329="Y"),AND(BJ329&lt;&gt;"Y",BK329&lt;&gt;"Y",OR(BM329="Y",BN329="Y")))),"Y","N")</f>
        <v/>
      </c>
      <c r="BT329" s="10" t="n"/>
      <c r="BU329" s="13" t="n"/>
      <c r="BV329" s="13" t="n"/>
      <c r="BW329" s="13" t="n"/>
      <c r="BX329" s="13" t="n"/>
      <c r="BY329" s="13" t="n"/>
      <c r="BZ329" s="13" t="n"/>
      <c r="CA329" s="14" t="n"/>
      <c r="CB329" s="13" t="n"/>
      <c r="CC329" s="9" t="n"/>
      <c r="CD329" s="9" t="n"/>
      <c r="CE329" s="9" t="n"/>
      <c r="CF329" s="9" t="n"/>
      <c r="CG329" s="9" t="n"/>
      <c r="CH329" s="9" t="n"/>
    </row>
    <row r="330">
      <c r="A330" s="8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8" t="n"/>
      <c r="L330" s="9" t="n"/>
      <c r="M330" s="8" t="n"/>
      <c r="N330" s="8" t="n"/>
      <c r="O330" s="8" t="n"/>
      <c r="P330" s="8" t="n"/>
      <c r="Q330" s="8" t="n"/>
      <c r="R330" s="9" t="n"/>
      <c r="S330" s="9" t="n"/>
      <c r="T330" s="10" t="n"/>
      <c r="U330" s="10" t="n"/>
      <c r="V330" s="9" t="n"/>
      <c r="W330" s="9" t="n"/>
      <c r="X330" s="9" t="n"/>
      <c r="Y330" s="9" t="n"/>
      <c r="Z330" s="11" t="n"/>
      <c r="AA330" s="11" t="n"/>
      <c r="AB330" s="11" t="n"/>
      <c r="AC330" s="11" t="n"/>
      <c r="AD330" s="11" t="n"/>
      <c r="AE330" s="11" t="n"/>
      <c r="AF330" s="9" t="n"/>
      <c r="AG330" s="9" t="n"/>
      <c r="AH330" s="9" t="n"/>
      <c r="AI330" s="9" t="n"/>
      <c r="AJ330" s="8" t="n"/>
      <c r="AK330" s="9" t="n"/>
      <c r="AL330" s="9" t="n"/>
      <c r="AM330" s="9" t="n"/>
      <c r="AN330" s="9" t="n"/>
      <c r="AO330" s="9" t="n"/>
      <c r="AP330" s="9" t="n"/>
      <c r="AQ330" s="9" t="n"/>
      <c r="AR330" s="9" t="n"/>
      <c r="AS330" s="9" t="n"/>
      <c r="AT330" s="8" t="n"/>
      <c r="AU330" s="8" t="n"/>
      <c r="AV330" s="9" t="n"/>
      <c r="AW330" s="8" t="n"/>
      <c r="AX330" s="9" t="n"/>
      <c r="AY330" s="9" t="n"/>
      <c r="AZ330" s="9" t="n"/>
      <c r="BA330" s="9" t="n"/>
      <c r="BB330" s="9" t="n"/>
      <c r="BC330" s="9" t="n"/>
      <c r="BD330" s="9" t="n"/>
      <c r="BE330" s="9" t="n"/>
      <c r="BF330" s="9" t="n"/>
      <c r="BG330" s="9" t="n"/>
      <c r="BH330" s="9" t="n"/>
      <c r="BI330" s="9" t="n"/>
      <c r="BJ330" s="9" t="n"/>
      <c r="BK330" s="9" t="n"/>
      <c r="BL330" s="9" t="n"/>
      <c r="BM330" s="9" t="n"/>
      <c r="BN330" s="9" t="n"/>
      <c r="BO330" s="8" t="n"/>
      <c r="BP330" s="9" t="n"/>
      <c r="BQ330" s="9" t="n"/>
      <c r="BR330" s="12">
        <f>IF(AND(AI330="Y",AK330="Y",AL330="Y",AM330="Y",AY330="Y",AZ330="Y",BA330="Y",BB330="Y",BC330="Y",BE330&lt;&gt;"Y",AX330&lt;&gt;"Y",BL330&lt;&gt;"Y",IF(AS330="Y",AV330="Y",TRUE)),"Y","N")</f>
        <v/>
      </c>
      <c r="BS330" s="12">
        <f>IF(AND(BR330="Y",OR(AND(BJ330="Y",BM330="Y"),AND(BK330="Y",BN330="Y"),AND(BJ330&lt;&gt;"Y",BK330&lt;&gt;"Y",OR(BM330="Y",BN330="Y")))),"Y","N")</f>
        <v/>
      </c>
      <c r="BT330" s="10" t="n"/>
      <c r="BU330" s="13" t="n"/>
      <c r="BV330" s="13" t="n"/>
      <c r="BW330" s="13" t="n"/>
      <c r="BX330" s="13" t="n"/>
      <c r="BY330" s="13" t="n"/>
      <c r="BZ330" s="13" t="n"/>
      <c r="CA330" s="14" t="n"/>
      <c r="CB330" s="13" t="n"/>
      <c r="CC330" s="9" t="n"/>
      <c r="CD330" s="9" t="n"/>
      <c r="CE330" s="9" t="n"/>
      <c r="CF330" s="9" t="n"/>
      <c r="CG330" s="9" t="n"/>
      <c r="CH330" s="9" t="n"/>
    </row>
    <row r="331">
      <c r="A331" s="8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8" t="n"/>
      <c r="L331" s="9" t="n"/>
      <c r="M331" s="8" t="n"/>
      <c r="N331" s="8" t="n"/>
      <c r="O331" s="8" t="n"/>
      <c r="P331" s="8" t="n"/>
      <c r="Q331" s="8" t="n"/>
      <c r="R331" s="9" t="n"/>
      <c r="S331" s="9" t="n"/>
      <c r="T331" s="10" t="n"/>
      <c r="U331" s="10" t="n"/>
      <c r="V331" s="9" t="n"/>
      <c r="W331" s="9" t="n"/>
      <c r="X331" s="9" t="n"/>
      <c r="Y331" s="9" t="n"/>
      <c r="Z331" s="11" t="n"/>
      <c r="AA331" s="11" t="n"/>
      <c r="AB331" s="11" t="n"/>
      <c r="AC331" s="11" t="n"/>
      <c r="AD331" s="11" t="n"/>
      <c r="AE331" s="11" t="n"/>
      <c r="AF331" s="9" t="n"/>
      <c r="AG331" s="9" t="n"/>
      <c r="AH331" s="9" t="n"/>
      <c r="AI331" s="9" t="n"/>
      <c r="AJ331" s="8" t="n"/>
      <c r="AK331" s="9" t="n"/>
      <c r="AL331" s="9" t="n"/>
      <c r="AM331" s="9" t="n"/>
      <c r="AN331" s="9" t="n"/>
      <c r="AO331" s="9" t="n"/>
      <c r="AP331" s="9" t="n"/>
      <c r="AQ331" s="9" t="n"/>
      <c r="AR331" s="9" t="n"/>
      <c r="AS331" s="9" t="n"/>
      <c r="AT331" s="8" t="n"/>
      <c r="AU331" s="8" t="n"/>
      <c r="AV331" s="9" t="n"/>
      <c r="AW331" s="8" t="n"/>
      <c r="AX331" s="9" t="n"/>
      <c r="AY331" s="9" t="n"/>
      <c r="AZ331" s="9" t="n"/>
      <c r="BA331" s="9" t="n"/>
      <c r="BB331" s="9" t="n"/>
      <c r="BC331" s="9" t="n"/>
      <c r="BD331" s="9" t="n"/>
      <c r="BE331" s="9" t="n"/>
      <c r="BF331" s="9" t="n"/>
      <c r="BG331" s="9" t="n"/>
      <c r="BH331" s="9" t="n"/>
      <c r="BI331" s="9" t="n"/>
      <c r="BJ331" s="9" t="n"/>
      <c r="BK331" s="9" t="n"/>
      <c r="BL331" s="9" t="n"/>
      <c r="BM331" s="9" t="n"/>
      <c r="BN331" s="9" t="n"/>
      <c r="BO331" s="8" t="n"/>
      <c r="BP331" s="9" t="n"/>
      <c r="BQ331" s="9" t="n"/>
      <c r="BR331" s="12">
        <f>IF(AND(AI331="Y",AK331="Y",AL331="Y",AM331="Y",AY331="Y",AZ331="Y",BA331="Y",BB331="Y",BC331="Y",BE331&lt;&gt;"Y",AX331&lt;&gt;"Y",BL331&lt;&gt;"Y",IF(AS331="Y",AV331="Y",TRUE)),"Y","N")</f>
        <v/>
      </c>
      <c r="BS331" s="12">
        <f>IF(AND(BR331="Y",OR(AND(BJ331="Y",BM331="Y"),AND(BK331="Y",BN331="Y"),AND(BJ331&lt;&gt;"Y",BK331&lt;&gt;"Y",OR(BM331="Y",BN331="Y")))),"Y","N")</f>
        <v/>
      </c>
      <c r="BT331" s="10" t="n"/>
      <c r="BU331" s="13" t="n"/>
      <c r="BV331" s="13" t="n"/>
      <c r="BW331" s="13" t="n"/>
      <c r="BX331" s="13" t="n"/>
      <c r="BY331" s="13" t="n"/>
      <c r="BZ331" s="13" t="n"/>
      <c r="CA331" s="14" t="n"/>
      <c r="CB331" s="13" t="n"/>
      <c r="CC331" s="9" t="n"/>
      <c r="CD331" s="9" t="n"/>
      <c r="CE331" s="9" t="n"/>
      <c r="CF331" s="9" t="n"/>
      <c r="CG331" s="9" t="n"/>
      <c r="CH331" s="9" t="n"/>
    </row>
    <row r="332">
      <c r="A332" s="8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8" t="n"/>
      <c r="L332" s="9" t="n"/>
      <c r="M332" s="8" t="n"/>
      <c r="N332" s="8" t="n"/>
      <c r="O332" s="8" t="n"/>
      <c r="P332" s="8" t="n"/>
      <c r="Q332" s="8" t="n"/>
      <c r="R332" s="9" t="n"/>
      <c r="S332" s="9" t="n"/>
      <c r="T332" s="10" t="n"/>
      <c r="U332" s="10" t="n"/>
      <c r="V332" s="9" t="n"/>
      <c r="W332" s="9" t="n"/>
      <c r="X332" s="9" t="n"/>
      <c r="Y332" s="9" t="n"/>
      <c r="Z332" s="11" t="n"/>
      <c r="AA332" s="11" t="n"/>
      <c r="AB332" s="11" t="n"/>
      <c r="AC332" s="11" t="n"/>
      <c r="AD332" s="11" t="n"/>
      <c r="AE332" s="11" t="n"/>
      <c r="AF332" s="9" t="n"/>
      <c r="AG332" s="9" t="n"/>
      <c r="AH332" s="9" t="n"/>
      <c r="AI332" s="9" t="n"/>
      <c r="AJ332" s="8" t="n"/>
      <c r="AK332" s="9" t="n"/>
      <c r="AL332" s="9" t="n"/>
      <c r="AM332" s="9" t="n"/>
      <c r="AN332" s="9" t="n"/>
      <c r="AO332" s="9" t="n"/>
      <c r="AP332" s="9" t="n"/>
      <c r="AQ332" s="9" t="n"/>
      <c r="AR332" s="9" t="n"/>
      <c r="AS332" s="9" t="n"/>
      <c r="AT332" s="8" t="n"/>
      <c r="AU332" s="8" t="n"/>
      <c r="AV332" s="9" t="n"/>
      <c r="AW332" s="8" t="n"/>
      <c r="AX332" s="9" t="n"/>
      <c r="AY332" s="9" t="n"/>
      <c r="AZ332" s="9" t="n"/>
      <c r="BA332" s="9" t="n"/>
      <c r="BB332" s="9" t="n"/>
      <c r="BC332" s="9" t="n"/>
      <c r="BD332" s="9" t="n"/>
      <c r="BE332" s="9" t="n"/>
      <c r="BF332" s="9" t="n"/>
      <c r="BG332" s="9" t="n"/>
      <c r="BH332" s="9" t="n"/>
      <c r="BI332" s="9" t="n"/>
      <c r="BJ332" s="9" t="n"/>
      <c r="BK332" s="9" t="n"/>
      <c r="BL332" s="9" t="n"/>
      <c r="BM332" s="9" t="n"/>
      <c r="BN332" s="9" t="n"/>
      <c r="BO332" s="8" t="n"/>
      <c r="BP332" s="9" t="n"/>
      <c r="BQ332" s="9" t="n"/>
      <c r="BR332" s="12">
        <f>IF(AND(AI332="Y",AK332="Y",AL332="Y",AM332="Y",AY332="Y",AZ332="Y",BA332="Y",BB332="Y",BC332="Y",BE332&lt;&gt;"Y",AX332&lt;&gt;"Y",BL332&lt;&gt;"Y",IF(AS332="Y",AV332="Y",TRUE)),"Y","N")</f>
        <v/>
      </c>
      <c r="BS332" s="12">
        <f>IF(AND(BR332="Y",OR(AND(BJ332="Y",BM332="Y"),AND(BK332="Y",BN332="Y"),AND(BJ332&lt;&gt;"Y",BK332&lt;&gt;"Y",OR(BM332="Y",BN332="Y")))),"Y","N")</f>
        <v/>
      </c>
      <c r="BT332" s="10" t="n"/>
      <c r="BU332" s="13" t="n"/>
      <c r="BV332" s="13" t="n"/>
      <c r="BW332" s="13" t="n"/>
      <c r="BX332" s="13" t="n"/>
      <c r="BY332" s="13" t="n"/>
      <c r="BZ332" s="13" t="n"/>
      <c r="CA332" s="14" t="n"/>
      <c r="CB332" s="13" t="n"/>
      <c r="CC332" s="9" t="n"/>
      <c r="CD332" s="9" t="n"/>
      <c r="CE332" s="9" t="n"/>
      <c r="CF332" s="9" t="n"/>
      <c r="CG332" s="9" t="n"/>
      <c r="CH332" s="9" t="n"/>
    </row>
    <row r="333">
      <c r="A333" s="8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8" t="n"/>
      <c r="L333" s="9" t="n"/>
      <c r="M333" s="8" t="n"/>
      <c r="N333" s="8" t="n"/>
      <c r="O333" s="8" t="n"/>
      <c r="P333" s="8" t="n"/>
      <c r="Q333" s="8" t="n"/>
      <c r="R333" s="9" t="n"/>
      <c r="S333" s="9" t="n"/>
      <c r="T333" s="10" t="n"/>
      <c r="U333" s="10" t="n"/>
      <c r="V333" s="9" t="n"/>
      <c r="W333" s="9" t="n"/>
      <c r="X333" s="9" t="n"/>
      <c r="Y333" s="9" t="n"/>
      <c r="Z333" s="11" t="n"/>
      <c r="AA333" s="11" t="n"/>
      <c r="AB333" s="11" t="n"/>
      <c r="AC333" s="11" t="n"/>
      <c r="AD333" s="11" t="n"/>
      <c r="AE333" s="11" t="n"/>
      <c r="AF333" s="9" t="n"/>
      <c r="AG333" s="9" t="n"/>
      <c r="AH333" s="9" t="n"/>
      <c r="AI333" s="9" t="n"/>
      <c r="AJ333" s="8" t="n"/>
      <c r="AK333" s="9" t="n"/>
      <c r="AL333" s="9" t="n"/>
      <c r="AM333" s="9" t="n"/>
      <c r="AN333" s="9" t="n"/>
      <c r="AO333" s="9" t="n"/>
      <c r="AP333" s="9" t="n"/>
      <c r="AQ333" s="9" t="n"/>
      <c r="AR333" s="9" t="n"/>
      <c r="AS333" s="9" t="n"/>
      <c r="AT333" s="8" t="n"/>
      <c r="AU333" s="8" t="n"/>
      <c r="AV333" s="9" t="n"/>
      <c r="AW333" s="8" t="n"/>
      <c r="AX333" s="9" t="n"/>
      <c r="AY333" s="9" t="n"/>
      <c r="AZ333" s="9" t="n"/>
      <c r="BA333" s="9" t="n"/>
      <c r="BB333" s="9" t="n"/>
      <c r="BC333" s="9" t="n"/>
      <c r="BD333" s="9" t="n"/>
      <c r="BE333" s="9" t="n"/>
      <c r="BF333" s="9" t="n"/>
      <c r="BG333" s="9" t="n"/>
      <c r="BH333" s="9" t="n"/>
      <c r="BI333" s="9" t="n"/>
      <c r="BJ333" s="9" t="n"/>
      <c r="BK333" s="9" t="n"/>
      <c r="BL333" s="9" t="n"/>
      <c r="BM333" s="9" t="n"/>
      <c r="BN333" s="9" t="n"/>
      <c r="BO333" s="8" t="n"/>
      <c r="BP333" s="9" t="n"/>
      <c r="BQ333" s="9" t="n"/>
      <c r="BR333" s="12">
        <f>IF(AND(AI333="Y",AK333="Y",AL333="Y",AM333="Y",AY333="Y",AZ333="Y",BA333="Y",BB333="Y",BC333="Y",BE333&lt;&gt;"Y",AX333&lt;&gt;"Y",BL333&lt;&gt;"Y",IF(AS333="Y",AV333="Y",TRUE)),"Y","N")</f>
        <v/>
      </c>
      <c r="BS333" s="12">
        <f>IF(AND(BR333="Y",OR(AND(BJ333="Y",BM333="Y"),AND(BK333="Y",BN333="Y"),AND(BJ333&lt;&gt;"Y",BK333&lt;&gt;"Y",OR(BM333="Y",BN333="Y")))),"Y","N")</f>
        <v/>
      </c>
      <c r="BT333" s="10" t="n"/>
      <c r="BU333" s="13" t="n"/>
      <c r="BV333" s="13" t="n"/>
      <c r="BW333" s="13" t="n"/>
      <c r="BX333" s="13" t="n"/>
      <c r="BY333" s="13" t="n"/>
      <c r="BZ333" s="13" t="n"/>
      <c r="CA333" s="14" t="n"/>
      <c r="CB333" s="13" t="n"/>
      <c r="CC333" s="9" t="n"/>
      <c r="CD333" s="9" t="n"/>
      <c r="CE333" s="9" t="n"/>
      <c r="CF333" s="9" t="n"/>
      <c r="CG333" s="9" t="n"/>
      <c r="CH333" s="9" t="n"/>
    </row>
    <row r="334">
      <c r="A334" s="8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8" t="n"/>
      <c r="L334" s="9" t="n"/>
      <c r="M334" s="8" t="n"/>
      <c r="N334" s="8" t="n"/>
      <c r="O334" s="8" t="n"/>
      <c r="P334" s="8" t="n"/>
      <c r="Q334" s="8" t="n"/>
      <c r="R334" s="9" t="n"/>
      <c r="S334" s="9" t="n"/>
      <c r="T334" s="10" t="n"/>
      <c r="U334" s="10" t="n"/>
      <c r="V334" s="9" t="n"/>
      <c r="W334" s="9" t="n"/>
      <c r="X334" s="9" t="n"/>
      <c r="Y334" s="9" t="n"/>
      <c r="Z334" s="11" t="n"/>
      <c r="AA334" s="11" t="n"/>
      <c r="AB334" s="11" t="n"/>
      <c r="AC334" s="11" t="n"/>
      <c r="AD334" s="11" t="n"/>
      <c r="AE334" s="11" t="n"/>
      <c r="AF334" s="9" t="n"/>
      <c r="AG334" s="9" t="n"/>
      <c r="AH334" s="9" t="n"/>
      <c r="AI334" s="9" t="n"/>
      <c r="AJ334" s="8" t="n"/>
      <c r="AK334" s="9" t="n"/>
      <c r="AL334" s="9" t="n"/>
      <c r="AM334" s="9" t="n"/>
      <c r="AN334" s="9" t="n"/>
      <c r="AO334" s="9" t="n"/>
      <c r="AP334" s="9" t="n"/>
      <c r="AQ334" s="9" t="n"/>
      <c r="AR334" s="9" t="n"/>
      <c r="AS334" s="9" t="n"/>
      <c r="AT334" s="8" t="n"/>
      <c r="AU334" s="8" t="n"/>
      <c r="AV334" s="9" t="n"/>
      <c r="AW334" s="8" t="n"/>
      <c r="AX334" s="9" t="n"/>
      <c r="AY334" s="9" t="n"/>
      <c r="AZ334" s="9" t="n"/>
      <c r="BA334" s="9" t="n"/>
      <c r="BB334" s="9" t="n"/>
      <c r="BC334" s="9" t="n"/>
      <c r="BD334" s="9" t="n"/>
      <c r="BE334" s="9" t="n"/>
      <c r="BF334" s="9" t="n"/>
      <c r="BG334" s="9" t="n"/>
      <c r="BH334" s="9" t="n"/>
      <c r="BI334" s="9" t="n"/>
      <c r="BJ334" s="9" t="n"/>
      <c r="BK334" s="9" t="n"/>
      <c r="BL334" s="9" t="n"/>
      <c r="BM334" s="9" t="n"/>
      <c r="BN334" s="9" t="n"/>
      <c r="BO334" s="8" t="n"/>
      <c r="BP334" s="9" t="n"/>
      <c r="BQ334" s="9" t="n"/>
      <c r="BR334" s="12">
        <f>IF(AND(AI334="Y",AK334="Y",AL334="Y",AM334="Y",AY334="Y",AZ334="Y",BA334="Y",BB334="Y",BC334="Y",BE334&lt;&gt;"Y",AX334&lt;&gt;"Y",BL334&lt;&gt;"Y",IF(AS334="Y",AV334="Y",TRUE)),"Y","N")</f>
        <v/>
      </c>
      <c r="BS334" s="12">
        <f>IF(AND(BR334="Y",OR(AND(BJ334="Y",BM334="Y"),AND(BK334="Y",BN334="Y"),AND(BJ334&lt;&gt;"Y",BK334&lt;&gt;"Y",OR(BM334="Y",BN334="Y")))),"Y","N")</f>
        <v/>
      </c>
      <c r="BT334" s="10" t="n"/>
      <c r="BU334" s="13" t="n"/>
      <c r="BV334" s="13" t="n"/>
      <c r="BW334" s="13" t="n"/>
      <c r="BX334" s="13" t="n"/>
      <c r="BY334" s="13" t="n"/>
      <c r="BZ334" s="13" t="n"/>
      <c r="CA334" s="14" t="n"/>
      <c r="CB334" s="13" t="n"/>
      <c r="CC334" s="9" t="n"/>
      <c r="CD334" s="9" t="n"/>
      <c r="CE334" s="9" t="n"/>
      <c r="CF334" s="9" t="n"/>
      <c r="CG334" s="9" t="n"/>
      <c r="CH334" s="9" t="n"/>
    </row>
    <row r="335">
      <c r="A335" s="8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8" t="n"/>
      <c r="L335" s="9" t="n"/>
      <c r="M335" s="8" t="n"/>
      <c r="N335" s="8" t="n"/>
      <c r="O335" s="8" t="n"/>
      <c r="P335" s="8" t="n"/>
      <c r="Q335" s="8" t="n"/>
      <c r="R335" s="9" t="n"/>
      <c r="S335" s="9" t="n"/>
      <c r="T335" s="10" t="n"/>
      <c r="U335" s="10" t="n"/>
      <c r="V335" s="9" t="n"/>
      <c r="W335" s="9" t="n"/>
      <c r="X335" s="9" t="n"/>
      <c r="Y335" s="9" t="n"/>
      <c r="Z335" s="11" t="n"/>
      <c r="AA335" s="11" t="n"/>
      <c r="AB335" s="11" t="n"/>
      <c r="AC335" s="11" t="n"/>
      <c r="AD335" s="11" t="n"/>
      <c r="AE335" s="11" t="n"/>
      <c r="AF335" s="9" t="n"/>
      <c r="AG335" s="9" t="n"/>
      <c r="AH335" s="9" t="n"/>
      <c r="AI335" s="9" t="n"/>
      <c r="AJ335" s="8" t="n"/>
      <c r="AK335" s="9" t="n"/>
      <c r="AL335" s="9" t="n"/>
      <c r="AM335" s="9" t="n"/>
      <c r="AN335" s="9" t="n"/>
      <c r="AO335" s="9" t="n"/>
      <c r="AP335" s="9" t="n"/>
      <c r="AQ335" s="9" t="n"/>
      <c r="AR335" s="9" t="n"/>
      <c r="AS335" s="9" t="n"/>
      <c r="AT335" s="8" t="n"/>
      <c r="AU335" s="8" t="n"/>
      <c r="AV335" s="9" t="n"/>
      <c r="AW335" s="8" t="n"/>
      <c r="AX335" s="9" t="n"/>
      <c r="AY335" s="9" t="n"/>
      <c r="AZ335" s="9" t="n"/>
      <c r="BA335" s="9" t="n"/>
      <c r="BB335" s="9" t="n"/>
      <c r="BC335" s="9" t="n"/>
      <c r="BD335" s="9" t="n"/>
      <c r="BE335" s="9" t="n"/>
      <c r="BF335" s="9" t="n"/>
      <c r="BG335" s="9" t="n"/>
      <c r="BH335" s="9" t="n"/>
      <c r="BI335" s="9" t="n"/>
      <c r="BJ335" s="9" t="n"/>
      <c r="BK335" s="9" t="n"/>
      <c r="BL335" s="9" t="n"/>
      <c r="BM335" s="9" t="n"/>
      <c r="BN335" s="9" t="n"/>
      <c r="BO335" s="8" t="n"/>
      <c r="BP335" s="9" t="n"/>
      <c r="BQ335" s="9" t="n"/>
      <c r="BR335" s="12">
        <f>IF(AND(AI335="Y",AK335="Y",AL335="Y",AM335="Y",AY335="Y",AZ335="Y",BA335="Y",BB335="Y",BC335="Y",BE335&lt;&gt;"Y",AX335&lt;&gt;"Y",BL335&lt;&gt;"Y",IF(AS335="Y",AV335="Y",TRUE)),"Y","N")</f>
        <v/>
      </c>
      <c r="BS335" s="12">
        <f>IF(AND(BR335="Y",OR(AND(BJ335="Y",BM335="Y"),AND(BK335="Y",BN335="Y"),AND(BJ335&lt;&gt;"Y",BK335&lt;&gt;"Y",OR(BM335="Y",BN335="Y")))),"Y","N")</f>
        <v/>
      </c>
      <c r="BT335" s="10" t="n"/>
      <c r="BU335" s="13" t="n"/>
      <c r="BV335" s="13" t="n"/>
      <c r="BW335" s="13" t="n"/>
      <c r="BX335" s="13" t="n"/>
      <c r="BY335" s="13" t="n"/>
      <c r="BZ335" s="13" t="n"/>
      <c r="CA335" s="14" t="n"/>
      <c r="CB335" s="13" t="n"/>
      <c r="CC335" s="9" t="n"/>
      <c r="CD335" s="9" t="n"/>
      <c r="CE335" s="9" t="n"/>
      <c r="CF335" s="9" t="n"/>
      <c r="CG335" s="9" t="n"/>
      <c r="CH335" s="9" t="n"/>
    </row>
    <row r="336">
      <c r="A336" s="8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8" t="n"/>
      <c r="L336" s="9" t="n"/>
      <c r="M336" s="8" t="n"/>
      <c r="N336" s="8" t="n"/>
      <c r="O336" s="8" t="n"/>
      <c r="P336" s="8" t="n"/>
      <c r="Q336" s="8" t="n"/>
      <c r="R336" s="9" t="n"/>
      <c r="S336" s="9" t="n"/>
      <c r="T336" s="10" t="n"/>
      <c r="U336" s="10" t="n"/>
      <c r="V336" s="9" t="n"/>
      <c r="W336" s="9" t="n"/>
      <c r="X336" s="9" t="n"/>
      <c r="Y336" s="9" t="n"/>
      <c r="Z336" s="11" t="n"/>
      <c r="AA336" s="11" t="n"/>
      <c r="AB336" s="11" t="n"/>
      <c r="AC336" s="11" t="n"/>
      <c r="AD336" s="11" t="n"/>
      <c r="AE336" s="11" t="n"/>
      <c r="AF336" s="9" t="n"/>
      <c r="AG336" s="9" t="n"/>
      <c r="AH336" s="9" t="n"/>
      <c r="AI336" s="9" t="n"/>
      <c r="AJ336" s="8" t="n"/>
      <c r="AK336" s="9" t="n"/>
      <c r="AL336" s="9" t="n"/>
      <c r="AM336" s="9" t="n"/>
      <c r="AN336" s="9" t="n"/>
      <c r="AO336" s="9" t="n"/>
      <c r="AP336" s="9" t="n"/>
      <c r="AQ336" s="9" t="n"/>
      <c r="AR336" s="9" t="n"/>
      <c r="AS336" s="9" t="n"/>
      <c r="AT336" s="8" t="n"/>
      <c r="AU336" s="8" t="n"/>
      <c r="AV336" s="9" t="n"/>
      <c r="AW336" s="8" t="n"/>
      <c r="AX336" s="9" t="n"/>
      <c r="AY336" s="9" t="n"/>
      <c r="AZ336" s="9" t="n"/>
      <c r="BA336" s="9" t="n"/>
      <c r="BB336" s="9" t="n"/>
      <c r="BC336" s="9" t="n"/>
      <c r="BD336" s="9" t="n"/>
      <c r="BE336" s="9" t="n"/>
      <c r="BF336" s="9" t="n"/>
      <c r="BG336" s="9" t="n"/>
      <c r="BH336" s="9" t="n"/>
      <c r="BI336" s="9" t="n"/>
      <c r="BJ336" s="9" t="n"/>
      <c r="BK336" s="9" t="n"/>
      <c r="BL336" s="9" t="n"/>
      <c r="BM336" s="9" t="n"/>
      <c r="BN336" s="9" t="n"/>
      <c r="BO336" s="8" t="n"/>
      <c r="BP336" s="9" t="n"/>
      <c r="BQ336" s="9" t="n"/>
      <c r="BR336" s="12">
        <f>IF(AND(AI336="Y",AK336="Y",AL336="Y",AM336="Y",AY336="Y",AZ336="Y",BA336="Y",BB336="Y",BC336="Y",BE336&lt;&gt;"Y",AX336&lt;&gt;"Y",BL336&lt;&gt;"Y",IF(AS336="Y",AV336="Y",TRUE)),"Y","N")</f>
        <v/>
      </c>
      <c r="BS336" s="12">
        <f>IF(AND(BR336="Y",OR(AND(BJ336="Y",BM336="Y"),AND(BK336="Y",BN336="Y"),AND(BJ336&lt;&gt;"Y",BK336&lt;&gt;"Y",OR(BM336="Y",BN336="Y")))),"Y","N")</f>
        <v/>
      </c>
      <c r="BT336" s="10" t="n"/>
      <c r="BU336" s="13" t="n"/>
      <c r="BV336" s="13" t="n"/>
      <c r="BW336" s="13" t="n"/>
      <c r="BX336" s="13" t="n"/>
      <c r="BY336" s="13" t="n"/>
      <c r="BZ336" s="13" t="n"/>
      <c r="CA336" s="14" t="n"/>
      <c r="CB336" s="13" t="n"/>
      <c r="CC336" s="9" t="n"/>
      <c r="CD336" s="9" t="n"/>
      <c r="CE336" s="9" t="n"/>
      <c r="CF336" s="9" t="n"/>
      <c r="CG336" s="9" t="n"/>
      <c r="CH336" s="9" t="n"/>
    </row>
    <row r="337">
      <c r="A337" s="8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8" t="n"/>
      <c r="L337" s="9" t="n"/>
      <c r="M337" s="8" t="n"/>
      <c r="N337" s="8" t="n"/>
      <c r="O337" s="8" t="n"/>
      <c r="P337" s="8" t="n"/>
      <c r="Q337" s="8" t="n"/>
      <c r="R337" s="9" t="n"/>
      <c r="S337" s="9" t="n"/>
      <c r="T337" s="10" t="n"/>
      <c r="U337" s="10" t="n"/>
      <c r="V337" s="9" t="n"/>
      <c r="W337" s="9" t="n"/>
      <c r="X337" s="9" t="n"/>
      <c r="Y337" s="9" t="n"/>
      <c r="Z337" s="11" t="n"/>
      <c r="AA337" s="11" t="n"/>
      <c r="AB337" s="11" t="n"/>
      <c r="AC337" s="11" t="n"/>
      <c r="AD337" s="11" t="n"/>
      <c r="AE337" s="11" t="n"/>
      <c r="AF337" s="9" t="n"/>
      <c r="AG337" s="9" t="n"/>
      <c r="AH337" s="9" t="n"/>
      <c r="AI337" s="9" t="n"/>
      <c r="AJ337" s="8" t="n"/>
      <c r="AK337" s="9" t="n"/>
      <c r="AL337" s="9" t="n"/>
      <c r="AM337" s="9" t="n"/>
      <c r="AN337" s="9" t="n"/>
      <c r="AO337" s="9" t="n"/>
      <c r="AP337" s="9" t="n"/>
      <c r="AQ337" s="9" t="n"/>
      <c r="AR337" s="9" t="n"/>
      <c r="AS337" s="9" t="n"/>
      <c r="AT337" s="8" t="n"/>
      <c r="AU337" s="8" t="n"/>
      <c r="AV337" s="9" t="n"/>
      <c r="AW337" s="8" t="n"/>
      <c r="AX337" s="9" t="n"/>
      <c r="AY337" s="9" t="n"/>
      <c r="AZ337" s="9" t="n"/>
      <c r="BA337" s="9" t="n"/>
      <c r="BB337" s="9" t="n"/>
      <c r="BC337" s="9" t="n"/>
      <c r="BD337" s="9" t="n"/>
      <c r="BE337" s="9" t="n"/>
      <c r="BF337" s="9" t="n"/>
      <c r="BG337" s="9" t="n"/>
      <c r="BH337" s="9" t="n"/>
      <c r="BI337" s="9" t="n"/>
      <c r="BJ337" s="9" t="n"/>
      <c r="BK337" s="9" t="n"/>
      <c r="BL337" s="9" t="n"/>
      <c r="BM337" s="9" t="n"/>
      <c r="BN337" s="9" t="n"/>
      <c r="BO337" s="8" t="n"/>
      <c r="BP337" s="9" t="n"/>
      <c r="BQ337" s="9" t="n"/>
      <c r="BR337" s="12">
        <f>IF(AND(AI337="Y",AK337="Y",AL337="Y",AM337="Y",AY337="Y",AZ337="Y",BA337="Y",BB337="Y",BC337="Y",BE337&lt;&gt;"Y",AX337&lt;&gt;"Y",BL337&lt;&gt;"Y",IF(AS337="Y",AV337="Y",TRUE)),"Y","N")</f>
        <v/>
      </c>
      <c r="BS337" s="12">
        <f>IF(AND(BR337="Y",OR(AND(BJ337="Y",BM337="Y"),AND(BK337="Y",BN337="Y"),AND(BJ337&lt;&gt;"Y",BK337&lt;&gt;"Y",OR(BM337="Y",BN337="Y")))),"Y","N")</f>
        <v/>
      </c>
      <c r="BT337" s="10" t="n"/>
      <c r="BU337" s="13" t="n"/>
      <c r="BV337" s="13" t="n"/>
      <c r="BW337" s="13" t="n"/>
      <c r="BX337" s="13" t="n"/>
      <c r="BY337" s="13" t="n"/>
      <c r="BZ337" s="13" t="n"/>
      <c r="CA337" s="14" t="n"/>
      <c r="CB337" s="13" t="n"/>
      <c r="CC337" s="9" t="n"/>
      <c r="CD337" s="9" t="n"/>
      <c r="CE337" s="9" t="n"/>
      <c r="CF337" s="9" t="n"/>
      <c r="CG337" s="9" t="n"/>
      <c r="CH337" s="9" t="n"/>
    </row>
    <row r="338">
      <c r="A338" s="8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8" t="n"/>
      <c r="L338" s="9" t="n"/>
      <c r="M338" s="8" t="n"/>
      <c r="N338" s="8" t="n"/>
      <c r="O338" s="8" t="n"/>
      <c r="P338" s="8" t="n"/>
      <c r="Q338" s="8" t="n"/>
      <c r="R338" s="9" t="n"/>
      <c r="S338" s="9" t="n"/>
      <c r="T338" s="10" t="n"/>
      <c r="U338" s="10" t="n"/>
      <c r="V338" s="9" t="n"/>
      <c r="W338" s="9" t="n"/>
      <c r="X338" s="9" t="n"/>
      <c r="Y338" s="9" t="n"/>
      <c r="Z338" s="11" t="n"/>
      <c r="AA338" s="11" t="n"/>
      <c r="AB338" s="11" t="n"/>
      <c r="AC338" s="11" t="n"/>
      <c r="AD338" s="11" t="n"/>
      <c r="AE338" s="11" t="n"/>
      <c r="AF338" s="9" t="n"/>
      <c r="AG338" s="9" t="n"/>
      <c r="AH338" s="9" t="n"/>
      <c r="AI338" s="9" t="n"/>
      <c r="AJ338" s="8" t="n"/>
      <c r="AK338" s="9" t="n"/>
      <c r="AL338" s="9" t="n"/>
      <c r="AM338" s="9" t="n"/>
      <c r="AN338" s="9" t="n"/>
      <c r="AO338" s="9" t="n"/>
      <c r="AP338" s="9" t="n"/>
      <c r="AQ338" s="9" t="n"/>
      <c r="AR338" s="9" t="n"/>
      <c r="AS338" s="9" t="n"/>
      <c r="AT338" s="8" t="n"/>
      <c r="AU338" s="8" t="n"/>
      <c r="AV338" s="9" t="n"/>
      <c r="AW338" s="8" t="n"/>
      <c r="AX338" s="9" t="n"/>
      <c r="AY338" s="9" t="n"/>
      <c r="AZ338" s="9" t="n"/>
      <c r="BA338" s="9" t="n"/>
      <c r="BB338" s="9" t="n"/>
      <c r="BC338" s="9" t="n"/>
      <c r="BD338" s="9" t="n"/>
      <c r="BE338" s="9" t="n"/>
      <c r="BF338" s="9" t="n"/>
      <c r="BG338" s="9" t="n"/>
      <c r="BH338" s="9" t="n"/>
      <c r="BI338" s="9" t="n"/>
      <c r="BJ338" s="9" t="n"/>
      <c r="BK338" s="9" t="n"/>
      <c r="BL338" s="9" t="n"/>
      <c r="BM338" s="9" t="n"/>
      <c r="BN338" s="9" t="n"/>
      <c r="BO338" s="8" t="n"/>
      <c r="BP338" s="9" t="n"/>
      <c r="BQ338" s="9" t="n"/>
      <c r="BR338" s="12">
        <f>IF(AND(AI338="Y",AK338="Y",AL338="Y",AM338="Y",AY338="Y",AZ338="Y",BA338="Y",BB338="Y",BC338="Y",BE338&lt;&gt;"Y",AX338&lt;&gt;"Y",BL338&lt;&gt;"Y",IF(AS338="Y",AV338="Y",TRUE)),"Y","N")</f>
        <v/>
      </c>
      <c r="BS338" s="12">
        <f>IF(AND(BR338="Y",OR(AND(BJ338="Y",BM338="Y"),AND(BK338="Y",BN338="Y"),AND(BJ338&lt;&gt;"Y",BK338&lt;&gt;"Y",OR(BM338="Y",BN338="Y")))),"Y","N")</f>
        <v/>
      </c>
      <c r="BT338" s="10" t="n"/>
      <c r="BU338" s="13" t="n"/>
      <c r="BV338" s="13" t="n"/>
      <c r="BW338" s="13" t="n"/>
      <c r="BX338" s="13" t="n"/>
      <c r="BY338" s="13" t="n"/>
      <c r="BZ338" s="13" t="n"/>
      <c r="CA338" s="14" t="n"/>
      <c r="CB338" s="13" t="n"/>
      <c r="CC338" s="9" t="n"/>
      <c r="CD338" s="9" t="n"/>
      <c r="CE338" s="9" t="n"/>
      <c r="CF338" s="9" t="n"/>
      <c r="CG338" s="9" t="n"/>
      <c r="CH338" s="9" t="n"/>
    </row>
    <row r="339">
      <c r="A339" s="8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8" t="n"/>
      <c r="L339" s="9" t="n"/>
      <c r="M339" s="8" t="n"/>
      <c r="N339" s="8" t="n"/>
      <c r="O339" s="8" t="n"/>
      <c r="P339" s="8" t="n"/>
      <c r="Q339" s="8" t="n"/>
      <c r="R339" s="9" t="n"/>
      <c r="S339" s="9" t="n"/>
      <c r="T339" s="10" t="n"/>
      <c r="U339" s="10" t="n"/>
      <c r="V339" s="9" t="n"/>
      <c r="W339" s="9" t="n"/>
      <c r="X339" s="9" t="n"/>
      <c r="Y339" s="9" t="n"/>
      <c r="Z339" s="11" t="n"/>
      <c r="AA339" s="11" t="n"/>
      <c r="AB339" s="11" t="n"/>
      <c r="AC339" s="11" t="n"/>
      <c r="AD339" s="11" t="n"/>
      <c r="AE339" s="11" t="n"/>
      <c r="AF339" s="9" t="n"/>
      <c r="AG339" s="9" t="n"/>
      <c r="AH339" s="9" t="n"/>
      <c r="AI339" s="9" t="n"/>
      <c r="AJ339" s="8" t="n"/>
      <c r="AK339" s="9" t="n"/>
      <c r="AL339" s="9" t="n"/>
      <c r="AM339" s="9" t="n"/>
      <c r="AN339" s="9" t="n"/>
      <c r="AO339" s="9" t="n"/>
      <c r="AP339" s="9" t="n"/>
      <c r="AQ339" s="9" t="n"/>
      <c r="AR339" s="9" t="n"/>
      <c r="AS339" s="9" t="n"/>
      <c r="AT339" s="8" t="n"/>
      <c r="AU339" s="8" t="n"/>
      <c r="AV339" s="9" t="n"/>
      <c r="AW339" s="8" t="n"/>
      <c r="AX339" s="9" t="n"/>
      <c r="AY339" s="9" t="n"/>
      <c r="AZ339" s="9" t="n"/>
      <c r="BA339" s="9" t="n"/>
      <c r="BB339" s="9" t="n"/>
      <c r="BC339" s="9" t="n"/>
      <c r="BD339" s="9" t="n"/>
      <c r="BE339" s="9" t="n"/>
      <c r="BF339" s="9" t="n"/>
      <c r="BG339" s="9" t="n"/>
      <c r="BH339" s="9" t="n"/>
      <c r="BI339" s="9" t="n"/>
      <c r="BJ339" s="9" t="n"/>
      <c r="BK339" s="9" t="n"/>
      <c r="BL339" s="9" t="n"/>
      <c r="BM339" s="9" t="n"/>
      <c r="BN339" s="9" t="n"/>
      <c r="BO339" s="8" t="n"/>
      <c r="BP339" s="9" t="n"/>
      <c r="BQ339" s="9" t="n"/>
      <c r="BR339" s="12">
        <f>IF(AND(AI339="Y",AK339="Y",AL339="Y",AM339="Y",AY339="Y",AZ339="Y",BA339="Y",BB339="Y",BC339="Y",BE339&lt;&gt;"Y",AX339&lt;&gt;"Y",BL339&lt;&gt;"Y",IF(AS339="Y",AV339="Y",TRUE)),"Y","N")</f>
        <v/>
      </c>
      <c r="BS339" s="12">
        <f>IF(AND(BR339="Y",OR(AND(BJ339="Y",BM339="Y"),AND(BK339="Y",BN339="Y"),AND(BJ339&lt;&gt;"Y",BK339&lt;&gt;"Y",OR(BM339="Y",BN339="Y")))),"Y","N")</f>
        <v/>
      </c>
      <c r="BT339" s="10" t="n"/>
      <c r="BU339" s="13" t="n"/>
      <c r="BV339" s="13" t="n"/>
      <c r="BW339" s="13" t="n"/>
      <c r="BX339" s="13" t="n"/>
      <c r="BY339" s="13" t="n"/>
      <c r="BZ339" s="13" t="n"/>
      <c r="CA339" s="14" t="n"/>
      <c r="CB339" s="13" t="n"/>
      <c r="CC339" s="9" t="n"/>
      <c r="CD339" s="9" t="n"/>
      <c r="CE339" s="9" t="n"/>
      <c r="CF339" s="9" t="n"/>
      <c r="CG339" s="9" t="n"/>
      <c r="CH339" s="9" t="n"/>
    </row>
    <row r="340">
      <c r="A340" s="8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8" t="n"/>
      <c r="L340" s="9" t="n"/>
      <c r="M340" s="8" t="n"/>
      <c r="N340" s="8" t="n"/>
      <c r="O340" s="8" t="n"/>
      <c r="P340" s="8" t="n"/>
      <c r="Q340" s="8" t="n"/>
      <c r="R340" s="9" t="n"/>
      <c r="S340" s="9" t="n"/>
      <c r="T340" s="10" t="n"/>
      <c r="U340" s="10" t="n"/>
      <c r="V340" s="9" t="n"/>
      <c r="W340" s="9" t="n"/>
      <c r="X340" s="9" t="n"/>
      <c r="Y340" s="9" t="n"/>
      <c r="Z340" s="11" t="n"/>
      <c r="AA340" s="11" t="n"/>
      <c r="AB340" s="11" t="n"/>
      <c r="AC340" s="11" t="n"/>
      <c r="AD340" s="11" t="n"/>
      <c r="AE340" s="11" t="n"/>
      <c r="AF340" s="9" t="n"/>
      <c r="AG340" s="9" t="n"/>
      <c r="AH340" s="9" t="n"/>
      <c r="AI340" s="9" t="n"/>
      <c r="AJ340" s="8" t="n"/>
      <c r="AK340" s="9" t="n"/>
      <c r="AL340" s="9" t="n"/>
      <c r="AM340" s="9" t="n"/>
      <c r="AN340" s="9" t="n"/>
      <c r="AO340" s="9" t="n"/>
      <c r="AP340" s="9" t="n"/>
      <c r="AQ340" s="9" t="n"/>
      <c r="AR340" s="9" t="n"/>
      <c r="AS340" s="9" t="n"/>
      <c r="AT340" s="8" t="n"/>
      <c r="AU340" s="8" t="n"/>
      <c r="AV340" s="9" t="n"/>
      <c r="AW340" s="8" t="n"/>
      <c r="AX340" s="9" t="n"/>
      <c r="AY340" s="9" t="n"/>
      <c r="AZ340" s="9" t="n"/>
      <c r="BA340" s="9" t="n"/>
      <c r="BB340" s="9" t="n"/>
      <c r="BC340" s="9" t="n"/>
      <c r="BD340" s="9" t="n"/>
      <c r="BE340" s="9" t="n"/>
      <c r="BF340" s="9" t="n"/>
      <c r="BG340" s="9" t="n"/>
      <c r="BH340" s="9" t="n"/>
      <c r="BI340" s="9" t="n"/>
      <c r="BJ340" s="9" t="n"/>
      <c r="BK340" s="9" t="n"/>
      <c r="BL340" s="9" t="n"/>
      <c r="BM340" s="9" t="n"/>
      <c r="BN340" s="9" t="n"/>
      <c r="BO340" s="8" t="n"/>
      <c r="BP340" s="9" t="n"/>
      <c r="BQ340" s="9" t="n"/>
      <c r="BR340" s="12">
        <f>IF(AND(AI340="Y",AK340="Y",AL340="Y",AM340="Y",AY340="Y",AZ340="Y",BA340="Y",BB340="Y",BC340="Y",BE340&lt;&gt;"Y",AX340&lt;&gt;"Y",BL340&lt;&gt;"Y",IF(AS340="Y",AV340="Y",TRUE)),"Y","N")</f>
        <v/>
      </c>
      <c r="BS340" s="12">
        <f>IF(AND(BR340="Y",OR(AND(BJ340="Y",BM340="Y"),AND(BK340="Y",BN340="Y"),AND(BJ340&lt;&gt;"Y",BK340&lt;&gt;"Y",OR(BM340="Y",BN340="Y")))),"Y","N")</f>
        <v/>
      </c>
      <c r="BT340" s="10" t="n"/>
      <c r="BU340" s="13" t="n"/>
      <c r="BV340" s="13" t="n"/>
      <c r="BW340" s="13" t="n"/>
      <c r="BX340" s="13" t="n"/>
      <c r="BY340" s="13" t="n"/>
      <c r="BZ340" s="13" t="n"/>
      <c r="CA340" s="14" t="n"/>
      <c r="CB340" s="13" t="n"/>
      <c r="CC340" s="9" t="n"/>
      <c r="CD340" s="9" t="n"/>
      <c r="CE340" s="9" t="n"/>
      <c r="CF340" s="9" t="n"/>
      <c r="CG340" s="9" t="n"/>
      <c r="CH340" s="9" t="n"/>
    </row>
    <row r="341">
      <c r="A341" s="8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8" t="n"/>
      <c r="L341" s="9" t="n"/>
      <c r="M341" s="8" t="n"/>
      <c r="N341" s="8" t="n"/>
      <c r="O341" s="8" t="n"/>
      <c r="P341" s="8" t="n"/>
      <c r="Q341" s="8" t="n"/>
      <c r="R341" s="9" t="n"/>
      <c r="S341" s="9" t="n"/>
      <c r="T341" s="10" t="n"/>
      <c r="U341" s="10" t="n"/>
      <c r="V341" s="9" t="n"/>
      <c r="W341" s="9" t="n"/>
      <c r="X341" s="9" t="n"/>
      <c r="Y341" s="9" t="n"/>
      <c r="Z341" s="11" t="n"/>
      <c r="AA341" s="11" t="n"/>
      <c r="AB341" s="11" t="n"/>
      <c r="AC341" s="11" t="n"/>
      <c r="AD341" s="11" t="n"/>
      <c r="AE341" s="11" t="n"/>
      <c r="AF341" s="9" t="n"/>
      <c r="AG341" s="9" t="n"/>
      <c r="AH341" s="9" t="n"/>
      <c r="AI341" s="9" t="n"/>
      <c r="AJ341" s="8" t="n"/>
      <c r="AK341" s="9" t="n"/>
      <c r="AL341" s="9" t="n"/>
      <c r="AM341" s="9" t="n"/>
      <c r="AN341" s="9" t="n"/>
      <c r="AO341" s="9" t="n"/>
      <c r="AP341" s="9" t="n"/>
      <c r="AQ341" s="9" t="n"/>
      <c r="AR341" s="9" t="n"/>
      <c r="AS341" s="9" t="n"/>
      <c r="AT341" s="8" t="n"/>
      <c r="AU341" s="8" t="n"/>
      <c r="AV341" s="9" t="n"/>
      <c r="AW341" s="8" t="n"/>
      <c r="AX341" s="9" t="n"/>
      <c r="AY341" s="9" t="n"/>
      <c r="AZ341" s="9" t="n"/>
      <c r="BA341" s="9" t="n"/>
      <c r="BB341" s="9" t="n"/>
      <c r="BC341" s="9" t="n"/>
      <c r="BD341" s="9" t="n"/>
      <c r="BE341" s="9" t="n"/>
      <c r="BF341" s="9" t="n"/>
      <c r="BG341" s="9" t="n"/>
      <c r="BH341" s="9" t="n"/>
      <c r="BI341" s="9" t="n"/>
      <c r="BJ341" s="9" t="n"/>
      <c r="BK341" s="9" t="n"/>
      <c r="BL341" s="9" t="n"/>
      <c r="BM341" s="9" t="n"/>
      <c r="BN341" s="9" t="n"/>
      <c r="BO341" s="8" t="n"/>
      <c r="BP341" s="9" t="n"/>
      <c r="BQ341" s="9" t="n"/>
      <c r="BR341" s="12">
        <f>IF(AND(AI341="Y",AK341="Y",AL341="Y",AM341="Y",AY341="Y",AZ341="Y",BA341="Y",BB341="Y",BC341="Y",BE341&lt;&gt;"Y",AX341&lt;&gt;"Y",BL341&lt;&gt;"Y",IF(AS341="Y",AV341="Y",TRUE)),"Y","N")</f>
        <v/>
      </c>
      <c r="BS341" s="12">
        <f>IF(AND(BR341="Y",OR(AND(BJ341="Y",BM341="Y"),AND(BK341="Y",BN341="Y"),AND(BJ341&lt;&gt;"Y",BK341&lt;&gt;"Y",OR(BM341="Y",BN341="Y")))),"Y","N")</f>
        <v/>
      </c>
      <c r="BT341" s="10" t="n"/>
      <c r="BU341" s="13" t="n"/>
      <c r="BV341" s="13" t="n"/>
      <c r="BW341" s="13" t="n"/>
      <c r="BX341" s="13" t="n"/>
      <c r="BY341" s="13" t="n"/>
      <c r="BZ341" s="13" t="n"/>
      <c r="CA341" s="14" t="n"/>
      <c r="CB341" s="13" t="n"/>
      <c r="CC341" s="9" t="n"/>
      <c r="CD341" s="9" t="n"/>
      <c r="CE341" s="9" t="n"/>
      <c r="CF341" s="9" t="n"/>
      <c r="CG341" s="9" t="n"/>
      <c r="CH341" s="9" t="n"/>
    </row>
    <row r="342">
      <c r="A342" s="8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8" t="n"/>
      <c r="L342" s="9" t="n"/>
      <c r="M342" s="8" t="n"/>
      <c r="N342" s="8" t="n"/>
      <c r="O342" s="8" t="n"/>
      <c r="P342" s="8" t="n"/>
      <c r="Q342" s="8" t="n"/>
      <c r="R342" s="9" t="n"/>
      <c r="S342" s="9" t="n"/>
      <c r="T342" s="10" t="n"/>
      <c r="U342" s="10" t="n"/>
      <c r="V342" s="9" t="n"/>
      <c r="W342" s="9" t="n"/>
      <c r="X342" s="9" t="n"/>
      <c r="Y342" s="9" t="n"/>
      <c r="Z342" s="11" t="n"/>
      <c r="AA342" s="11" t="n"/>
      <c r="AB342" s="11" t="n"/>
      <c r="AC342" s="11" t="n"/>
      <c r="AD342" s="11" t="n"/>
      <c r="AE342" s="11" t="n"/>
      <c r="AF342" s="9" t="n"/>
      <c r="AG342" s="9" t="n"/>
      <c r="AH342" s="9" t="n"/>
      <c r="AI342" s="9" t="n"/>
      <c r="AJ342" s="8" t="n"/>
      <c r="AK342" s="9" t="n"/>
      <c r="AL342" s="9" t="n"/>
      <c r="AM342" s="9" t="n"/>
      <c r="AN342" s="9" t="n"/>
      <c r="AO342" s="9" t="n"/>
      <c r="AP342" s="9" t="n"/>
      <c r="AQ342" s="9" t="n"/>
      <c r="AR342" s="9" t="n"/>
      <c r="AS342" s="9" t="n"/>
      <c r="AT342" s="8" t="n"/>
      <c r="AU342" s="8" t="n"/>
      <c r="AV342" s="9" t="n"/>
      <c r="AW342" s="8" t="n"/>
      <c r="AX342" s="9" t="n"/>
      <c r="AY342" s="9" t="n"/>
      <c r="AZ342" s="9" t="n"/>
      <c r="BA342" s="9" t="n"/>
      <c r="BB342" s="9" t="n"/>
      <c r="BC342" s="9" t="n"/>
      <c r="BD342" s="9" t="n"/>
      <c r="BE342" s="9" t="n"/>
      <c r="BF342" s="9" t="n"/>
      <c r="BG342" s="9" t="n"/>
      <c r="BH342" s="9" t="n"/>
      <c r="BI342" s="9" t="n"/>
      <c r="BJ342" s="9" t="n"/>
      <c r="BK342" s="9" t="n"/>
      <c r="BL342" s="9" t="n"/>
      <c r="BM342" s="9" t="n"/>
      <c r="BN342" s="9" t="n"/>
      <c r="BO342" s="8" t="n"/>
      <c r="BP342" s="9" t="n"/>
      <c r="BQ342" s="9" t="n"/>
      <c r="BR342" s="12">
        <f>IF(AND(AI342="Y",AK342="Y",AL342="Y",AM342="Y",AY342="Y",AZ342="Y",BA342="Y",BB342="Y",BC342="Y",BE342&lt;&gt;"Y",AX342&lt;&gt;"Y",BL342&lt;&gt;"Y",IF(AS342="Y",AV342="Y",TRUE)),"Y","N")</f>
        <v/>
      </c>
      <c r="BS342" s="12">
        <f>IF(AND(BR342="Y",OR(AND(BJ342="Y",BM342="Y"),AND(BK342="Y",BN342="Y"),AND(BJ342&lt;&gt;"Y",BK342&lt;&gt;"Y",OR(BM342="Y",BN342="Y")))),"Y","N")</f>
        <v/>
      </c>
      <c r="BT342" s="10" t="n"/>
      <c r="BU342" s="13" t="n"/>
      <c r="BV342" s="13" t="n"/>
      <c r="BW342" s="13" t="n"/>
      <c r="BX342" s="13" t="n"/>
      <c r="BY342" s="13" t="n"/>
      <c r="BZ342" s="13" t="n"/>
      <c r="CA342" s="14" t="n"/>
      <c r="CB342" s="13" t="n"/>
      <c r="CC342" s="9" t="n"/>
      <c r="CD342" s="9" t="n"/>
      <c r="CE342" s="9" t="n"/>
      <c r="CF342" s="9" t="n"/>
      <c r="CG342" s="9" t="n"/>
      <c r="CH342" s="9" t="n"/>
    </row>
    <row r="343">
      <c r="A343" s="8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8" t="n"/>
      <c r="L343" s="9" t="n"/>
      <c r="M343" s="8" t="n"/>
      <c r="N343" s="8" t="n"/>
      <c r="O343" s="8" t="n"/>
      <c r="P343" s="8" t="n"/>
      <c r="Q343" s="8" t="n"/>
      <c r="R343" s="9" t="n"/>
      <c r="S343" s="9" t="n"/>
      <c r="T343" s="10" t="n"/>
      <c r="U343" s="10" t="n"/>
      <c r="V343" s="9" t="n"/>
      <c r="W343" s="9" t="n"/>
      <c r="X343" s="9" t="n"/>
      <c r="Y343" s="9" t="n"/>
      <c r="Z343" s="11" t="n"/>
      <c r="AA343" s="11" t="n"/>
      <c r="AB343" s="11" t="n"/>
      <c r="AC343" s="11" t="n"/>
      <c r="AD343" s="11" t="n"/>
      <c r="AE343" s="11" t="n"/>
      <c r="AF343" s="9" t="n"/>
      <c r="AG343" s="9" t="n"/>
      <c r="AH343" s="9" t="n"/>
      <c r="AI343" s="9" t="n"/>
      <c r="AJ343" s="8" t="n"/>
      <c r="AK343" s="9" t="n"/>
      <c r="AL343" s="9" t="n"/>
      <c r="AM343" s="9" t="n"/>
      <c r="AN343" s="9" t="n"/>
      <c r="AO343" s="9" t="n"/>
      <c r="AP343" s="9" t="n"/>
      <c r="AQ343" s="9" t="n"/>
      <c r="AR343" s="9" t="n"/>
      <c r="AS343" s="9" t="n"/>
      <c r="AT343" s="8" t="n"/>
      <c r="AU343" s="8" t="n"/>
      <c r="AV343" s="9" t="n"/>
      <c r="AW343" s="8" t="n"/>
      <c r="AX343" s="9" t="n"/>
      <c r="AY343" s="9" t="n"/>
      <c r="AZ343" s="9" t="n"/>
      <c r="BA343" s="9" t="n"/>
      <c r="BB343" s="9" t="n"/>
      <c r="BC343" s="9" t="n"/>
      <c r="BD343" s="9" t="n"/>
      <c r="BE343" s="9" t="n"/>
      <c r="BF343" s="9" t="n"/>
      <c r="BG343" s="9" t="n"/>
      <c r="BH343" s="9" t="n"/>
      <c r="BI343" s="9" t="n"/>
      <c r="BJ343" s="9" t="n"/>
      <c r="BK343" s="9" t="n"/>
      <c r="BL343" s="9" t="n"/>
      <c r="BM343" s="9" t="n"/>
      <c r="BN343" s="9" t="n"/>
      <c r="BO343" s="8" t="n"/>
      <c r="BP343" s="9" t="n"/>
      <c r="BQ343" s="9" t="n"/>
      <c r="BR343" s="12">
        <f>IF(AND(AI343="Y",AK343="Y",AL343="Y",AM343="Y",AY343="Y",AZ343="Y",BA343="Y",BB343="Y",BC343="Y",BE343&lt;&gt;"Y",AX343&lt;&gt;"Y",BL343&lt;&gt;"Y",IF(AS343="Y",AV343="Y",TRUE)),"Y","N")</f>
        <v/>
      </c>
      <c r="BS343" s="12">
        <f>IF(AND(BR343="Y",OR(AND(BJ343="Y",BM343="Y"),AND(BK343="Y",BN343="Y"),AND(BJ343&lt;&gt;"Y",BK343&lt;&gt;"Y",OR(BM343="Y",BN343="Y")))),"Y","N")</f>
        <v/>
      </c>
      <c r="BT343" s="10" t="n"/>
      <c r="BU343" s="13" t="n"/>
      <c r="BV343" s="13" t="n"/>
      <c r="BW343" s="13" t="n"/>
      <c r="BX343" s="13" t="n"/>
      <c r="BY343" s="13" t="n"/>
      <c r="BZ343" s="13" t="n"/>
      <c r="CA343" s="14" t="n"/>
      <c r="CB343" s="13" t="n"/>
      <c r="CC343" s="9" t="n"/>
      <c r="CD343" s="9" t="n"/>
      <c r="CE343" s="9" t="n"/>
      <c r="CF343" s="9" t="n"/>
      <c r="CG343" s="9" t="n"/>
      <c r="CH343" s="9" t="n"/>
    </row>
    <row r="344">
      <c r="A344" s="8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8" t="n"/>
      <c r="L344" s="9" t="n"/>
      <c r="M344" s="8" t="n"/>
      <c r="N344" s="8" t="n"/>
      <c r="O344" s="8" t="n"/>
      <c r="P344" s="8" t="n"/>
      <c r="Q344" s="8" t="n"/>
      <c r="R344" s="9" t="n"/>
      <c r="S344" s="9" t="n"/>
      <c r="T344" s="10" t="n"/>
      <c r="U344" s="10" t="n"/>
      <c r="V344" s="9" t="n"/>
      <c r="W344" s="9" t="n"/>
      <c r="X344" s="9" t="n"/>
      <c r="Y344" s="9" t="n"/>
      <c r="Z344" s="11" t="n"/>
      <c r="AA344" s="11" t="n"/>
      <c r="AB344" s="11" t="n"/>
      <c r="AC344" s="11" t="n"/>
      <c r="AD344" s="11" t="n"/>
      <c r="AE344" s="11" t="n"/>
      <c r="AF344" s="9" t="n"/>
      <c r="AG344" s="9" t="n"/>
      <c r="AH344" s="9" t="n"/>
      <c r="AI344" s="9" t="n"/>
      <c r="AJ344" s="8" t="n"/>
      <c r="AK344" s="9" t="n"/>
      <c r="AL344" s="9" t="n"/>
      <c r="AM344" s="9" t="n"/>
      <c r="AN344" s="9" t="n"/>
      <c r="AO344" s="9" t="n"/>
      <c r="AP344" s="9" t="n"/>
      <c r="AQ344" s="9" t="n"/>
      <c r="AR344" s="9" t="n"/>
      <c r="AS344" s="9" t="n"/>
      <c r="AT344" s="8" t="n"/>
      <c r="AU344" s="8" t="n"/>
      <c r="AV344" s="9" t="n"/>
      <c r="AW344" s="8" t="n"/>
      <c r="AX344" s="9" t="n"/>
      <c r="AY344" s="9" t="n"/>
      <c r="AZ344" s="9" t="n"/>
      <c r="BA344" s="9" t="n"/>
      <c r="BB344" s="9" t="n"/>
      <c r="BC344" s="9" t="n"/>
      <c r="BD344" s="9" t="n"/>
      <c r="BE344" s="9" t="n"/>
      <c r="BF344" s="9" t="n"/>
      <c r="BG344" s="9" t="n"/>
      <c r="BH344" s="9" t="n"/>
      <c r="BI344" s="9" t="n"/>
      <c r="BJ344" s="9" t="n"/>
      <c r="BK344" s="9" t="n"/>
      <c r="BL344" s="9" t="n"/>
      <c r="BM344" s="9" t="n"/>
      <c r="BN344" s="9" t="n"/>
      <c r="BO344" s="8" t="n"/>
      <c r="BP344" s="9" t="n"/>
      <c r="BQ344" s="9" t="n"/>
      <c r="BR344" s="12">
        <f>IF(AND(AI344="Y",AK344="Y",AL344="Y",AM344="Y",AY344="Y",AZ344="Y",BA344="Y",BB344="Y",BC344="Y",BE344&lt;&gt;"Y",AX344&lt;&gt;"Y",BL344&lt;&gt;"Y",IF(AS344="Y",AV344="Y",TRUE)),"Y","N")</f>
        <v/>
      </c>
      <c r="BS344" s="12">
        <f>IF(AND(BR344="Y",OR(AND(BJ344="Y",BM344="Y"),AND(BK344="Y",BN344="Y"),AND(BJ344&lt;&gt;"Y",BK344&lt;&gt;"Y",OR(BM344="Y",BN344="Y")))),"Y","N")</f>
        <v/>
      </c>
      <c r="BT344" s="10" t="n"/>
      <c r="BU344" s="13" t="n"/>
      <c r="BV344" s="13" t="n"/>
      <c r="BW344" s="13" t="n"/>
      <c r="BX344" s="13" t="n"/>
      <c r="BY344" s="13" t="n"/>
      <c r="BZ344" s="13" t="n"/>
      <c r="CA344" s="14" t="n"/>
      <c r="CB344" s="13" t="n"/>
      <c r="CC344" s="9" t="n"/>
      <c r="CD344" s="9" t="n"/>
      <c r="CE344" s="9" t="n"/>
      <c r="CF344" s="9" t="n"/>
      <c r="CG344" s="9" t="n"/>
      <c r="CH344" s="9" t="n"/>
    </row>
    <row r="345">
      <c r="A345" s="8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8" t="n"/>
      <c r="L345" s="9" t="n"/>
      <c r="M345" s="8" t="n"/>
      <c r="N345" s="8" t="n"/>
      <c r="O345" s="8" t="n"/>
      <c r="P345" s="8" t="n"/>
      <c r="Q345" s="8" t="n"/>
      <c r="R345" s="9" t="n"/>
      <c r="S345" s="9" t="n"/>
      <c r="T345" s="10" t="n"/>
      <c r="U345" s="10" t="n"/>
      <c r="V345" s="9" t="n"/>
      <c r="W345" s="9" t="n"/>
      <c r="X345" s="9" t="n"/>
      <c r="Y345" s="9" t="n"/>
      <c r="Z345" s="11" t="n"/>
      <c r="AA345" s="11" t="n"/>
      <c r="AB345" s="11" t="n"/>
      <c r="AC345" s="11" t="n"/>
      <c r="AD345" s="11" t="n"/>
      <c r="AE345" s="11" t="n"/>
      <c r="AF345" s="9" t="n"/>
      <c r="AG345" s="9" t="n"/>
      <c r="AH345" s="9" t="n"/>
      <c r="AI345" s="9" t="n"/>
      <c r="AJ345" s="8" t="n"/>
      <c r="AK345" s="9" t="n"/>
      <c r="AL345" s="9" t="n"/>
      <c r="AM345" s="9" t="n"/>
      <c r="AN345" s="9" t="n"/>
      <c r="AO345" s="9" t="n"/>
      <c r="AP345" s="9" t="n"/>
      <c r="AQ345" s="9" t="n"/>
      <c r="AR345" s="9" t="n"/>
      <c r="AS345" s="9" t="n"/>
      <c r="AT345" s="8" t="n"/>
      <c r="AU345" s="8" t="n"/>
      <c r="AV345" s="9" t="n"/>
      <c r="AW345" s="8" t="n"/>
      <c r="AX345" s="9" t="n"/>
      <c r="AY345" s="9" t="n"/>
      <c r="AZ345" s="9" t="n"/>
      <c r="BA345" s="9" t="n"/>
      <c r="BB345" s="9" t="n"/>
      <c r="BC345" s="9" t="n"/>
      <c r="BD345" s="9" t="n"/>
      <c r="BE345" s="9" t="n"/>
      <c r="BF345" s="9" t="n"/>
      <c r="BG345" s="9" t="n"/>
      <c r="BH345" s="9" t="n"/>
      <c r="BI345" s="9" t="n"/>
      <c r="BJ345" s="9" t="n"/>
      <c r="BK345" s="9" t="n"/>
      <c r="BL345" s="9" t="n"/>
      <c r="BM345" s="9" t="n"/>
      <c r="BN345" s="9" t="n"/>
      <c r="BO345" s="8" t="n"/>
      <c r="BP345" s="9" t="n"/>
      <c r="BQ345" s="9" t="n"/>
      <c r="BR345" s="12">
        <f>IF(AND(AI345="Y",AK345="Y",AL345="Y",AM345="Y",AY345="Y",AZ345="Y",BA345="Y",BB345="Y",BC345="Y",BE345&lt;&gt;"Y",AX345&lt;&gt;"Y",BL345&lt;&gt;"Y",IF(AS345="Y",AV345="Y",TRUE)),"Y","N")</f>
        <v/>
      </c>
      <c r="BS345" s="12">
        <f>IF(AND(BR345="Y",OR(AND(BJ345="Y",BM345="Y"),AND(BK345="Y",BN345="Y"),AND(BJ345&lt;&gt;"Y",BK345&lt;&gt;"Y",OR(BM345="Y",BN345="Y")))),"Y","N")</f>
        <v/>
      </c>
      <c r="BT345" s="10" t="n"/>
      <c r="BU345" s="13" t="n"/>
      <c r="BV345" s="13" t="n"/>
      <c r="BW345" s="13" t="n"/>
      <c r="BX345" s="13" t="n"/>
      <c r="BY345" s="13" t="n"/>
      <c r="BZ345" s="13" t="n"/>
      <c r="CA345" s="14" t="n"/>
      <c r="CB345" s="13" t="n"/>
      <c r="CC345" s="9" t="n"/>
      <c r="CD345" s="9" t="n"/>
      <c r="CE345" s="9" t="n"/>
      <c r="CF345" s="9" t="n"/>
      <c r="CG345" s="9" t="n"/>
      <c r="CH345" s="9" t="n"/>
    </row>
    <row r="346">
      <c r="A346" s="8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8" t="n"/>
      <c r="L346" s="9" t="n"/>
      <c r="M346" s="8" t="n"/>
      <c r="N346" s="8" t="n"/>
      <c r="O346" s="8" t="n"/>
      <c r="P346" s="8" t="n"/>
      <c r="Q346" s="8" t="n"/>
      <c r="R346" s="9" t="n"/>
      <c r="S346" s="9" t="n"/>
      <c r="T346" s="10" t="n"/>
      <c r="U346" s="10" t="n"/>
      <c r="V346" s="9" t="n"/>
      <c r="W346" s="9" t="n"/>
      <c r="X346" s="9" t="n"/>
      <c r="Y346" s="9" t="n"/>
      <c r="Z346" s="11" t="n"/>
      <c r="AA346" s="11" t="n"/>
      <c r="AB346" s="11" t="n"/>
      <c r="AC346" s="11" t="n"/>
      <c r="AD346" s="11" t="n"/>
      <c r="AE346" s="11" t="n"/>
      <c r="AF346" s="9" t="n"/>
      <c r="AG346" s="9" t="n"/>
      <c r="AH346" s="9" t="n"/>
      <c r="AI346" s="9" t="n"/>
      <c r="AJ346" s="8" t="n"/>
      <c r="AK346" s="9" t="n"/>
      <c r="AL346" s="9" t="n"/>
      <c r="AM346" s="9" t="n"/>
      <c r="AN346" s="9" t="n"/>
      <c r="AO346" s="9" t="n"/>
      <c r="AP346" s="9" t="n"/>
      <c r="AQ346" s="9" t="n"/>
      <c r="AR346" s="9" t="n"/>
      <c r="AS346" s="9" t="n"/>
      <c r="AT346" s="8" t="n"/>
      <c r="AU346" s="8" t="n"/>
      <c r="AV346" s="9" t="n"/>
      <c r="AW346" s="8" t="n"/>
      <c r="AX346" s="9" t="n"/>
      <c r="AY346" s="9" t="n"/>
      <c r="AZ346" s="9" t="n"/>
      <c r="BA346" s="9" t="n"/>
      <c r="BB346" s="9" t="n"/>
      <c r="BC346" s="9" t="n"/>
      <c r="BD346" s="9" t="n"/>
      <c r="BE346" s="9" t="n"/>
      <c r="BF346" s="9" t="n"/>
      <c r="BG346" s="9" t="n"/>
      <c r="BH346" s="9" t="n"/>
      <c r="BI346" s="9" t="n"/>
      <c r="BJ346" s="9" t="n"/>
      <c r="BK346" s="9" t="n"/>
      <c r="BL346" s="9" t="n"/>
      <c r="BM346" s="9" t="n"/>
      <c r="BN346" s="9" t="n"/>
      <c r="BO346" s="8" t="n"/>
      <c r="BP346" s="9" t="n"/>
      <c r="BQ346" s="9" t="n"/>
      <c r="BR346" s="12">
        <f>IF(AND(AI346="Y",AK346="Y",AL346="Y",AM346="Y",AY346="Y",AZ346="Y",BA346="Y",BB346="Y",BC346="Y",BE346&lt;&gt;"Y",AX346&lt;&gt;"Y",BL346&lt;&gt;"Y",IF(AS346="Y",AV346="Y",TRUE)),"Y","N")</f>
        <v/>
      </c>
      <c r="BS346" s="12">
        <f>IF(AND(BR346="Y",OR(AND(BJ346="Y",BM346="Y"),AND(BK346="Y",BN346="Y"),AND(BJ346&lt;&gt;"Y",BK346&lt;&gt;"Y",OR(BM346="Y",BN346="Y")))),"Y","N")</f>
        <v/>
      </c>
      <c r="BT346" s="10" t="n"/>
      <c r="BU346" s="13" t="n"/>
      <c r="BV346" s="13" t="n"/>
      <c r="BW346" s="13" t="n"/>
      <c r="BX346" s="13" t="n"/>
      <c r="BY346" s="13" t="n"/>
      <c r="BZ346" s="13" t="n"/>
      <c r="CA346" s="14" t="n"/>
      <c r="CB346" s="13" t="n"/>
      <c r="CC346" s="9" t="n"/>
      <c r="CD346" s="9" t="n"/>
      <c r="CE346" s="9" t="n"/>
      <c r="CF346" s="9" t="n"/>
      <c r="CG346" s="9" t="n"/>
      <c r="CH346" s="9" t="n"/>
    </row>
    <row r="347">
      <c r="A347" s="8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8" t="n"/>
      <c r="L347" s="9" t="n"/>
      <c r="M347" s="8" t="n"/>
      <c r="N347" s="8" t="n"/>
      <c r="O347" s="8" t="n"/>
      <c r="P347" s="8" t="n"/>
      <c r="Q347" s="8" t="n"/>
      <c r="R347" s="9" t="n"/>
      <c r="S347" s="9" t="n"/>
      <c r="T347" s="10" t="n"/>
      <c r="U347" s="10" t="n"/>
      <c r="V347" s="9" t="n"/>
      <c r="W347" s="9" t="n"/>
      <c r="X347" s="9" t="n"/>
      <c r="Y347" s="9" t="n"/>
      <c r="Z347" s="11" t="n"/>
      <c r="AA347" s="11" t="n"/>
      <c r="AB347" s="11" t="n"/>
      <c r="AC347" s="11" t="n"/>
      <c r="AD347" s="11" t="n"/>
      <c r="AE347" s="11" t="n"/>
      <c r="AF347" s="9" t="n"/>
      <c r="AG347" s="9" t="n"/>
      <c r="AH347" s="9" t="n"/>
      <c r="AI347" s="9" t="n"/>
      <c r="AJ347" s="8" t="n"/>
      <c r="AK347" s="9" t="n"/>
      <c r="AL347" s="9" t="n"/>
      <c r="AM347" s="9" t="n"/>
      <c r="AN347" s="9" t="n"/>
      <c r="AO347" s="9" t="n"/>
      <c r="AP347" s="9" t="n"/>
      <c r="AQ347" s="9" t="n"/>
      <c r="AR347" s="9" t="n"/>
      <c r="AS347" s="9" t="n"/>
      <c r="AT347" s="8" t="n"/>
      <c r="AU347" s="8" t="n"/>
      <c r="AV347" s="9" t="n"/>
      <c r="AW347" s="8" t="n"/>
      <c r="AX347" s="9" t="n"/>
      <c r="AY347" s="9" t="n"/>
      <c r="AZ347" s="9" t="n"/>
      <c r="BA347" s="9" t="n"/>
      <c r="BB347" s="9" t="n"/>
      <c r="BC347" s="9" t="n"/>
      <c r="BD347" s="9" t="n"/>
      <c r="BE347" s="9" t="n"/>
      <c r="BF347" s="9" t="n"/>
      <c r="BG347" s="9" t="n"/>
      <c r="BH347" s="9" t="n"/>
      <c r="BI347" s="9" t="n"/>
      <c r="BJ347" s="9" t="n"/>
      <c r="BK347" s="9" t="n"/>
      <c r="BL347" s="9" t="n"/>
      <c r="BM347" s="9" t="n"/>
      <c r="BN347" s="9" t="n"/>
      <c r="BO347" s="8" t="n"/>
      <c r="BP347" s="9" t="n"/>
      <c r="BQ347" s="9" t="n"/>
      <c r="BR347" s="12">
        <f>IF(AND(AI347="Y",AK347="Y",AL347="Y",AM347="Y",AY347="Y",AZ347="Y",BA347="Y",BB347="Y",BC347="Y",BE347&lt;&gt;"Y",AX347&lt;&gt;"Y",BL347&lt;&gt;"Y",IF(AS347="Y",AV347="Y",TRUE)),"Y","N")</f>
        <v/>
      </c>
      <c r="BS347" s="12">
        <f>IF(AND(BR347="Y",OR(AND(BJ347="Y",BM347="Y"),AND(BK347="Y",BN347="Y"),AND(BJ347&lt;&gt;"Y",BK347&lt;&gt;"Y",OR(BM347="Y",BN347="Y")))),"Y","N")</f>
        <v/>
      </c>
      <c r="BT347" s="10" t="n"/>
      <c r="BU347" s="13" t="n"/>
      <c r="BV347" s="13" t="n"/>
      <c r="BW347" s="13" t="n"/>
      <c r="BX347" s="13" t="n"/>
      <c r="BY347" s="13" t="n"/>
      <c r="BZ347" s="13" t="n"/>
      <c r="CA347" s="14" t="n"/>
      <c r="CB347" s="13" t="n"/>
      <c r="CC347" s="9" t="n"/>
      <c r="CD347" s="9" t="n"/>
      <c r="CE347" s="9" t="n"/>
      <c r="CF347" s="9" t="n"/>
      <c r="CG347" s="9" t="n"/>
      <c r="CH347" s="9" t="n"/>
    </row>
    <row r="348">
      <c r="A348" s="8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8" t="n"/>
      <c r="L348" s="9" t="n"/>
      <c r="M348" s="8" t="n"/>
      <c r="N348" s="8" t="n"/>
      <c r="O348" s="8" t="n"/>
      <c r="P348" s="8" t="n"/>
      <c r="Q348" s="8" t="n"/>
      <c r="R348" s="9" t="n"/>
      <c r="S348" s="9" t="n"/>
      <c r="T348" s="10" t="n"/>
      <c r="U348" s="10" t="n"/>
      <c r="V348" s="9" t="n"/>
      <c r="W348" s="9" t="n"/>
      <c r="X348" s="9" t="n"/>
      <c r="Y348" s="9" t="n"/>
      <c r="Z348" s="11" t="n"/>
      <c r="AA348" s="11" t="n"/>
      <c r="AB348" s="11" t="n"/>
      <c r="AC348" s="11" t="n"/>
      <c r="AD348" s="11" t="n"/>
      <c r="AE348" s="11" t="n"/>
      <c r="AF348" s="9" t="n"/>
      <c r="AG348" s="9" t="n"/>
      <c r="AH348" s="9" t="n"/>
      <c r="AI348" s="9" t="n"/>
      <c r="AJ348" s="8" t="n"/>
      <c r="AK348" s="9" t="n"/>
      <c r="AL348" s="9" t="n"/>
      <c r="AM348" s="9" t="n"/>
      <c r="AN348" s="9" t="n"/>
      <c r="AO348" s="9" t="n"/>
      <c r="AP348" s="9" t="n"/>
      <c r="AQ348" s="9" t="n"/>
      <c r="AR348" s="9" t="n"/>
      <c r="AS348" s="9" t="n"/>
      <c r="AT348" s="8" t="n"/>
      <c r="AU348" s="8" t="n"/>
      <c r="AV348" s="9" t="n"/>
      <c r="AW348" s="8" t="n"/>
      <c r="AX348" s="9" t="n"/>
      <c r="AY348" s="9" t="n"/>
      <c r="AZ348" s="9" t="n"/>
      <c r="BA348" s="9" t="n"/>
      <c r="BB348" s="9" t="n"/>
      <c r="BC348" s="9" t="n"/>
      <c r="BD348" s="9" t="n"/>
      <c r="BE348" s="9" t="n"/>
      <c r="BF348" s="9" t="n"/>
      <c r="BG348" s="9" t="n"/>
      <c r="BH348" s="9" t="n"/>
      <c r="BI348" s="9" t="n"/>
      <c r="BJ348" s="9" t="n"/>
      <c r="BK348" s="9" t="n"/>
      <c r="BL348" s="9" t="n"/>
      <c r="BM348" s="9" t="n"/>
      <c r="BN348" s="9" t="n"/>
      <c r="BO348" s="8" t="n"/>
      <c r="BP348" s="9" t="n"/>
      <c r="BQ348" s="9" t="n"/>
      <c r="BR348" s="12">
        <f>IF(AND(AI348="Y",AK348="Y",AL348="Y",AM348="Y",AY348="Y",AZ348="Y",BA348="Y",BB348="Y",BC348="Y",BE348&lt;&gt;"Y",AX348&lt;&gt;"Y",BL348&lt;&gt;"Y",IF(AS348="Y",AV348="Y",TRUE)),"Y","N")</f>
        <v/>
      </c>
      <c r="BS348" s="12">
        <f>IF(AND(BR348="Y",OR(AND(BJ348="Y",BM348="Y"),AND(BK348="Y",BN348="Y"),AND(BJ348&lt;&gt;"Y",BK348&lt;&gt;"Y",OR(BM348="Y",BN348="Y")))),"Y","N")</f>
        <v/>
      </c>
      <c r="BT348" s="10" t="n"/>
      <c r="BU348" s="13" t="n"/>
      <c r="BV348" s="13" t="n"/>
      <c r="BW348" s="13" t="n"/>
      <c r="BX348" s="13" t="n"/>
      <c r="BY348" s="13" t="n"/>
      <c r="BZ348" s="13" t="n"/>
      <c r="CA348" s="14" t="n"/>
      <c r="CB348" s="13" t="n"/>
      <c r="CC348" s="9" t="n"/>
      <c r="CD348" s="9" t="n"/>
      <c r="CE348" s="9" t="n"/>
      <c r="CF348" s="9" t="n"/>
      <c r="CG348" s="9" t="n"/>
      <c r="CH348" s="9" t="n"/>
    </row>
    <row r="349">
      <c r="A349" s="8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8" t="n"/>
      <c r="L349" s="9" t="n"/>
      <c r="M349" s="8" t="n"/>
      <c r="N349" s="8" t="n"/>
      <c r="O349" s="8" t="n"/>
      <c r="P349" s="8" t="n"/>
      <c r="Q349" s="8" t="n"/>
      <c r="R349" s="9" t="n"/>
      <c r="S349" s="9" t="n"/>
      <c r="T349" s="10" t="n"/>
      <c r="U349" s="10" t="n"/>
      <c r="V349" s="9" t="n"/>
      <c r="W349" s="9" t="n"/>
      <c r="X349" s="9" t="n"/>
      <c r="Y349" s="9" t="n"/>
      <c r="Z349" s="11" t="n"/>
      <c r="AA349" s="11" t="n"/>
      <c r="AB349" s="11" t="n"/>
      <c r="AC349" s="11" t="n"/>
      <c r="AD349" s="11" t="n"/>
      <c r="AE349" s="11" t="n"/>
      <c r="AF349" s="9" t="n"/>
      <c r="AG349" s="9" t="n"/>
      <c r="AH349" s="9" t="n"/>
      <c r="AI349" s="9" t="n"/>
      <c r="AJ349" s="8" t="n"/>
      <c r="AK349" s="9" t="n"/>
      <c r="AL349" s="9" t="n"/>
      <c r="AM349" s="9" t="n"/>
      <c r="AN349" s="9" t="n"/>
      <c r="AO349" s="9" t="n"/>
      <c r="AP349" s="9" t="n"/>
      <c r="AQ349" s="9" t="n"/>
      <c r="AR349" s="9" t="n"/>
      <c r="AS349" s="9" t="n"/>
      <c r="AT349" s="8" t="n"/>
      <c r="AU349" s="8" t="n"/>
      <c r="AV349" s="9" t="n"/>
      <c r="AW349" s="8" t="n"/>
      <c r="AX349" s="9" t="n"/>
      <c r="AY349" s="9" t="n"/>
      <c r="AZ349" s="9" t="n"/>
      <c r="BA349" s="9" t="n"/>
      <c r="BB349" s="9" t="n"/>
      <c r="BC349" s="9" t="n"/>
      <c r="BD349" s="9" t="n"/>
      <c r="BE349" s="9" t="n"/>
      <c r="BF349" s="9" t="n"/>
      <c r="BG349" s="9" t="n"/>
      <c r="BH349" s="9" t="n"/>
      <c r="BI349" s="9" t="n"/>
      <c r="BJ349" s="9" t="n"/>
      <c r="BK349" s="9" t="n"/>
      <c r="BL349" s="9" t="n"/>
      <c r="BM349" s="9" t="n"/>
      <c r="BN349" s="9" t="n"/>
      <c r="BO349" s="8" t="n"/>
      <c r="BP349" s="9" t="n"/>
      <c r="BQ349" s="9" t="n"/>
      <c r="BR349" s="12">
        <f>IF(AND(AI349="Y",AK349="Y",AL349="Y",AM349="Y",AY349="Y",AZ349="Y",BA349="Y",BB349="Y",BC349="Y",BE349&lt;&gt;"Y",AX349&lt;&gt;"Y",BL349&lt;&gt;"Y",IF(AS349="Y",AV349="Y",TRUE)),"Y","N")</f>
        <v/>
      </c>
      <c r="BS349" s="12">
        <f>IF(AND(BR349="Y",OR(AND(BJ349="Y",BM349="Y"),AND(BK349="Y",BN349="Y"),AND(BJ349&lt;&gt;"Y",BK349&lt;&gt;"Y",OR(BM349="Y",BN349="Y")))),"Y","N")</f>
        <v/>
      </c>
      <c r="BT349" s="10" t="n"/>
      <c r="BU349" s="13" t="n"/>
      <c r="BV349" s="13" t="n"/>
      <c r="BW349" s="13" t="n"/>
      <c r="BX349" s="13" t="n"/>
      <c r="BY349" s="13" t="n"/>
      <c r="BZ349" s="13" t="n"/>
      <c r="CA349" s="14" t="n"/>
      <c r="CB349" s="13" t="n"/>
      <c r="CC349" s="9" t="n"/>
      <c r="CD349" s="9" t="n"/>
      <c r="CE349" s="9" t="n"/>
      <c r="CF349" s="9" t="n"/>
      <c r="CG349" s="9" t="n"/>
      <c r="CH349" s="9" t="n"/>
    </row>
    <row r="350">
      <c r="A350" s="8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8" t="n"/>
      <c r="L350" s="9" t="n"/>
      <c r="M350" s="8" t="n"/>
      <c r="N350" s="8" t="n"/>
      <c r="O350" s="8" t="n"/>
      <c r="P350" s="8" t="n"/>
      <c r="Q350" s="8" t="n"/>
      <c r="R350" s="9" t="n"/>
      <c r="S350" s="9" t="n"/>
      <c r="T350" s="10" t="n"/>
      <c r="U350" s="10" t="n"/>
      <c r="V350" s="9" t="n"/>
      <c r="W350" s="9" t="n"/>
      <c r="X350" s="9" t="n"/>
      <c r="Y350" s="9" t="n"/>
      <c r="Z350" s="11" t="n"/>
      <c r="AA350" s="11" t="n"/>
      <c r="AB350" s="11" t="n"/>
      <c r="AC350" s="11" t="n"/>
      <c r="AD350" s="11" t="n"/>
      <c r="AE350" s="11" t="n"/>
      <c r="AF350" s="9" t="n"/>
      <c r="AG350" s="9" t="n"/>
      <c r="AH350" s="9" t="n"/>
      <c r="AI350" s="9" t="n"/>
      <c r="AJ350" s="8" t="n"/>
      <c r="AK350" s="9" t="n"/>
      <c r="AL350" s="9" t="n"/>
      <c r="AM350" s="9" t="n"/>
      <c r="AN350" s="9" t="n"/>
      <c r="AO350" s="9" t="n"/>
      <c r="AP350" s="9" t="n"/>
      <c r="AQ350" s="9" t="n"/>
      <c r="AR350" s="9" t="n"/>
      <c r="AS350" s="9" t="n"/>
      <c r="AT350" s="8" t="n"/>
      <c r="AU350" s="8" t="n"/>
      <c r="AV350" s="9" t="n"/>
      <c r="AW350" s="8" t="n"/>
      <c r="AX350" s="9" t="n"/>
      <c r="AY350" s="9" t="n"/>
      <c r="AZ350" s="9" t="n"/>
      <c r="BA350" s="9" t="n"/>
      <c r="BB350" s="9" t="n"/>
      <c r="BC350" s="9" t="n"/>
      <c r="BD350" s="9" t="n"/>
      <c r="BE350" s="9" t="n"/>
      <c r="BF350" s="9" t="n"/>
      <c r="BG350" s="9" t="n"/>
      <c r="BH350" s="9" t="n"/>
      <c r="BI350" s="9" t="n"/>
      <c r="BJ350" s="9" t="n"/>
      <c r="BK350" s="9" t="n"/>
      <c r="BL350" s="9" t="n"/>
      <c r="BM350" s="9" t="n"/>
      <c r="BN350" s="9" t="n"/>
      <c r="BO350" s="8" t="n"/>
      <c r="BP350" s="9" t="n"/>
      <c r="BQ350" s="9" t="n"/>
      <c r="BR350" s="12">
        <f>IF(AND(AI350="Y",AK350="Y",AL350="Y",AM350="Y",AY350="Y",AZ350="Y",BA350="Y",BB350="Y",BC350="Y",BE350&lt;&gt;"Y",AX350&lt;&gt;"Y",BL350&lt;&gt;"Y",IF(AS350="Y",AV350="Y",TRUE)),"Y","N")</f>
        <v/>
      </c>
      <c r="BS350" s="12">
        <f>IF(AND(BR350="Y",OR(AND(BJ350="Y",BM350="Y"),AND(BK350="Y",BN350="Y"),AND(BJ350&lt;&gt;"Y",BK350&lt;&gt;"Y",OR(BM350="Y",BN350="Y")))),"Y","N")</f>
        <v/>
      </c>
      <c r="BT350" s="10" t="n"/>
      <c r="BU350" s="13" t="n"/>
      <c r="BV350" s="13" t="n"/>
      <c r="BW350" s="13" t="n"/>
      <c r="BX350" s="13" t="n"/>
      <c r="BY350" s="13" t="n"/>
      <c r="BZ350" s="13" t="n"/>
      <c r="CA350" s="14" t="n"/>
      <c r="CB350" s="13" t="n"/>
      <c r="CC350" s="9" t="n"/>
      <c r="CD350" s="9" t="n"/>
      <c r="CE350" s="9" t="n"/>
      <c r="CF350" s="9" t="n"/>
      <c r="CG350" s="9" t="n"/>
      <c r="CH350" s="9" t="n"/>
    </row>
    <row r="351">
      <c r="A351" s="8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8" t="n"/>
      <c r="L351" s="9" t="n"/>
      <c r="M351" s="8" t="n"/>
      <c r="N351" s="8" t="n"/>
      <c r="O351" s="8" t="n"/>
      <c r="P351" s="8" t="n"/>
      <c r="Q351" s="8" t="n"/>
      <c r="R351" s="9" t="n"/>
      <c r="S351" s="9" t="n"/>
      <c r="T351" s="10" t="n"/>
      <c r="U351" s="10" t="n"/>
      <c r="V351" s="9" t="n"/>
      <c r="W351" s="9" t="n"/>
      <c r="X351" s="9" t="n"/>
      <c r="Y351" s="9" t="n"/>
      <c r="Z351" s="11" t="n"/>
      <c r="AA351" s="11" t="n"/>
      <c r="AB351" s="11" t="n"/>
      <c r="AC351" s="11" t="n"/>
      <c r="AD351" s="11" t="n"/>
      <c r="AE351" s="11" t="n"/>
      <c r="AF351" s="9" t="n"/>
      <c r="AG351" s="9" t="n"/>
      <c r="AH351" s="9" t="n"/>
      <c r="AI351" s="9" t="n"/>
      <c r="AJ351" s="8" t="n"/>
      <c r="AK351" s="9" t="n"/>
      <c r="AL351" s="9" t="n"/>
      <c r="AM351" s="9" t="n"/>
      <c r="AN351" s="9" t="n"/>
      <c r="AO351" s="9" t="n"/>
      <c r="AP351" s="9" t="n"/>
      <c r="AQ351" s="9" t="n"/>
      <c r="AR351" s="9" t="n"/>
      <c r="AS351" s="9" t="n"/>
      <c r="AT351" s="8" t="n"/>
      <c r="AU351" s="8" t="n"/>
      <c r="AV351" s="9" t="n"/>
      <c r="AW351" s="8" t="n"/>
      <c r="AX351" s="9" t="n"/>
      <c r="AY351" s="9" t="n"/>
      <c r="AZ351" s="9" t="n"/>
      <c r="BA351" s="9" t="n"/>
      <c r="BB351" s="9" t="n"/>
      <c r="BC351" s="9" t="n"/>
      <c r="BD351" s="9" t="n"/>
      <c r="BE351" s="9" t="n"/>
      <c r="BF351" s="9" t="n"/>
      <c r="BG351" s="9" t="n"/>
      <c r="BH351" s="9" t="n"/>
      <c r="BI351" s="9" t="n"/>
      <c r="BJ351" s="9" t="n"/>
      <c r="BK351" s="9" t="n"/>
      <c r="BL351" s="9" t="n"/>
      <c r="BM351" s="9" t="n"/>
      <c r="BN351" s="9" t="n"/>
      <c r="BO351" s="8" t="n"/>
      <c r="BP351" s="9" t="n"/>
      <c r="BQ351" s="9" t="n"/>
      <c r="BR351" s="12">
        <f>IF(AND(AI351="Y",AK351="Y",AL351="Y",AM351="Y",AY351="Y",AZ351="Y",BA351="Y",BB351="Y",BC351="Y",BE351&lt;&gt;"Y",AX351&lt;&gt;"Y",BL351&lt;&gt;"Y",IF(AS351="Y",AV351="Y",TRUE)),"Y","N")</f>
        <v/>
      </c>
      <c r="BS351" s="12">
        <f>IF(AND(BR351="Y",OR(AND(BJ351="Y",BM351="Y"),AND(BK351="Y",BN351="Y"),AND(BJ351&lt;&gt;"Y",BK351&lt;&gt;"Y",OR(BM351="Y",BN351="Y")))),"Y","N")</f>
        <v/>
      </c>
      <c r="BT351" s="10" t="n"/>
      <c r="BU351" s="13" t="n"/>
      <c r="BV351" s="13" t="n"/>
      <c r="BW351" s="13" t="n"/>
      <c r="BX351" s="13" t="n"/>
      <c r="BY351" s="13" t="n"/>
      <c r="BZ351" s="13" t="n"/>
      <c r="CA351" s="14" t="n"/>
      <c r="CB351" s="13" t="n"/>
      <c r="CC351" s="9" t="n"/>
      <c r="CD351" s="9" t="n"/>
      <c r="CE351" s="9" t="n"/>
      <c r="CF351" s="9" t="n"/>
      <c r="CG351" s="9" t="n"/>
      <c r="CH351" s="9" t="n"/>
    </row>
    <row r="352">
      <c r="A352" s="8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8" t="n"/>
      <c r="L352" s="9" t="n"/>
      <c r="M352" s="8" t="n"/>
      <c r="N352" s="8" t="n"/>
      <c r="O352" s="8" t="n"/>
      <c r="P352" s="8" t="n"/>
      <c r="Q352" s="8" t="n"/>
      <c r="R352" s="9" t="n"/>
      <c r="S352" s="9" t="n"/>
      <c r="T352" s="10" t="n"/>
      <c r="U352" s="10" t="n"/>
      <c r="V352" s="9" t="n"/>
      <c r="W352" s="9" t="n"/>
      <c r="X352" s="9" t="n"/>
      <c r="Y352" s="9" t="n"/>
      <c r="Z352" s="11" t="n"/>
      <c r="AA352" s="11" t="n"/>
      <c r="AB352" s="11" t="n"/>
      <c r="AC352" s="11" t="n"/>
      <c r="AD352" s="11" t="n"/>
      <c r="AE352" s="11" t="n"/>
      <c r="AF352" s="9" t="n"/>
      <c r="AG352" s="9" t="n"/>
      <c r="AH352" s="9" t="n"/>
      <c r="AI352" s="9" t="n"/>
      <c r="AJ352" s="8" t="n"/>
      <c r="AK352" s="9" t="n"/>
      <c r="AL352" s="9" t="n"/>
      <c r="AM352" s="9" t="n"/>
      <c r="AN352" s="9" t="n"/>
      <c r="AO352" s="9" t="n"/>
      <c r="AP352" s="9" t="n"/>
      <c r="AQ352" s="9" t="n"/>
      <c r="AR352" s="9" t="n"/>
      <c r="AS352" s="9" t="n"/>
      <c r="AT352" s="8" t="n"/>
      <c r="AU352" s="8" t="n"/>
      <c r="AV352" s="9" t="n"/>
      <c r="AW352" s="8" t="n"/>
      <c r="AX352" s="9" t="n"/>
      <c r="AY352" s="9" t="n"/>
      <c r="AZ352" s="9" t="n"/>
      <c r="BA352" s="9" t="n"/>
      <c r="BB352" s="9" t="n"/>
      <c r="BC352" s="9" t="n"/>
      <c r="BD352" s="9" t="n"/>
      <c r="BE352" s="9" t="n"/>
      <c r="BF352" s="9" t="n"/>
      <c r="BG352" s="9" t="n"/>
      <c r="BH352" s="9" t="n"/>
      <c r="BI352" s="9" t="n"/>
      <c r="BJ352" s="9" t="n"/>
      <c r="BK352" s="9" t="n"/>
      <c r="BL352" s="9" t="n"/>
      <c r="BM352" s="9" t="n"/>
      <c r="BN352" s="9" t="n"/>
      <c r="BO352" s="8" t="n"/>
      <c r="BP352" s="9" t="n"/>
      <c r="BQ352" s="9" t="n"/>
      <c r="BR352" s="12">
        <f>IF(AND(AI352="Y",AK352="Y",AL352="Y",AM352="Y",AY352="Y",AZ352="Y",BA352="Y",BB352="Y",BC352="Y",BE352&lt;&gt;"Y",AX352&lt;&gt;"Y",BL352&lt;&gt;"Y",IF(AS352="Y",AV352="Y",TRUE)),"Y","N")</f>
        <v/>
      </c>
      <c r="BS352" s="12">
        <f>IF(AND(BR352="Y",OR(AND(BJ352="Y",BM352="Y"),AND(BK352="Y",BN352="Y"),AND(BJ352&lt;&gt;"Y",BK352&lt;&gt;"Y",OR(BM352="Y",BN352="Y")))),"Y","N")</f>
        <v/>
      </c>
      <c r="BT352" s="10" t="n"/>
      <c r="BU352" s="13" t="n"/>
      <c r="BV352" s="13" t="n"/>
      <c r="BW352" s="13" t="n"/>
      <c r="BX352" s="13" t="n"/>
      <c r="BY352" s="13" t="n"/>
      <c r="BZ352" s="13" t="n"/>
      <c r="CA352" s="14" t="n"/>
      <c r="CB352" s="13" t="n"/>
      <c r="CC352" s="9" t="n"/>
      <c r="CD352" s="9" t="n"/>
      <c r="CE352" s="9" t="n"/>
      <c r="CF352" s="9" t="n"/>
      <c r="CG352" s="9" t="n"/>
      <c r="CH352" s="9" t="n"/>
    </row>
    <row r="353">
      <c r="A353" s="8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8" t="n"/>
      <c r="L353" s="9" t="n"/>
      <c r="M353" s="8" t="n"/>
      <c r="N353" s="8" t="n"/>
      <c r="O353" s="8" t="n"/>
      <c r="P353" s="8" t="n"/>
      <c r="Q353" s="8" t="n"/>
      <c r="R353" s="9" t="n"/>
      <c r="S353" s="9" t="n"/>
      <c r="T353" s="10" t="n"/>
      <c r="U353" s="10" t="n"/>
      <c r="V353" s="9" t="n"/>
      <c r="W353" s="9" t="n"/>
      <c r="X353" s="9" t="n"/>
      <c r="Y353" s="9" t="n"/>
      <c r="Z353" s="11" t="n"/>
      <c r="AA353" s="11" t="n"/>
      <c r="AB353" s="11" t="n"/>
      <c r="AC353" s="11" t="n"/>
      <c r="AD353" s="11" t="n"/>
      <c r="AE353" s="11" t="n"/>
      <c r="AF353" s="9" t="n"/>
      <c r="AG353" s="9" t="n"/>
      <c r="AH353" s="9" t="n"/>
      <c r="AI353" s="9" t="n"/>
      <c r="AJ353" s="8" t="n"/>
      <c r="AK353" s="9" t="n"/>
      <c r="AL353" s="9" t="n"/>
      <c r="AM353" s="9" t="n"/>
      <c r="AN353" s="9" t="n"/>
      <c r="AO353" s="9" t="n"/>
      <c r="AP353" s="9" t="n"/>
      <c r="AQ353" s="9" t="n"/>
      <c r="AR353" s="9" t="n"/>
      <c r="AS353" s="9" t="n"/>
      <c r="AT353" s="8" t="n"/>
      <c r="AU353" s="8" t="n"/>
      <c r="AV353" s="9" t="n"/>
      <c r="AW353" s="8" t="n"/>
      <c r="AX353" s="9" t="n"/>
      <c r="AY353" s="9" t="n"/>
      <c r="AZ353" s="9" t="n"/>
      <c r="BA353" s="9" t="n"/>
      <c r="BB353" s="9" t="n"/>
      <c r="BC353" s="9" t="n"/>
      <c r="BD353" s="9" t="n"/>
      <c r="BE353" s="9" t="n"/>
      <c r="BF353" s="9" t="n"/>
      <c r="BG353" s="9" t="n"/>
      <c r="BH353" s="9" t="n"/>
      <c r="BI353" s="9" t="n"/>
      <c r="BJ353" s="9" t="n"/>
      <c r="BK353" s="9" t="n"/>
      <c r="BL353" s="9" t="n"/>
      <c r="BM353" s="9" t="n"/>
      <c r="BN353" s="9" t="n"/>
      <c r="BO353" s="8" t="n"/>
      <c r="BP353" s="9" t="n"/>
      <c r="BQ353" s="9" t="n"/>
      <c r="BR353" s="12">
        <f>IF(AND(AI353="Y",AK353="Y",AL353="Y",AM353="Y",AY353="Y",AZ353="Y",BA353="Y",BB353="Y",BC353="Y",BE353&lt;&gt;"Y",AX353&lt;&gt;"Y",BL353&lt;&gt;"Y",IF(AS353="Y",AV353="Y",TRUE)),"Y","N")</f>
        <v/>
      </c>
      <c r="BS353" s="12">
        <f>IF(AND(BR353="Y",OR(AND(BJ353="Y",BM353="Y"),AND(BK353="Y",BN353="Y"),AND(BJ353&lt;&gt;"Y",BK353&lt;&gt;"Y",OR(BM353="Y",BN353="Y")))),"Y","N")</f>
        <v/>
      </c>
      <c r="BT353" s="10" t="n"/>
      <c r="BU353" s="13" t="n"/>
      <c r="BV353" s="13" t="n"/>
      <c r="BW353" s="13" t="n"/>
      <c r="BX353" s="13" t="n"/>
      <c r="BY353" s="13" t="n"/>
      <c r="BZ353" s="13" t="n"/>
      <c r="CA353" s="14" t="n"/>
      <c r="CB353" s="13" t="n"/>
      <c r="CC353" s="9" t="n"/>
      <c r="CD353" s="9" t="n"/>
      <c r="CE353" s="9" t="n"/>
      <c r="CF353" s="9" t="n"/>
      <c r="CG353" s="9" t="n"/>
      <c r="CH353" s="9" t="n"/>
    </row>
    <row r="354">
      <c r="A354" s="8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8" t="n"/>
      <c r="L354" s="9" t="n"/>
      <c r="M354" s="8" t="n"/>
      <c r="N354" s="8" t="n"/>
      <c r="O354" s="8" t="n"/>
      <c r="P354" s="8" t="n"/>
      <c r="Q354" s="8" t="n"/>
      <c r="R354" s="9" t="n"/>
      <c r="S354" s="9" t="n"/>
      <c r="T354" s="10" t="n"/>
      <c r="U354" s="10" t="n"/>
      <c r="V354" s="9" t="n"/>
      <c r="W354" s="9" t="n"/>
      <c r="X354" s="9" t="n"/>
      <c r="Y354" s="9" t="n"/>
      <c r="Z354" s="11" t="n"/>
      <c r="AA354" s="11" t="n"/>
      <c r="AB354" s="11" t="n"/>
      <c r="AC354" s="11" t="n"/>
      <c r="AD354" s="11" t="n"/>
      <c r="AE354" s="11" t="n"/>
      <c r="AF354" s="9" t="n"/>
      <c r="AG354" s="9" t="n"/>
      <c r="AH354" s="9" t="n"/>
      <c r="AI354" s="9" t="n"/>
      <c r="AJ354" s="8" t="n"/>
      <c r="AK354" s="9" t="n"/>
      <c r="AL354" s="9" t="n"/>
      <c r="AM354" s="9" t="n"/>
      <c r="AN354" s="9" t="n"/>
      <c r="AO354" s="9" t="n"/>
      <c r="AP354" s="9" t="n"/>
      <c r="AQ354" s="9" t="n"/>
      <c r="AR354" s="9" t="n"/>
      <c r="AS354" s="9" t="n"/>
      <c r="AT354" s="8" t="n"/>
      <c r="AU354" s="8" t="n"/>
      <c r="AV354" s="9" t="n"/>
      <c r="AW354" s="8" t="n"/>
      <c r="AX354" s="9" t="n"/>
      <c r="AY354" s="9" t="n"/>
      <c r="AZ354" s="9" t="n"/>
      <c r="BA354" s="9" t="n"/>
      <c r="BB354" s="9" t="n"/>
      <c r="BC354" s="9" t="n"/>
      <c r="BD354" s="9" t="n"/>
      <c r="BE354" s="9" t="n"/>
      <c r="BF354" s="9" t="n"/>
      <c r="BG354" s="9" t="n"/>
      <c r="BH354" s="9" t="n"/>
      <c r="BI354" s="9" t="n"/>
      <c r="BJ354" s="9" t="n"/>
      <c r="BK354" s="9" t="n"/>
      <c r="BL354" s="9" t="n"/>
      <c r="BM354" s="9" t="n"/>
      <c r="BN354" s="9" t="n"/>
      <c r="BO354" s="8" t="n"/>
      <c r="BP354" s="9" t="n"/>
      <c r="BQ354" s="9" t="n"/>
      <c r="BR354" s="12">
        <f>IF(AND(AI354="Y",AK354="Y",AL354="Y",AM354="Y",AY354="Y",AZ354="Y",BA354="Y",BB354="Y",BC354="Y",BE354&lt;&gt;"Y",AX354&lt;&gt;"Y",BL354&lt;&gt;"Y",IF(AS354="Y",AV354="Y",TRUE)),"Y","N")</f>
        <v/>
      </c>
      <c r="BS354" s="12">
        <f>IF(AND(BR354="Y",OR(AND(BJ354="Y",BM354="Y"),AND(BK354="Y",BN354="Y"),AND(BJ354&lt;&gt;"Y",BK354&lt;&gt;"Y",OR(BM354="Y",BN354="Y")))),"Y","N")</f>
        <v/>
      </c>
      <c r="BT354" s="10" t="n"/>
      <c r="BU354" s="13" t="n"/>
      <c r="BV354" s="13" t="n"/>
      <c r="BW354" s="13" t="n"/>
      <c r="BX354" s="13" t="n"/>
      <c r="BY354" s="13" t="n"/>
      <c r="BZ354" s="13" t="n"/>
      <c r="CA354" s="14" t="n"/>
      <c r="CB354" s="13" t="n"/>
      <c r="CC354" s="9" t="n"/>
      <c r="CD354" s="9" t="n"/>
      <c r="CE354" s="9" t="n"/>
      <c r="CF354" s="9" t="n"/>
      <c r="CG354" s="9" t="n"/>
      <c r="CH354" s="9" t="n"/>
    </row>
    <row r="355">
      <c r="A355" s="8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8" t="n"/>
      <c r="L355" s="9" t="n"/>
      <c r="M355" s="8" t="n"/>
      <c r="N355" s="8" t="n"/>
      <c r="O355" s="8" t="n"/>
      <c r="P355" s="8" t="n"/>
      <c r="Q355" s="8" t="n"/>
      <c r="R355" s="9" t="n"/>
      <c r="S355" s="9" t="n"/>
      <c r="T355" s="10" t="n"/>
      <c r="U355" s="10" t="n"/>
      <c r="V355" s="9" t="n"/>
      <c r="W355" s="9" t="n"/>
      <c r="X355" s="9" t="n"/>
      <c r="Y355" s="9" t="n"/>
      <c r="Z355" s="11" t="n"/>
      <c r="AA355" s="11" t="n"/>
      <c r="AB355" s="11" t="n"/>
      <c r="AC355" s="11" t="n"/>
      <c r="AD355" s="11" t="n"/>
      <c r="AE355" s="11" t="n"/>
      <c r="AF355" s="9" t="n"/>
      <c r="AG355" s="9" t="n"/>
      <c r="AH355" s="9" t="n"/>
      <c r="AI355" s="9" t="n"/>
      <c r="AJ355" s="8" t="n"/>
      <c r="AK355" s="9" t="n"/>
      <c r="AL355" s="9" t="n"/>
      <c r="AM355" s="9" t="n"/>
      <c r="AN355" s="9" t="n"/>
      <c r="AO355" s="9" t="n"/>
      <c r="AP355" s="9" t="n"/>
      <c r="AQ355" s="9" t="n"/>
      <c r="AR355" s="9" t="n"/>
      <c r="AS355" s="9" t="n"/>
      <c r="AT355" s="8" t="n"/>
      <c r="AU355" s="8" t="n"/>
      <c r="AV355" s="9" t="n"/>
      <c r="AW355" s="8" t="n"/>
      <c r="AX355" s="9" t="n"/>
      <c r="AY355" s="9" t="n"/>
      <c r="AZ355" s="9" t="n"/>
      <c r="BA355" s="9" t="n"/>
      <c r="BB355" s="9" t="n"/>
      <c r="BC355" s="9" t="n"/>
      <c r="BD355" s="9" t="n"/>
      <c r="BE355" s="9" t="n"/>
      <c r="BF355" s="9" t="n"/>
      <c r="BG355" s="9" t="n"/>
      <c r="BH355" s="9" t="n"/>
      <c r="BI355" s="9" t="n"/>
      <c r="BJ355" s="9" t="n"/>
      <c r="BK355" s="9" t="n"/>
      <c r="BL355" s="9" t="n"/>
      <c r="BM355" s="9" t="n"/>
      <c r="BN355" s="9" t="n"/>
      <c r="BO355" s="8" t="n"/>
      <c r="BP355" s="9" t="n"/>
      <c r="BQ355" s="9" t="n"/>
      <c r="BR355" s="12">
        <f>IF(AND(AI355="Y",AK355="Y",AL355="Y",AM355="Y",AY355="Y",AZ355="Y",BA355="Y",BB355="Y",BC355="Y",BE355&lt;&gt;"Y",AX355&lt;&gt;"Y",BL355&lt;&gt;"Y",IF(AS355="Y",AV355="Y",TRUE)),"Y","N")</f>
        <v/>
      </c>
      <c r="BS355" s="12">
        <f>IF(AND(BR355="Y",OR(AND(BJ355="Y",BM355="Y"),AND(BK355="Y",BN355="Y"),AND(BJ355&lt;&gt;"Y",BK355&lt;&gt;"Y",OR(BM355="Y",BN355="Y")))),"Y","N")</f>
        <v/>
      </c>
      <c r="BT355" s="10" t="n"/>
      <c r="BU355" s="13" t="n"/>
      <c r="BV355" s="13" t="n"/>
      <c r="BW355" s="13" t="n"/>
      <c r="BX355" s="13" t="n"/>
      <c r="BY355" s="13" t="n"/>
      <c r="BZ355" s="13" t="n"/>
      <c r="CA355" s="14" t="n"/>
      <c r="CB355" s="13" t="n"/>
      <c r="CC355" s="9" t="n"/>
      <c r="CD355" s="9" t="n"/>
      <c r="CE355" s="9" t="n"/>
      <c r="CF355" s="9" t="n"/>
      <c r="CG355" s="9" t="n"/>
      <c r="CH355" s="9" t="n"/>
    </row>
    <row r="356">
      <c r="A356" s="8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8" t="n"/>
      <c r="L356" s="9" t="n"/>
      <c r="M356" s="8" t="n"/>
      <c r="N356" s="8" t="n"/>
      <c r="O356" s="8" t="n"/>
      <c r="P356" s="8" t="n"/>
      <c r="Q356" s="8" t="n"/>
      <c r="R356" s="9" t="n"/>
      <c r="S356" s="9" t="n"/>
      <c r="T356" s="10" t="n"/>
      <c r="U356" s="10" t="n"/>
      <c r="V356" s="9" t="n"/>
      <c r="W356" s="9" t="n"/>
      <c r="X356" s="9" t="n"/>
      <c r="Y356" s="9" t="n"/>
      <c r="Z356" s="11" t="n"/>
      <c r="AA356" s="11" t="n"/>
      <c r="AB356" s="11" t="n"/>
      <c r="AC356" s="11" t="n"/>
      <c r="AD356" s="11" t="n"/>
      <c r="AE356" s="11" t="n"/>
      <c r="AF356" s="9" t="n"/>
      <c r="AG356" s="9" t="n"/>
      <c r="AH356" s="9" t="n"/>
      <c r="AI356" s="9" t="n"/>
      <c r="AJ356" s="8" t="n"/>
      <c r="AK356" s="9" t="n"/>
      <c r="AL356" s="9" t="n"/>
      <c r="AM356" s="9" t="n"/>
      <c r="AN356" s="9" t="n"/>
      <c r="AO356" s="9" t="n"/>
      <c r="AP356" s="9" t="n"/>
      <c r="AQ356" s="9" t="n"/>
      <c r="AR356" s="9" t="n"/>
      <c r="AS356" s="9" t="n"/>
      <c r="AT356" s="8" t="n"/>
      <c r="AU356" s="8" t="n"/>
      <c r="AV356" s="9" t="n"/>
      <c r="AW356" s="8" t="n"/>
      <c r="AX356" s="9" t="n"/>
      <c r="AY356" s="9" t="n"/>
      <c r="AZ356" s="9" t="n"/>
      <c r="BA356" s="9" t="n"/>
      <c r="BB356" s="9" t="n"/>
      <c r="BC356" s="9" t="n"/>
      <c r="BD356" s="9" t="n"/>
      <c r="BE356" s="9" t="n"/>
      <c r="BF356" s="9" t="n"/>
      <c r="BG356" s="9" t="n"/>
      <c r="BH356" s="9" t="n"/>
      <c r="BI356" s="9" t="n"/>
      <c r="BJ356" s="9" t="n"/>
      <c r="BK356" s="9" t="n"/>
      <c r="BL356" s="9" t="n"/>
      <c r="BM356" s="9" t="n"/>
      <c r="BN356" s="9" t="n"/>
      <c r="BO356" s="8" t="n"/>
      <c r="BP356" s="9" t="n"/>
      <c r="BQ356" s="9" t="n"/>
      <c r="BR356" s="12">
        <f>IF(AND(AI356="Y",AK356="Y",AL356="Y",AM356="Y",AY356="Y",AZ356="Y",BA356="Y",BB356="Y",BC356="Y",BE356&lt;&gt;"Y",AX356&lt;&gt;"Y",BL356&lt;&gt;"Y",IF(AS356="Y",AV356="Y",TRUE)),"Y","N")</f>
        <v/>
      </c>
      <c r="BS356" s="12">
        <f>IF(AND(BR356="Y",OR(AND(BJ356="Y",BM356="Y"),AND(BK356="Y",BN356="Y"),AND(BJ356&lt;&gt;"Y",BK356&lt;&gt;"Y",OR(BM356="Y",BN356="Y")))),"Y","N")</f>
        <v/>
      </c>
      <c r="BT356" s="10" t="n"/>
      <c r="BU356" s="13" t="n"/>
      <c r="BV356" s="13" t="n"/>
      <c r="BW356" s="13" t="n"/>
      <c r="BX356" s="13" t="n"/>
      <c r="BY356" s="13" t="n"/>
      <c r="BZ356" s="13" t="n"/>
      <c r="CA356" s="14" t="n"/>
      <c r="CB356" s="13" t="n"/>
      <c r="CC356" s="9" t="n"/>
      <c r="CD356" s="9" t="n"/>
      <c r="CE356" s="9" t="n"/>
      <c r="CF356" s="9" t="n"/>
      <c r="CG356" s="9" t="n"/>
      <c r="CH356" s="9" t="n"/>
    </row>
    <row r="357">
      <c r="A357" s="8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8" t="n"/>
      <c r="L357" s="9" t="n"/>
      <c r="M357" s="8" t="n"/>
      <c r="N357" s="8" t="n"/>
      <c r="O357" s="8" t="n"/>
      <c r="P357" s="8" t="n"/>
      <c r="Q357" s="8" t="n"/>
      <c r="R357" s="9" t="n"/>
      <c r="S357" s="9" t="n"/>
      <c r="T357" s="10" t="n"/>
      <c r="U357" s="10" t="n"/>
      <c r="V357" s="9" t="n"/>
      <c r="W357" s="9" t="n"/>
      <c r="X357" s="9" t="n"/>
      <c r="Y357" s="9" t="n"/>
      <c r="Z357" s="11" t="n"/>
      <c r="AA357" s="11" t="n"/>
      <c r="AB357" s="11" t="n"/>
      <c r="AC357" s="11" t="n"/>
      <c r="AD357" s="11" t="n"/>
      <c r="AE357" s="11" t="n"/>
      <c r="AF357" s="9" t="n"/>
      <c r="AG357" s="9" t="n"/>
      <c r="AH357" s="9" t="n"/>
      <c r="AI357" s="9" t="n"/>
      <c r="AJ357" s="8" t="n"/>
      <c r="AK357" s="9" t="n"/>
      <c r="AL357" s="9" t="n"/>
      <c r="AM357" s="9" t="n"/>
      <c r="AN357" s="9" t="n"/>
      <c r="AO357" s="9" t="n"/>
      <c r="AP357" s="9" t="n"/>
      <c r="AQ357" s="9" t="n"/>
      <c r="AR357" s="9" t="n"/>
      <c r="AS357" s="9" t="n"/>
      <c r="AT357" s="8" t="n"/>
      <c r="AU357" s="8" t="n"/>
      <c r="AV357" s="9" t="n"/>
      <c r="AW357" s="8" t="n"/>
      <c r="AX357" s="9" t="n"/>
      <c r="AY357" s="9" t="n"/>
      <c r="AZ357" s="9" t="n"/>
      <c r="BA357" s="9" t="n"/>
      <c r="BB357" s="9" t="n"/>
      <c r="BC357" s="9" t="n"/>
      <c r="BD357" s="9" t="n"/>
      <c r="BE357" s="9" t="n"/>
      <c r="BF357" s="9" t="n"/>
      <c r="BG357" s="9" t="n"/>
      <c r="BH357" s="9" t="n"/>
      <c r="BI357" s="9" t="n"/>
      <c r="BJ357" s="9" t="n"/>
      <c r="BK357" s="9" t="n"/>
      <c r="BL357" s="9" t="n"/>
      <c r="BM357" s="9" t="n"/>
      <c r="BN357" s="9" t="n"/>
      <c r="BO357" s="8" t="n"/>
      <c r="BP357" s="9" t="n"/>
      <c r="BQ357" s="9" t="n"/>
      <c r="BR357" s="12">
        <f>IF(AND(AI357="Y",AK357="Y",AL357="Y",AM357="Y",AY357="Y",AZ357="Y",BA357="Y",BB357="Y",BC357="Y",BE357&lt;&gt;"Y",AX357&lt;&gt;"Y",BL357&lt;&gt;"Y",IF(AS357="Y",AV357="Y",TRUE)),"Y","N")</f>
        <v/>
      </c>
      <c r="BS357" s="12">
        <f>IF(AND(BR357="Y",OR(AND(BJ357="Y",BM357="Y"),AND(BK357="Y",BN357="Y"),AND(BJ357&lt;&gt;"Y",BK357&lt;&gt;"Y",OR(BM357="Y",BN357="Y")))),"Y","N")</f>
        <v/>
      </c>
      <c r="BT357" s="10" t="n"/>
      <c r="BU357" s="13" t="n"/>
      <c r="BV357" s="13" t="n"/>
      <c r="BW357" s="13" t="n"/>
      <c r="BX357" s="13" t="n"/>
      <c r="BY357" s="13" t="n"/>
      <c r="BZ357" s="13" t="n"/>
      <c r="CA357" s="14" t="n"/>
      <c r="CB357" s="13" t="n"/>
      <c r="CC357" s="9" t="n"/>
      <c r="CD357" s="9" t="n"/>
      <c r="CE357" s="9" t="n"/>
      <c r="CF357" s="9" t="n"/>
      <c r="CG357" s="9" t="n"/>
      <c r="CH357" s="9" t="n"/>
    </row>
    <row r="358">
      <c r="A358" s="8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8" t="n"/>
      <c r="L358" s="9" t="n"/>
      <c r="M358" s="8" t="n"/>
      <c r="N358" s="8" t="n"/>
      <c r="O358" s="8" t="n"/>
      <c r="P358" s="8" t="n"/>
      <c r="Q358" s="8" t="n"/>
      <c r="R358" s="9" t="n"/>
      <c r="S358" s="9" t="n"/>
      <c r="T358" s="10" t="n"/>
      <c r="U358" s="10" t="n"/>
      <c r="V358" s="9" t="n"/>
      <c r="W358" s="9" t="n"/>
      <c r="X358" s="9" t="n"/>
      <c r="Y358" s="9" t="n"/>
      <c r="Z358" s="11" t="n"/>
      <c r="AA358" s="11" t="n"/>
      <c r="AB358" s="11" t="n"/>
      <c r="AC358" s="11" t="n"/>
      <c r="AD358" s="11" t="n"/>
      <c r="AE358" s="11" t="n"/>
      <c r="AF358" s="9" t="n"/>
      <c r="AG358" s="9" t="n"/>
      <c r="AH358" s="9" t="n"/>
      <c r="AI358" s="9" t="n"/>
      <c r="AJ358" s="8" t="n"/>
      <c r="AK358" s="9" t="n"/>
      <c r="AL358" s="9" t="n"/>
      <c r="AM358" s="9" t="n"/>
      <c r="AN358" s="9" t="n"/>
      <c r="AO358" s="9" t="n"/>
      <c r="AP358" s="9" t="n"/>
      <c r="AQ358" s="9" t="n"/>
      <c r="AR358" s="9" t="n"/>
      <c r="AS358" s="9" t="n"/>
      <c r="AT358" s="8" t="n"/>
      <c r="AU358" s="8" t="n"/>
      <c r="AV358" s="9" t="n"/>
      <c r="AW358" s="8" t="n"/>
      <c r="AX358" s="9" t="n"/>
      <c r="AY358" s="9" t="n"/>
      <c r="AZ358" s="9" t="n"/>
      <c r="BA358" s="9" t="n"/>
      <c r="BB358" s="9" t="n"/>
      <c r="BC358" s="9" t="n"/>
      <c r="BD358" s="9" t="n"/>
      <c r="BE358" s="9" t="n"/>
      <c r="BF358" s="9" t="n"/>
      <c r="BG358" s="9" t="n"/>
      <c r="BH358" s="9" t="n"/>
      <c r="BI358" s="9" t="n"/>
      <c r="BJ358" s="9" t="n"/>
      <c r="BK358" s="9" t="n"/>
      <c r="BL358" s="9" t="n"/>
      <c r="BM358" s="9" t="n"/>
      <c r="BN358" s="9" t="n"/>
      <c r="BO358" s="8" t="n"/>
      <c r="BP358" s="9" t="n"/>
      <c r="BQ358" s="9" t="n"/>
      <c r="BR358" s="12">
        <f>IF(AND(AI358="Y",AK358="Y",AL358="Y",AM358="Y",AY358="Y",AZ358="Y",BA358="Y",BB358="Y",BC358="Y",BE358&lt;&gt;"Y",AX358&lt;&gt;"Y",BL358&lt;&gt;"Y",IF(AS358="Y",AV358="Y",TRUE)),"Y","N")</f>
        <v/>
      </c>
      <c r="BS358" s="12">
        <f>IF(AND(BR358="Y",OR(AND(BJ358="Y",BM358="Y"),AND(BK358="Y",BN358="Y"),AND(BJ358&lt;&gt;"Y",BK358&lt;&gt;"Y",OR(BM358="Y",BN358="Y")))),"Y","N")</f>
        <v/>
      </c>
      <c r="BT358" s="10" t="n"/>
      <c r="BU358" s="13" t="n"/>
      <c r="BV358" s="13" t="n"/>
      <c r="BW358" s="13" t="n"/>
      <c r="BX358" s="13" t="n"/>
      <c r="BY358" s="13" t="n"/>
      <c r="BZ358" s="13" t="n"/>
      <c r="CA358" s="14" t="n"/>
      <c r="CB358" s="13" t="n"/>
      <c r="CC358" s="9" t="n"/>
      <c r="CD358" s="9" t="n"/>
      <c r="CE358" s="9" t="n"/>
      <c r="CF358" s="9" t="n"/>
      <c r="CG358" s="9" t="n"/>
      <c r="CH358" s="9" t="n"/>
    </row>
    <row r="359">
      <c r="A359" s="8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8" t="n"/>
      <c r="L359" s="9" t="n"/>
      <c r="M359" s="8" t="n"/>
      <c r="N359" s="8" t="n"/>
      <c r="O359" s="8" t="n"/>
      <c r="P359" s="8" t="n"/>
      <c r="Q359" s="8" t="n"/>
      <c r="R359" s="9" t="n"/>
      <c r="S359" s="9" t="n"/>
      <c r="T359" s="10" t="n"/>
      <c r="U359" s="10" t="n"/>
      <c r="V359" s="9" t="n"/>
      <c r="W359" s="9" t="n"/>
      <c r="X359" s="9" t="n"/>
      <c r="Y359" s="9" t="n"/>
      <c r="Z359" s="11" t="n"/>
      <c r="AA359" s="11" t="n"/>
      <c r="AB359" s="11" t="n"/>
      <c r="AC359" s="11" t="n"/>
      <c r="AD359" s="11" t="n"/>
      <c r="AE359" s="11" t="n"/>
      <c r="AF359" s="9" t="n"/>
      <c r="AG359" s="9" t="n"/>
      <c r="AH359" s="9" t="n"/>
      <c r="AI359" s="9" t="n"/>
      <c r="AJ359" s="8" t="n"/>
      <c r="AK359" s="9" t="n"/>
      <c r="AL359" s="9" t="n"/>
      <c r="AM359" s="9" t="n"/>
      <c r="AN359" s="9" t="n"/>
      <c r="AO359" s="9" t="n"/>
      <c r="AP359" s="9" t="n"/>
      <c r="AQ359" s="9" t="n"/>
      <c r="AR359" s="9" t="n"/>
      <c r="AS359" s="9" t="n"/>
      <c r="AT359" s="8" t="n"/>
      <c r="AU359" s="8" t="n"/>
      <c r="AV359" s="9" t="n"/>
      <c r="AW359" s="8" t="n"/>
      <c r="AX359" s="9" t="n"/>
      <c r="AY359" s="9" t="n"/>
      <c r="AZ359" s="9" t="n"/>
      <c r="BA359" s="9" t="n"/>
      <c r="BB359" s="9" t="n"/>
      <c r="BC359" s="9" t="n"/>
      <c r="BD359" s="9" t="n"/>
      <c r="BE359" s="9" t="n"/>
      <c r="BF359" s="9" t="n"/>
      <c r="BG359" s="9" t="n"/>
      <c r="BH359" s="9" t="n"/>
      <c r="BI359" s="9" t="n"/>
      <c r="BJ359" s="9" t="n"/>
      <c r="BK359" s="9" t="n"/>
      <c r="BL359" s="9" t="n"/>
      <c r="BM359" s="9" t="n"/>
      <c r="BN359" s="9" t="n"/>
      <c r="BO359" s="8" t="n"/>
      <c r="BP359" s="9" t="n"/>
      <c r="BQ359" s="9" t="n"/>
      <c r="BR359" s="12">
        <f>IF(AND(AI359="Y",AK359="Y",AL359="Y",AM359="Y",AY359="Y",AZ359="Y",BA359="Y",BB359="Y",BC359="Y",BE359&lt;&gt;"Y",AX359&lt;&gt;"Y",BL359&lt;&gt;"Y",IF(AS359="Y",AV359="Y",TRUE)),"Y","N")</f>
        <v/>
      </c>
      <c r="BS359" s="12">
        <f>IF(AND(BR359="Y",OR(AND(BJ359="Y",BM359="Y"),AND(BK359="Y",BN359="Y"),AND(BJ359&lt;&gt;"Y",BK359&lt;&gt;"Y",OR(BM359="Y",BN359="Y")))),"Y","N")</f>
        <v/>
      </c>
      <c r="BT359" s="10" t="n"/>
      <c r="BU359" s="13" t="n"/>
      <c r="BV359" s="13" t="n"/>
      <c r="BW359" s="13" t="n"/>
      <c r="BX359" s="13" t="n"/>
      <c r="BY359" s="13" t="n"/>
      <c r="BZ359" s="13" t="n"/>
      <c r="CA359" s="14" t="n"/>
      <c r="CB359" s="13" t="n"/>
      <c r="CC359" s="9" t="n"/>
      <c r="CD359" s="9" t="n"/>
      <c r="CE359" s="9" t="n"/>
      <c r="CF359" s="9" t="n"/>
      <c r="CG359" s="9" t="n"/>
      <c r="CH359" s="9" t="n"/>
    </row>
    <row r="360">
      <c r="A360" s="8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8" t="n"/>
      <c r="L360" s="9" t="n"/>
      <c r="M360" s="8" t="n"/>
      <c r="N360" s="8" t="n"/>
      <c r="O360" s="8" t="n"/>
      <c r="P360" s="8" t="n"/>
      <c r="Q360" s="8" t="n"/>
      <c r="R360" s="9" t="n"/>
      <c r="S360" s="9" t="n"/>
      <c r="T360" s="10" t="n"/>
      <c r="U360" s="10" t="n"/>
      <c r="V360" s="9" t="n"/>
      <c r="W360" s="9" t="n"/>
      <c r="X360" s="9" t="n"/>
      <c r="Y360" s="9" t="n"/>
      <c r="Z360" s="11" t="n"/>
      <c r="AA360" s="11" t="n"/>
      <c r="AB360" s="11" t="n"/>
      <c r="AC360" s="11" t="n"/>
      <c r="AD360" s="11" t="n"/>
      <c r="AE360" s="11" t="n"/>
      <c r="AF360" s="9" t="n"/>
      <c r="AG360" s="9" t="n"/>
      <c r="AH360" s="9" t="n"/>
      <c r="AI360" s="9" t="n"/>
      <c r="AJ360" s="8" t="n"/>
      <c r="AK360" s="9" t="n"/>
      <c r="AL360" s="9" t="n"/>
      <c r="AM360" s="9" t="n"/>
      <c r="AN360" s="9" t="n"/>
      <c r="AO360" s="9" t="n"/>
      <c r="AP360" s="9" t="n"/>
      <c r="AQ360" s="9" t="n"/>
      <c r="AR360" s="9" t="n"/>
      <c r="AS360" s="9" t="n"/>
      <c r="AT360" s="8" t="n"/>
      <c r="AU360" s="8" t="n"/>
      <c r="AV360" s="9" t="n"/>
      <c r="AW360" s="8" t="n"/>
      <c r="AX360" s="9" t="n"/>
      <c r="AY360" s="9" t="n"/>
      <c r="AZ360" s="9" t="n"/>
      <c r="BA360" s="9" t="n"/>
      <c r="BB360" s="9" t="n"/>
      <c r="BC360" s="9" t="n"/>
      <c r="BD360" s="9" t="n"/>
      <c r="BE360" s="9" t="n"/>
      <c r="BF360" s="9" t="n"/>
      <c r="BG360" s="9" t="n"/>
      <c r="BH360" s="9" t="n"/>
      <c r="BI360" s="9" t="n"/>
      <c r="BJ360" s="9" t="n"/>
      <c r="BK360" s="9" t="n"/>
      <c r="BL360" s="9" t="n"/>
      <c r="BM360" s="9" t="n"/>
      <c r="BN360" s="9" t="n"/>
      <c r="BO360" s="8" t="n"/>
      <c r="BP360" s="9" t="n"/>
      <c r="BQ360" s="9" t="n"/>
      <c r="BR360" s="12">
        <f>IF(AND(AI360="Y",AK360="Y",AL360="Y",AM360="Y",AY360="Y",AZ360="Y",BA360="Y",BB360="Y",BC360="Y",BE360&lt;&gt;"Y",AX360&lt;&gt;"Y",BL360&lt;&gt;"Y",IF(AS360="Y",AV360="Y",TRUE)),"Y","N")</f>
        <v/>
      </c>
      <c r="BS360" s="12">
        <f>IF(AND(BR360="Y",OR(AND(BJ360="Y",BM360="Y"),AND(BK360="Y",BN360="Y"),AND(BJ360&lt;&gt;"Y",BK360&lt;&gt;"Y",OR(BM360="Y",BN360="Y")))),"Y","N")</f>
        <v/>
      </c>
      <c r="BT360" s="10" t="n"/>
      <c r="BU360" s="13" t="n"/>
      <c r="BV360" s="13" t="n"/>
      <c r="BW360" s="13" t="n"/>
      <c r="BX360" s="13" t="n"/>
      <c r="BY360" s="13" t="n"/>
      <c r="BZ360" s="13" t="n"/>
      <c r="CA360" s="14" t="n"/>
      <c r="CB360" s="13" t="n"/>
      <c r="CC360" s="9" t="n"/>
      <c r="CD360" s="9" t="n"/>
      <c r="CE360" s="9" t="n"/>
      <c r="CF360" s="9" t="n"/>
      <c r="CG360" s="9" t="n"/>
      <c r="CH360" s="9" t="n"/>
    </row>
    <row r="361">
      <c r="A361" s="8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8" t="n"/>
      <c r="L361" s="9" t="n"/>
      <c r="M361" s="8" t="n"/>
      <c r="N361" s="8" t="n"/>
      <c r="O361" s="8" t="n"/>
      <c r="P361" s="8" t="n"/>
      <c r="Q361" s="8" t="n"/>
      <c r="R361" s="9" t="n"/>
      <c r="S361" s="9" t="n"/>
      <c r="T361" s="10" t="n"/>
      <c r="U361" s="10" t="n"/>
      <c r="V361" s="9" t="n"/>
      <c r="W361" s="9" t="n"/>
      <c r="X361" s="9" t="n"/>
      <c r="Y361" s="9" t="n"/>
      <c r="Z361" s="11" t="n"/>
      <c r="AA361" s="11" t="n"/>
      <c r="AB361" s="11" t="n"/>
      <c r="AC361" s="11" t="n"/>
      <c r="AD361" s="11" t="n"/>
      <c r="AE361" s="11" t="n"/>
      <c r="AF361" s="9" t="n"/>
      <c r="AG361" s="9" t="n"/>
      <c r="AH361" s="9" t="n"/>
      <c r="AI361" s="9" t="n"/>
      <c r="AJ361" s="8" t="n"/>
      <c r="AK361" s="9" t="n"/>
      <c r="AL361" s="9" t="n"/>
      <c r="AM361" s="9" t="n"/>
      <c r="AN361" s="9" t="n"/>
      <c r="AO361" s="9" t="n"/>
      <c r="AP361" s="9" t="n"/>
      <c r="AQ361" s="9" t="n"/>
      <c r="AR361" s="9" t="n"/>
      <c r="AS361" s="9" t="n"/>
      <c r="AT361" s="8" t="n"/>
      <c r="AU361" s="8" t="n"/>
      <c r="AV361" s="9" t="n"/>
      <c r="AW361" s="8" t="n"/>
      <c r="AX361" s="9" t="n"/>
      <c r="AY361" s="9" t="n"/>
      <c r="AZ361" s="9" t="n"/>
      <c r="BA361" s="9" t="n"/>
      <c r="BB361" s="9" t="n"/>
      <c r="BC361" s="9" t="n"/>
      <c r="BD361" s="9" t="n"/>
      <c r="BE361" s="9" t="n"/>
      <c r="BF361" s="9" t="n"/>
      <c r="BG361" s="9" t="n"/>
      <c r="BH361" s="9" t="n"/>
      <c r="BI361" s="9" t="n"/>
      <c r="BJ361" s="9" t="n"/>
      <c r="BK361" s="9" t="n"/>
      <c r="BL361" s="9" t="n"/>
      <c r="BM361" s="9" t="n"/>
      <c r="BN361" s="9" t="n"/>
      <c r="BO361" s="8" t="n"/>
      <c r="BP361" s="9" t="n"/>
      <c r="BQ361" s="9" t="n"/>
      <c r="BR361" s="12">
        <f>IF(AND(AI361="Y",AK361="Y",AL361="Y",AM361="Y",AY361="Y",AZ361="Y",BA361="Y",BB361="Y",BC361="Y",BE361&lt;&gt;"Y",AX361&lt;&gt;"Y",BL361&lt;&gt;"Y",IF(AS361="Y",AV361="Y",TRUE)),"Y","N")</f>
        <v/>
      </c>
      <c r="BS361" s="12">
        <f>IF(AND(BR361="Y",OR(AND(BJ361="Y",BM361="Y"),AND(BK361="Y",BN361="Y"),AND(BJ361&lt;&gt;"Y",BK361&lt;&gt;"Y",OR(BM361="Y",BN361="Y")))),"Y","N")</f>
        <v/>
      </c>
      <c r="BT361" s="10" t="n"/>
      <c r="BU361" s="13" t="n"/>
      <c r="BV361" s="13" t="n"/>
      <c r="BW361" s="13" t="n"/>
      <c r="BX361" s="13" t="n"/>
      <c r="BY361" s="13" t="n"/>
      <c r="BZ361" s="13" t="n"/>
      <c r="CA361" s="14" t="n"/>
      <c r="CB361" s="13" t="n"/>
      <c r="CC361" s="9" t="n"/>
      <c r="CD361" s="9" t="n"/>
      <c r="CE361" s="9" t="n"/>
      <c r="CF361" s="9" t="n"/>
      <c r="CG361" s="9" t="n"/>
      <c r="CH361" s="9" t="n"/>
    </row>
    <row r="362">
      <c r="A362" s="8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8" t="n"/>
      <c r="L362" s="9" t="n"/>
      <c r="M362" s="8" t="n"/>
      <c r="N362" s="8" t="n"/>
      <c r="O362" s="8" t="n"/>
      <c r="P362" s="8" t="n"/>
      <c r="Q362" s="8" t="n"/>
      <c r="R362" s="9" t="n"/>
      <c r="S362" s="9" t="n"/>
      <c r="T362" s="10" t="n"/>
      <c r="U362" s="10" t="n"/>
      <c r="V362" s="9" t="n"/>
      <c r="W362" s="9" t="n"/>
      <c r="X362" s="9" t="n"/>
      <c r="Y362" s="9" t="n"/>
      <c r="Z362" s="11" t="n"/>
      <c r="AA362" s="11" t="n"/>
      <c r="AB362" s="11" t="n"/>
      <c r="AC362" s="11" t="n"/>
      <c r="AD362" s="11" t="n"/>
      <c r="AE362" s="11" t="n"/>
      <c r="AF362" s="9" t="n"/>
      <c r="AG362" s="9" t="n"/>
      <c r="AH362" s="9" t="n"/>
      <c r="AI362" s="9" t="n"/>
      <c r="AJ362" s="8" t="n"/>
      <c r="AK362" s="9" t="n"/>
      <c r="AL362" s="9" t="n"/>
      <c r="AM362" s="9" t="n"/>
      <c r="AN362" s="9" t="n"/>
      <c r="AO362" s="9" t="n"/>
      <c r="AP362" s="9" t="n"/>
      <c r="AQ362" s="9" t="n"/>
      <c r="AR362" s="9" t="n"/>
      <c r="AS362" s="9" t="n"/>
      <c r="AT362" s="8" t="n"/>
      <c r="AU362" s="8" t="n"/>
      <c r="AV362" s="9" t="n"/>
      <c r="AW362" s="8" t="n"/>
      <c r="AX362" s="9" t="n"/>
      <c r="AY362" s="9" t="n"/>
      <c r="AZ362" s="9" t="n"/>
      <c r="BA362" s="9" t="n"/>
      <c r="BB362" s="9" t="n"/>
      <c r="BC362" s="9" t="n"/>
      <c r="BD362" s="9" t="n"/>
      <c r="BE362" s="9" t="n"/>
      <c r="BF362" s="9" t="n"/>
      <c r="BG362" s="9" t="n"/>
      <c r="BH362" s="9" t="n"/>
      <c r="BI362" s="9" t="n"/>
      <c r="BJ362" s="9" t="n"/>
      <c r="BK362" s="9" t="n"/>
      <c r="BL362" s="9" t="n"/>
      <c r="BM362" s="9" t="n"/>
      <c r="BN362" s="9" t="n"/>
      <c r="BO362" s="8" t="n"/>
      <c r="BP362" s="9" t="n"/>
      <c r="BQ362" s="9" t="n"/>
      <c r="BR362" s="12">
        <f>IF(AND(AI362="Y",AK362="Y",AL362="Y",AM362="Y",AY362="Y",AZ362="Y",BA362="Y",BB362="Y",BC362="Y",BE362&lt;&gt;"Y",AX362&lt;&gt;"Y",BL362&lt;&gt;"Y",IF(AS362="Y",AV362="Y",TRUE)),"Y","N")</f>
        <v/>
      </c>
      <c r="BS362" s="12">
        <f>IF(AND(BR362="Y",OR(AND(BJ362="Y",BM362="Y"),AND(BK362="Y",BN362="Y"),AND(BJ362&lt;&gt;"Y",BK362&lt;&gt;"Y",OR(BM362="Y",BN362="Y")))),"Y","N")</f>
        <v/>
      </c>
      <c r="BT362" s="10" t="n"/>
      <c r="BU362" s="13" t="n"/>
      <c r="BV362" s="13" t="n"/>
      <c r="BW362" s="13" t="n"/>
      <c r="BX362" s="13" t="n"/>
      <c r="BY362" s="13" t="n"/>
      <c r="BZ362" s="13" t="n"/>
      <c r="CA362" s="14" t="n"/>
      <c r="CB362" s="13" t="n"/>
      <c r="CC362" s="9" t="n"/>
      <c r="CD362" s="9" t="n"/>
      <c r="CE362" s="9" t="n"/>
      <c r="CF362" s="9" t="n"/>
      <c r="CG362" s="9" t="n"/>
      <c r="CH362" s="9" t="n"/>
    </row>
    <row r="363">
      <c r="A363" s="8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8" t="n"/>
      <c r="L363" s="9" t="n"/>
      <c r="M363" s="8" t="n"/>
      <c r="N363" s="8" t="n"/>
      <c r="O363" s="8" t="n"/>
      <c r="P363" s="8" t="n"/>
      <c r="Q363" s="8" t="n"/>
      <c r="R363" s="9" t="n"/>
      <c r="S363" s="9" t="n"/>
      <c r="T363" s="10" t="n"/>
      <c r="U363" s="10" t="n"/>
      <c r="V363" s="9" t="n"/>
      <c r="W363" s="9" t="n"/>
      <c r="X363" s="9" t="n"/>
      <c r="Y363" s="9" t="n"/>
      <c r="Z363" s="11" t="n"/>
      <c r="AA363" s="11" t="n"/>
      <c r="AB363" s="11" t="n"/>
      <c r="AC363" s="11" t="n"/>
      <c r="AD363" s="11" t="n"/>
      <c r="AE363" s="11" t="n"/>
      <c r="AF363" s="9" t="n"/>
      <c r="AG363" s="9" t="n"/>
      <c r="AH363" s="9" t="n"/>
      <c r="AI363" s="9" t="n"/>
      <c r="AJ363" s="8" t="n"/>
      <c r="AK363" s="9" t="n"/>
      <c r="AL363" s="9" t="n"/>
      <c r="AM363" s="9" t="n"/>
      <c r="AN363" s="9" t="n"/>
      <c r="AO363" s="9" t="n"/>
      <c r="AP363" s="9" t="n"/>
      <c r="AQ363" s="9" t="n"/>
      <c r="AR363" s="9" t="n"/>
      <c r="AS363" s="9" t="n"/>
      <c r="AT363" s="8" t="n"/>
      <c r="AU363" s="8" t="n"/>
      <c r="AV363" s="9" t="n"/>
      <c r="AW363" s="8" t="n"/>
      <c r="AX363" s="9" t="n"/>
      <c r="AY363" s="9" t="n"/>
      <c r="AZ363" s="9" t="n"/>
      <c r="BA363" s="9" t="n"/>
      <c r="BB363" s="9" t="n"/>
      <c r="BC363" s="9" t="n"/>
      <c r="BD363" s="9" t="n"/>
      <c r="BE363" s="9" t="n"/>
      <c r="BF363" s="9" t="n"/>
      <c r="BG363" s="9" t="n"/>
      <c r="BH363" s="9" t="n"/>
      <c r="BI363" s="9" t="n"/>
      <c r="BJ363" s="9" t="n"/>
      <c r="BK363" s="9" t="n"/>
      <c r="BL363" s="9" t="n"/>
      <c r="BM363" s="9" t="n"/>
      <c r="BN363" s="9" t="n"/>
      <c r="BO363" s="8" t="n"/>
      <c r="BP363" s="9" t="n"/>
      <c r="BQ363" s="9" t="n"/>
      <c r="BR363" s="12">
        <f>IF(AND(AI363="Y",AK363="Y",AL363="Y",AM363="Y",AY363="Y",AZ363="Y",BA363="Y",BB363="Y",BC363="Y",BE363&lt;&gt;"Y",AX363&lt;&gt;"Y",BL363&lt;&gt;"Y",IF(AS363="Y",AV363="Y",TRUE)),"Y","N")</f>
        <v/>
      </c>
      <c r="BS363" s="12">
        <f>IF(AND(BR363="Y",OR(AND(BJ363="Y",BM363="Y"),AND(BK363="Y",BN363="Y"),AND(BJ363&lt;&gt;"Y",BK363&lt;&gt;"Y",OR(BM363="Y",BN363="Y")))),"Y","N")</f>
        <v/>
      </c>
      <c r="BT363" s="10" t="n"/>
      <c r="BU363" s="13" t="n"/>
      <c r="BV363" s="13" t="n"/>
      <c r="BW363" s="13" t="n"/>
      <c r="BX363" s="13" t="n"/>
      <c r="BY363" s="13" t="n"/>
      <c r="BZ363" s="13" t="n"/>
      <c r="CA363" s="14" t="n"/>
      <c r="CB363" s="13" t="n"/>
      <c r="CC363" s="9" t="n"/>
      <c r="CD363" s="9" t="n"/>
      <c r="CE363" s="9" t="n"/>
      <c r="CF363" s="9" t="n"/>
      <c r="CG363" s="9" t="n"/>
      <c r="CH363" s="9" t="n"/>
    </row>
    <row r="364">
      <c r="A364" s="8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8" t="n"/>
      <c r="L364" s="9" t="n"/>
      <c r="M364" s="8" t="n"/>
      <c r="N364" s="8" t="n"/>
      <c r="O364" s="8" t="n"/>
      <c r="P364" s="8" t="n"/>
      <c r="Q364" s="8" t="n"/>
      <c r="R364" s="9" t="n"/>
      <c r="S364" s="9" t="n"/>
      <c r="T364" s="10" t="n"/>
      <c r="U364" s="10" t="n"/>
      <c r="V364" s="9" t="n"/>
      <c r="W364" s="9" t="n"/>
      <c r="X364" s="9" t="n"/>
      <c r="Y364" s="9" t="n"/>
      <c r="Z364" s="11" t="n"/>
      <c r="AA364" s="11" t="n"/>
      <c r="AB364" s="11" t="n"/>
      <c r="AC364" s="11" t="n"/>
      <c r="AD364" s="11" t="n"/>
      <c r="AE364" s="11" t="n"/>
      <c r="AF364" s="9" t="n"/>
      <c r="AG364" s="9" t="n"/>
      <c r="AH364" s="9" t="n"/>
      <c r="AI364" s="9" t="n"/>
      <c r="AJ364" s="8" t="n"/>
      <c r="AK364" s="9" t="n"/>
      <c r="AL364" s="9" t="n"/>
      <c r="AM364" s="9" t="n"/>
      <c r="AN364" s="9" t="n"/>
      <c r="AO364" s="9" t="n"/>
      <c r="AP364" s="9" t="n"/>
      <c r="AQ364" s="9" t="n"/>
      <c r="AR364" s="9" t="n"/>
      <c r="AS364" s="9" t="n"/>
      <c r="AT364" s="8" t="n"/>
      <c r="AU364" s="8" t="n"/>
      <c r="AV364" s="9" t="n"/>
      <c r="AW364" s="8" t="n"/>
      <c r="AX364" s="9" t="n"/>
      <c r="AY364" s="9" t="n"/>
      <c r="AZ364" s="9" t="n"/>
      <c r="BA364" s="9" t="n"/>
      <c r="BB364" s="9" t="n"/>
      <c r="BC364" s="9" t="n"/>
      <c r="BD364" s="9" t="n"/>
      <c r="BE364" s="9" t="n"/>
      <c r="BF364" s="9" t="n"/>
      <c r="BG364" s="9" t="n"/>
      <c r="BH364" s="9" t="n"/>
      <c r="BI364" s="9" t="n"/>
      <c r="BJ364" s="9" t="n"/>
      <c r="BK364" s="9" t="n"/>
      <c r="BL364" s="9" t="n"/>
      <c r="BM364" s="9" t="n"/>
      <c r="BN364" s="9" t="n"/>
      <c r="BO364" s="8" t="n"/>
      <c r="BP364" s="9" t="n"/>
      <c r="BQ364" s="9" t="n"/>
      <c r="BR364" s="12">
        <f>IF(AND(AI364="Y",AK364="Y",AL364="Y",AM364="Y",AY364="Y",AZ364="Y",BA364="Y",BB364="Y",BC364="Y",BE364&lt;&gt;"Y",AX364&lt;&gt;"Y",BL364&lt;&gt;"Y",IF(AS364="Y",AV364="Y",TRUE)),"Y","N")</f>
        <v/>
      </c>
      <c r="BS364" s="12">
        <f>IF(AND(BR364="Y",OR(AND(BJ364="Y",BM364="Y"),AND(BK364="Y",BN364="Y"),AND(BJ364&lt;&gt;"Y",BK364&lt;&gt;"Y",OR(BM364="Y",BN364="Y")))),"Y","N")</f>
        <v/>
      </c>
      <c r="BT364" s="10" t="n"/>
      <c r="BU364" s="13" t="n"/>
      <c r="BV364" s="13" t="n"/>
      <c r="BW364" s="13" t="n"/>
      <c r="BX364" s="13" t="n"/>
      <c r="BY364" s="13" t="n"/>
      <c r="BZ364" s="13" t="n"/>
      <c r="CA364" s="14" t="n"/>
      <c r="CB364" s="13" t="n"/>
      <c r="CC364" s="9" t="n"/>
      <c r="CD364" s="9" t="n"/>
      <c r="CE364" s="9" t="n"/>
      <c r="CF364" s="9" t="n"/>
      <c r="CG364" s="9" t="n"/>
      <c r="CH364" s="9" t="n"/>
    </row>
    <row r="365">
      <c r="A365" s="8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8" t="n"/>
      <c r="L365" s="9" t="n"/>
      <c r="M365" s="8" t="n"/>
      <c r="N365" s="8" t="n"/>
      <c r="O365" s="8" t="n"/>
      <c r="P365" s="8" t="n"/>
      <c r="Q365" s="8" t="n"/>
      <c r="R365" s="9" t="n"/>
      <c r="S365" s="9" t="n"/>
      <c r="T365" s="10" t="n"/>
      <c r="U365" s="10" t="n"/>
      <c r="V365" s="9" t="n"/>
      <c r="W365" s="9" t="n"/>
      <c r="X365" s="9" t="n"/>
      <c r="Y365" s="9" t="n"/>
      <c r="Z365" s="11" t="n"/>
      <c r="AA365" s="11" t="n"/>
      <c r="AB365" s="11" t="n"/>
      <c r="AC365" s="11" t="n"/>
      <c r="AD365" s="11" t="n"/>
      <c r="AE365" s="11" t="n"/>
      <c r="AF365" s="9" t="n"/>
      <c r="AG365" s="9" t="n"/>
      <c r="AH365" s="9" t="n"/>
      <c r="AI365" s="9" t="n"/>
      <c r="AJ365" s="8" t="n"/>
      <c r="AK365" s="9" t="n"/>
      <c r="AL365" s="9" t="n"/>
      <c r="AM365" s="9" t="n"/>
      <c r="AN365" s="9" t="n"/>
      <c r="AO365" s="9" t="n"/>
      <c r="AP365" s="9" t="n"/>
      <c r="AQ365" s="9" t="n"/>
      <c r="AR365" s="9" t="n"/>
      <c r="AS365" s="9" t="n"/>
      <c r="AT365" s="8" t="n"/>
      <c r="AU365" s="8" t="n"/>
      <c r="AV365" s="9" t="n"/>
      <c r="AW365" s="8" t="n"/>
      <c r="AX365" s="9" t="n"/>
      <c r="AY365" s="9" t="n"/>
      <c r="AZ365" s="9" t="n"/>
      <c r="BA365" s="9" t="n"/>
      <c r="BB365" s="9" t="n"/>
      <c r="BC365" s="9" t="n"/>
      <c r="BD365" s="9" t="n"/>
      <c r="BE365" s="9" t="n"/>
      <c r="BF365" s="9" t="n"/>
      <c r="BG365" s="9" t="n"/>
      <c r="BH365" s="9" t="n"/>
      <c r="BI365" s="9" t="n"/>
      <c r="BJ365" s="9" t="n"/>
      <c r="BK365" s="9" t="n"/>
      <c r="BL365" s="9" t="n"/>
      <c r="BM365" s="9" t="n"/>
      <c r="BN365" s="9" t="n"/>
      <c r="BO365" s="8" t="n"/>
      <c r="BP365" s="9" t="n"/>
      <c r="BQ365" s="9" t="n"/>
      <c r="BR365" s="12">
        <f>IF(AND(AI365="Y",AK365="Y",AL365="Y",AM365="Y",AY365="Y",AZ365="Y",BA365="Y",BB365="Y",BC365="Y",BE365&lt;&gt;"Y",AX365&lt;&gt;"Y",BL365&lt;&gt;"Y",IF(AS365="Y",AV365="Y",TRUE)),"Y","N")</f>
        <v/>
      </c>
      <c r="BS365" s="12">
        <f>IF(AND(BR365="Y",OR(AND(BJ365="Y",BM365="Y"),AND(BK365="Y",BN365="Y"),AND(BJ365&lt;&gt;"Y",BK365&lt;&gt;"Y",OR(BM365="Y",BN365="Y")))),"Y","N")</f>
        <v/>
      </c>
      <c r="BT365" s="10" t="n"/>
      <c r="BU365" s="13" t="n"/>
      <c r="BV365" s="13" t="n"/>
      <c r="BW365" s="13" t="n"/>
      <c r="BX365" s="13" t="n"/>
      <c r="BY365" s="13" t="n"/>
      <c r="BZ365" s="13" t="n"/>
      <c r="CA365" s="14" t="n"/>
      <c r="CB365" s="13" t="n"/>
      <c r="CC365" s="9" t="n"/>
      <c r="CD365" s="9" t="n"/>
      <c r="CE365" s="9" t="n"/>
      <c r="CF365" s="9" t="n"/>
      <c r="CG365" s="9" t="n"/>
      <c r="CH365" s="9" t="n"/>
    </row>
    <row r="366">
      <c r="A366" s="8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8" t="n"/>
      <c r="L366" s="9" t="n"/>
      <c r="M366" s="8" t="n"/>
      <c r="N366" s="8" t="n"/>
      <c r="O366" s="8" t="n"/>
      <c r="P366" s="8" t="n"/>
      <c r="Q366" s="8" t="n"/>
      <c r="R366" s="9" t="n"/>
      <c r="S366" s="9" t="n"/>
      <c r="T366" s="10" t="n"/>
      <c r="U366" s="10" t="n"/>
      <c r="V366" s="9" t="n"/>
      <c r="W366" s="9" t="n"/>
      <c r="X366" s="9" t="n"/>
      <c r="Y366" s="9" t="n"/>
      <c r="Z366" s="11" t="n"/>
      <c r="AA366" s="11" t="n"/>
      <c r="AB366" s="11" t="n"/>
      <c r="AC366" s="11" t="n"/>
      <c r="AD366" s="11" t="n"/>
      <c r="AE366" s="11" t="n"/>
      <c r="AF366" s="9" t="n"/>
      <c r="AG366" s="9" t="n"/>
      <c r="AH366" s="9" t="n"/>
      <c r="AI366" s="9" t="n"/>
      <c r="AJ366" s="8" t="n"/>
      <c r="AK366" s="9" t="n"/>
      <c r="AL366" s="9" t="n"/>
      <c r="AM366" s="9" t="n"/>
      <c r="AN366" s="9" t="n"/>
      <c r="AO366" s="9" t="n"/>
      <c r="AP366" s="9" t="n"/>
      <c r="AQ366" s="9" t="n"/>
      <c r="AR366" s="9" t="n"/>
      <c r="AS366" s="9" t="n"/>
      <c r="AT366" s="8" t="n"/>
      <c r="AU366" s="8" t="n"/>
      <c r="AV366" s="9" t="n"/>
      <c r="AW366" s="8" t="n"/>
      <c r="AX366" s="9" t="n"/>
      <c r="AY366" s="9" t="n"/>
      <c r="AZ366" s="9" t="n"/>
      <c r="BA366" s="9" t="n"/>
      <c r="BB366" s="9" t="n"/>
      <c r="BC366" s="9" t="n"/>
      <c r="BD366" s="9" t="n"/>
      <c r="BE366" s="9" t="n"/>
      <c r="BF366" s="9" t="n"/>
      <c r="BG366" s="9" t="n"/>
      <c r="BH366" s="9" t="n"/>
      <c r="BI366" s="9" t="n"/>
      <c r="BJ366" s="9" t="n"/>
      <c r="BK366" s="9" t="n"/>
      <c r="BL366" s="9" t="n"/>
      <c r="BM366" s="9" t="n"/>
      <c r="BN366" s="9" t="n"/>
      <c r="BO366" s="8" t="n"/>
      <c r="BP366" s="9" t="n"/>
      <c r="BQ366" s="9" t="n"/>
      <c r="BR366" s="12">
        <f>IF(AND(AI366="Y",AK366="Y",AL366="Y",AM366="Y",AY366="Y",AZ366="Y",BA366="Y",BB366="Y",BC366="Y",BE366&lt;&gt;"Y",AX366&lt;&gt;"Y",BL366&lt;&gt;"Y",IF(AS366="Y",AV366="Y",TRUE)),"Y","N")</f>
        <v/>
      </c>
      <c r="BS366" s="12">
        <f>IF(AND(BR366="Y",OR(AND(BJ366="Y",BM366="Y"),AND(BK366="Y",BN366="Y"),AND(BJ366&lt;&gt;"Y",BK366&lt;&gt;"Y",OR(BM366="Y",BN366="Y")))),"Y","N")</f>
        <v/>
      </c>
      <c r="BT366" s="10" t="n"/>
      <c r="BU366" s="13" t="n"/>
      <c r="BV366" s="13" t="n"/>
      <c r="BW366" s="13" t="n"/>
      <c r="BX366" s="13" t="n"/>
      <c r="BY366" s="13" t="n"/>
      <c r="BZ366" s="13" t="n"/>
      <c r="CA366" s="14" t="n"/>
      <c r="CB366" s="13" t="n"/>
      <c r="CC366" s="9" t="n"/>
      <c r="CD366" s="9" t="n"/>
      <c r="CE366" s="9" t="n"/>
      <c r="CF366" s="9" t="n"/>
      <c r="CG366" s="9" t="n"/>
      <c r="CH366" s="9" t="n"/>
    </row>
    <row r="367">
      <c r="A367" s="8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8" t="n"/>
      <c r="L367" s="9" t="n"/>
      <c r="M367" s="8" t="n"/>
      <c r="N367" s="8" t="n"/>
      <c r="O367" s="8" t="n"/>
      <c r="P367" s="8" t="n"/>
      <c r="Q367" s="8" t="n"/>
      <c r="R367" s="9" t="n"/>
      <c r="S367" s="9" t="n"/>
      <c r="T367" s="10" t="n"/>
      <c r="U367" s="10" t="n"/>
      <c r="V367" s="9" t="n"/>
      <c r="W367" s="9" t="n"/>
      <c r="X367" s="9" t="n"/>
      <c r="Y367" s="9" t="n"/>
      <c r="Z367" s="11" t="n"/>
      <c r="AA367" s="11" t="n"/>
      <c r="AB367" s="11" t="n"/>
      <c r="AC367" s="11" t="n"/>
      <c r="AD367" s="11" t="n"/>
      <c r="AE367" s="11" t="n"/>
      <c r="AF367" s="9" t="n"/>
      <c r="AG367" s="9" t="n"/>
      <c r="AH367" s="9" t="n"/>
      <c r="AI367" s="9" t="n"/>
      <c r="AJ367" s="8" t="n"/>
      <c r="AK367" s="9" t="n"/>
      <c r="AL367" s="9" t="n"/>
      <c r="AM367" s="9" t="n"/>
      <c r="AN367" s="9" t="n"/>
      <c r="AO367" s="9" t="n"/>
      <c r="AP367" s="9" t="n"/>
      <c r="AQ367" s="9" t="n"/>
      <c r="AR367" s="9" t="n"/>
      <c r="AS367" s="9" t="n"/>
      <c r="AT367" s="8" t="n"/>
      <c r="AU367" s="8" t="n"/>
      <c r="AV367" s="9" t="n"/>
      <c r="AW367" s="8" t="n"/>
      <c r="AX367" s="9" t="n"/>
      <c r="AY367" s="9" t="n"/>
      <c r="AZ367" s="9" t="n"/>
      <c r="BA367" s="9" t="n"/>
      <c r="BB367" s="9" t="n"/>
      <c r="BC367" s="9" t="n"/>
      <c r="BD367" s="9" t="n"/>
      <c r="BE367" s="9" t="n"/>
      <c r="BF367" s="9" t="n"/>
      <c r="BG367" s="9" t="n"/>
      <c r="BH367" s="9" t="n"/>
      <c r="BI367" s="9" t="n"/>
      <c r="BJ367" s="9" t="n"/>
      <c r="BK367" s="9" t="n"/>
      <c r="BL367" s="9" t="n"/>
      <c r="BM367" s="9" t="n"/>
      <c r="BN367" s="9" t="n"/>
      <c r="BO367" s="8" t="n"/>
      <c r="BP367" s="9" t="n"/>
      <c r="BQ367" s="9" t="n"/>
      <c r="BR367" s="12">
        <f>IF(AND(AI367="Y",AK367="Y",AL367="Y",AM367="Y",AY367="Y",AZ367="Y",BA367="Y",BB367="Y",BC367="Y",BE367&lt;&gt;"Y",AX367&lt;&gt;"Y",BL367&lt;&gt;"Y",IF(AS367="Y",AV367="Y",TRUE)),"Y","N")</f>
        <v/>
      </c>
      <c r="BS367" s="12">
        <f>IF(AND(BR367="Y",OR(AND(BJ367="Y",BM367="Y"),AND(BK367="Y",BN367="Y"),AND(BJ367&lt;&gt;"Y",BK367&lt;&gt;"Y",OR(BM367="Y",BN367="Y")))),"Y","N")</f>
        <v/>
      </c>
      <c r="BT367" s="10" t="n"/>
      <c r="BU367" s="13" t="n"/>
      <c r="BV367" s="13" t="n"/>
      <c r="BW367" s="13" t="n"/>
      <c r="BX367" s="13" t="n"/>
      <c r="BY367" s="13" t="n"/>
      <c r="BZ367" s="13" t="n"/>
      <c r="CA367" s="14" t="n"/>
      <c r="CB367" s="13" t="n"/>
      <c r="CC367" s="9" t="n"/>
      <c r="CD367" s="9" t="n"/>
      <c r="CE367" s="9" t="n"/>
      <c r="CF367" s="9" t="n"/>
      <c r="CG367" s="9" t="n"/>
      <c r="CH367" s="9" t="n"/>
    </row>
    <row r="368">
      <c r="A368" s="8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8" t="n"/>
      <c r="L368" s="9" t="n"/>
      <c r="M368" s="8" t="n"/>
      <c r="N368" s="8" t="n"/>
      <c r="O368" s="8" t="n"/>
      <c r="P368" s="8" t="n"/>
      <c r="Q368" s="8" t="n"/>
      <c r="R368" s="9" t="n"/>
      <c r="S368" s="9" t="n"/>
      <c r="T368" s="10" t="n"/>
      <c r="U368" s="10" t="n"/>
      <c r="V368" s="9" t="n"/>
      <c r="W368" s="9" t="n"/>
      <c r="X368" s="9" t="n"/>
      <c r="Y368" s="9" t="n"/>
      <c r="Z368" s="11" t="n"/>
      <c r="AA368" s="11" t="n"/>
      <c r="AB368" s="11" t="n"/>
      <c r="AC368" s="11" t="n"/>
      <c r="AD368" s="11" t="n"/>
      <c r="AE368" s="11" t="n"/>
      <c r="AF368" s="9" t="n"/>
      <c r="AG368" s="9" t="n"/>
      <c r="AH368" s="9" t="n"/>
      <c r="AI368" s="9" t="n"/>
      <c r="AJ368" s="8" t="n"/>
      <c r="AK368" s="9" t="n"/>
      <c r="AL368" s="9" t="n"/>
      <c r="AM368" s="9" t="n"/>
      <c r="AN368" s="9" t="n"/>
      <c r="AO368" s="9" t="n"/>
      <c r="AP368" s="9" t="n"/>
      <c r="AQ368" s="9" t="n"/>
      <c r="AR368" s="9" t="n"/>
      <c r="AS368" s="9" t="n"/>
      <c r="AT368" s="8" t="n"/>
      <c r="AU368" s="8" t="n"/>
      <c r="AV368" s="9" t="n"/>
      <c r="AW368" s="8" t="n"/>
      <c r="AX368" s="9" t="n"/>
      <c r="AY368" s="9" t="n"/>
      <c r="AZ368" s="9" t="n"/>
      <c r="BA368" s="9" t="n"/>
      <c r="BB368" s="9" t="n"/>
      <c r="BC368" s="9" t="n"/>
      <c r="BD368" s="9" t="n"/>
      <c r="BE368" s="9" t="n"/>
      <c r="BF368" s="9" t="n"/>
      <c r="BG368" s="9" t="n"/>
      <c r="BH368" s="9" t="n"/>
      <c r="BI368" s="9" t="n"/>
      <c r="BJ368" s="9" t="n"/>
      <c r="BK368" s="9" t="n"/>
      <c r="BL368" s="9" t="n"/>
      <c r="BM368" s="9" t="n"/>
      <c r="BN368" s="9" t="n"/>
      <c r="BO368" s="8" t="n"/>
      <c r="BP368" s="9" t="n"/>
      <c r="BQ368" s="9" t="n"/>
      <c r="BR368" s="12">
        <f>IF(AND(AI368="Y",AK368="Y",AL368="Y",AM368="Y",AY368="Y",AZ368="Y",BA368="Y",BB368="Y",BC368="Y",BE368&lt;&gt;"Y",AX368&lt;&gt;"Y",BL368&lt;&gt;"Y",IF(AS368="Y",AV368="Y",TRUE)),"Y","N")</f>
        <v/>
      </c>
      <c r="BS368" s="12">
        <f>IF(AND(BR368="Y",OR(AND(BJ368="Y",BM368="Y"),AND(BK368="Y",BN368="Y"),AND(BJ368&lt;&gt;"Y",BK368&lt;&gt;"Y",OR(BM368="Y",BN368="Y")))),"Y","N")</f>
        <v/>
      </c>
      <c r="BT368" s="10" t="n"/>
      <c r="BU368" s="13" t="n"/>
      <c r="BV368" s="13" t="n"/>
      <c r="BW368" s="13" t="n"/>
      <c r="BX368" s="13" t="n"/>
      <c r="BY368" s="13" t="n"/>
      <c r="BZ368" s="13" t="n"/>
      <c r="CA368" s="14" t="n"/>
      <c r="CB368" s="13" t="n"/>
      <c r="CC368" s="9" t="n"/>
      <c r="CD368" s="9" t="n"/>
      <c r="CE368" s="9" t="n"/>
      <c r="CF368" s="9" t="n"/>
      <c r="CG368" s="9" t="n"/>
      <c r="CH368" s="9" t="n"/>
    </row>
    <row r="369">
      <c r="A369" s="8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8" t="n"/>
      <c r="L369" s="9" t="n"/>
      <c r="M369" s="8" t="n"/>
      <c r="N369" s="8" t="n"/>
      <c r="O369" s="8" t="n"/>
      <c r="P369" s="8" t="n"/>
      <c r="Q369" s="8" t="n"/>
      <c r="R369" s="9" t="n"/>
      <c r="S369" s="9" t="n"/>
      <c r="T369" s="10" t="n"/>
      <c r="U369" s="10" t="n"/>
      <c r="V369" s="9" t="n"/>
      <c r="W369" s="9" t="n"/>
      <c r="X369" s="9" t="n"/>
      <c r="Y369" s="9" t="n"/>
      <c r="Z369" s="11" t="n"/>
      <c r="AA369" s="11" t="n"/>
      <c r="AB369" s="11" t="n"/>
      <c r="AC369" s="11" t="n"/>
      <c r="AD369" s="11" t="n"/>
      <c r="AE369" s="11" t="n"/>
      <c r="AF369" s="9" t="n"/>
      <c r="AG369" s="9" t="n"/>
      <c r="AH369" s="9" t="n"/>
      <c r="AI369" s="9" t="n"/>
      <c r="AJ369" s="8" t="n"/>
      <c r="AK369" s="9" t="n"/>
      <c r="AL369" s="9" t="n"/>
      <c r="AM369" s="9" t="n"/>
      <c r="AN369" s="9" t="n"/>
      <c r="AO369" s="9" t="n"/>
      <c r="AP369" s="9" t="n"/>
      <c r="AQ369" s="9" t="n"/>
      <c r="AR369" s="9" t="n"/>
      <c r="AS369" s="9" t="n"/>
      <c r="AT369" s="8" t="n"/>
      <c r="AU369" s="8" t="n"/>
      <c r="AV369" s="9" t="n"/>
      <c r="AW369" s="8" t="n"/>
      <c r="AX369" s="9" t="n"/>
      <c r="AY369" s="9" t="n"/>
      <c r="AZ369" s="9" t="n"/>
      <c r="BA369" s="9" t="n"/>
      <c r="BB369" s="9" t="n"/>
      <c r="BC369" s="9" t="n"/>
      <c r="BD369" s="9" t="n"/>
      <c r="BE369" s="9" t="n"/>
      <c r="BF369" s="9" t="n"/>
      <c r="BG369" s="9" t="n"/>
      <c r="BH369" s="9" t="n"/>
      <c r="BI369" s="9" t="n"/>
      <c r="BJ369" s="9" t="n"/>
      <c r="BK369" s="9" t="n"/>
      <c r="BL369" s="9" t="n"/>
      <c r="BM369" s="9" t="n"/>
      <c r="BN369" s="9" t="n"/>
      <c r="BO369" s="8" t="n"/>
      <c r="BP369" s="9" t="n"/>
      <c r="BQ369" s="9" t="n"/>
      <c r="BR369" s="12">
        <f>IF(AND(AI369="Y",AK369="Y",AL369="Y",AM369="Y",AY369="Y",AZ369="Y",BA369="Y",BB369="Y",BC369="Y",BE369&lt;&gt;"Y",AX369&lt;&gt;"Y",BL369&lt;&gt;"Y",IF(AS369="Y",AV369="Y",TRUE)),"Y","N")</f>
        <v/>
      </c>
      <c r="BS369" s="12">
        <f>IF(AND(BR369="Y",OR(AND(BJ369="Y",BM369="Y"),AND(BK369="Y",BN369="Y"),AND(BJ369&lt;&gt;"Y",BK369&lt;&gt;"Y",OR(BM369="Y",BN369="Y")))),"Y","N")</f>
        <v/>
      </c>
      <c r="BT369" s="10" t="n"/>
      <c r="BU369" s="13" t="n"/>
      <c r="BV369" s="13" t="n"/>
      <c r="BW369" s="13" t="n"/>
      <c r="BX369" s="13" t="n"/>
      <c r="BY369" s="13" t="n"/>
      <c r="BZ369" s="13" t="n"/>
      <c r="CA369" s="14" t="n"/>
      <c r="CB369" s="13" t="n"/>
      <c r="CC369" s="9" t="n"/>
      <c r="CD369" s="9" t="n"/>
      <c r="CE369" s="9" t="n"/>
      <c r="CF369" s="9" t="n"/>
      <c r="CG369" s="9" t="n"/>
      <c r="CH369" s="9" t="n"/>
    </row>
    <row r="370">
      <c r="A370" s="8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8" t="n"/>
      <c r="L370" s="9" t="n"/>
      <c r="M370" s="8" t="n"/>
      <c r="N370" s="8" t="n"/>
      <c r="O370" s="8" t="n"/>
      <c r="P370" s="8" t="n"/>
      <c r="Q370" s="8" t="n"/>
      <c r="R370" s="9" t="n"/>
      <c r="S370" s="9" t="n"/>
      <c r="T370" s="10" t="n"/>
      <c r="U370" s="10" t="n"/>
      <c r="V370" s="9" t="n"/>
      <c r="W370" s="9" t="n"/>
      <c r="X370" s="9" t="n"/>
      <c r="Y370" s="9" t="n"/>
      <c r="Z370" s="11" t="n"/>
      <c r="AA370" s="11" t="n"/>
      <c r="AB370" s="11" t="n"/>
      <c r="AC370" s="11" t="n"/>
      <c r="AD370" s="11" t="n"/>
      <c r="AE370" s="11" t="n"/>
      <c r="AF370" s="9" t="n"/>
      <c r="AG370" s="9" t="n"/>
      <c r="AH370" s="9" t="n"/>
      <c r="AI370" s="9" t="n"/>
      <c r="AJ370" s="8" t="n"/>
      <c r="AK370" s="9" t="n"/>
      <c r="AL370" s="9" t="n"/>
      <c r="AM370" s="9" t="n"/>
      <c r="AN370" s="9" t="n"/>
      <c r="AO370" s="9" t="n"/>
      <c r="AP370" s="9" t="n"/>
      <c r="AQ370" s="9" t="n"/>
      <c r="AR370" s="9" t="n"/>
      <c r="AS370" s="9" t="n"/>
      <c r="AT370" s="8" t="n"/>
      <c r="AU370" s="8" t="n"/>
      <c r="AV370" s="9" t="n"/>
      <c r="AW370" s="8" t="n"/>
      <c r="AX370" s="9" t="n"/>
      <c r="AY370" s="9" t="n"/>
      <c r="AZ370" s="9" t="n"/>
      <c r="BA370" s="9" t="n"/>
      <c r="BB370" s="9" t="n"/>
      <c r="BC370" s="9" t="n"/>
      <c r="BD370" s="9" t="n"/>
      <c r="BE370" s="9" t="n"/>
      <c r="BF370" s="9" t="n"/>
      <c r="BG370" s="9" t="n"/>
      <c r="BH370" s="9" t="n"/>
      <c r="BI370" s="9" t="n"/>
      <c r="BJ370" s="9" t="n"/>
      <c r="BK370" s="9" t="n"/>
      <c r="BL370" s="9" t="n"/>
      <c r="BM370" s="9" t="n"/>
      <c r="BN370" s="9" t="n"/>
      <c r="BO370" s="8" t="n"/>
      <c r="BP370" s="9" t="n"/>
      <c r="BQ370" s="9" t="n"/>
      <c r="BR370" s="12">
        <f>IF(AND(AI370="Y",AK370="Y",AL370="Y",AM370="Y",AY370="Y",AZ370="Y",BA370="Y",BB370="Y",BC370="Y",BE370&lt;&gt;"Y",AX370&lt;&gt;"Y",BL370&lt;&gt;"Y",IF(AS370="Y",AV370="Y",TRUE)),"Y","N")</f>
        <v/>
      </c>
      <c r="BS370" s="12">
        <f>IF(AND(BR370="Y",OR(AND(BJ370="Y",BM370="Y"),AND(BK370="Y",BN370="Y"),AND(BJ370&lt;&gt;"Y",BK370&lt;&gt;"Y",OR(BM370="Y",BN370="Y")))),"Y","N")</f>
        <v/>
      </c>
      <c r="BT370" s="10" t="n"/>
      <c r="BU370" s="13" t="n"/>
      <c r="BV370" s="13" t="n"/>
      <c r="BW370" s="13" t="n"/>
      <c r="BX370" s="13" t="n"/>
      <c r="BY370" s="13" t="n"/>
      <c r="BZ370" s="13" t="n"/>
      <c r="CA370" s="14" t="n"/>
      <c r="CB370" s="13" t="n"/>
      <c r="CC370" s="9" t="n"/>
      <c r="CD370" s="9" t="n"/>
      <c r="CE370" s="9" t="n"/>
      <c r="CF370" s="9" t="n"/>
      <c r="CG370" s="9" t="n"/>
      <c r="CH370" s="9" t="n"/>
    </row>
    <row r="371">
      <c r="A371" s="8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8" t="n"/>
      <c r="L371" s="9" t="n"/>
      <c r="M371" s="8" t="n"/>
      <c r="N371" s="8" t="n"/>
      <c r="O371" s="8" t="n"/>
      <c r="P371" s="8" t="n"/>
      <c r="Q371" s="8" t="n"/>
      <c r="R371" s="9" t="n"/>
      <c r="S371" s="9" t="n"/>
      <c r="T371" s="10" t="n"/>
      <c r="U371" s="10" t="n"/>
      <c r="V371" s="9" t="n"/>
      <c r="W371" s="9" t="n"/>
      <c r="X371" s="9" t="n"/>
      <c r="Y371" s="9" t="n"/>
      <c r="Z371" s="11" t="n"/>
      <c r="AA371" s="11" t="n"/>
      <c r="AB371" s="11" t="n"/>
      <c r="AC371" s="11" t="n"/>
      <c r="AD371" s="11" t="n"/>
      <c r="AE371" s="11" t="n"/>
      <c r="AF371" s="9" t="n"/>
      <c r="AG371" s="9" t="n"/>
      <c r="AH371" s="9" t="n"/>
      <c r="AI371" s="9" t="n"/>
      <c r="AJ371" s="8" t="n"/>
      <c r="AK371" s="9" t="n"/>
      <c r="AL371" s="9" t="n"/>
      <c r="AM371" s="9" t="n"/>
      <c r="AN371" s="9" t="n"/>
      <c r="AO371" s="9" t="n"/>
      <c r="AP371" s="9" t="n"/>
      <c r="AQ371" s="9" t="n"/>
      <c r="AR371" s="9" t="n"/>
      <c r="AS371" s="9" t="n"/>
      <c r="AT371" s="8" t="n"/>
      <c r="AU371" s="8" t="n"/>
      <c r="AV371" s="9" t="n"/>
      <c r="AW371" s="8" t="n"/>
      <c r="AX371" s="9" t="n"/>
      <c r="AY371" s="9" t="n"/>
      <c r="AZ371" s="9" t="n"/>
      <c r="BA371" s="9" t="n"/>
      <c r="BB371" s="9" t="n"/>
      <c r="BC371" s="9" t="n"/>
      <c r="BD371" s="9" t="n"/>
      <c r="BE371" s="9" t="n"/>
      <c r="BF371" s="9" t="n"/>
      <c r="BG371" s="9" t="n"/>
      <c r="BH371" s="9" t="n"/>
      <c r="BI371" s="9" t="n"/>
      <c r="BJ371" s="9" t="n"/>
      <c r="BK371" s="9" t="n"/>
      <c r="BL371" s="9" t="n"/>
      <c r="BM371" s="9" t="n"/>
      <c r="BN371" s="9" t="n"/>
      <c r="BO371" s="8" t="n"/>
      <c r="BP371" s="9" t="n"/>
      <c r="BQ371" s="9" t="n"/>
      <c r="BR371" s="12">
        <f>IF(AND(AI371="Y",AK371="Y",AL371="Y",AM371="Y",AY371="Y",AZ371="Y",BA371="Y",BB371="Y",BC371="Y",BE371&lt;&gt;"Y",AX371&lt;&gt;"Y",BL371&lt;&gt;"Y",IF(AS371="Y",AV371="Y",TRUE)),"Y","N")</f>
        <v/>
      </c>
      <c r="BS371" s="12">
        <f>IF(AND(BR371="Y",OR(AND(BJ371="Y",BM371="Y"),AND(BK371="Y",BN371="Y"),AND(BJ371&lt;&gt;"Y",BK371&lt;&gt;"Y",OR(BM371="Y",BN371="Y")))),"Y","N")</f>
        <v/>
      </c>
      <c r="BT371" s="10" t="n"/>
      <c r="BU371" s="13" t="n"/>
      <c r="BV371" s="13" t="n"/>
      <c r="BW371" s="13" t="n"/>
      <c r="BX371" s="13" t="n"/>
      <c r="BY371" s="13" t="n"/>
      <c r="BZ371" s="13" t="n"/>
      <c r="CA371" s="14" t="n"/>
      <c r="CB371" s="13" t="n"/>
      <c r="CC371" s="9" t="n"/>
      <c r="CD371" s="9" t="n"/>
      <c r="CE371" s="9" t="n"/>
      <c r="CF371" s="9" t="n"/>
      <c r="CG371" s="9" t="n"/>
      <c r="CH371" s="9" t="n"/>
    </row>
    <row r="372">
      <c r="A372" s="8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8" t="n"/>
      <c r="L372" s="9" t="n"/>
      <c r="M372" s="8" t="n"/>
      <c r="N372" s="8" t="n"/>
      <c r="O372" s="8" t="n"/>
      <c r="P372" s="8" t="n"/>
      <c r="Q372" s="8" t="n"/>
      <c r="R372" s="9" t="n"/>
      <c r="S372" s="9" t="n"/>
      <c r="T372" s="10" t="n"/>
      <c r="U372" s="10" t="n"/>
      <c r="V372" s="9" t="n"/>
      <c r="W372" s="9" t="n"/>
      <c r="X372" s="9" t="n"/>
      <c r="Y372" s="9" t="n"/>
      <c r="Z372" s="11" t="n"/>
      <c r="AA372" s="11" t="n"/>
      <c r="AB372" s="11" t="n"/>
      <c r="AC372" s="11" t="n"/>
      <c r="AD372" s="11" t="n"/>
      <c r="AE372" s="11" t="n"/>
      <c r="AF372" s="9" t="n"/>
      <c r="AG372" s="9" t="n"/>
      <c r="AH372" s="9" t="n"/>
      <c r="AI372" s="9" t="n"/>
      <c r="AJ372" s="8" t="n"/>
      <c r="AK372" s="9" t="n"/>
      <c r="AL372" s="9" t="n"/>
      <c r="AM372" s="9" t="n"/>
      <c r="AN372" s="9" t="n"/>
      <c r="AO372" s="9" t="n"/>
      <c r="AP372" s="9" t="n"/>
      <c r="AQ372" s="9" t="n"/>
      <c r="AR372" s="9" t="n"/>
      <c r="AS372" s="9" t="n"/>
      <c r="AT372" s="8" t="n"/>
      <c r="AU372" s="8" t="n"/>
      <c r="AV372" s="9" t="n"/>
      <c r="AW372" s="8" t="n"/>
      <c r="AX372" s="9" t="n"/>
      <c r="AY372" s="9" t="n"/>
      <c r="AZ372" s="9" t="n"/>
      <c r="BA372" s="9" t="n"/>
      <c r="BB372" s="9" t="n"/>
      <c r="BC372" s="9" t="n"/>
      <c r="BD372" s="9" t="n"/>
      <c r="BE372" s="9" t="n"/>
      <c r="BF372" s="9" t="n"/>
      <c r="BG372" s="9" t="n"/>
      <c r="BH372" s="9" t="n"/>
      <c r="BI372" s="9" t="n"/>
      <c r="BJ372" s="9" t="n"/>
      <c r="BK372" s="9" t="n"/>
      <c r="BL372" s="9" t="n"/>
      <c r="BM372" s="9" t="n"/>
      <c r="BN372" s="9" t="n"/>
      <c r="BO372" s="8" t="n"/>
      <c r="BP372" s="9" t="n"/>
      <c r="BQ372" s="9" t="n"/>
      <c r="BR372" s="12">
        <f>IF(AND(AI372="Y",AK372="Y",AL372="Y",AM372="Y",AY372="Y",AZ372="Y",BA372="Y",BB372="Y",BC372="Y",BE372&lt;&gt;"Y",AX372&lt;&gt;"Y",BL372&lt;&gt;"Y",IF(AS372="Y",AV372="Y",TRUE)),"Y","N")</f>
        <v/>
      </c>
      <c r="BS372" s="12">
        <f>IF(AND(BR372="Y",OR(AND(BJ372="Y",BM372="Y"),AND(BK372="Y",BN372="Y"),AND(BJ372&lt;&gt;"Y",BK372&lt;&gt;"Y",OR(BM372="Y",BN372="Y")))),"Y","N")</f>
        <v/>
      </c>
      <c r="BT372" s="10" t="n"/>
      <c r="BU372" s="13" t="n"/>
      <c r="BV372" s="13" t="n"/>
      <c r="BW372" s="13" t="n"/>
      <c r="BX372" s="13" t="n"/>
      <c r="BY372" s="13" t="n"/>
      <c r="BZ372" s="13" t="n"/>
      <c r="CA372" s="14" t="n"/>
      <c r="CB372" s="13" t="n"/>
      <c r="CC372" s="9" t="n"/>
      <c r="CD372" s="9" t="n"/>
      <c r="CE372" s="9" t="n"/>
      <c r="CF372" s="9" t="n"/>
      <c r="CG372" s="9" t="n"/>
      <c r="CH372" s="9" t="n"/>
    </row>
    <row r="373">
      <c r="A373" s="8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8" t="n"/>
      <c r="L373" s="9" t="n"/>
      <c r="M373" s="8" t="n"/>
      <c r="N373" s="8" t="n"/>
      <c r="O373" s="8" t="n"/>
      <c r="P373" s="8" t="n"/>
      <c r="Q373" s="8" t="n"/>
      <c r="R373" s="9" t="n"/>
      <c r="S373" s="9" t="n"/>
      <c r="T373" s="10" t="n"/>
      <c r="U373" s="10" t="n"/>
      <c r="V373" s="9" t="n"/>
      <c r="W373" s="9" t="n"/>
      <c r="X373" s="9" t="n"/>
      <c r="Y373" s="9" t="n"/>
      <c r="Z373" s="11" t="n"/>
      <c r="AA373" s="11" t="n"/>
      <c r="AB373" s="11" t="n"/>
      <c r="AC373" s="11" t="n"/>
      <c r="AD373" s="11" t="n"/>
      <c r="AE373" s="11" t="n"/>
      <c r="AF373" s="9" t="n"/>
      <c r="AG373" s="9" t="n"/>
      <c r="AH373" s="9" t="n"/>
      <c r="AI373" s="9" t="n"/>
      <c r="AJ373" s="8" t="n"/>
      <c r="AK373" s="9" t="n"/>
      <c r="AL373" s="9" t="n"/>
      <c r="AM373" s="9" t="n"/>
      <c r="AN373" s="9" t="n"/>
      <c r="AO373" s="9" t="n"/>
      <c r="AP373" s="9" t="n"/>
      <c r="AQ373" s="9" t="n"/>
      <c r="AR373" s="9" t="n"/>
      <c r="AS373" s="9" t="n"/>
      <c r="AT373" s="8" t="n"/>
      <c r="AU373" s="8" t="n"/>
      <c r="AV373" s="9" t="n"/>
      <c r="AW373" s="8" t="n"/>
      <c r="AX373" s="9" t="n"/>
      <c r="AY373" s="9" t="n"/>
      <c r="AZ373" s="9" t="n"/>
      <c r="BA373" s="9" t="n"/>
      <c r="BB373" s="9" t="n"/>
      <c r="BC373" s="9" t="n"/>
      <c r="BD373" s="9" t="n"/>
      <c r="BE373" s="9" t="n"/>
      <c r="BF373" s="9" t="n"/>
      <c r="BG373" s="9" t="n"/>
      <c r="BH373" s="9" t="n"/>
      <c r="BI373" s="9" t="n"/>
      <c r="BJ373" s="9" t="n"/>
      <c r="BK373" s="9" t="n"/>
      <c r="BL373" s="9" t="n"/>
      <c r="BM373" s="9" t="n"/>
      <c r="BN373" s="9" t="n"/>
      <c r="BO373" s="8" t="n"/>
      <c r="BP373" s="9" t="n"/>
      <c r="BQ373" s="9" t="n"/>
      <c r="BR373" s="12">
        <f>IF(AND(AI373="Y",AK373="Y",AL373="Y",AM373="Y",AY373="Y",AZ373="Y",BA373="Y",BB373="Y",BC373="Y",BE373&lt;&gt;"Y",AX373&lt;&gt;"Y",BL373&lt;&gt;"Y",IF(AS373="Y",AV373="Y",TRUE)),"Y","N")</f>
        <v/>
      </c>
      <c r="BS373" s="12">
        <f>IF(AND(BR373="Y",OR(AND(BJ373="Y",BM373="Y"),AND(BK373="Y",BN373="Y"),AND(BJ373&lt;&gt;"Y",BK373&lt;&gt;"Y",OR(BM373="Y",BN373="Y")))),"Y","N")</f>
        <v/>
      </c>
      <c r="BT373" s="10" t="n"/>
      <c r="BU373" s="13" t="n"/>
      <c r="BV373" s="13" t="n"/>
      <c r="BW373" s="13" t="n"/>
      <c r="BX373" s="13" t="n"/>
      <c r="BY373" s="13" t="n"/>
      <c r="BZ373" s="13" t="n"/>
      <c r="CA373" s="14" t="n"/>
      <c r="CB373" s="13" t="n"/>
      <c r="CC373" s="9" t="n"/>
      <c r="CD373" s="9" t="n"/>
      <c r="CE373" s="9" t="n"/>
      <c r="CF373" s="9" t="n"/>
      <c r="CG373" s="9" t="n"/>
      <c r="CH373" s="9" t="n"/>
    </row>
    <row r="374">
      <c r="A374" s="8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8" t="n"/>
      <c r="L374" s="9" t="n"/>
      <c r="M374" s="8" t="n"/>
      <c r="N374" s="8" t="n"/>
      <c r="O374" s="8" t="n"/>
      <c r="P374" s="8" t="n"/>
      <c r="Q374" s="8" t="n"/>
      <c r="R374" s="9" t="n"/>
      <c r="S374" s="9" t="n"/>
      <c r="T374" s="10" t="n"/>
      <c r="U374" s="10" t="n"/>
      <c r="V374" s="9" t="n"/>
      <c r="W374" s="9" t="n"/>
      <c r="X374" s="9" t="n"/>
      <c r="Y374" s="9" t="n"/>
      <c r="Z374" s="11" t="n"/>
      <c r="AA374" s="11" t="n"/>
      <c r="AB374" s="11" t="n"/>
      <c r="AC374" s="11" t="n"/>
      <c r="AD374" s="11" t="n"/>
      <c r="AE374" s="11" t="n"/>
      <c r="AF374" s="9" t="n"/>
      <c r="AG374" s="9" t="n"/>
      <c r="AH374" s="9" t="n"/>
      <c r="AI374" s="9" t="n"/>
      <c r="AJ374" s="8" t="n"/>
      <c r="AK374" s="9" t="n"/>
      <c r="AL374" s="9" t="n"/>
      <c r="AM374" s="9" t="n"/>
      <c r="AN374" s="9" t="n"/>
      <c r="AO374" s="9" t="n"/>
      <c r="AP374" s="9" t="n"/>
      <c r="AQ374" s="9" t="n"/>
      <c r="AR374" s="9" t="n"/>
      <c r="AS374" s="9" t="n"/>
      <c r="AT374" s="8" t="n"/>
      <c r="AU374" s="8" t="n"/>
      <c r="AV374" s="9" t="n"/>
      <c r="AW374" s="8" t="n"/>
      <c r="AX374" s="9" t="n"/>
      <c r="AY374" s="9" t="n"/>
      <c r="AZ374" s="9" t="n"/>
      <c r="BA374" s="9" t="n"/>
      <c r="BB374" s="9" t="n"/>
      <c r="BC374" s="9" t="n"/>
      <c r="BD374" s="9" t="n"/>
      <c r="BE374" s="9" t="n"/>
      <c r="BF374" s="9" t="n"/>
      <c r="BG374" s="9" t="n"/>
      <c r="BH374" s="9" t="n"/>
      <c r="BI374" s="9" t="n"/>
      <c r="BJ374" s="9" t="n"/>
      <c r="BK374" s="9" t="n"/>
      <c r="BL374" s="9" t="n"/>
      <c r="BM374" s="9" t="n"/>
      <c r="BN374" s="9" t="n"/>
      <c r="BO374" s="8" t="n"/>
      <c r="BP374" s="9" t="n"/>
      <c r="BQ374" s="9" t="n"/>
      <c r="BR374" s="12">
        <f>IF(AND(AI374="Y",AK374="Y",AL374="Y",AM374="Y",AY374="Y",AZ374="Y",BA374="Y",BB374="Y",BC374="Y",BE374&lt;&gt;"Y",AX374&lt;&gt;"Y",BL374&lt;&gt;"Y",IF(AS374="Y",AV374="Y",TRUE)),"Y","N")</f>
        <v/>
      </c>
      <c r="BS374" s="12">
        <f>IF(AND(BR374="Y",OR(AND(BJ374="Y",BM374="Y"),AND(BK374="Y",BN374="Y"),AND(BJ374&lt;&gt;"Y",BK374&lt;&gt;"Y",OR(BM374="Y",BN374="Y")))),"Y","N")</f>
        <v/>
      </c>
      <c r="BT374" s="10" t="n"/>
      <c r="BU374" s="13" t="n"/>
      <c r="BV374" s="13" t="n"/>
      <c r="BW374" s="13" t="n"/>
      <c r="BX374" s="13" t="n"/>
      <c r="BY374" s="13" t="n"/>
      <c r="BZ374" s="13" t="n"/>
      <c r="CA374" s="14" t="n"/>
      <c r="CB374" s="13" t="n"/>
      <c r="CC374" s="9" t="n"/>
      <c r="CD374" s="9" t="n"/>
      <c r="CE374" s="9" t="n"/>
      <c r="CF374" s="9" t="n"/>
      <c r="CG374" s="9" t="n"/>
      <c r="CH374" s="9" t="n"/>
    </row>
    <row r="375">
      <c r="A375" s="8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8" t="n"/>
      <c r="L375" s="9" t="n"/>
      <c r="M375" s="8" t="n"/>
      <c r="N375" s="8" t="n"/>
      <c r="O375" s="8" t="n"/>
      <c r="P375" s="8" t="n"/>
      <c r="Q375" s="8" t="n"/>
      <c r="R375" s="9" t="n"/>
      <c r="S375" s="9" t="n"/>
      <c r="T375" s="10" t="n"/>
      <c r="U375" s="10" t="n"/>
      <c r="V375" s="9" t="n"/>
      <c r="W375" s="9" t="n"/>
      <c r="X375" s="9" t="n"/>
      <c r="Y375" s="9" t="n"/>
      <c r="Z375" s="11" t="n"/>
      <c r="AA375" s="11" t="n"/>
      <c r="AB375" s="11" t="n"/>
      <c r="AC375" s="11" t="n"/>
      <c r="AD375" s="11" t="n"/>
      <c r="AE375" s="11" t="n"/>
      <c r="AF375" s="9" t="n"/>
      <c r="AG375" s="9" t="n"/>
      <c r="AH375" s="9" t="n"/>
      <c r="AI375" s="9" t="n"/>
      <c r="AJ375" s="8" t="n"/>
      <c r="AK375" s="9" t="n"/>
      <c r="AL375" s="9" t="n"/>
      <c r="AM375" s="9" t="n"/>
      <c r="AN375" s="9" t="n"/>
      <c r="AO375" s="9" t="n"/>
      <c r="AP375" s="9" t="n"/>
      <c r="AQ375" s="9" t="n"/>
      <c r="AR375" s="9" t="n"/>
      <c r="AS375" s="9" t="n"/>
      <c r="AT375" s="8" t="n"/>
      <c r="AU375" s="8" t="n"/>
      <c r="AV375" s="9" t="n"/>
      <c r="AW375" s="8" t="n"/>
      <c r="AX375" s="9" t="n"/>
      <c r="AY375" s="9" t="n"/>
      <c r="AZ375" s="9" t="n"/>
      <c r="BA375" s="9" t="n"/>
      <c r="BB375" s="9" t="n"/>
      <c r="BC375" s="9" t="n"/>
      <c r="BD375" s="9" t="n"/>
      <c r="BE375" s="9" t="n"/>
      <c r="BF375" s="9" t="n"/>
      <c r="BG375" s="9" t="n"/>
      <c r="BH375" s="9" t="n"/>
      <c r="BI375" s="9" t="n"/>
      <c r="BJ375" s="9" t="n"/>
      <c r="BK375" s="9" t="n"/>
      <c r="BL375" s="9" t="n"/>
      <c r="BM375" s="9" t="n"/>
      <c r="BN375" s="9" t="n"/>
      <c r="BO375" s="8" t="n"/>
      <c r="BP375" s="9" t="n"/>
      <c r="BQ375" s="9" t="n"/>
      <c r="BR375" s="12">
        <f>IF(AND(AI375="Y",AK375="Y",AL375="Y",AM375="Y",AY375="Y",AZ375="Y",BA375="Y",BB375="Y",BC375="Y",BE375&lt;&gt;"Y",AX375&lt;&gt;"Y",BL375&lt;&gt;"Y",IF(AS375="Y",AV375="Y",TRUE)),"Y","N")</f>
        <v/>
      </c>
      <c r="BS375" s="12">
        <f>IF(AND(BR375="Y",OR(AND(BJ375="Y",BM375="Y"),AND(BK375="Y",BN375="Y"),AND(BJ375&lt;&gt;"Y",BK375&lt;&gt;"Y",OR(BM375="Y",BN375="Y")))),"Y","N")</f>
        <v/>
      </c>
      <c r="BT375" s="10" t="n"/>
      <c r="BU375" s="13" t="n"/>
      <c r="BV375" s="13" t="n"/>
      <c r="BW375" s="13" t="n"/>
      <c r="BX375" s="13" t="n"/>
      <c r="BY375" s="13" t="n"/>
      <c r="BZ375" s="13" t="n"/>
      <c r="CA375" s="14" t="n"/>
      <c r="CB375" s="13" t="n"/>
      <c r="CC375" s="9" t="n"/>
      <c r="CD375" s="9" t="n"/>
      <c r="CE375" s="9" t="n"/>
      <c r="CF375" s="9" t="n"/>
      <c r="CG375" s="9" t="n"/>
      <c r="CH375" s="9" t="n"/>
    </row>
    <row r="376">
      <c r="A376" s="8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8" t="n"/>
      <c r="L376" s="9" t="n"/>
      <c r="M376" s="8" t="n"/>
      <c r="N376" s="8" t="n"/>
      <c r="O376" s="8" t="n"/>
      <c r="P376" s="8" t="n"/>
      <c r="Q376" s="8" t="n"/>
      <c r="R376" s="9" t="n"/>
      <c r="S376" s="9" t="n"/>
      <c r="T376" s="10" t="n"/>
      <c r="U376" s="10" t="n"/>
      <c r="V376" s="9" t="n"/>
      <c r="W376" s="9" t="n"/>
      <c r="X376" s="9" t="n"/>
      <c r="Y376" s="9" t="n"/>
      <c r="Z376" s="11" t="n"/>
      <c r="AA376" s="11" t="n"/>
      <c r="AB376" s="11" t="n"/>
      <c r="AC376" s="11" t="n"/>
      <c r="AD376" s="11" t="n"/>
      <c r="AE376" s="11" t="n"/>
      <c r="AF376" s="9" t="n"/>
      <c r="AG376" s="9" t="n"/>
      <c r="AH376" s="9" t="n"/>
      <c r="AI376" s="9" t="n"/>
      <c r="AJ376" s="8" t="n"/>
      <c r="AK376" s="9" t="n"/>
      <c r="AL376" s="9" t="n"/>
      <c r="AM376" s="9" t="n"/>
      <c r="AN376" s="9" t="n"/>
      <c r="AO376" s="9" t="n"/>
      <c r="AP376" s="9" t="n"/>
      <c r="AQ376" s="9" t="n"/>
      <c r="AR376" s="9" t="n"/>
      <c r="AS376" s="9" t="n"/>
      <c r="AT376" s="8" t="n"/>
      <c r="AU376" s="8" t="n"/>
      <c r="AV376" s="9" t="n"/>
      <c r="AW376" s="8" t="n"/>
      <c r="AX376" s="9" t="n"/>
      <c r="AY376" s="9" t="n"/>
      <c r="AZ376" s="9" t="n"/>
      <c r="BA376" s="9" t="n"/>
      <c r="BB376" s="9" t="n"/>
      <c r="BC376" s="9" t="n"/>
      <c r="BD376" s="9" t="n"/>
      <c r="BE376" s="9" t="n"/>
      <c r="BF376" s="9" t="n"/>
      <c r="BG376" s="9" t="n"/>
      <c r="BH376" s="9" t="n"/>
      <c r="BI376" s="9" t="n"/>
      <c r="BJ376" s="9" t="n"/>
      <c r="BK376" s="9" t="n"/>
      <c r="BL376" s="9" t="n"/>
      <c r="BM376" s="9" t="n"/>
      <c r="BN376" s="9" t="n"/>
      <c r="BO376" s="8" t="n"/>
      <c r="BP376" s="9" t="n"/>
      <c r="BQ376" s="9" t="n"/>
      <c r="BR376" s="12">
        <f>IF(AND(AI376="Y",AK376="Y",AL376="Y",AM376="Y",AY376="Y",AZ376="Y",BA376="Y",BB376="Y",BC376="Y",BE376&lt;&gt;"Y",AX376&lt;&gt;"Y",BL376&lt;&gt;"Y",IF(AS376="Y",AV376="Y",TRUE)),"Y","N")</f>
        <v/>
      </c>
      <c r="BS376" s="12">
        <f>IF(AND(BR376="Y",OR(AND(BJ376="Y",BM376="Y"),AND(BK376="Y",BN376="Y"),AND(BJ376&lt;&gt;"Y",BK376&lt;&gt;"Y",OR(BM376="Y",BN376="Y")))),"Y","N")</f>
        <v/>
      </c>
      <c r="BT376" s="10" t="n"/>
      <c r="BU376" s="13" t="n"/>
      <c r="BV376" s="13" t="n"/>
      <c r="BW376" s="13" t="n"/>
      <c r="BX376" s="13" t="n"/>
      <c r="BY376" s="13" t="n"/>
      <c r="BZ376" s="13" t="n"/>
      <c r="CA376" s="14" t="n"/>
      <c r="CB376" s="13" t="n"/>
      <c r="CC376" s="9" t="n"/>
      <c r="CD376" s="9" t="n"/>
      <c r="CE376" s="9" t="n"/>
      <c r="CF376" s="9" t="n"/>
      <c r="CG376" s="9" t="n"/>
      <c r="CH376" s="9" t="n"/>
    </row>
    <row r="377">
      <c r="A377" s="8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8" t="n"/>
      <c r="L377" s="9" t="n"/>
      <c r="M377" s="8" t="n"/>
      <c r="N377" s="8" t="n"/>
      <c r="O377" s="8" t="n"/>
      <c r="P377" s="8" t="n"/>
      <c r="Q377" s="8" t="n"/>
      <c r="R377" s="9" t="n"/>
      <c r="S377" s="9" t="n"/>
      <c r="T377" s="10" t="n"/>
      <c r="U377" s="10" t="n"/>
      <c r="V377" s="9" t="n"/>
      <c r="W377" s="9" t="n"/>
      <c r="X377" s="9" t="n"/>
      <c r="Y377" s="9" t="n"/>
      <c r="Z377" s="11" t="n"/>
      <c r="AA377" s="11" t="n"/>
      <c r="AB377" s="11" t="n"/>
      <c r="AC377" s="11" t="n"/>
      <c r="AD377" s="11" t="n"/>
      <c r="AE377" s="11" t="n"/>
      <c r="AF377" s="9" t="n"/>
      <c r="AG377" s="9" t="n"/>
      <c r="AH377" s="9" t="n"/>
      <c r="AI377" s="9" t="n"/>
      <c r="AJ377" s="8" t="n"/>
      <c r="AK377" s="9" t="n"/>
      <c r="AL377" s="9" t="n"/>
      <c r="AM377" s="9" t="n"/>
      <c r="AN377" s="9" t="n"/>
      <c r="AO377" s="9" t="n"/>
      <c r="AP377" s="9" t="n"/>
      <c r="AQ377" s="9" t="n"/>
      <c r="AR377" s="9" t="n"/>
      <c r="AS377" s="9" t="n"/>
      <c r="AT377" s="8" t="n"/>
      <c r="AU377" s="8" t="n"/>
      <c r="AV377" s="9" t="n"/>
      <c r="AW377" s="8" t="n"/>
      <c r="AX377" s="9" t="n"/>
      <c r="AY377" s="9" t="n"/>
      <c r="AZ377" s="9" t="n"/>
      <c r="BA377" s="9" t="n"/>
      <c r="BB377" s="9" t="n"/>
      <c r="BC377" s="9" t="n"/>
      <c r="BD377" s="9" t="n"/>
      <c r="BE377" s="9" t="n"/>
      <c r="BF377" s="9" t="n"/>
      <c r="BG377" s="9" t="n"/>
      <c r="BH377" s="9" t="n"/>
      <c r="BI377" s="9" t="n"/>
      <c r="BJ377" s="9" t="n"/>
      <c r="BK377" s="9" t="n"/>
      <c r="BL377" s="9" t="n"/>
      <c r="BM377" s="9" t="n"/>
      <c r="BN377" s="9" t="n"/>
      <c r="BO377" s="8" t="n"/>
      <c r="BP377" s="9" t="n"/>
      <c r="BQ377" s="9" t="n"/>
      <c r="BR377" s="12">
        <f>IF(AND(AI377="Y",AK377="Y",AL377="Y",AM377="Y",AY377="Y",AZ377="Y",BA377="Y",BB377="Y",BC377="Y",BE377&lt;&gt;"Y",AX377&lt;&gt;"Y",BL377&lt;&gt;"Y",IF(AS377="Y",AV377="Y",TRUE)),"Y","N")</f>
        <v/>
      </c>
      <c r="BS377" s="12">
        <f>IF(AND(BR377="Y",OR(AND(BJ377="Y",BM377="Y"),AND(BK377="Y",BN377="Y"),AND(BJ377&lt;&gt;"Y",BK377&lt;&gt;"Y",OR(BM377="Y",BN377="Y")))),"Y","N")</f>
        <v/>
      </c>
      <c r="BT377" s="10" t="n"/>
      <c r="BU377" s="13" t="n"/>
      <c r="BV377" s="13" t="n"/>
      <c r="BW377" s="13" t="n"/>
      <c r="BX377" s="13" t="n"/>
      <c r="BY377" s="13" t="n"/>
      <c r="BZ377" s="13" t="n"/>
      <c r="CA377" s="14" t="n"/>
      <c r="CB377" s="13" t="n"/>
      <c r="CC377" s="9" t="n"/>
      <c r="CD377" s="9" t="n"/>
      <c r="CE377" s="9" t="n"/>
      <c r="CF377" s="9" t="n"/>
      <c r="CG377" s="9" t="n"/>
      <c r="CH377" s="9" t="n"/>
    </row>
    <row r="378">
      <c r="A378" s="8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8" t="n"/>
      <c r="L378" s="9" t="n"/>
      <c r="M378" s="8" t="n"/>
      <c r="N378" s="8" t="n"/>
      <c r="O378" s="8" t="n"/>
      <c r="P378" s="8" t="n"/>
      <c r="Q378" s="8" t="n"/>
      <c r="R378" s="9" t="n"/>
      <c r="S378" s="9" t="n"/>
      <c r="T378" s="10" t="n"/>
      <c r="U378" s="10" t="n"/>
      <c r="V378" s="9" t="n"/>
      <c r="W378" s="9" t="n"/>
      <c r="X378" s="9" t="n"/>
      <c r="Y378" s="9" t="n"/>
      <c r="Z378" s="11" t="n"/>
      <c r="AA378" s="11" t="n"/>
      <c r="AB378" s="11" t="n"/>
      <c r="AC378" s="11" t="n"/>
      <c r="AD378" s="11" t="n"/>
      <c r="AE378" s="11" t="n"/>
      <c r="AF378" s="9" t="n"/>
      <c r="AG378" s="9" t="n"/>
      <c r="AH378" s="9" t="n"/>
      <c r="AI378" s="9" t="n"/>
      <c r="AJ378" s="8" t="n"/>
      <c r="AK378" s="9" t="n"/>
      <c r="AL378" s="9" t="n"/>
      <c r="AM378" s="9" t="n"/>
      <c r="AN378" s="9" t="n"/>
      <c r="AO378" s="9" t="n"/>
      <c r="AP378" s="9" t="n"/>
      <c r="AQ378" s="9" t="n"/>
      <c r="AR378" s="9" t="n"/>
      <c r="AS378" s="9" t="n"/>
      <c r="AT378" s="8" t="n"/>
      <c r="AU378" s="8" t="n"/>
      <c r="AV378" s="9" t="n"/>
      <c r="AW378" s="8" t="n"/>
      <c r="AX378" s="9" t="n"/>
      <c r="AY378" s="9" t="n"/>
      <c r="AZ378" s="9" t="n"/>
      <c r="BA378" s="9" t="n"/>
      <c r="BB378" s="9" t="n"/>
      <c r="BC378" s="9" t="n"/>
      <c r="BD378" s="9" t="n"/>
      <c r="BE378" s="9" t="n"/>
      <c r="BF378" s="9" t="n"/>
      <c r="BG378" s="9" t="n"/>
      <c r="BH378" s="9" t="n"/>
      <c r="BI378" s="9" t="n"/>
      <c r="BJ378" s="9" t="n"/>
      <c r="BK378" s="9" t="n"/>
      <c r="BL378" s="9" t="n"/>
      <c r="BM378" s="9" t="n"/>
      <c r="BN378" s="9" t="n"/>
      <c r="BO378" s="8" t="n"/>
      <c r="BP378" s="9" t="n"/>
      <c r="BQ378" s="9" t="n"/>
      <c r="BR378" s="12">
        <f>IF(AND(AI378="Y",AK378="Y",AL378="Y",AM378="Y",AY378="Y",AZ378="Y",BA378="Y",BB378="Y",BC378="Y",BE378&lt;&gt;"Y",AX378&lt;&gt;"Y",BL378&lt;&gt;"Y",IF(AS378="Y",AV378="Y",TRUE)),"Y","N")</f>
        <v/>
      </c>
      <c r="BS378" s="12">
        <f>IF(AND(BR378="Y",OR(AND(BJ378="Y",BM378="Y"),AND(BK378="Y",BN378="Y"),AND(BJ378&lt;&gt;"Y",BK378&lt;&gt;"Y",OR(BM378="Y",BN378="Y")))),"Y","N")</f>
        <v/>
      </c>
      <c r="BT378" s="10" t="n"/>
      <c r="BU378" s="13" t="n"/>
      <c r="BV378" s="13" t="n"/>
      <c r="BW378" s="13" t="n"/>
      <c r="BX378" s="13" t="n"/>
      <c r="BY378" s="13" t="n"/>
      <c r="BZ378" s="13" t="n"/>
      <c r="CA378" s="14" t="n"/>
      <c r="CB378" s="13" t="n"/>
      <c r="CC378" s="9" t="n"/>
      <c r="CD378" s="9" t="n"/>
      <c r="CE378" s="9" t="n"/>
      <c r="CF378" s="9" t="n"/>
      <c r="CG378" s="9" t="n"/>
      <c r="CH378" s="9" t="n"/>
    </row>
    <row r="379">
      <c r="A379" s="8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8" t="n"/>
      <c r="L379" s="9" t="n"/>
      <c r="M379" s="8" t="n"/>
      <c r="N379" s="8" t="n"/>
      <c r="O379" s="8" t="n"/>
      <c r="P379" s="8" t="n"/>
      <c r="Q379" s="8" t="n"/>
      <c r="R379" s="9" t="n"/>
      <c r="S379" s="9" t="n"/>
      <c r="T379" s="10" t="n"/>
      <c r="U379" s="10" t="n"/>
      <c r="V379" s="9" t="n"/>
      <c r="W379" s="9" t="n"/>
      <c r="X379" s="9" t="n"/>
      <c r="Y379" s="9" t="n"/>
      <c r="Z379" s="11" t="n"/>
      <c r="AA379" s="11" t="n"/>
      <c r="AB379" s="11" t="n"/>
      <c r="AC379" s="11" t="n"/>
      <c r="AD379" s="11" t="n"/>
      <c r="AE379" s="11" t="n"/>
      <c r="AF379" s="9" t="n"/>
      <c r="AG379" s="9" t="n"/>
      <c r="AH379" s="9" t="n"/>
      <c r="AI379" s="9" t="n"/>
      <c r="AJ379" s="8" t="n"/>
      <c r="AK379" s="9" t="n"/>
      <c r="AL379" s="9" t="n"/>
      <c r="AM379" s="9" t="n"/>
      <c r="AN379" s="9" t="n"/>
      <c r="AO379" s="9" t="n"/>
      <c r="AP379" s="9" t="n"/>
      <c r="AQ379" s="9" t="n"/>
      <c r="AR379" s="9" t="n"/>
      <c r="AS379" s="9" t="n"/>
      <c r="AT379" s="8" t="n"/>
      <c r="AU379" s="8" t="n"/>
      <c r="AV379" s="9" t="n"/>
      <c r="AW379" s="8" t="n"/>
      <c r="AX379" s="9" t="n"/>
      <c r="AY379" s="9" t="n"/>
      <c r="AZ379" s="9" t="n"/>
      <c r="BA379" s="9" t="n"/>
      <c r="BB379" s="9" t="n"/>
      <c r="BC379" s="9" t="n"/>
      <c r="BD379" s="9" t="n"/>
      <c r="BE379" s="9" t="n"/>
      <c r="BF379" s="9" t="n"/>
      <c r="BG379" s="9" t="n"/>
      <c r="BH379" s="9" t="n"/>
      <c r="BI379" s="9" t="n"/>
      <c r="BJ379" s="9" t="n"/>
      <c r="BK379" s="9" t="n"/>
      <c r="BL379" s="9" t="n"/>
      <c r="BM379" s="9" t="n"/>
      <c r="BN379" s="9" t="n"/>
      <c r="BO379" s="8" t="n"/>
      <c r="BP379" s="9" t="n"/>
      <c r="BQ379" s="9" t="n"/>
      <c r="BR379" s="12">
        <f>IF(AND(AI379="Y",AK379="Y",AL379="Y",AM379="Y",AY379="Y",AZ379="Y",BA379="Y",BB379="Y",BC379="Y",BE379&lt;&gt;"Y",AX379&lt;&gt;"Y",BL379&lt;&gt;"Y",IF(AS379="Y",AV379="Y",TRUE)),"Y","N")</f>
        <v/>
      </c>
      <c r="BS379" s="12">
        <f>IF(AND(BR379="Y",OR(AND(BJ379="Y",BM379="Y"),AND(BK379="Y",BN379="Y"),AND(BJ379&lt;&gt;"Y",BK379&lt;&gt;"Y",OR(BM379="Y",BN379="Y")))),"Y","N")</f>
        <v/>
      </c>
      <c r="BT379" s="10" t="n"/>
      <c r="BU379" s="13" t="n"/>
      <c r="BV379" s="13" t="n"/>
      <c r="BW379" s="13" t="n"/>
      <c r="BX379" s="13" t="n"/>
      <c r="BY379" s="13" t="n"/>
      <c r="BZ379" s="13" t="n"/>
      <c r="CA379" s="14" t="n"/>
      <c r="CB379" s="13" t="n"/>
      <c r="CC379" s="9" t="n"/>
      <c r="CD379" s="9" t="n"/>
      <c r="CE379" s="9" t="n"/>
      <c r="CF379" s="9" t="n"/>
      <c r="CG379" s="9" t="n"/>
      <c r="CH379" s="9" t="n"/>
    </row>
    <row r="380">
      <c r="A380" s="8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8" t="n"/>
      <c r="L380" s="9" t="n"/>
      <c r="M380" s="8" t="n"/>
      <c r="N380" s="8" t="n"/>
      <c r="O380" s="8" t="n"/>
      <c r="P380" s="8" t="n"/>
      <c r="Q380" s="8" t="n"/>
      <c r="R380" s="9" t="n"/>
      <c r="S380" s="9" t="n"/>
      <c r="T380" s="10" t="n"/>
      <c r="U380" s="10" t="n"/>
      <c r="V380" s="9" t="n"/>
      <c r="W380" s="9" t="n"/>
      <c r="X380" s="9" t="n"/>
      <c r="Y380" s="9" t="n"/>
      <c r="Z380" s="11" t="n"/>
      <c r="AA380" s="11" t="n"/>
      <c r="AB380" s="11" t="n"/>
      <c r="AC380" s="11" t="n"/>
      <c r="AD380" s="11" t="n"/>
      <c r="AE380" s="11" t="n"/>
      <c r="AF380" s="9" t="n"/>
      <c r="AG380" s="9" t="n"/>
      <c r="AH380" s="9" t="n"/>
      <c r="AI380" s="9" t="n"/>
      <c r="AJ380" s="8" t="n"/>
      <c r="AK380" s="9" t="n"/>
      <c r="AL380" s="9" t="n"/>
      <c r="AM380" s="9" t="n"/>
      <c r="AN380" s="9" t="n"/>
      <c r="AO380" s="9" t="n"/>
      <c r="AP380" s="9" t="n"/>
      <c r="AQ380" s="9" t="n"/>
      <c r="AR380" s="9" t="n"/>
      <c r="AS380" s="9" t="n"/>
      <c r="AT380" s="8" t="n"/>
      <c r="AU380" s="8" t="n"/>
      <c r="AV380" s="9" t="n"/>
      <c r="AW380" s="8" t="n"/>
      <c r="AX380" s="9" t="n"/>
      <c r="AY380" s="9" t="n"/>
      <c r="AZ380" s="9" t="n"/>
      <c r="BA380" s="9" t="n"/>
      <c r="BB380" s="9" t="n"/>
      <c r="BC380" s="9" t="n"/>
      <c r="BD380" s="9" t="n"/>
      <c r="BE380" s="9" t="n"/>
      <c r="BF380" s="9" t="n"/>
      <c r="BG380" s="9" t="n"/>
      <c r="BH380" s="9" t="n"/>
      <c r="BI380" s="9" t="n"/>
      <c r="BJ380" s="9" t="n"/>
      <c r="BK380" s="9" t="n"/>
      <c r="BL380" s="9" t="n"/>
      <c r="BM380" s="9" t="n"/>
      <c r="BN380" s="9" t="n"/>
      <c r="BO380" s="8" t="n"/>
      <c r="BP380" s="9" t="n"/>
      <c r="BQ380" s="9" t="n"/>
      <c r="BR380" s="12">
        <f>IF(AND(AI380="Y",AK380="Y",AL380="Y",AM380="Y",AY380="Y",AZ380="Y",BA380="Y",BB380="Y",BC380="Y",BE380&lt;&gt;"Y",AX380&lt;&gt;"Y",BL380&lt;&gt;"Y",IF(AS380="Y",AV380="Y",TRUE)),"Y","N")</f>
        <v/>
      </c>
      <c r="BS380" s="12">
        <f>IF(AND(BR380="Y",OR(AND(BJ380="Y",BM380="Y"),AND(BK380="Y",BN380="Y"),AND(BJ380&lt;&gt;"Y",BK380&lt;&gt;"Y",OR(BM380="Y",BN380="Y")))),"Y","N")</f>
        <v/>
      </c>
      <c r="BT380" s="10" t="n"/>
      <c r="BU380" s="13" t="n"/>
      <c r="BV380" s="13" t="n"/>
      <c r="BW380" s="13" t="n"/>
      <c r="BX380" s="13" t="n"/>
      <c r="BY380" s="13" t="n"/>
      <c r="BZ380" s="13" t="n"/>
      <c r="CA380" s="14" t="n"/>
      <c r="CB380" s="13" t="n"/>
      <c r="CC380" s="9" t="n"/>
      <c r="CD380" s="9" t="n"/>
      <c r="CE380" s="9" t="n"/>
      <c r="CF380" s="9" t="n"/>
      <c r="CG380" s="9" t="n"/>
      <c r="CH380" s="9" t="n"/>
    </row>
    <row r="381">
      <c r="A381" s="8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8" t="n"/>
      <c r="L381" s="9" t="n"/>
      <c r="M381" s="8" t="n"/>
      <c r="N381" s="8" t="n"/>
      <c r="O381" s="8" t="n"/>
      <c r="P381" s="8" t="n"/>
      <c r="Q381" s="8" t="n"/>
      <c r="R381" s="9" t="n"/>
      <c r="S381" s="9" t="n"/>
      <c r="T381" s="10" t="n"/>
      <c r="U381" s="10" t="n"/>
      <c r="V381" s="9" t="n"/>
      <c r="W381" s="9" t="n"/>
      <c r="X381" s="9" t="n"/>
      <c r="Y381" s="9" t="n"/>
      <c r="Z381" s="11" t="n"/>
      <c r="AA381" s="11" t="n"/>
      <c r="AB381" s="11" t="n"/>
      <c r="AC381" s="11" t="n"/>
      <c r="AD381" s="11" t="n"/>
      <c r="AE381" s="11" t="n"/>
      <c r="AF381" s="9" t="n"/>
      <c r="AG381" s="9" t="n"/>
      <c r="AH381" s="9" t="n"/>
      <c r="AI381" s="9" t="n"/>
      <c r="AJ381" s="8" t="n"/>
      <c r="AK381" s="9" t="n"/>
      <c r="AL381" s="9" t="n"/>
      <c r="AM381" s="9" t="n"/>
      <c r="AN381" s="9" t="n"/>
      <c r="AO381" s="9" t="n"/>
      <c r="AP381" s="9" t="n"/>
      <c r="AQ381" s="9" t="n"/>
      <c r="AR381" s="9" t="n"/>
      <c r="AS381" s="9" t="n"/>
      <c r="AT381" s="8" t="n"/>
      <c r="AU381" s="8" t="n"/>
      <c r="AV381" s="9" t="n"/>
      <c r="AW381" s="8" t="n"/>
      <c r="AX381" s="9" t="n"/>
      <c r="AY381" s="9" t="n"/>
      <c r="AZ381" s="9" t="n"/>
      <c r="BA381" s="9" t="n"/>
      <c r="BB381" s="9" t="n"/>
      <c r="BC381" s="9" t="n"/>
      <c r="BD381" s="9" t="n"/>
      <c r="BE381" s="9" t="n"/>
      <c r="BF381" s="9" t="n"/>
      <c r="BG381" s="9" t="n"/>
      <c r="BH381" s="9" t="n"/>
      <c r="BI381" s="9" t="n"/>
      <c r="BJ381" s="9" t="n"/>
      <c r="BK381" s="9" t="n"/>
      <c r="BL381" s="9" t="n"/>
      <c r="BM381" s="9" t="n"/>
      <c r="BN381" s="9" t="n"/>
      <c r="BO381" s="8" t="n"/>
      <c r="BP381" s="9" t="n"/>
      <c r="BQ381" s="9" t="n"/>
      <c r="BR381" s="12">
        <f>IF(AND(AI381="Y",AK381="Y",AL381="Y",AM381="Y",AY381="Y",AZ381="Y",BA381="Y",BB381="Y",BC381="Y",BE381&lt;&gt;"Y",AX381&lt;&gt;"Y",BL381&lt;&gt;"Y",IF(AS381="Y",AV381="Y",TRUE)),"Y","N")</f>
        <v/>
      </c>
      <c r="BS381" s="12">
        <f>IF(AND(BR381="Y",OR(AND(BJ381="Y",BM381="Y"),AND(BK381="Y",BN381="Y"),AND(BJ381&lt;&gt;"Y",BK381&lt;&gt;"Y",OR(BM381="Y",BN381="Y")))),"Y","N")</f>
        <v/>
      </c>
      <c r="BT381" s="10" t="n"/>
      <c r="BU381" s="13" t="n"/>
      <c r="BV381" s="13" t="n"/>
      <c r="BW381" s="13" t="n"/>
      <c r="BX381" s="13" t="n"/>
      <c r="BY381" s="13" t="n"/>
      <c r="BZ381" s="13" t="n"/>
      <c r="CA381" s="14" t="n"/>
      <c r="CB381" s="13" t="n"/>
      <c r="CC381" s="9" t="n"/>
      <c r="CD381" s="9" t="n"/>
      <c r="CE381" s="9" t="n"/>
      <c r="CF381" s="9" t="n"/>
      <c r="CG381" s="9" t="n"/>
      <c r="CH381" s="9" t="n"/>
    </row>
    <row r="382">
      <c r="A382" s="8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8" t="n"/>
      <c r="L382" s="9" t="n"/>
      <c r="M382" s="8" t="n"/>
      <c r="N382" s="8" t="n"/>
      <c r="O382" s="8" t="n"/>
      <c r="P382" s="8" t="n"/>
      <c r="Q382" s="8" t="n"/>
      <c r="R382" s="9" t="n"/>
      <c r="S382" s="9" t="n"/>
      <c r="T382" s="10" t="n"/>
      <c r="U382" s="10" t="n"/>
      <c r="V382" s="9" t="n"/>
      <c r="W382" s="9" t="n"/>
      <c r="X382" s="9" t="n"/>
      <c r="Y382" s="9" t="n"/>
      <c r="Z382" s="11" t="n"/>
      <c r="AA382" s="11" t="n"/>
      <c r="AB382" s="11" t="n"/>
      <c r="AC382" s="11" t="n"/>
      <c r="AD382" s="11" t="n"/>
      <c r="AE382" s="11" t="n"/>
      <c r="AF382" s="9" t="n"/>
      <c r="AG382" s="9" t="n"/>
      <c r="AH382" s="9" t="n"/>
      <c r="AI382" s="9" t="n"/>
      <c r="AJ382" s="8" t="n"/>
      <c r="AK382" s="9" t="n"/>
      <c r="AL382" s="9" t="n"/>
      <c r="AM382" s="9" t="n"/>
      <c r="AN382" s="9" t="n"/>
      <c r="AO382" s="9" t="n"/>
      <c r="AP382" s="9" t="n"/>
      <c r="AQ382" s="9" t="n"/>
      <c r="AR382" s="9" t="n"/>
      <c r="AS382" s="9" t="n"/>
      <c r="AT382" s="8" t="n"/>
      <c r="AU382" s="8" t="n"/>
      <c r="AV382" s="9" t="n"/>
      <c r="AW382" s="8" t="n"/>
      <c r="AX382" s="9" t="n"/>
      <c r="AY382" s="9" t="n"/>
      <c r="AZ382" s="9" t="n"/>
      <c r="BA382" s="9" t="n"/>
      <c r="BB382" s="9" t="n"/>
      <c r="BC382" s="9" t="n"/>
      <c r="BD382" s="9" t="n"/>
      <c r="BE382" s="9" t="n"/>
      <c r="BF382" s="9" t="n"/>
      <c r="BG382" s="9" t="n"/>
      <c r="BH382" s="9" t="n"/>
      <c r="BI382" s="9" t="n"/>
      <c r="BJ382" s="9" t="n"/>
      <c r="BK382" s="9" t="n"/>
      <c r="BL382" s="9" t="n"/>
      <c r="BM382" s="9" t="n"/>
      <c r="BN382" s="9" t="n"/>
      <c r="BO382" s="8" t="n"/>
      <c r="BP382" s="9" t="n"/>
      <c r="BQ382" s="9" t="n"/>
      <c r="BR382" s="12">
        <f>IF(AND(AI382="Y",AK382="Y",AL382="Y",AM382="Y",AY382="Y",AZ382="Y",BA382="Y",BB382="Y",BC382="Y",BE382&lt;&gt;"Y",AX382&lt;&gt;"Y",BL382&lt;&gt;"Y",IF(AS382="Y",AV382="Y",TRUE)),"Y","N")</f>
        <v/>
      </c>
      <c r="BS382" s="12">
        <f>IF(AND(BR382="Y",OR(AND(BJ382="Y",BM382="Y"),AND(BK382="Y",BN382="Y"),AND(BJ382&lt;&gt;"Y",BK382&lt;&gt;"Y",OR(BM382="Y",BN382="Y")))),"Y","N")</f>
        <v/>
      </c>
      <c r="BT382" s="10" t="n"/>
      <c r="BU382" s="13" t="n"/>
      <c r="BV382" s="13" t="n"/>
      <c r="BW382" s="13" t="n"/>
      <c r="BX382" s="13" t="n"/>
      <c r="BY382" s="13" t="n"/>
      <c r="BZ382" s="13" t="n"/>
      <c r="CA382" s="14" t="n"/>
      <c r="CB382" s="13" t="n"/>
      <c r="CC382" s="9" t="n"/>
      <c r="CD382" s="9" t="n"/>
      <c r="CE382" s="9" t="n"/>
      <c r="CF382" s="9" t="n"/>
      <c r="CG382" s="9" t="n"/>
      <c r="CH382" s="9" t="n"/>
    </row>
    <row r="383">
      <c r="A383" s="8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8" t="n"/>
      <c r="L383" s="9" t="n"/>
      <c r="M383" s="8" t="n"/>
      <c r="N383" s="8" t="n"/>
      <c r="O383" s="8" t="n"/>
      <c r="P383" s="8" t="n"/>
      <c r="Q383" s="8" t="n"/>
      <c r="R383" s="9" t="n"/>
      <c r="S383" s="9" t="n"/>
      <c r="T383" s="10" t="n"/>
      <c r="U383" s="10" t="n"/>
      <c r="V383" s="9" t="n"/>
      <c r="W383" s="9" t="n"/>
      <c r="X383" s="9" t="n"/>
      <c r="Y383" s="9" t="n"/>
      <c r="Z383" s="11" t="n"/>
      <c r="AA383" s="11" t="n"/>
      <c r="AB383" s="11" t="n"/>
      <c r="AC383" s="11" t="n"/>
      <c r="AD383" s="11" t="n"/>
      <c r="AE383" s="11" t="n"/>
      <c r="AF383" s="9" t="n"/>
      <c r="AG383" s="9" t="n"/>
      <c r="AH383" s="9" t="n"/>
      <c r="AI383" s="9" t="n"/>
      <c r="AJ383" s="8" t="n"/>
      <c r="AK383" s="9" t="n"/>
      <c r="AL383" s="9" t="n"/>
      <c r="AM383" s="9" t="n"/>
      <c r="AN383" s="9" t="n"/>
      <c r="AO383" s="9" t="n"/>
      <c r="AP383" s="9" t="n"/>
      <c r="AQ383" s="9" t="n"/>
      <c r="AR383" s="9" t="n"/>
      <c r="AS383" s="9" t="n"/>
      <c r="AT383" s="8" t="n"/>
      <c r="AU383" s="8" t="n"/>
      <c r="AV383" s="9" t="n"/>
      <c r="AW383" s="8" t="n"/>
      <c r="AX383" s="9" t="n"/>
      <c r="AY383" s="9" t="n"/>
      <c r="AZ383" s="9" t="n"/>
      <c r="BA383" s="9" t="n"/>
      <c r="BB383" s="9" t="n"/>
      <c r="BC383" s="9" t="n"/>
      <c r="BD383" s="9" t="n"/>
      <c r="BE383" s="9" t="n"/>
      <c r="BF383" s="9" t="n"/>
      <c r="BG383" s="9" t="n"/>
      <c r="BH383" s="9" t="n"/>
      <c r="BI383" s="9" t="n"/>
      <c r="BJ383" s="9" t="n"/>
      <c r="BK383" s="9" t="n"/>
      <c r="BL383" s="9" t="n"/>
      <c r="BM383" s="9" t="n"/>
      <c r="BN383" s="9" t="n"/>
      <c r="BO383" s="8" t="n"/>
      <c r="BP383" s="9" t="n"/>
      <c r="BQ383" s="9" t="n"/>
      <c r="BR383" s="12">
        <f>IF(AND(AI383="Y",AK383="Y",AL383="Y",AM383="Y",AY383="Y",AZ383="Y",BA383="Y",BB383="Y",BC383="Y",BE383&lt;&gt;"Y",AX383&lt;&gt;"Y",BL383&lt;&gt;"Y",IF(AS383="Y",AV383="Y",TRUE)),"Y","N")</f>
        <v/>
      </c>
      <c r="BS383" s="12">
        <f>IF(AND(BR383="Y",OR(AND(BJ383="Y",BM383="Y"),AND(BK383="Y",BN383="Y"),AND(BJ383&lt;&gt;"Y",BK383&lt;&gt;"Y",OR(BM383="Y",BN383="Y")))),"Y","N")</f>
        <v/>
      </c>
      <c r="BT383" s="10" t="n"/>
      <c r="BU383" s="13" t="n"/>
      <c r="BV383" s="13" t="n"/>
      <c r="BW383" s="13" t="n"/>
      <c r="BX383" s="13" t="n"/>
      <c r="BY383" s="13" t="n"/>
      <c r="BZ383" s="13" t="n"/>
      <c r="CA383" s="14" t="n"/>
      <c r="CB383" s="13" t="n"/>
      <c r="CC383" s="9" t="n"/>
      <c r="CD383" s="9" t="n"/>
      <c r="CE383" s="9" t="n"/>
      <c r="CF383" s="9" t="n"/>
      <c r="CG383" s="9" t="n"/>
      <c r="CH383" s="9" t="n"/>
    </row>
    <row r="384">
      <c r="A384" s="8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8" t="n"/>
      <c r="L384" s="9" t="n"/>
      <c r="M384" s="8" t="n"/>
      <c r="N384" s="8" t="n"/>
      <c r="O384" s="8" t="n"/>
      <c r="P384" s="8" t="n"/>
      <c r="Q384" s="8" t="n"/>
      <c r="R384" s="9" t="n"/>
      <c r="S384" s="9" t="n"/>
      <c r="T384" s="10" t="n"/>
      <c r="U384" s="10" t="n"/>
      <c r="V384" s="9" t="n"/>
      <c r="W384" s="9" t="n"/>
      <c r="X384" s="9" t="n"/>
      <c r="Y384" s="9" t="n"/>
      <c r="Z384" s="11" t="n"/>
      <c r="AA384" s="11" t="n"/>
      <c r="AB384" s="11" t="n"/>
      <c r="AC384" s="11" t="n"/>
      <c r="AD384" s="11" t="n"/>
      <c r="AE384" s="11" t="n"/>
      <c r="AF384" s="9" t="n"/>
      <c r="AG384" s="9" t="n"/>
      <c r="AH384" s="9" t="n"/>
      <c r="AI384" s="9" t="n"/>
      <c r="AJ384" s="8" t="n"/>
      <c r="AK384" s="9" t="n"/>
      <c r="AL384" s="9" t="n"/>
      <c r="AM384" s="9" t="n"/>
      <c r="AN384" s="9" t="n"/>
      <c r="AO384" s="9" t="n"/>
      <c r="AP384" s="9" t="n"/>
      <c r="AQ384" s="9" t="n"/>
      <c r="AR384" s="9" t="n"/>
      <c r="AS384" s="9" t="n"/>
      <c r="AT384" s="8" t="n"/>
      <c r="AU384" s="8" t="n"/>
      <c r="AV384" s="9" t="n"/>
      <c r="AW384" s="8" t="n"/>
      <c r="AX384" s="9" t="n"/>
      <c r="AY384" s="9" t="n"/>
      <c r="AZ384" s="9" t="n"/>
      <c r="BA384" s="9" t="n"/>
      <c r="BB384" s="9" t="n"/>
      <c r="BC384" s="9" t="n"/>
      <c r="BD384" s="9" t="n"/>
      <c r="BE384" s="9" t="n"/>
      <c r="BF384" s="9" t="n"/>
      <c r="BG384" s="9" t="n"/>
      <c r="BH384" s="9" t="n"/>
      <c r="BI384" s="9" t="n"/>
      <c r="BJ384" s="9" t="n"/>
      <c r="BK384" s="9" t="n"/>
      <c r="BL384" s="9" t="n"/>
      <c r="BM384" s="9" t="n"/>
      <c r="BN384" s="9" t="n"/>
      <c r="BO384" s="8" t="n"/>
      <c r="BP384" s="9" t="n"/>
      <c r="BQ384" s="9" t="n"/>
      <c r="BR384" s="12">
        <f>IF(AND(AI384="Y",AK384="Y",AL384="Y",AM384="Y",AY384="Y",AZ384="Y",BA384="Y",BB384="Y",BC384="Y",BE384&lt;&gt;"Y",AX384&lt;&gt;"Y",BL384&lt;&gt;"Y",IF(AS384="Y",AV384="Y",TRUE)),"Y","N")</f>
        <v/>
      </c>
      <c r="BS384" s="12">
        <f>IF(AND(BR384="Y",OR(AND(BJ384="Y",BM384="Y"),AND(BK384="Y",BN384="Y"),AND(BJ384&lt;&gt;"Y",BK384&lt;&gt;"Y",OR(BM384="Y",BN384="Y")))),"Y","N")</f>
        <v/>
      </c>
      <c r="BT384" s="10" t="n"/>
      <c r="BU384" s="13" t="n"/>
      <c r="BV384" s="13" t="n"/>
      <c r="BW384" s="13" t="n"/>
      <c r="BX384" s="13" t="n"/>
      <c r="BY384" s="13" t="n"/>
      <c r="BZ384" s="13" t="n"/>
      <c r="CA384" s="14" t="n"/>
      <c r="CB384" s="13" t="n"/>
      <c r="CC384" s="9" t="n"/>
      <c r="CD384" s="9" t="n"/>
      <c r="CE384" s="9" t="n"/>
      <c r="CF384" s="9" t="n"/>
      <c r="CG384" s="9" t="n"/>
      <c r="CH384" s="9" t="n"/>
    </row>
    <row r="385">
      <c r="A385" s="8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8" t="n"/>
      <c r="L385" s="9" t="n"/>
      <c r="M385" s="8" t="n"/>
      <c r="N385" s="8" t="n"/>
      <c r="O385" s="8" t="n"/>
      <c r="P385" s="8" t="n"/>
      <c r="Q385" s="8" t="n"/>
      <c r="R385" s="9" t="n"/>
      <c r="S385" s="9" t="n"/>
      <c r="T385" s="10" t="n"/>
      <c r="U385" s="10" t="n"/>
      <c r="V385" s="9" t="n"/>
      <c r="W385" s="9" t="n"/>
      <c r="X385" s="9" t="n"/>
      <c r="Y385" s="9" t="n"/>
      <c r="Z385" s="11" t="n"/>
      <c r="AA385" s="11" t="n"/>
      <c r="AB385" s="11" t="n"/>
      <c r="AC385" s="11" t="n"/>
      <c r="AD385" s="11" t="n"/>
      <c r="AE385" s="11" t="n"/>
      <c r="AF385" s="9" t="n"/>
      <c r="AG385" s="9" t="n"/>
      <c r="AH385" s="9" t="n"/>
      <c r="AI385" s="9" t="n"/>
      <c r="AJ385" s="8" t="n"/>
      <c r="AK385" s="9" t="n"/>
      <c r="AL385" s="9" t="n"/>
      <c r="AM385" s="9" t="n"/>
      <c r="AN385" s="9" t="n"/>
      <c r="AO385" s="9" t="n"/>
      <c r="AP385" s="9" t="n"/>
      <c r="AQ385" s="9" t="n"/>
      <c r="AR385" s="9" t="n"/>
      <c r="AS385" s="9" t="n"/>
      <c r="AT385" s="8" t="n"/>
      <c r="AU385" s="8" t="n"/>
      <c r="AV385" s="9" t="n"/>
      <c r="AW385" s="8" t="n"/>
      <c r="AX385" s="9" t="n"/>
      <c r="AY385" s="9" t="n"/>
      <c r="AZ385" s="9" t="n"/>
      <c r="BA385" s="9" t="n"/>
      <c r="BB385" s="9" t="n"/>
      <c r="BC385" s="9" t="n"/>
      <c r="BD385" s="9" t="n"/>
      <c r="BE385" s="9" t="n"/>
      <c r="BF385" s="9" t="n"/>
      <c r="BG385" s="9" t="n"/>
      <c r="BH385" s="9" t="n"/>
      <c r="BI385" s="9" t="n"/>
      <c r="BJ385" s="9" t="n"/>
      <c r="BK385" s="9" t="n"/>
      <c r="BL385" s="9" t="n"/>
      <c r="BM385" s="9" t="n"/>
      <c r="BN385" s="9" t="n"/>
      <c r="BO385" s="8" t="n"/>
      <c r="BP385" s="9" t="n"/>
      <c r="BQ385" s="9" t="n"/>
      <c r="BR385" s="12">
        <f>IF(AND(AI385="Y",AK385="Y",AL385="Y",AM385="Y",AY385="Y",AZ385="Y",BA385="Y",BB385="Y",BC385="Y",BE385&lt;&gt;"Y",AX385&lt;&gt;"Y",BL385&lt;&gt;"Y",IF(AS385="Y",AV385="Y",TRUE)),"Y","N")</f>
        <v/>
      </c>
      <c r="BS385" s="12">
        <f>IF(AND(BR385="Y",OR(AND(BJ385="Y",BM385="Y"),AND(BK385="Y",BN385="Y"),AND(BJ385&lt;&gt;"Y",BK385&lt;&gt;"Y",OR(BM385="Y",BN385="Y")))),"Y","N")</f>
        <v/>
      </c>
      <c r="BT385" s="10" t="n"/>
      <c r="BU385" s="13" t="n"/>
      <c r="BV385" s="13" t="n"/>
      <c r="BW385" s="13" t="n"/>
      <c r="BX385" s="13" t="n"/>
      <c r="BY385" s="13" t="n"/>
      <c r="BZ385" s="13" t="n"/>
      <c r="CA385" s="14" t="n"/>
      <c r="CB385" s="13" t="n"/>
      <c r="CC385" s="9" t="n"/>
      <c r="CD385" s="9" t="n"/>
      <c r="CE385" s="9" t="n"/>
      <c r="CF385" s="9" t="n"/>
      <c r="CG385" s="9" t="n"/>
      <c r="CH385" s="9" t="n"/>
    </row>
    <row r="386">
      <c r="A386" s="8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8" t="n"/>
      <c r="L386" s="9" t="n"/>
      <c r="M386" s="8" t="n"/>
      <c r="N386" s="8" t="n"/>
      <c r="O386" s="8" t="n"/>
      <c r="P386" s="8" t="n"/>
      <c r="Q386" s="8" t="n"/>
      <c r="R386" s="9" t="n"/>
      <c r="S386" s="9" t="n"/>
      <c r="T386" s="10" t="n"/>
      <c r="U386" s="10" t="n"/>
      <c r="V386" s="9" t="n"/>
      <c r="W386" s="9" t="n"/>
      <c r="X386" s="9" t="n"/>
      <c r="Y386" s="9" t="n"/>
      <c r="Z386" s="11" t="n"/>
      <c r="AA386" s="11" t="n"/>
      <c r="AB386" s="11" t="n"/>
      <c r="AC386" s="11" t="n"/>
      <c r="AD386" s="11" t="n"/>
      <c r="AE386" s="11" t="n"/>
      <c r="AF386" s="9" t="n"/>
      <c r="AG386" s="9" t="n"/>
      <c r="AH386" s="9" t="n"/>
      <c r="AI386" s="9" t="n"/>
      <c r="AJ386" s="8" t="n"/>
      <c r="AK386" s="9" t="n"/>
      <c r="AL386" s="9" t="n"/>
      <c r="AM386" s="9" t="n"/>
      <c r="AN386" s="9" t="n"/>
      <c r="AO386" s="9" t="n"/>
      <c r="AP386" s="9" t="n"/>
      <c r="AQ386" s="9" t="n"/>
      <c r="AR386" s="9" t="n"/>
      <c r="AS386" s="9" t="n"/>
      <c r="AT386" s="8" t="n"/>
      <c r="AU386" s="8" t="n"/>
      <c r="AV386" s="9" t="n"/>
      <c r="AW386" s="8" t="n"/>
      <c r="AX386" s="9" t="n"/>
      <c r="AY386" s="9" t="n"/>
      <c r="AZ386" s="9" t="n"/>
      <c r="BA386" s="9" t="n"/>
      <c r="BB386" s="9" t="n"/>
      <c r="BC386" s="9" t="n"/>
      <c r="BD386" s="9" t="n"/>
      <c r="BE386" s="9" t="n"/>
      <c r="BF386" s="9" t="n"/>
      <c r="BG386" s="9" t="n"/>
      <c r="BH386" s="9" t="n"/>
      <c r="BI386" s="9" t="n"/>
      <c r="BJ386" s="9" t="n"/>
      <c r="BK386" s="9" t="n"/>
      <c r="BL386" s="9" t="n"/>
      <c r="BM386" s="9" t="n"/>
      <c r="BN386" s="9" t="n"/>
      <c r="BO386" s="8" t="n"/>
      <c r="BP386" s="9" t="n"/>
      <c r="BQ386" s="9" t="n"/>
      <c r="BR386" s="12">
        <f>IF(AND(AI386="Y",AK386="Y",AL386="Y",AM386="Y",AY386="Y",AZ386="Y",BA386="Y",BB386="Y",BC386="Y",BE386&lt;&gt;"Y",AX386&lt;&gt;"Y",BL386&lt;&gt;"Y",IF(AS386="Y",AV386="Y",TRUE)),"Y","N")</f>
        <v/>
      </c>
      <c r="BS386" s="12">
        <f>IF(AND(BR386="Y",OR(AND(BJ386="Y",BM386="Y"),AND(BK386="Y",BN386="Y"),AND(BJ386&lt;&gt;"Y",BK386&lt;&gt;"Y",OR(BM386="Y",BN386="Y")))),"Y","N")</f>
        <v/>
      </c>
      <c r="BT386" s="10" t="n"/>
      <c r="BU386" s="13" t="n"/>
      <c r="BV386" s="13" t="n"/>
      <c r="BW386" s="13" t="n"/>
      <c r="BX386" s="13" t="n"/>
      <c r="BY386" s="13" t="n"/>
      <c r="BZ386" s="13" t="n"/>
      <c r="CA386" s="14" t="n"/>
      <c r="CB386" s="13" t="n"/>
      <c r="CC386" s="9" t="n"/>
      <c r="CD386" s="9" t="n"/>
      <c r="CE386" s="9" t="n"/>
      <c r="CF386" s="9" t="n"/>
      <c r="CG386" s="9" t="n"/>
      <c r="CH386" s="9" t="n"/>
    </row>
    <row r="387">
      <c r="A387" s="8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8" t="n"/>
      <c r="L387" s="9" t="n"/>
      <c r="M387" s="8" t="n"/>
      <c r="N387" s="8" t="n"/>
      <c r="O387" s="8" t="n"/>
      <c r="P387" s="8" t="n"/>
      <c r="Q387" s="8" t="n"/>
      <c r="R387" s="9" t="n"/>
      <c r="S387" s="9" t="n"/>
      <c r="T387" s="10" t="n"/>
      <c r="U387" s="10" t="n"/>
      <c r="V387" s="9" t="n"/>
      <c r="W387" s="9" t="n"/>
      <c r="X387" s="9" t="n"/>
      <c r="Y387" s="9" t="n"/>
      <c r="Z387" s="11" t="n"/>
      <c r="AA387" s="11" t="n"/>
      <c r="AB387" s="11" t="n"/>
      <c r="AC387" s="11" t="n"/>
      <c r="AD387" s="11" t="n"/>
      <c r="AE387" s="11" t="n"/>
      <c r="AF387" s="9" t="n"/>
      <c r="AG387" s="9" t="n"/>
      <c r="AH387" s="9" t="n"/>
      <c r="AI387" s="9" t="n"/>
      <c r="AJ387" s="8" t="n"/>
      <c r="AK387" s="9" t="n"/>
      <c r="AL387" s="9" t="n"/>
      <c r="AM387" s="9" t="n"/>
      <c r="AN387" s="9" t="n"/>
      <c r="AO387" s="9" t="n"/>
      <c r="AP387" s="9" t="n"/>
      <c r="AQ387" s="9" t="n"/>
      <c r="AR387" s="9" t="n"/>
      <c r="AS387" s="9" t="n"/>
      <c r="AT387" s="8" t="n"/>
      <c r="AU387" s="8" t="n"/>
      <c r="AV387" s="9" t="n"/>
      <c r="AW387" s="8" t="n"/>
      <c r="AX387" s="9" t="n"/>
      <c r="AY387" s="9" t="n"/>
      <c r="AZ387" s="9" t="n"/>
      <c r="BA387" s="9" t="n"/>
      <c r="BB387" s="9" t="n"/>
      <c r="BC387" s="9" t="n"/>
      <c r="BD387" s="9" t="n"/>
      <c r="BE387" s="9" t="n"/>
      <c r="BF387" s="9" t="n"/>
      <c r="BG387" s="9" t="n"/>
      <c r="BH387" s="9" t="n"/>
      <c r="BI387" s="9" t="n"/>
      <c r="BJ387" s="9" t="n"/>
      <c r="BK387" s="9" t="n"/>
      <c r="BL387" s="9" t="n"/>
      <c r="BM387" s="9" t="n"/>
      <c r="BN387" s="9" t="n"/>
      <c r="BO387" s="8" t="n"/>
      <c r="BP387" s="9" t="n"/>
      <c r="BQ387" s="9" t="n"/>
      <c r="BR387" s="12">
        <f>IF(AND(AI387="Y",AK387="Y",AL387="Y",AM387="Y",AY387="Y",AZ387="Y",BA387="Y",BB387="Y",BC387="Y",BE387&lt;&gt;"Y",AX387&lt;&gt;"Y",BL387&lt;&gt;"Y",IF(AS387="Y",AV387="Y",TRUE)),"Y","N")</f>
        <v/>
      </c>
      <c r="BS387" s="12">
        <f>IF(AND(BR387="Y",OR(AND(BJ387="Y",BM387="Y"),AND(BK387="Y",BN387="Y"),AND(BJ387&lt;&gt;"Y",BK387&lt;&gt;"Y",OR(BM387="Y",BN387="Y")))),"Y","N")</f>
        <v/>
      </c>
      <c r="BT387" s="10" t="n"/>
      <c r="BU387" s="13" t="n"/>
      <c r="BV387" s="13" t="n"/>
      <c r="BW387" s="13" t="n"/>
      <c r="BX387" s="13" t="n"/>
      <c r="BY387" s="13" t="n"/>
      <c r="BZ387" s="13" t="n"/>
      <c r="CA387" s="14" t="n"/>
      <c r="CB387" s="13" t="n"/>
      <c r="CC387" s="9" t="n"/>
      <c r="CD387" s="9" t="n"/>
      <c r="CE387" s="9" t="n"/>
      <c r="CF387" s="9" t="n"/>
      <c r="CG387" s="9" t="n"/>
      <c r="CH387" s="9" t="n"/>
    </row>
    <row r="388">
      <c r="A388" s="8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8" t="n"/>
      <c r="L388" s="9" t="n"/>
      <c r="M388" s="8" t="n"/>
      <c r="N388" s="8" t="n"/>
      <c r="O388" s="8" t="n"/>
      <c r="P388" s="8" t="n"/>
      <c r="Q388" s="8" t="n"/>
      <c r="R388" s="9" t="n"/>
      <c r="S388" s="9" t="n"/>
      <c r="T388" s="10" t="n"/>
      <c r="U388" s="10" t="n"/>
      <c r="V388" s="9" t="n"/>
      <c r="W388" s="9" t="n"/>
      <c r="X388" s="9" t="n"/>
      <c r="Y388" s="9" t="n"/>
      <c r="Z388" s="11" t="n"/>
      <c r="AA388" s="11" t="n"/>
      <c r="AB388" s="11" t="n"/>
      <c r="AC388" s="11" t="n"/>
      <c r="AD388" s="11" t="n"/>
      <c r="AE388" s="11" t="n"/>
      <c r="AF388" s="9" t="n"/>
      <c r="AG388" s="9" t="n"/>
      <c r="AH388" s="9" t="n"/>
      <c r="AI388" s="9" t="n"/>
      <c r="AJ388" s="8" t="n"/>
      <c r="AK388" s="9" t="n"/>
      <c r="AL388" s="9" t="n"/>
      <c r="AM388" s="9" t="n"/>
      <c r="AN388" s="9" t="n"/>
      <c r="AO388" s="9" t="n"/>
      <c r="AP388" s="9" t="n"/>
      <c r="AQ388" s="9" t="n"/>
      <c r="AR388" s="9" t="n"/>
      <c r="AS388" s="9" t="n"/>
      <c r="AT388" s="8" t="n"/>
      <c r="AU388" s="8" t="n"/>
      <c r="AV388" s="9" t="n"/>
      <c r="AW388" s="8" t="n"/>
      <c r="AX388" s="9" t="n"/>
      <c r="AY388" s="9" t="n"/>
      <c r="AZ388" s="9" t="n"/>
      <c r="BA388" s="9" t="n"/>
      <c r="BB388" s="9" t="n"/>
      <c r="BC388" s="9" t="n"/>
      <c r="BD388" s="9" t="n"/>
      <c r="BE388" s="9" t="n"/>
      <c r="BF388" s="9" t="n"/>
      <c r="BG388" s="9" t="n"/>
      <c r="BH388" s="9" t="n"/>
      <c r="BI388" s="9" t="n"/>
      <c r="BJ388" s="9" t="n"/>
      <c r="BK388" s="9" t="n"/>
      <c r="BL388" s="9" t="n"/>
      <c r="BM388" s="9" t="n"/>
      <c r="BN388" s="9" t="n"/>
      <c r="BO388" s="8" t="n"/>
      <c r="BP388" s="9" t="n"/>
      <c r="BQ388" s="9" t="n"/>
      <c r="BR388" s="12">
        <f>IF(AND(AI388="Y",AK388="Y",AL388="Y",AM388="Y",AY388="Y",AZ388="Y",BA388="Y",BB388="Y",BC388="Y",BE388&lt;&gt;"Y",AX388&lt;&gt;"Y",BL388&lt;&gt;"Y",IF(AS388="Y",AV388="Y",TRUE)),"Y","N")</f>
        <v/>
      </c>
      <c r="BS388" s="12">
        <f>IF(AND(BR388="Y",OR(AND(BJ388="Y",BM388="Y"),AND(BK388="Y",BN388="Y"),AND(BJ388&lt;&gt;"Y",BK388&lt;&gt;"Y",OR(BM388="Y",BN388="Y")))),"Y","N")</f>
        <v/>
      </c>
      <c r="BT388" s="10" t="n"/>
      <c r="BU388" s="13" t="n"/>
      <c r="BV388" s="13" t="n"/>
      <c r="BW388" s="13" t="n"/>
      <c r="BX388" s="13" t="n"/>
      <c r="BY388" s="13" t="n"/>
      <c r="BZ388" s="13" t="n"/>
      <c r="CA388" s="14" t="n"/>
      <c r="CB388" s="13" t="n"/>
      <c r="CC388" s="9" t="n"/>
      <c r="CD388" s="9" t="n"/>
      <c r="CE388" s="9" t="n"/>
      <c r="CF388" s="9" t="n"/>
      <c r="CG388" s="9" t="n"/>
      <c r="CH388" s="9" t="n"/>
    </row>
    <row r="389">
      <c r="A389" s="8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8" t="n"/>
      <c r="L389" s="9" t="n"/>
      <c r="M389" s="8" t="n"/>
      <c r="N389" s="8" t="n"/>
      <c r="O389" s="8" t="n"/>
      <c r="P389" s="8" t="n"/>
      <c r="Q389" s="8" t="n"/>
      <c r="R389" s="9" t="n"/>
      <c r="S389" s="9" t="n"/>
      <c r="T389" s="10" t="n"/>
      <c r="U389" s="10" t="n"/>
      <c r="V389" s="9" t="n"/>
      <c r="W389" s="9" t="n"/>
      <c r="X389" s="9" t="n"/>
      <c r="Y389" s="9" t="n"/>
      <c r="Z389" s="11" t="n"/>
      <c r="AA389" s="11" t="n"/>
      <c r="AB389" s="11" t="n"/>
      <c r="AC389" s="11" t="n"/>
      <c r="AD389" s="11" t="n"/>
      <c r="AE389" s="11" t="n"/>
      <c r="AF389" s="9" t="n"/>
      <c r="AG389" s="9" t="n"/>
      <c r="AH389" s="9" t="n"/>
      <c r="AI389" s="9" t="n"/>
      <c r="AJ389" s="8" t="n"/>
      <c r="AK389" s="9" t="n"/>
      <c r="AL389" s="9" t="n"/>
      <c r="AM389" s="9" t="n"/>
      <c r="AN389" s="9" t="n"/>
      <c r="AO389" s="9" t="n"/>
      <c r="AP389" s="9" t="n"/>
      <c r="AQ389" s="9" t="n"/>
      <c r="AR389" s="9" t="n"/>
      <c r="AS389" s="9" t="n"/>
      <c r="AT389" s="8" t="n"/>
      <c r="AU389" s="8" t="n"/>
      <c r="AV389" s="9" t="n"/>
      <c r="AW389" s="8" t="n"/>
      <c r="AX389" s="9" t="n"/>
      <c r="AY389" s="9" t="n"/>
      <c r="AZ389" s="9" t="n"/>
      <c r="BA389" s="9" t="n"/>
      <c r="BB389" s="9" t="n"/>
      <c r="BC389" s="9" t="n"/>
      <c r="BD389" s="9" t="n"/>
      <c r="BE389" s="9" t="n"/>
      <c r="BF389" s="9" t="n"/>
      <c r="BG389" s="9" t="n"/>
      <c r="BH389" s="9" t="n"/>
      <c r="BI389" s="9" t="n"/>
      <c r="BJ389" s="9" t="n"/>
      <c r="BK389" s="9" t="n"/>
      <c r="BL389" s="9" t="n"/>
      <c r="BM389" s="9" t="n"/>
      <c r="BN389" s="9" t="n"/>
      <c r="BO389" s="8" t="n"/>
      <c r="BP389" s="9" t="n"/>
      <c r="BQ389" s="9" t="n"/>
      <c r="BR389" s="12">
        <f>IF(AND(AI389="Y",AK389="Y",AL389="Y",AM389="Y",AY389="Y",AZ389="Y",BA389="Y",BB389="Y",BC389="Y",BE389&lt;&gt;"Y",AX389&lt;&gt;"Y",BL389&lt;&gt;"Y",IF(AS389="Y",AV389="Y",TRUE)),"Y","N")</f>
        <v/>
      </c>
      <c r="BS389" s="12">
        <f>IF(AND(BR389="Y",OR(AND(BJ389="Y",BM389="Y"),AND(BK389="Y",BN389="Y"),AND(BJ389&lt;&gt;"Y",BK389&lt;&gt;"Y",OR(BM389="Y",BN389="Y")))),"Y","N")</f>
        <v/>
      </c>
      <c r="BT389" s="10" t="n"/>
      <c r="BU389" s="13" t="n"/>
      <c r="BV389" s="13" t="n"/>
      <c r="BW389" s="13" t="n"/>
      <c r="BX389" s="13" t="n"/>
      <c r="BY389" s="13" t="n"/>
      <c r="BZ389" s="13" t="n"/>
      <c r="CA389" s="14" t="n"/>
      <c r="CB389" s="13" t="n"/>
      <c r="CC389" s="9" t="n"/>
      <c r="CD389" s="9" t="n"/>
      <c r="CE389" s="9" t="n"/>
      <c r="CF389" s="9" t="n"/>
      <c r="CG389" s="9" t="n"/>
      <c r="CH389" s="9" t="n"/>
    </row>
    <row r="390">
      <c r="A390" s="8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8" t="n"/>
      <c r="L390" s="9" t="n"/>
      <c r="M390" s="8" t="n"/>
      <c r="N390" s="8" t="n"/>
      <c r="O390" s="8" t="n"/>
      <c r="P390" s="8" t="n"/>
      <c r="Q390" s="8" t="n"/>
      <c r="R390" s="9" t="n"/>
      <c r="S390" s="9" t="n"/>
      <c r="T390" s="10" t="n"/>
      <c r="U390" s="10" t="n"/>
      <c r="V390" s="9" t="n"/>
      <c r="W390" s="9" t="n"/>
      <c r="X390" s="9" t="n"/>
      <c r="Y390" s="9" t="n"/>
      <c r="Z390" s="11" t="n"/>
      <c r="AA390" s="11" t="n"/>
      <c r="AB390" s="11" t="n"/>
      <c r="AC390" s="11" t="n"/>
      <c r="AD390" s="11" t="n"/>
      <c r="AE390" s="11" t="n"/>
      <c r="AF390" s="9" t="n"/>
      <c r="AG390" s="9" t="n"/>
      <c r="AH390" s="9" t="n"/>
      <c r="AI390" s="9" t="n"/>
      <c r="AJ390" s="8" t="n"/>
      <c r="AK390" s="9" t="n"/>
      <c r="AL390" s="9" t="n"/>
      <c r="AM390" s="9" t="n"/>
      <c r="AN390" s="9" t="n"/>
      <c r="AO390" s="9" t="n"/>
      <c r="AP390" s="9" t="n"/>
      <c r="AQ390" s="9" t="n"/>
      <c r="AR390" s="9" t="n"/>
      <c r="AS390" s="9" t="n"/>
      <c r="AT390" s="8" t="n"/>
      <c r="AU390" s="8" t="n"/>
      <c r="AV390" s="9" t="n"/>
      <c r="AW390" s="8" t="n"/>
      <c r="AX390" s="9" t="n"/>
      <c r="AY390" s="9" t="n"/>
      <c r="AZ390" s="9" t="n"/>
      <c r="BA390" s="9" t="n"/>
      <c r="BB390" s="9" t="n"/>
      <c r="BC390" s="9" t="n"/>
      <c r="BD390" s="9" t="n"/>
      <c r="BE390" s="9" t="n"/>
      <c r="BF390" s="9" t="n"/>
      <c r="BG390" s="9" t="n"/>
      <c r="BH390" s="9" t="n"/>
      <c r="BI390" s="9" t="n"/>
      <c r="BJ390" s="9" t="n"/>
      <c r="BK390" s="9" t="n"/>
      <c r="BL390" s="9" t="n"/>
      <c r="BM390" s="9" t="n"/>
      <c r="BN390" s="9" t="n"/>
      <c r="BO390" s="8" t="n"/>
      <c r="BP390" s="9" t="n"/>
      <c r="BQ390" s="9" t="n"/>
      <c r="BR390" s="12">
        <f>IF(AND(AI390="Y",AK390="Y",AL390="Y",AM390="Y",AY390="Y",AZ390="Y",BA390="Y",BB390="Y",BC390="Y",BE390&lt;&gt;"Y",AX390&lt;&gt;"Y",BL390&lt;&gt;"Y",IF(AS390="Y",AV390="Y",TRUE)),"Y","N")</f>
        <v/>
      </c>
      <c r="BS390" s="12">
        <f>IF(AND(BR390="Y",OR(AND(BJ390="Y",BM390="Y"),AND(BK390="Y",BN390="Y"),AND(BJ390&lt;&gt;"Y",BK390&lt;&gt;"Y",OR(BM390="Y",BN390="Y")))),"Y","N")</f>
        <v/>
      </c>
      <c r="BT390" s="10" t="n"/>
      <c r="BU390" s="13" t="n"/>
      <c r="BV390" s="13" t="n"/>
      <c r="BW390" s="13" t="n"/>
      <c r="BX390" s="13" t="n"/>
      <c r="BY390" s="13" t="n"/>
      <c r="BZ390" s="13" t="n"/>
      <c r="CA390" s="14" t="n"/>
      <c r="CB390" s="13" t="n"/>
      <c r="CC390" s="9" t="n"/>
      <c r="CD390" s="9" t="n"/>
      <c r="CE390" s="9" t="n"/>
      <c r="CF390" s="9" t="n"/>
      <c r="CG390" s="9" t="n"/>
      <c r="CH390" s="9" t="n"/>
    </row>
    <row r="391">
      <c r="A391" s="8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8" t="n"/>
      <c r="L391" s="9" t="n"/>
      <c r="M391" s="8" t="n"/>
      <c r="N391" s="8" t="n"/>
      <c r="O391" s="8" t="n"/>
      <c r="P391" s="8" t="n"/>
      <c r="Q391" s="8" t="n"/>
      <c r="R391" s="9" t="n"/>
      <c r="S391" s="9" t="n"/>
      <c r="T391" s="10" t="n"/>
      <c r="U391" s="10" t="n"/>
      <c r="V391" s="9" t="n"/>
      <c r="W391" s="9" t="n"/>
      <c r="X391" s="9" t="n"/>
      <c r="Y391" s="9" t="n"/>
      <c r="Z391" s="11" t="n"/>
      <c r="AA391" s="11" t="n"/>
      <c r="AB391" s="11" t="n"/>
      <c r="AC391" s="11" t="n"/>
      <c r="AD391" s="11" t="n"/>
      <c r="AE391" s="11" t="n"/>
      <c r="AF391" s="9" t="n"/>
      <c r="AG391" s="9" t="n"/>
      <c r="AH391" s="9" t="n"/>
      <c r="AI391" s="9" t="n"/>
      <c r="AJ391" s="8" t="n"/>
      <c r="AK391" s="9" t="n"/>
      <c r="AL391" s="9" t="n"/>
      <c r="AM391" s="9" t="n"/>
      <c r="AN391" s="9" t="n"/>
      <c r="AO391" s="9" t="n"/>
      <c r="AP391" s="9" t="n"/>
      <c r="AQ391" s="9" t="n"/>
      <c r="AR391" s="9" t="n"/>
      <c r="AS391" s="9" t="n"/>
      <c r="AT391" s="8" t="n"/>
      <c r="AU391" s="8" t="n"/>
      <c r="AV391" s="9" t="n"/>
      <c r="AW391" s="8" t="n"/>
      <c r="AX391" s="9" t="n"/>
      <c r="AY391" s="9" t="n"/>
      <c r="AZ391" s="9" t="n"/>
      <c r="BA391" s="9" t="n"/>
      <c r="BB391" s="9" t="n"/>
      <c r="BC391" s="9" t="n"/>
      <c r="BD391" s="9" t="n"/>
      <c r="BE391" s="9" t="n"/>
      <c r="BF391" s="9" t="n"/>
      <c r="BG391" s="9" t="n"/>
      <c r="BH391" s="9" t="n"/>
      <c r="BI391" s="9" t="n"/>
      <c r="BJ391" s="9" t="n"/>
      <c r="BK391" s="9" t="n"/>
      <c r="BL391" s="9" t="n"/>
      <c r="BM391" s="9" t="n"/>
      <c r="BN391" s="9" t="n"/>
      <c r="BO391" s="8" t="n"/>
      <c r="BP391" s="9" t="n"/>
      <c r="BQ391" s="9" t="n"/>
      <c r="BR391" s="12">
        <f>IF(AND(AI391="Y",AK391="Y",AL391="Y",AM391="Y",AY391="Y",AZ391="Y",BA391="Y",BB391="Y",BC391="Y",BE391&lt;&gt;"Y",AX391&lt;&gt;"Y",BL391&lt;&gt;"Y",IF(AS391="Y",AV391="Y",TRUE)),"Y","N")</f>
        <v/>
      </c>
      <c r="BS391" s="12">
        <f>IF(AND(BR391="Y",OR(AND(BJ391="Y",BM391="Y"),AND(BK391="Y",BN391="Y"),AND(BJ391&lt;&gt;"Y",BK391&lt;&gt;"Y",OR(BM391="Y",BN391="Y")))),"Y","N")</f>
        <v/>
      </c>
      <c r="BT391" s="10" t="n"/>
      <c r="BU391" s="13" t="n"/>
      <c r="BV391" s="13" t="n"/>
      <c r="BW391" s="13" t="n"/>
      <c r="BX391" s="13" t="n"/>
      <c r="BY391" s="13" t="n"/>
      <c r="BZ391" s="13" t="n"/>
      <c r="CA391" s="14" t="n"/>
      <c r="CB391" s="13" t="n"/>
      <c r="CC391" s="9" t="n"/>
      <c r="CD391" s="9" t="n"/>
      <c r="CE391" s="9" t="n"/>
      <c r="CF391" s="9" t="n"/>
      <c r="CG391" s="9" t="n"/>
      <c r="CH391" s="9" t="n"/>
    </row>
    <row r="392">
      <c r="A392" s="8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8" t="n"/>
      <c r="L392" s="9" t="n"/>
      <c r="M392" s="8" t="n"/>
      <c r="N392" s="8" t="n"/>
      <c r="O392" s="8" t="n"/>
      <c r="P392" s="8" t="n"/>
      <c r="Q392" s="8" t="n"/>
      <c r="R392" s="9" t="n"/>
      <c r="S392" s="9" t="n"/>
      <c r="T392" s="10" t="n"/>
      <c r="U392" s="10" t="n"/>
      <c r="V392" s="9" t="n"/>
      <c r="W392" s="9" t="n"/>
      <c r="X392" s="9" t="n"/>
      <c r="Y392" s="9" t="n"/>
      <c r="Z392" s="11" t="n"/>
      <c r="AA392" s="11" t="n"/>
      <c r="AB392" s="11" t="n"/>
      <c r="AC392" s="11" t="n"/>
      <c r="AD392" s="11" t="n"/>
      <c r="AE392" s="11" t="n"/>
      <c r="AF392" s="9" t="n"/>
      <c r="AG392" s="9" t="n"/>
      <c r="AH392" s="9" t="n"/>
      <c r="AI392" s="9" t="n"/>
      <c r="AJ392" s="8" t="n"/>
      <c r="AK392" s="9" t="n"/>
      <c r="AL392" s="9" t="n"/>
      <c r="AM392" s="9" t="n"/>
      <c r="AN392" s="9" t="n"/>
      <c r="AO392" s="9" t="n"/>
      <c r="AP392" s="9" t="n"/>
      <c r="AQ392" s="9" t="n"/>
      <c r="AR392" s="9" t="n"/>
      <c r="AS392" s="9" t="n"/>
      <c r="AT392" s="8" t="n"/>
      <c r="AU392" s="8" t="n"/>
      <c r="AV392" s="9" t="n"/>
      <c r="AW392" s="8" t="n"/>
      <c r="AX392" s="9" t="n"/>
      <c r="AY392" s="9" t="n"/>
      <c r="AZ392" s="9" t="n"/>
      <c r="BA392" s="9" t="n"/>
      <c r="BB392" s="9" t="n"/>
      <c r="BC392" s="9" t="n"/>
      <c r="BD392" s="9" t="n"/>
      <c r="BE392" s="9" t="n"/>
      <c r="BF392" s="9" t="n"/>
      <c r="BG392" s="9" t="n"/>
      <c r="BH392" s="9" t="n"/>
      <c r="BI392" s="9" t="n"/>
      <c r="BJ392" s="9" t="n"/>
      <c r="BK392" s="9" t="n"/>
      <c r="BL392" s="9" t="n"/>
      <c r="BM392" s="9" t="n"/>
      <c r="BN392" s="9" t="n"/>
      <c r="BO392" s="8" t="n"/>
      <c r="BP392" s="9" t="n"/>
      <c r="BQ392" s="9" t="n"/>
      <c r="BR392" s="12">
        <f>IF(AND(AI392="Y",AK392="Y",AL392="Y",AM392="Y",AY392="Y",AZ392="Y",BA392="Y",BB392="Y",BC392="Y",BE392&lt;&gt;"Y",AX392&lt;&gt;"Y",BL392&lt;&gt;"Y",IF(AS392="Y",AV392="Y",TRUE)),"Y","N")</f>
        <v/>
      </c>
      <c r="BS392" s="12">
        <f>IF(AND(BR392="Y",OR(AND(BJ392="Y",BM392="Y"),AND(BK392="Y",BN392="Y"),AND(BJ392&lt;&gt;"Y",BK392&lt;&gt;"Y",OR(BM392="Y",BN392="Y")))),"Y","N")</f>
        <v/>
      </c>
      <c r="BT392" s="10" t="n"/>
      <c r="BU392" s="13" t="n"/>
      <c r="BV392" s="13" t="n"/>
      <c r="BW392" s="13" t="n"/>
      <c r="BX392" s="13" t="n"/>
      <c r="BY392" s="13" t="n"/>
      <c r="BZ392" s="13" t="n"/>
      <c r="CA392" s="14" t="n"/>
      <c r="CB392" s="13" t="n"/>
      <c r="CC392" s="9" t="n"/>
      <c r="CD392" s="9" t="n"/>
      <c r="CE392" s="9" t="n"/>
      <c r="CF392" s="9" t="n"/>
      <c r="CG392" s="9" t="n"/>
      <c r="CH392" s="9" t="n"/>
    </row>
    <row r="393">
      <c r="A393" s="8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8" t="n"/>
      <c r="L393" s="9" t="n"/>
      <c r="M393" s="8" t="n"/>
      <c r="N393" s="8" t="n"/>
      <c r="O393" s="8" t="n"/>
      <c r="P393" s="8" t="n"/>
      <c r="Q393" s="8" t="n"/>
      <c r="R393" s="9" t="n"/>
      <c r="S393" s="9" t="n"/>
      <c r="T393" s="10" t="n"/>
      <c r="U393" s="10" t="n"/>
      <c r="V393" s="9" t="n"/>
      <c r="W393" s="9" t="n"/>
      <c r="X393" s="9" t="n"/>
      <c r="Y393" s="9" t="n"/>
      <c r="Z393" s="11" t="n"/>
      <c r="AA393" s="11" t="n"/>
      <c r="AB393" s="11" t="n"/>
      <c r="AC393" s="11" t="n"/>
      <c r="AD393" s="11" t="n"/>
      <c r="AE393" s="11" t="n"/>
      <c r="AF393" s="9" t="n"/>
      <c r="AG393" s="9" t="n"/>
      <c r="AH393" s="9" t="n"/>
      <c r="AI393" s="9" t="n"/>
      <c r="AJ393" s="8" t="n"/>
      <c r="AK393" s="9" t="n"/>
      <c r="AL393" s="9" t="n"/>
      <c r="AM393" s="9" t="n"/>
      <c r="AN393" s="9" t="n"/>
      <c r="AO393" s="9" t="n"/>
      <c r="AP393" s="9" t="n"/>
      <c r="AQ393" s="9" t="n"/>
      <c r="AR393" s="9" t="n"/>
      <c r="AS393" s="9" t="n"/>
      <c r="AT393" s="8" t="n"/>
      <c r="AU393" s="8" t="n"/>
      <c r="AV393" s="9" t="n"/>
      <c r="AW393" s="8" t="n"/>
      <c r="AX393" s="9" t="n"/>
      <c r="AY393" s="9" t="n"/>
      <c r="AZ393" s="9" t="n"/>
      <c r="BA393" s="9" t="n"/>
      <c r="BB393" s="9" t="n"/>
      <c r="BC393" s="9" t="n"/>
      <c r="BD393" s="9" t="n"/>
      <c r="BE393" s="9" t="n"/>
      <c r="BF393" s="9" t="n"/>
      <c r="BG393" s="9" t="n"/>
      <c r="BH393" s="9" t="n"/>
      <c r="BI393" s="9" t="n"/>
      <c r="BJ393" s="9" t="n"/>
      <c r="BK393" s="9" t="n"/>
      <c r="BL393" s="9" t="n"/>
      <c r="BM393" s="9" t="n"/>
      <c r="BN393" s="9" t="n"/>
      <c r="BO393" s="8" t="n"/>
      <c r="BP393" s="9" t="n"/>
      <c r="BQ393" s="9" t="n"/>
      <c r="BR393" s="12">
        <f>IF(AND(AI393="Y",AK393="Y",AL393="Y",AM393="Y",AY393="Y",AZ393="Y",BA393="Y",BB393="Y",BC393="Y",BE393&lt;&gt;"Y",AX393&lt;&gt;"Y",BL393&lt;&gt;"Y",IF(AS393="Y",AV393="Y",TRUE)),"Y","N")</f>
        <v/>
      </c>
      <c r="BS393" s="12">
        <f>IF(AND(BR393="Y",OR(AND(BJ393="Y",BM393="Y"),AND(BK393="Y",BN393="Y"),AND(BJ393&lt;&gt;"Y",BK393&lt;&gt;"Y",OR(BM393="Y",BN393="Y")))),"Y","N")</f>
        <v/>
      </c>
      <c r="BT393" s="10" t="n"/>
      <c r="BU393" s="13" t="n"/>
      <c r="BV393" s="13" t="n"/>
      <c r="BW393" s="13" t="n"/>
      <c r="BX393" s="13" t="n"/>
      <c r="BY393" s="13" t="n"/>
      <c r="BZ393" s="13" t="n"/>
      <c r="CA393" s="14" t="n"/>
      <c r="CB393" s="13" t="n"/>
      <c r="CC393" s="9" t="n"/>
      <c r="CD393" s="9" t="n"/>
      <c r="CE393" s="9" t="n"/>
      <c r="CF393" s="9" t="n"/>
      <c r="CG393" s="9" t="n"/>
      <c r="CH393" s="9" t="n"/>
    </row>
    <row r="394">
      <c r="A394" s="8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8" t="n"/>
      <c r="L394" s="9" t="n"/>
      <c r="M394" s="8" t="n"/>
      <c r="N394" s="8" t="n"/>
      <c r="O394" s="8" t="n"/>
      <c r="P394" s="8" t="n"/>
      <c r="Q394" s="8" t="n"/>
      <c r="R394" s="9" t="n"/>
      <c r="S394" s="9" t="n"/>
      <c r="T394" s="10" t="n"/>
      <c r="U394" s="10" t="n"/>
      <c r="V394" s="9" t="n"/>
      <c r="W394" s="9" t="n"/>
      <c r="X394" s="9" t="n"/>
      <c r="Y394" s="9" t="n"/>
      <c r="Z394" s="11" t="n"/>
      <c r="AA394" s="11" t="n"/>
      <c r="AB394" s="11" t="n"/>
      <c r="AC394" s="11" t="n"/>
      <c r="AD394" s="11" t="n"/>
      <c r="AE394" s="11" t="n"/>
      <c r="AF394" s="9" t="n"/>
      <c r="AG394" s="9" t="n"/>
      <c r="AH394" s="9" t="n"/>
      <c r="AI394" s="9" t="n"/>
      <c r="AJ394" s="8" t="n"/>
      <c r="AK394" s="9" t="n"/>
      <c r="AL394" s="9" t="n"/>
      <c r="AM394" s="9" t="n"/>
      <c r="AN394" s="9" t="n"/>
      <c r="AO394" s="9" t="n"/>
      <c r="AP394" s="9" t="n"/>
      <c r="AQ394" s="9" t="n"/>
      <c r="AR394" s="9" t="n"/>
      <c r="AS394" s="9" t="n"/>
      <c r="AT394" s="8" t="n"/>
      <c r="AU394" s="8" t="n"/>
      <c r="AV394" s="9" t="n"/>
      <c r="AW394" s="8" t="n"/>
      <c r="AX394" s="9" t="n"/>
      <c r="AY394" s="9" t="n"/>
      <c r="AZ394" s="9" t="n"/>
      <c r="BA394" s="9" t="n"/>
      <c r="BB394" s="9" t="n"/>
      <c r="BC394" s="9" t="n"/>
      <c r="BD394" s="9" t="n"/>
      <c r="BE394" s="9" t="n"/>
      <c r="BF394" s="9" t="n"/>
      <c r="BG394" s="9" t="n"/>
      <c r="BH394" s="9" t="n"/>
      <c r="BI394" s="9" t="n"/>
      <c r="BJ394" s="9" t="n"/>
      <c r="BK394" s="9" t="n"/>
      <c r="BL394" s="9" t="n"/>
      <c r="BM394" s="9" t="n"/>
      <c r="BN394" s="9" t="n"/>
      <c r="BO394" s="8" t="n"/>
      <c r="BP394" s="9" t="n"/>
      <c r="BQ394" s="9" t="n"/>
      <c r="BR394" s="12">
        <f>IF(AND(AI394="Y",AK394="Y",AL394="Y",AM394="Y",AY394="Y",AZ394="Y",BA394="Y",BB394="Y",BC394="Y",BE394&lt;&gt;"Y",AX394&lt;&gt;"Y",BL394&lt;&gt;"Y",IF(AS394="Y",AV394="Y",TRUE)),"Y","N")</f>
        <v/>
      </c>
      <c r="BS394" s="12">
        <f>IF(AND(BR394="Y",OR(AND(BJ394="Y",BM394="Y"),AND(BK394="Y",BN394="Y"),AND(BJ394&lt;&gt;"Y",BK394&lt;&gt;"Y",OR(BM394="Y",BN394="Y")))),"Y","N")</f>
        <v/>
      </c>
      <c r="BT394" s="10" t="n"/>
      <c r="BU394" s="13" t="n"/>
      <c r="BV394" s="13" t="n"/>
      <c r="BW394" s="13" t="n"/>
      <c r="BX394" s="13" t="n"/>
      <c r="BY394" s="13" t="n"/>
      <c r="BZ394" s="13" t="n"/>
      <c r="CA394" s="14" t="n"/>
      <c r="CB394" s="13" t="n"/>
      <c r="CC394" s="9" t="n"/>
      <c r="CD394" s="9" t="n"/>
      <c r="CE394" s="9" t="n"/>
      <c r="CF394" s="9" t="n"/>
      <c r="CG394" s="9" t="n"/>
      <c r="CH394" s="9" t="n"/>
    </row>
    <row r="395">
      <c r="A395" s="8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8" t="n"/>
      <c r="L395" s="9" t="n"/>
      <c r="M395" s="8" t="n"/>
      <c r="N395" s="8" t="n"/>
      <c r="O395" s="8" t="n"/>
      <c r="P395" s="8" t="n"/>
      <c r="Q395" s="8" t="n"/>
      <c r="R395" s="9" t="n"/>
      <c r="S395" s="9" t="n"/>
      <c r="T395" s="10" t="n"/>
      <c r="U395" s="10" t="n"/>
      <c r="V395" s="9" t="n"/>
      <c r="W395" s="9" t="n"/>
      <c r="X395" s="9" t="n"/>
      <c r="Y395" s="9" t="n"/>
      <c r="Z395" s="11" t="n"/>
      <c r="AA395" s="11" t="n"/>
      <c r="AB395" s="11" t="n"/>
      <c r="AC395" s="11" t="n"/>
      <c r="AD395" s="11" t="n"/>
      <c r="AE395" s="11" t="n"/>
      <c r="AF395" s="9" t="n"/>
      <c r="AG395" s="9" t="n"/>
      <c r="AH395" s="9" t="n"/>
      <c r="AI395" s="9" t="n"/>
      <c r="AJ395" s="8" t="n"/>
      <c r="AK395" s="9" t="n"/>
      <c r="AL395" s="9" t="n"/>
      <c r="AM395" s="9" t="n"/>
      <c r="AN395" s="9" t="n"/>
      <c r="AO395" s="9" t="n"/>
      <c r="AP395" s="9" t="n"/>
      <c r="AQ395" s="9" t="n"/>
      <c r="AR395" s="9" t="n"/>
      <c r="AS395" s="9" t="n"/>
      <c r="AT395" s="8" t="n"/>
      <c r="AU395" s="8" t="n"/>
      <c r="AV395" s="9" t="n"/>
      <c r="AW395" s="8" t="n"/>
      <c r="AX395" s="9" t="n"/>
      <c r="AY395" s="9" t="n"/>
      <c r="AZ395" s="9" t="n"/>
      <c r="BA395" s="9" t="n"/>
      <c r="BB395" s="9" t="n"/>
      <c r="BC395" s="9" t="n"/>
      <c r="BD395" s="9" t="n"/>
      <c r="BE395" s="9" t="n"/>
      <c r="BF395" s="9" t="n"/>
      <c r="BG395" s="9" t="n"/>
      <c r="BH395" s="9" t="n"/>
      <c r="BI395" s="9" t="n"/>
      <c r="BJ395" s="9" t="n"/>
      <c r="BK395" s="9" t="n"/>
      <c r="BL395" s="9" t="n"/>
      <c r="BM395" s="9" t="n"/>
      <c r="BN395" s="9" t="n"/>
      <c r="BO395" s="8" t="n"/>
      <c r="BP395" s="9" t="n"/>
      <c r="BQ395" s="9" t="n"/>
      <c r="BR395" s="12">
        <f>IF(AND(AI395="Y",AK395="Y",AL395="Y",AM395="Y",AY395="Y",AZ395="Y",BA395="Y",BB395="Y",BC395="Y",BE395&lt;&gt;"Y",AX395&lt;&gt;"Y",BL395&lt;&gt;"Y",IF(AS395="Y",AV395="Y",TRUE)),"Y","N")</f>
        <v/>
      </c>
      <c r="BS395" s="12">
        <f>IF(AND(BR395="Y",OR(AND(BJ395="Y",BM395="Y"),AND(BK395="Y",BN395="Y"),AND(BJ395&lt;&gt;"Y",BK395&lt;&gt;"Y",OR(BM395="Y",BN395="Y")))),"Y","N")</f>
        <v/>
      </c>
      <c r="BT395" s="10" t="n"/>
      <c r="BU395" s="13" t="n"/>
      <c r="BV395" s="13" t="n"/>
      <c r="BW395" s="13" t="n"/>
      <c r="BX395" s="13" t="n"/>
      <c r="BY395" s="13" t="n"/>
      <c r="BZ395" s="13" t="n"/>
      <c r="CA395" s="14" t="n"/>
      <c r="CB395" s="13" t="n"/>
      <c r="CC395" s="9" t="n"/>
      <c r="CD395" s="9" t="n"/>
      <c r="CE395" s="9" t="n"/>
      <c r="CF395" s="9" t="n"/>
      <c r="CG395" s="9" t="n"/>
      <c r="CH395" s="9" t="n"/>
    </row>
    <row r="396">
      <c r="A396" s="8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8" t="n"/>
      <c r="L396" s="9" t="n"/>
      <c r="M396" s="8" t="n"/>
      <c r="N396" s="8" t="n"/>
      <c r="O396" s="8" t="n"/>
      <c r="P396" s="8" t="n"/>
      <c r="Q396" s="8" t="n"/>
      <c r="R396" s="9" t="n"/>
      <c r="S396" s="9" t="n"/>
      <c r="T396" s="10" t="n"/>
      <c r="U396" s="10" t="n"/>
      <c r="V396" s="9" t="n"/>
      <c r="W396" s="9" t="n"/>
      <c r="X396" s="9" t="n"/>
      <c r="Y396" s="9" t="n"/>
      <c r="Z396" s="11" t="n"/>
      <c r="AA396" s="11" t="n"/>
      <c r="AB396" s="11" t="n"/>
      <c r="AC396" s="11" t="n"/>
      <c r="AD396" s="11" t="n"/>
      <c r="AE396" s="11" t="n"/>
      <c r="AF396" s="9" t="n"/>
      <c r="AG396" s="9" t="n"/>
      <c r="AH396" s="9" t="n"/>
      <c r="AI396" s="9" t="n"/>
      <c r="AJ396" s="8" t="n"/>
      <c r="AK396" s="9" t="n"/>
      <c r="AL396" s="9" t="n"/>
      <c r="AM396" s="9" t="n"/>
      <c r="AN396" s="9" t="n"/>
      <c r="AO396" s="9" t="n"/>
      <c r="AP396" s="9" t="n"/>
      <c r="AQ396" s="9" t="n"/>
      <c r="AR396" s="9" t="n"/>
      <c r="AS396" s="9" t="n"/>
      <c r="AT396" s="8" t="n"/>
      <c r="AU396" s="8" t="n"/>
      <c r="AV396" s="9" t="n"/>
      <c r="AW396" s="8" t="n"/>
      <c r="AX396" s="9" t="n"/>
      <c r="AY396" s="9" t="n"/>
      <c r="AZ396" s="9" t="n"/>
      <c r="BA396" s="9" t="n"/>
      <c r="BB396" s="9" t="n"/>
      <c r="BC396" s="9" t="n"/>
      <c r="BD396" s="9" t="n"/>
      <c r="BE396" s="9" t="n"/>
      <c r="BF396" s="9" t="n"/>
      <c r="BG396" s="9" t="n"/>
      <c r="BH396" s="9" t="n"/>
      <c r="BI396" s="9" t="n"/>
      <c r="BJ396" s="9" t="n"/>
      <c r="BK396" s="9" t="n"/>
      <c r="BL396" s="9" t="n"/>
      <c r="BM396" s="9" t="n"/>
      <c r="BN396" s="9" t="n"/>
      <c r="BO396" s="8" t="n"/>
      <c r="BP396" s="9" t="n"/>
      <c r="BQ396" s="9" t="n"/>
      <c r="BR396" s="12">
        <f>IF(AND(AI396="Y",AK396="Y",AL396="Y",AM396="Y",AY396="Y",AZ396="Y",BA396="Y",BB396="Y",BC396="Y",BE396&lt;&gt;"Y",AX396&lt;&gt;"Y",BL396&lt;&gt;"Y",IF(AS396="Y",AV396="Y",TRUE)),"Y","N")</f>
        <v/>
      </c>
      <c r="BS396" s="12">
        <f>IF(AND(BR396="Y",OR(AND(BJ396="Y",BM396="Y"),AND(BK396="Y",BN396="Y"),AND(BJ396&lt;&gt;"Y",BK396&lt;&gt;"Y",OR(BM396="Y",BN396="Y")))),"Y","N")</f>
        <v/>
      </c>
      <c r="BT396" s="10" t="n"/>
      <c r="BU396" s="13" t="n"/>
      <c r="BV396" s="13" t="n"/>
      <c r="BW396" s="13" t="n"/>
      <c r="BX396" s="13" t="n"/>
      <c r="BY396" s="13" t="n"/>
      <c r="BZ396" s="13" t="n"/>
      <c r="CA396" s="14" t="n"/>
      <c r="CB396" s="13" t="n"/>
      <c r="CC396" s="9" t="n"/>
      <c r="CD396" s="9" t="n"/>
      <c r="CE396" s="9" t="n"/>
      <c r="CF396" s="9" t="n"/>
      <c r="CG396" s="9" t="n"/>
      <c r="CH396" s="9" t="n"/>
    </row>
    <row r="397">
      <c r="A397" s="8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8" t="n"/>
      <c r="L397" s="9" t="n"/>
      <c r="M397" s="8" t="n"/>
      <c r="N397" s="8" t="n"/>
      <c r="O397" s="8" t="n"/>
      <c r="P397" s="8" t="n"/>
      <c r="Q397" s="8" t="n"/>
      <c r="R397" s="9" t="n"/>
      <c r="S397" s="9" t="n"/>
      <c r="T397" s="10" t="n"/>
      <c r="U397" s="10" t="n"/>
      <c r="V397" s="9" t="n"/>
      <c r="W397" s="9" t="n"/>
      <c r="X397" s="9" t="n"/>
      <c r="Y397" s="9" t="n"/>
      <c r="Z397" s="11" t="n"/>
      <c r="AA397" s="11" t="n"/>
      <c r="AB397" s="11" t="n"/>
      <c r="AC397" s="11" t="n"/>
      <c r="AD397" s="11" t="n"/>
      <c r="AE397" s="11" t="n"/>
      <c r="AF397" s="9" t="n"/>
      <c r="AG397" s="9" t="n"/>
      <c r="AH397" s="9" t="n"/>
      <c r="AI397" s="9" t="n"/>
      <c r="AJ397" s="8" t="n"/>
      <c r="AK397" s="9" t="n"/>
      <c r="AL397" s="9" t="n"/>
      <c r="AM397" s="9" t="n"/>
      <c r="AN397" s="9" t="n"/>
      <c r="AO397" s="9" t="n"/>
      <c r="AP397" s="9" t="n"/>
      <c r="AQ397" s="9" t="n"/>
      <c r="AR397" s="9" t="n"/>
      <c r="AS397" s="9" t="n"/>
      <c r="AT397" s="8" t="n"/>
      <c r="AU397" s="8" t="n"/>
      <c r="AV397" s="9" t="n"/>
      <c r="AW397" s="8" t="n"/>
      <c r="AX397" s="9" t="n"/>
      <c r="AY397" s="9" t="n"/>
      <c r="AZ397" s="9" t="n"/>
      <c r="BA397" s="9" t="n"/>
      <c r="BB397" s="9" t="n"/>
      <c r="BC397" s="9" t="n"/>
      <c r="BD397" s="9" t="n"/>
      <c r="BE397" s="9" t="n"/>
      <c r="BF397" s="9" t="n"/>
      <c r="BG397" s="9" t="n"/>
      <c r="BH397" s="9" t="n"/>
      <c r="BI397" s="9" t="n"/>
      <c r="BJ397" s="9" t="n"/>
      <c r="BK397" s="9" t="n"/>
      <c r="BL397" s="9" t="n"/>
      <c r="BM397" s="9" t="n"/>
      <c r="BN397" s="9" t="n"/>
      <c r="BO397" s="8" t="n"/>
      <c r="BP397" s="9" t="n"/>
      <c r="BQ397" s="9" t="n"/>
      <c r="BR397" s="12">
        <f>IF(AND(AI397="Y",AK397="Y",AL397="Y",AM397="Y",AY397="Y",AZ397="Y",BA397="Y",BB397="Y",BC397="Y",BE397&lt;&gt;"Y",AX397&lt;&gt;"Y",BL397&lt;&gt;"Y",IF(AS397="Y",AV397="Y",TRUE)),"Y","N")</f>
        <v/>
      </c>
      <c r="BS397" s="12">
        <f>IF(AND(BR397="Y",OR(AND(BJ397="Y",BM397="Y"),AND(BK397="Y",BN397="Y"),AND(BJ397&lt;&gt;"Y",BK397&lt;&gt;"Y",OR(BM397="Y",BN397="Y")))),"Y","N")</f>
        <v/>
      </c>
      <c r="BT397" s="10" t="n"/>
      <c r="BU397" s="13" t="n"/>
      <c r="BV397" s="13" t="n"/>
      <c r="BW397" s="13" t="n"/>
      <c r="BX397" s="13" t="n"/>
      <c r="BY397" s="13" t="n"/>
      <c r="BZ397" s="13" t="n"/>
      <c r="CA397" s="14" t="n"/>
      <c r="CB397" s="13" t="n"/>
      <c r="CC397" s="9" t="n"/>
      <c r="CD397" s="9" t="n"/>
      <c r="CE397" s="9" t="n"/>
      <c r="CF397" s="9" t="n"/>
      <c r="CG397" s="9" t="n"/>
      <c r="CH397" s="9" t="n"/>
    </row>
    <row r="398">
      <c r="A398" s="8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8" t="n"/>
      <c r="L398" s="9" t="n"/>
      <c r="M398" s="8" t="n"/>
      <c r="N398" s="8" t="n"/>
      <c r="O398" s="8" t="n"/>
      <c r="P398" s="8" t="n"/>
      <c r="Q398" s="8" t="n"/>
      <c r="R398" s="9" t="n"/>
      <c r="S398" s="9" t="n"/>
      <c r="T398" s="10" t="n"/>
      <c r="U398" s="10" t="n"/>
      <c r="V398" s="9" t="n"/>
      <c r="W398" s="9" t="n"/>
      <c r="X398" s="9" t="n"/>
      <c r="Y398" s="9" t="n"/>
      <c r="Z398" s="11" t="n"/>
      <c r="AA398" s="11" t="n"/>
      <c r="AB398" s="11" t="n"/>
      <c r="AC398" s="11" t="n"/>
      <c r="AD398" s="11" t="n"/>
      <c r="AE398" s="11" t="n"/>
      <c r="AF398" s="9" t="n"/>
      <c r="AG398" s="9" t="n"/>
      <c r="AH398" s="9" t="n"/>
      <c r="AI398" s="9" t="n"/>
      <c r="AJ398" s="8" t="n"/>
      <c r="AK398" s="9" t="n"/>
      <c r="AL398" s="9" t="n"/>
      <c r="AM398" s="9" t="n"/>
      <c r="AN398" s="9" t="n"/>
      <c r="AO398" s="9" t="n"/>
      <c r="AP398" s="9" t="n"/>
      <c r="AQ398" s="9" t="n"/>
      <c r="AR398" s="9" t="n"/>
      <c r="AS398" s="9" t="n"/>
      <c r="AT398" s="8" t="n"/>
      <c r="AU398" s="8" t="n"/>
      <c r="AV398" s="9" t="n"/>
      <c r="AW398" s="8" t="n"/>
      <c r="AX398" s="9" t="n"/>
      <c r="AY398" s="9" t="n"/>
      <c r="AZ398" s="9" t="n"/>
      <c r="BA398" s="9" t="n"/>
      <c r="BB398" s="9" t="n"/>
      <c r="BC398" s="9" t="n"/>
      <c r="BD398" s="9" t="n"/>
      <c r="BE398" s="9" t="n"/>
      <c r="BF398" s="9" t="n"/>
      <c r="BG398" s="9" t="n"/>
      <c r="BH398" s="9" t="n"/>
      <c r="BI398" s="9" t="n"/>
      <c r="BJ398" s="9" t="n"/>
      <c r="BK398" s="9" t="n"/>
      <c r="BL398" s="9" t="n"/>
      <c r="BM398" s="9" t="n"/>
      <c r="BN398" s="9" t="n"/>
      <c r="BO398" s="8" t="n"/>
      <c r="BP398" s="9" t="n"/>
      <c r="BQ398" s="9" t="n"/>
      <c r="BR398" s="12">
        <f>IF(AND(AI398="Y",AK398="Y",AL398="Y",AM398="Y",AY398="Y",AZ398="Y",BA398="Y",BB398="Y",BC398="Y",BE398&lt;&gt;"Y",AX398&lt;&gt;"Y",BL398&lt;&gt;"Y",IF(AS398="Y",AV398="Y",TRUE)),"Y","N")</f>
        <v/>
      </c>
      <c r="BS398" s="12">
        <f>IF(AND(BR398="Y",OR(AND(BJ398="Y",BM398="Y"),AND(BK398="Y",BN398="Y"),AND(BJ398&lt;&gt;"Y",BK398&lt;&gt;"Y",OR(BM398="Y",BN398="Y")))),"Y","N")</f>
        <v/>
      </c>
      <c r="BT398" s="10" t="n"/>
      <c r="BU398" s="13" t="n"/>
      <c r="BV398" s="13" t="n"/>
      <c r="BW398" s="13" t="n"/>
      <c r="BX398" s="13" t="n"/>
      <c r="BY398" s="13" t="n"/>
      <c r="BZ398" s="13" t="n"/>
      <c r="CA398" s="14" t="n"/>
      <c r="CB398" s="13" t="n"/>
      <c r="CC398" s="9" t="n"/>
      <c r="CD398" s="9" t="n"/>
      <c r="CE398" s="9" t="n"/>
      <c r="CF398" s="9" t="n"/>
      <c r="CG398" s="9" t="n"/>
      <c r="CH398" s="9" t="n"/>
    </row>
    <row r="399">
      <c r="A399" s="8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8" t="n"/>
      <c r="L399" s="9" t="n"/>
      <c r="M399" s="8" t="n"/>
      <c r="N399" s="8" t="n"/>
      <c r="O399" s="8" t="n"/>
      <c r="P399" s="8" t="n"/>
      <c r="Q399" s="8" t="n"/>
      <c r="R399" s="9" t="n"/>
      <c r="S399" s="9" t="n"/>
      <c r="T399" s="10" t="n"/>
      <c r="U399" s="10" t="n"/>
      <c r="V399" s="9" t="n"/>
      <c r="W399" s="9" t="n"/>
      <c r="X399" s="9" t="n"/>
      <c r="Y399" s="9" t="n"/>
      <c r="Z399" s="11" t="n"/>
      <c r="AA399" s="11" t="n"/>
      <c r="AB399" s="11" t="n"/>
      <c r="AC399" s="11" t="n"/>
      <c r="AD399" s="11" t="n"/>
      <c r="AE399" s="11" t="n"/>
      <c r="AF399" s="9" t="n"/>
      <c r="AG399" s="9" t="n"/>
      <c r="AH399" s="9" t="n"/>
      <c r="AI399" s="9" t="n"/>
      <c r="AJ399" s="8" t="n"/>
      <c r="AK399" s="9" t="n"/>
      <c r="AL399" s="9" t="n"/>
      <c r="AM399" s="9" t="n"/>
      <c r="AN399" s="9" t="n"/>
      <c r="AO399" s="9" t="n"/>
      <c r="AP399" s="9" t="n"/>
      <c r="AQ399" s="9" t="n"/>
      <c r="AR399" s="9" t="n"/>
      <c r="AS399" s="9" t="n"/>
      <c r="AT399" s="8" t="n"/>
      <c r="AU399" s="8" t="n"/>
      <c r="AV399" s="9" t="n"/>
      <c r="AW399" s="8" t="n"/>
      <c r="AX399" s="9" t="n"/>
      <c r="AY399" s="9" t="n"/>
      <c r="AZ399" s="9" t="n"/>
      <c r="BA399" s="9" t="n"/>
      <c r="BB399" s="9" t="n"/>
      <c r="BC399" s="9" t="n"/>
      <c r="BD399" s="9" t="n"/>
      <c r="BE399" s="9" t="n"/>
      <c r="BF399" s="9" t="n"/>
      <c r="BG399" s="9" t="n"/>
      <c r="BH399" s="9" t="n"/>
      <c r="BI399" s="9" t="n"/>
      <c r="BJ399" s="9" t="n"/>
      <c r="BK399" s="9" t="n"/>
      <c r="BL399" s="9" t="n"/>
      <c r="BM399" s="9" t="n"/>
      <c r="BN399" s="9" t="n"/>
      <c r="BO399" s="8" t="n"/>
      <c r="BP399" s="9" t="n"/>
      <c r="BQ399" s="9" t="n"/>
      <c r="BR399" s="12">
        <f>IF(AND(AI399="Y",AK399="Y",AL399="Y",AM399="Y",AY399="Y",AZ399="Y",BA399="Y",BB399="Y",BC399="Y",BE399&lt;&gt;"Y",AX399&lt;&gt;"Y",BL399&lt;&gt;"Y",IF(AS399="Y",AV399="Y",TRUE)),"Y","N")</f>
        <v/>
      </c>
      <c r="BS399" s="12">
        <f>IF(AND(BR399="Y",OR(AND(BJ399="Y",BM399="Y"),AND(BK399="Y",BN399="Y"),AND(BJ399&lt;&gt;"Y",BK399&lt;&gt;"Y",OR(BM399="Y",BN399="Y")))),"Y","N")</f>
        <v/>
      </c>
      <c r="BT399" s="10" t="n"/>
      <c r="BU399" s="13" t="n"/>
      <c r="BV399" s="13" t="n"/>
      <c r="BW399" s="13" t="n"/>
      <c r="BX399" s="13" t="n"/>
      <c r="BY399" s="13" t="n"/>
      <c r="BZ399" s="13" t="n"/>
      <c r="CA399" s="14" t="n"/>
      <c r="CB399" s="13" t="n"/>
      <c r="CC399" s="9" t="n"/>
      <c r="CD399" s="9" t="n"/>
      <c r="CE399" s="9" t="n"/>
      <c r="CF399" s="9" t="n"/>
      <c r="CG399" s="9" t="n"/>
      <c r="CH399" s="9" t="n"/>
    </row>
    <row r="400">
      <c r="A400" s="8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8" t="n"/>
      <c r="L400" s="9" t="n"/>
      <c r="M400" s="8" t="n"/>
      <c r="N400" s="8" t="n"/>
      <c r="O400" s="8" t="n"/>
      <c r="P400" s="8" t="n"/>
      <c r="Q400" s="8" t="n"/>
      <c r="R400" s="9" t="n"/>
      <c r="S400" s="9" t="n"/>
      <c r="T400" s="10" t="n"/>
      <c r="U400" s="10" t="n"/>
      <c r="V400" s="9" t="n"/>
      <c r="W400" s="9" t="n"/>
      <c r="X400" s="9" t="n"/>
      <c r="Y400" s="9" t="n"/>
      <c r="Z400" s="11" t="n"/>
      <c r="AA400" s="11" t="n"/>
      <c r="AB400" s="11" t="n"/>
      <c r="AC400" s="11" t="n"/>
      <c r="AD400" s="11" t="n"/>
      <c r="AE400" s="11" t="n"/>
      <c r="AF400" s="9" t="n"/>
      <c r="AG400" s="9" t="n"/>
      <c r="AH400" s="9" t="n"/>
      <c r="AI400" s="9" t="n"/>
      <c r="AJ400" s="8" t="n"/>
      <c r="AK400" s="9" t="n"/>
      <c r="AL400" s="9" t="n"/>
      <c r="AM400" s="9" t="n"/>
      <c r="AN400" s="9" t="n"/>
      <c r="AO400" s="9" t="n"/>
      <c r="AP400" s="9" t="n"/>
      <c r="AQ400" s="9" t="n"/>
      <c r="AR400" s="9" t="n"/>
      <c r="AS400" s="9" t="n"/>
      <c r="AT400" s="8" t="n"/>
      <c r="AU400" s="8" t="n"/>
      <c r="AV400" s="9" t="n"/>
      <c r="AW400" s="8" t="n"/>
      <c r="AX400" s="9" t="n"/>
      <c r="AY400" s="9" t="n"/>
      <c r="AZ400" s="9" t="n"/>
      <c r="BA400" s="9" t="n"/>
      <c r="BB400" s="9" t="n"/>
      <c r="BC400" s="9" t="n"/>
      <c r="BD400" s="9" t="n"/>
      <c r="BE400" s="9" t="n"/>
      <c r="BF400" s="9" t="n"/>
      <c r="BG400" s="9" t="n"/>
      <c r="BH400" s="9" t="n"/>
      <c r="BI400" s="9" t="n"/>
      <c r="BJ400" s="9" t="n"/>
      <c r="BK400" s="9" t="n"/>
      <c r="BL400" s="9" t="n"/>
      <c r="BM400" s="9" t="n"/>
      <c r="BN400" s="9" t="n"/>
      <c r="BO400" s="8" t="n"/>
      <c r="BP400" s="9" t="n"/>
      <c r="BQ400" s="9" t="n"/>
      <c r="BR400" s="12">
        <f>IF(AND(AI400="Y",AK400="Y",AL400="Y",AM400="Y",AY400="Y",AZ400="Y",BA400="Y",BB400="Y",BC400="Y",BE400&lt;&gt;"Y",AX400&lt;&gt;"Y",BL400&lt;&gt;"Y",IF(AS400="Y",AV400="Y",TRUE)),"Y","N")</f>
        <v/>
      </c>
      <c r="BS400" s="12">
        <f>IF(AND(BR400="Y",OR(AND(BJ400="Y",BM400="Y"),AND(BK400="Y",BN400="Y"),AND(BJ400&lt;&gt;"Y",BK400&lt;&gt;"Y",OR(BM400="Y",BN400="Y")))),"Y","N")</f>
        <v/>
      </c>
      <c r="BT400" s="10" t="n"/>
      <c r="BU400" s="13" t="n"/>
      <c r="BV400" s="13" t="n"/>
      <c r="BW400" s="13" t="n"/>
      <c r="BX400" s="13" t="n"/>
      <c r="BY400" s="13" t="n"/>
      <c r="BZ400" s="13" t="n"/>
      <c r="CA400" s="14" t="n"/>
      <c r="CB400" s="13" t="n"/>
      <c r="CC400" s="9" t="n"/>
      <c r="CD400" s="9" t="n"/>
      <c r="CE400" s="9" t="n"/>
      <c r="CF400" s="9" t="n"/>
      <c r="CG400" s="9" t="n"/>
      <c r="CH400" s="9" t="n"/>
    </row>
    <row r="401">
      <c r="A401" s="8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8" t="n"/>
      <c r="L401" s="9" t="n"/>
      <c r="M401" s="8" t="n"/>
      <c r="N401" s="8" t="n"/>
      <c r="O401" s="8" t="n"/>
      <c r="P401" s="8" t="n"/>
      <c r="Q401" s="8" t="n"/>
      <c r="R401" s="9" t="n"/>
      <c r="S401" s="9" t="n"/>
      <c r="T401" s="10" t="n"/>
      <c r="U401" s="10" t="n"/>
      <c r="V401" s="9" t="n"/>
      <c r="W401" s="9" t="n"/>
      <c r="X401" s="9" t="n"/>
      <c r="Y401" s="9" t="n"/>
      <c r="Z401" s="11" t="n"/>
      <c r="AA401" s="11" t="n"/>
      <c r="AB401" s="11" t="n"/>
      <c r="AC401" s="11" t="n"/>
      <c r="AD401" s="11" t="n"/>
      <c r="AE401" s="11" t="n"/>
      <c r="AF401" s="9" t="n"/>
      <c r="AG401" s="9" t="n"/>
      <c r="AH401" s="9" t="n"/>
      <c r="AI401" s="9" t="n"/>
      <c r="AJ401" s="8" t="n"/>
      <c r="AK401" s="9" t="n"/>
      <c r="AL401" s="9" t="n"/>
      <c r="AM401" s="9" t="n"/>
      <c r="AN401" s="9" t="n"/>
      <c r="AO401" s="9" t="n"/>
      <c r="AP401" s="9" t="n"/>
      <c r="AQ401" s="9" t="n"/>
      <c r="AR401" s="9" t="n"/>
      <c r="AS401" s="9" t="n"/>
      <c r="AT401" s="8" t="n"/>
      <c r="AU401" s="8" t="n"/>
      <c r="AV401" s="9" t="n"/>
      <c r="AW401" s="8" t="n"/>
      <c r="AX401" s="9" t="n"/>
      <c r="AY401" s="9" t="n"/>
      <c r="AZ401" s="9" t="n"/>
      <c r="BA401" s="9" t="n"/>
      <c r="BB401" s="9" t="n"/>
      <c r="BC401" s="9" t="n"/>
      <c r="BD401" s="9" t="n"/>
      <c r="BE401" s="9" t="n"/>
      <c r="BF401" s="9" t="n"/>
      <c r="BG401" s="9" t="n"/>
      <c r="BH401" s="9" t="n"/>
      <c r="BI401" s="9" t="n"/>
      <c r="BJ401" s="9" t="n"/>
      <c r="BK401" s="9" t="n"/>
      <c r="BL401" s="9" t="n"/>
      <c r="BM401" s="9" t="n"/>
      <c r="BN401" s="9" t="n"/>
      <c r="BO401" s="8" t="n"/>
      <c r="BP401" s="9" t="n"/>
      <c r="BQ401" s="9" t="n"/>
      <c r="BR401" s="12">
        <f>IF(AND(AI401="Y",AK401="Y",AL401="Y",AM401="Y",AY401="Y",AZ401="Y",BA401="Y",BB401="Y",BC401="Y",BE401&lt;&gt;"Y",AX401&lt;&gt;"Y",BL401&lt;&gt;"Y",IF(AS401="Y",AV401="Y",TRUE)),"Y","N")</f>
        <v/>
      </c>
      <c r="BS401" s="12">
        <f>IF(AND(BR401="Y",OR(AND(BJ401="Y",BM401="Y"),AND(BK401="Y",BN401="Y"),AND(BJ401&lt;&gt;"Y",BK401&lt;&gt;"Y",OR(BM401="Y",BN401="Y")))),"Y","N")</f>
        <v/>
      </c>
      <c r="BT401" s="10" t="n"/>
      <c r="BU401" s="13" t="n"/>
      <c r="BV401" s="13" t="n"/>
      <c r="BW401" s="13" t="n"/>
      <c r="BX401" s="13" t="n"/>
      <c r="BY401" s="13" t="n"/>
      <c r="BZ401" s="13" t="n"/>
      <c r="CA401" s="14" t="n"/>
      <c r="CB401" s="13" t="n"/>
      <c r="CC401" s="9" t="n"/>
      <c r="CD401" s="9" t="n"/>
      <c r="CE401" s="9" t="n"/>
      <c r="CF401" s="9" t="n"/>
      <c r="CG401" s="9" t="n"/>
      <c r="CH401" s="9" t="n"/>
    </row>
    <row r="402">
      <c r="A402" s="8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8" t="n"/>
      <c r="L402" s="9" t="n"/>
      <c r="M402" s="8" t="n"/>
      <c r="N402" s="8" t="n"/>
      <c r="O402" s="8" t="n"/>
      <c r="P402" s="8" t="n"/>
      <c r="Q402" s="8" t="n"/>
      <c r="R402" s="9" t="n"/>
      <c r="S402" s="9" t="n"/>
      <c r="T402" s="10" t="n"/>
      <c r="U402" s="10" t="n"/>
      <c r="V402" s="9" t="n"/>
      <c r="W402" s="9" t="n"/>
      <c r="X402" s="9" t="n"/>
      <c r="Y402" s="9" t="n"/>
      <c r="Z402" s="11" t="n"/>
      <c r="AA402" s="11" t="n"/>
      <c r="AB402" s="11" t="n"/>
      <c r="AC402" s="11" t="n"/>
      <c r="AD402" s="11" t="n"/>
      <c r="AE402" s="11" t="n"/>
      <c r="AF402" s="9" t="n"/>
      <c r="AG402" s="9" t="n"/>
      <c r="AH402" s="9" t="n"/>
      <c r="AI402" s="9" t="n"/>
      <c r="AJ402" s="8" t="n"/>
      <c r="AK402" s="9" t="n"/>
      <c r="AL402" s="9" t="n"/>
      <c r="AM402" s="9" t="n"/>
      <c r="AN402" s="9" t="n"/>
      <c r="AO402" s="9" t="n"/>
      <c r="AP402" s="9" t="n"/>
      <c r="AQ402" s="9" t="n"/>
      <c r="AR402" s="9" t="n"/>
      <c r="AS402" s="9" t="n"/>
      <c r="AT402" s="8" t="n"/>
      <c r="AU402" s="8" t="n"/>
      <c r="AV402" s="9" t="n"/>
      <c r="AW402" s="8" t="n"/>
      <c r="AX402" s="9" t="n"/>
      <c r="AY402" s="9" t="n"/>
      <c r="AZ402" s="9" t="n"/>
      <c r="BA402" s="9" t="n"/>
      <c r="BB402" s="9" t="n"/>
      <c r="BC402" s="9" t="n"/>
      <c r="BD402" s="9" t="n"/>
      <c r="BE402" s="9" t="n"/>
      <c r="BF402" s="9" t="n"/>
      <c r="BG402" s="9" t="n"/>
      <c r="BH402" s="9" t="n"/>
      <c r="BI402" s="9" t="n"/>
      <c r="BJ402" s="9" t="n"/>
      <c r="BK402" s="9" t="n"/>
      <c r="BL402" s="9" t="n"/>
      <c r="BM402" s="9" t="n"/>
      <c r="BN402" s="9" t="n"/>
      <c r="BO402" s="8" t="n"/>
      <c r="BP402" s="9" t="n"/>
      <c r="BQ402" s="9" t="n"/>
      <c r="BR402" s="12">
        <f>IF(AND(AI402="Y",AK402="Y",AL402="Y",AM402="Y",AY402="Y",AZ402="Y",BA402="Y",BB402="Y",BC402="Y",BE402&lt;&gt;"Y",AX402&lt;&gt;"Y",BL402&lt;&gt;"Y",IF(AS402="Y",AV402="Y",TRUE)),"Y","N")</f>
        <v/>
      </c>
      <c r="BS402" s="12">
        <f>IF(AND(BR402="Y",OR(AND(BJ402="Y",BM402="Y"),AND(BK402="Y",BN402="Y"),AND(BJ402&lt;&gt;"Y",BK402&lt;&gt;"Y",OR(BM402="Y",BN402="Y")))),"Y","N")</f>
        <v/>
      </c>
      <c r="BT402" s="10" t="n"/>
      <c r="BU402" s="13" t="n"/>
      <c r="BV402" s="13" t="n"/>
      <c r="BW402" s="13" t="n"/>
      <c r="BX402" s="13" t="n"/>
      <c r="BY402" s="13" t="n"/>
      <c r="BZ402" s="13" t="n"/>
      <c r="CA402" s="14" t="n"/>
      <c r="CB402" s="13" t="n"/>
      <c r="CC402" s="9" t="n"/>
      <c r="CD402" s="9" t="n"/>
      <c r="CE402" s="9" t="n"/>
      <c r="CF402" s="9" t="n"/>
      <c r="CG402" s="9" t="n"/>
      <c r="CH402" s="9" t="n"/>
    </row>
    <row r="403">
      <c r="A403" s="8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8" t="n"/>
      <c r="L403" s="9" t="n"/>
      <c r="M403" s="8" t="n"/>
      <c r="N403" s="8" t="n"/>
      <c r="O403" s="8" t="n"/>
      <c r="P403" s="8" t="n"/>
      <c r="Q403" s="8" t="n"/>
      <c r="R403" s="9" t="n"/>
      <c r="S403" s="9" t="n"/>
      <c r="T403" s="10" t="n"/>
      <c r="U403" s="10" t="n"/>
      <c r="V403" s="9" t="n"/>
      <c r="W403" s="9" t="n"/>
      <c r="X403" s="9" t="n"/>
      <c r="Y403" s="9" t="n"/>
      <c r="Z403" s="11" t="n"/>
      <c r="AA403" s="11" t="n"/>
      <c r="AB403" s="11" t="n"/>
      <c r="AC403" s="11" t="n"/>
      <c r="AD403" s="11" t="n"/>
      <c r="AE403" s="11" t="n"/>
      <c r="AF403" s="9" t="n"/>
      <c r="AG403" s="9" t="n"/>
      <c r="AH403" s="9" t="n"/>
      <c r="AI403" s="9" t="n"/>
      <c r="AJ403" s="8" t="n"/>
      <c r="AK403" s="9" t="n"/>
      <c r="AL403" s="9" t="n"/>
      <c r="AM403" s="9" t="n"/>
      <c r="AN403" s="9" t="n"/>
      <c r="AO403" s="9" t="n"/>
      <c r="AP403" s="9" t="n"/>
      <c r="AQ403" s="9" t="n"/>
      <c r="AR403" s="9" t="n"/>
      <c r="AS403" s="9" t="n"/>
      <c r="AT403" s="8" t="n"/>
      <c r="AU403" s="8" t="n"/>
      <c r="AV403" s="9" t="n"/>
      <c r="AW403" s="8" t="n"/>
      <c r="AX403" s="9" t="n"/>
      <c r="AY403" s="9" t="n"/>
      <c r="AZ403" s="9" t="n"/>
      <c r="BA403" s="9" t="n"/>
      <c r="BB403" s="9" t="n"/>
      <c r="BC403" s="9" t="n"/>
      <c r="BD403" s="9" t="n"/>
      <c r="BE403" s="9" t="n"/>
      <c r="BF403" s="9" t="n"/>
      <c r="BG403" s="9" t="n"/>
      <c r="BH403" s="9" t="n"/>
      <c r="BI403" s="9" t="n"/>
      <c r="BJ403" s="9" t="n"/>
      <c r="BK403" s="9" t="n"/>
      <c r="BL403" s="9" t="n"/>
      <c r="BM403" s="9" t="n"/>
      <c r="BN403" s="9" t="n"/>
      <c r="BO403" s="8" t="n"/>
      <c r="BP403" s="9" t="n"/>
      <c r="BQ403" s="9" t="n"/>
      <c r="BR403" s="12">
        <f>IF(AND(AI403="Y",AK403="Y",AL403="Y",AM403="Y",AY403="Y",AZ403="Y",BA403="Y",BB403="Y",BC403="Y",BE403&lt;&gt;"Y",AX403&lt;&gt;"Y",BL403&lt;&gt;"Y",IF(AS403="Y",AV403="Y",TRUE)),"Y","N")</f>
        <v/>
      </c>
      <c r="BS403" s="12">
        <f>IF(AND(BR403="Y",OR(AND(BJ403="Y",BM403="Y"),AND(BK403="Y",BN403="Y"),AND(BJ403&lt;&gt;"Y",BK403&lt;&gt;"Y",OR(BM403="Y",BN403="Y")))),"Y","N")</f>
        <v/>
      </c>
      <c r="BT403" s="10" t="n"/>
      <c r="BU403" s="13" t="n"/>
      <c r="BV403" s="13" t="n"/>
      <c r="BW403" s="13" t="n"/>
      <c r="BX403" s="13" t="n"/>
      <c r="BY403" s="13" t="n"/>
      <c r="BZ403" s="13" t="n"/>
      <c r="CA403" s="14" t="n"/>
      <c r="CB403" s="13" t="n"/>
      <c r="CC403" s="9" t="n"/>
      <c r="CD403" s="9" t="n"/>
      <c r="CE403" s="9" t="n"/>
      <c r="CF403" s="9" t="n"/>
      <c r="CG403" s="9" t="n"/>
      <c r="CH403" s="9" t="n"/>
    </row>
  </sheetData>
  <mergeCells count="11">
    <mergeCell ref="BU2:CB2"/>
    <mergeCell ref="R2:W2"/>
    <mergeCell ref="BO2:BT2"/>
    <mergeCell ref="AI2:BA2"/>
    <mergeCell ref="CC2:CH2"/>
    <mergeCell ref="A1:CH1"/>
    <mergeCell ref="X2:AH2"/>
    <mergeCell ref="BB2:BI2"/>
    <mergeCell ref="BJ2:BN2"/>
    <mergeCell ref="A2:J2"/>
    <mergeCell ref="K2:Q2"/>
  </mergeCells>
  <pageMargins left="0.7" right="0.7" top="0.75" bottom="0.75" header="0.3" footer="0.3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FF1F4E78"/>
    <outlinePr summaryBelow="1" summaryRight="1"/>
    <pageSetUpPr/>
  </sheetPr>
  <dimension ref="A1:CH403"/>
  <sheetViews>
    <sheetView workbookViewId="0">
      <pane ySplit="3" topLeftCell="A4" activePane="bottomLeft" state="frozen"/>
      <selection pane="bottomLeft" activeCell="A1" sqref="A1:CH1"/>
    </sheetView>
  </sheetViews>
  <sheetFormatPr baseColWidth="8" defaultRowHeight="14.5"/>
  <cols>
    <col width="13" customWidth="1" style="23" min="1" max="1"/>
    <col width="24" customWidth="1" style="23" min="2" max="2"/>
    <col width="14" customWidth="1" style="23" min="3" max="4"/>
    <col width="24" customWidth="1" style="23" min="5" max="5"/>
    <col width="18" customWidth="1" style="23" min="6" max="7"/>
    <col width="16" customWidth="1" style="23" min="8" max="8"/>
    <col width="24" customWidth="1" style="23" min="9" max="9"/>
    <col width="14" customWidth="1" style="23" min="10" max="10"/>
    <col width="13" customWidth="1" style="23" min="11" max="11"/>
    <col width="15" customWidth="1" style="23" min="12" max="12"/>
    <col width="13" customWidth="1" style="23" min="13" max="17"/>
    <col width="15" customWidth="1" style="23" min="18" max="19"/>
    <col width="11" customWidth="1" style="23" min="20" max="23"/>
    <col width="18" customWidth="1" style="23" min="24" max="24"/>
    <col width="15" customWidth="1" style="23" min="25" max="25"/>
    <col width="14" customWidth="1" style="23" min="26" max="31"/>
    <col width="11" customWidth="1" style="23" min="32" max="35"/>
    <col width="13" customWidth="1" style="23" min="36" max="36"/>
    <col width="11" customWidth="1" style="23" min="37" max="45"/>
    <col width="13" customWidth="1" style="23" min="46" max="47"/>
    <col width="11" customWidth="1" style="23" min="48" max="48"/>
    <col width="13" customWidth="1" style="23" min="49" max="49"/>
    <col width="11" customWidth="1" style="23" min="50" max="66"/>
    <col width="13" customWidth="1" style="23" min="67" max="67"/>
    <col width="11" customWidth="1" style="23" min="68" max="69"/>
    <col width="13" customWidth="1" style="23" min="70" max="71"/>
    <col width="11" customWidth="1" style="23" min="72" max="72"/>
    <col width="15" customWidth="1" style="23" min="73" max="74"/>
    <col width="18" customWidth="1" style="23" min="75" max="75"/>
    <col width="24" customWidth="1" style="23" min="76" max="78"/>
    <col width="11" customWidth="1" style="23" min="79" max="79"/>
    <col width="15" customWidth="1" style="23" min="80" max="80"/>
    <col width="24" customWidth="1" style="23" min="81" max="81"/>
    <col width="18" customWidth="1" style="23" min="82" max="83"/>
    <col width="26" customWidth="1" style="23" min="84" max="84"/>
    <col width="18" customWidth="1" style="23" min="85" max="86"/>
  </cols>
  <sheetData>
    <row r="1" ht="22" customHeight="1" s="23">
      <c r="A1" s="22" t="inlineStr">
        <is>
          <t>Texas 2025 4% + Tax-Exempt Bond Simulator - 2025-01-30 mapped status log</t>
        </is>
      </c>
    </row>
    <row r="2" ht="22" customHeight="1" s="23">
      <c r="A2" s="37" t="inlineStr">
        <is>
          <t>Identity &amp; Snapshot</t>
        </is>
      </c>
      <c r="B2" s="25" t="n"/>
      <c r="C2" s="25" t="n"/>
      <c r="D2" s="25" t="n"/>
      <c r="E2" s="25" t="n"/>
      <c r="F2" s="25" t="n"/>
      <c r="G2" s="25" t="n"/>
      <c r="H2" s="25" t="n"/>
      <c r="I2" s="25" t="n"/>
      <c r="J2" s="26" t="n"/>
      <c r="K2" s="32" t="inlineStr">
        <is>
          <t>Current Public Process</t>
        </is>
      </c>
      <c r="L2" s="25" t="n"/>
      <c r="M2" s="25" t="n"/>
      <c r="N2" s="25" t="n"/>
      <c r="O2" s="25" t="n"/>
      <c r="P2" s="25" t="n"/>
      <c r="Q2" s="26" t="n"/>
      <c r="R2" s="30" t="inlineStr">
        <is>
          <t>Project Characteristics</t>
        </is>
      </c>
      <c r="S2" s="25" t="n"/>
      <c r="T2" s="25" t="n"/>
      <c r="U2" s="25" t="n"/>
      <c r="V2" s="25" t="n"/>
      <c r="W2" s="26" t="n"/>
      <c r="X2" s="34" t="inlineStr">
        <is>
          <t>Bond &amp; Credit Structure</t>
        </is>
      </c>
      <c r="Y2" s="25" t="n"/>
      <c r="Z2" s="25" t="n"/>
      <c r="AA2" s="25" t="n"/>
      <c r="AB2" s="25" t="n"/>
      <c r="AC2" s="25" t="n"/>
      <c r="AD2" s="25" t="n"/>
      <c r="AE2" s="25" t="n"/>
      <c r="AF2" s="25" t="n"/>
      <c r="AG2" s="25" t="n"/>
      <c r="AH2" s="26" t="n"/>
      <c r="AI2" s="33" t="inlineStr">
        <is>
          <t>Manual QAP Thresholds</t>
        </is>
      </c>
      <c r="AJ2" s="25" t="n"/>
      <c r="AK2" s="25" t="n"/>
      <c r="AL2" s="25" t="n"/>
      <c r="AM2" s="25" t="n"/>
      <c r="AN2" s="25" t="n"/>
      <c r="AO2" s="25" t="n"/>
      <c r="AP2" s="25" t="n"/>
      <c r="AQ2" s="25" t="n"/>
      <c r="AR2" s="25" t="n"/>
      <c r="AS2" s="25" t="n"/>
      <c r="AT2" s="25" t="n"/>
      <c r="AU2" s="25" t="n"/>
      <c r="AV2" s="25" t="n"/>
      <c r="AW2" s="25" t="n"/>
      <c r="AX2" s="25" t="n"/>
      <c r="AY2" s="25" t="n"/>
      <c r="AZ2" s="25" t="n"/>
      <c r="BA2" s="26" t="n"/>
      <c r="BB2" s="35" t="inlineStr">
        <is>
          <t>Site / Deconcentration</t>
        </is>
      </c>
      <c r="BC2" s="25" t="n"/>
      <c r="BD2" s="25" t="n"/>
      <c r="BE2" s="25" t="n"/>
      <c r="BF2" s="25" t="n"/>
      <c r="BG2" s="25" t="n"/>
      <c r="BH2" s="25" t="n"/>
      <c r="BI2" s="26" t="n"/>
      <c r="BJ2" s="36" t="inlineStr">
        <is>
          <t>Path Selection</t>
        </is>
      </c>
      <c r="BK2" s="25" t="n"/>
      <c r="BL2" s="25" t="n"/>
      <c r="BM2" s="25" t="n"/>
      <c r="BN2" s="26" t="n"/>
      <c r="BO2" s="31" t="inlineStr">
        <is>
          <t>Queue / Priority</t>
        </is>
      </c>
      <c r="BP2" s="25" t="n"/>
      <c r="BQ2" s="25" t="n"/>
      <c r="BR2" s="25" t="n"/>
      <c r="BS2" s="25" t="n"/>
      <c r="BT2" s="26" t="n"/>
      <c r="BU2" s="29" t="inlineStr">
        <is>
          <t>Engine Outputs</t>
        </is>
      </c>
      <c r="BV2" s="25" t="n"/>
      <c r="BW2" s="25" t="n"/>
      <c r="BX2" s="25" t="n"/>
      <c r="BY2" s="25" t="n"/>
      <c r="BZ2" s="25" t="n"/>
      <c r="CA2" s="25" t="n"/>
      <c r="CB2" s="26" t="n"/>
      <c r="CC2" s="32" t="inlineStr">
        <is>
          <t>Notes &amp; Contacts</t>
        </is>
      </c>
      <c r="CD2" s="25" t="n"/>
      <c r="CE2" s="25" t="n"/>
      <c r="CF2" s="25" t="n"/>
      <c r="CG2" s="25" t="n"/>
      <c r="CH2" s="26" t="n"/>
    </row>
    <row r="3" ht="80" customHeight="1" s="23">
      <c r="A3" s="7" t="inlineStr">
        <is>
          <t>snapshot_date</t>
        </is>
      </c>
      <c r="B3" s="7" t="inlineStr">
        <is>
          <t>application_source_log</t>
        </is>
      </c>
      <c r="C3" s="7" t="inlineStr">
        <is>
          <t>tdhca_number</t>
        </is>
      </c>
      <c r="D3" s="7" t="inlineStr">
        <is>
          <t>previous_tdhca_number</t>
        </is>
      </c>
      <c r="E3" s="7" t="inlineStr">
        <is>
          <t>development_name</t>
        </is>
      </c>
      <c r="F3" s="7" t="inlineStr">
        <is>
          <t>development_city</t>
        </is>
      </c>
      <c r="G3" s="7" t="inlineStr">
        <is>
          <t>development_county</t>
        </is>
      </c>
      <c r="H3" s="7" t="inlineStr">
        <is>
          <t>development_region</t>
        </is>
      </c>
      <c r="I3" s="7" t="inlineStr">
        <is>
          <t>development_address</t>
        </is>
      </c>
      <c r="J3" s="7" t="inlineStr">
        <is>
          <t>zip_code</t>
        </is>
      </c>
      <c r="K3" s="7" t="inlineStr">
        <is>
          <t>full_application_submission_date</t>
        </is>
      </c>
      <c r="L3" s="7" t="inlineStr">
        <is>
          <t>application_status_current</t>
        </is>
      </c>
      <c r="M3" s="7" t="inlineStr">
        <is>
          <t>board_meeting_date_current</t>
        </is>
      </c>
      <c r="N3" s="7" t="inlineStr">
        <is>
          <t>determination_notice_issuance_date_current</t>
        </is>
      </c>
      <c r="O3" s="7" t="inlineStr">
        <is>
          <t>bond_reservation_date_current</t>
        </is>
      </c>
      <c r="P3" s="7" t="inlineStr">
        <is>
          <t>bond_expiration_date_current</t>
        </is>
      </c>
      <c r="Q3" s="7" t="inlineStr">
        <is>
          <t>closed_date_current</t>
        </is>
      </c>
      <c r="R3" s="7" t="inlineStr">
        <is>
          <t>construction_type</t>
        </is>
      </c>
      <c r="S3" s="7" t="inlineStr">
        <is>
          <t>target_population</t>
        </is>
      </c>
      <c r="T3" s="7" t="inlineStr">
        <is>
          <t>total_units</t>
        </is>
      </c>
      <c r="U3" s="7" t="inlineStr">
        <is>
          <t>total_low_income_units</t>
        </is>
      </c>
      <c r="V3" s="7" t="inlineStr">
        <is>
          <t>scattered_site_flag</t>
        </is>
      </c>
      <c r="W3" s="7" t="inlineStr">
        <is>
          <t>existing_residential_development_flag</t>
        </is>
      </c>
      <c r="X3" s="7" t="inlineStr">
        <is>
          <t>bond_issuer</t>
        </is>
      </c>
      <c r="Y3" s="7" t="inlineStr">
        <is>
          <t>bond_issuer_type</t>
        </is>
      </c>
      <c r="Z3" s="7" t="inlineStr">
        <is>
          <t>bond_reservation_amount_requested</t>
        </is>
      </c>
      <c r="AA3" s="7" t="inlineStr">
        <is>
          <t>bond_amount_recommended</t>
        </is>
      </c>
      <c r="AB3" s="7" t="inlineStr">
        <is>
          <t>requested_htc_amount</t>
        </is>
      </c>
      <c r="AC3" s="7" t="inlineStr">
        <is>
          <t>recommended_htc_amount</t>
        </is>
      </c>
      <c r="AD3" s="7" t="inlineStr">
        <is>
          <t>requested_state_tax_credit_amount</t>
        </is>
      </c>
      <c r="AE3" s="7" t="inlineStr">
        <is>
          <t>recommended_state_tax_credit_amount</t>
        </is>
      </c>
      <c r="AF3" s="7" t="inlineStr">
        <is>
          <t>direct_loan_request_flag</t>
        </is>
      </c>
      <c r="AG3" s="7" t="inlineStr">
        <is>
          <t>property_tax_exemption_flag</t>
        </is>
      </c>
      <c r="AH3" s="7" t="inlineStr">
        <is>
          <t>pfc_structure_flag</t>
        </is>
      </c>
      <c r="AI3" s="7" t="inlineStr">
        <is>
          <t>site_control_valid_flag</t>
        </is>
      </c>
      <c r="AJ3" s="7" t="inlineStr">
        <is>
          <t>site_control_document_date</t>
        </is>
      </c>
      <c r="AK3" s="7" t="inlineStr">
        <is>
          <t>resolutions_complete_flag</t>
        </is>
      </c>
      <c r="AL3" s="7" t="inlineStr">
        <is>
          <t>local_approval_complete_flag</t>
        </is>
      </c>
      <c r="AM3" s="7" t="inlineStr">
        <is>
          <t>third_party_reports_complete_flag</t>
        </is>
      </c>
      <c r="AN3" s="7" t="inlineStr">
        <is>
          <t>esa_complete_flag</t>
        </is>
      </c>
      <c r="AO3" s="7" t="inlineStr">
        <is>
          <t>market_analysis_complete_flag</t>
        </is>
      </c>
      <c r="AP3" s="7" t="inlineStr">
        <is>
          <t>appraisal_complete_flag</t>
        </is>
      </c>
      <c r="AQ3" s="7" t="inlineStr">
        <is>
          <t>scr_complete_flag</t>
        </is>
      </c>
      <c r="AR3" s="7" t="inlineStr">
        <is>
          <t>feasibility_report_complete_flag</t>
        </is>
      </c>
      <c r="AS3" s="7" t="inlineStr">
        <is>
          <t>deficiency_notice_issued_flag</t>
        </is>
      </c>
      <c r="AT3" s="7" t="inlineStr">
        <is>
          <t>deficiency_notice_date</t>
        </is>
      </c>
      <c r="AU3" s="7" t="inlineStr">
        <is>
          <t>deficiency_response_due_date</t>
        </is>
      </c>
      <c r="AV3" s="7" t="inlineStr">
        <is>
          <t>deficiency_cleared_flag</t>
        </is>
      </c>
      <c r="AW3" s="7" t="inlineStr">
        <is>
          <t>deficiency_cleared_date</t>
        </is>
      </c>
      <c r="AX3" s="7" t="inlineStr">
        <is>
          <t>material_deficiency_flag</t>
        </is>
      </c>
      <c r="AY3" s="7" t="inlineStr">
        <is>
          <t>underwriting_complete_flag</t>
        </is>
      </c>
      <c r="AZ3" s="7" t="inlineStr">
        <is>
          <t>underwriting_pass_flag</t>
        </is>
      </c>
      <c r="BA3" s="7" t="inlineStr">
        <is>
          <t>financial_feasible_flag</t>
        </is>
      </c>
      <c r="BB3" s="7" t="inlineStr">
        <is>
          <t>deconcentration_compliant_flag</t>
        </is>
      </c>
      <c r="BC3" s="7" t="inlineStr">
        <is>
          <t>one_mile_rule_compliant_flag</t>
        </is>
      </c>
      <c r="BD3" s="7" t="inlineStr">
        <is>
          <t>two_mile_same_year_rule_relevant_flag</t>
        </is>
      </c>
      <c r="BE3" s="7" t="inlineStr">
        <is>
          <t>existing_lura_conflict_flag</t>
        </is>
      </c>
      <c r="BF3" s="7" t="inlineStr">
        <is>
          <t>rural_area_flag</t>
        </is>
      </c>
      <c r="BG3" s="7" t="inlineStr">
        <is>
          <t>urban_area_flag</t>
        </is>
      </c>
      <c r="BH3" s="7" t="inlineStr">
        <is>
          <t>qct_flag</t>
        </is>
      </c>
      <c r="BI3" s="7" t="inlineStr">
        <is>
          <t>high_opportunity_override_flag</t>
        </is>
      </c>
      <c r="BJ3" s="7" t="inlineStr">
        <is>
          <t>streamlined_eligible_flag</t>
        </is>
      </c>
      <c r="BK3" s="7" t="inlineStr">
        <is>
          <t>board_review_required_flag</t>
        </is>
      </c>
      <c r="BL3" s="7" t="inlineStr">
        <is>
          <t>chapter12_issue_flag</t>
        </is>
      </c>
      <c r="BM3" s="7" t="inlineStr">
        <is>
          <t>ready_for_determination_notice_flag</t>
        </is>
      </c>
      <c r="BN3" s="7" t="inlineStr">
        <is>
          <t>ready_for_board_flag</t>
        </is>
      </c>
      <c r="BO3" s="7" t="inlineStr">
        <is>
          <t>pipeline_entry_date</t>
        </is>
      </c>
      <c r="BP3" s="7" t="inlineStr">
        <is>
          <t>carryforward_from_prior_log_flag</t>
        </is>
      </c>
      <c r="BQ3" s="7" t="inlineStr">
        <is>
          <t>new_project_this_snapshot_flag</t>
        </is>
      </c>
      <c r="BR3" s="7" t="inlineStr">
        <is>
          <t>all_manual_boxes_checked_flag</t>
        </is>
      </c>
      <c r="BS3" s="7" t="inlineStr">
        <is>
          <t>project_ready_now_flag</t>
        </is>
      </c>
      <c r="BT3" s="7" t="inlineStr">
        <is>
          <t>pipeline_seniority_rank_manual</t>
        </is>
      </c>
      <c r="BU3" s="7" t="inlineStr">
        <is>
          <t>predicted_next_status</t>
        </is>
      </c>
      <c r="BV3" s="7" t="inlineStr">
        <is>
          <t>predicted_next_path</t>
        </is>
      </c>
      <c r="BW3" s="7" t="inlineStr">
        <is>
          <t>predicted_blocker_code</t>
        </is>
      </c>
      <c r="BX3" s="7" t="inlineStr">
        <is>
          <t>predicted_reason_1</t>
        </is>
      </c>
      <c r="BY3" s="7" t="inlineStr">
        <is>
          <t>predicted_reason_2</t>
        </is>
      </c>
      <c r="BZ3" s="7" t="inlineStr">
        <is>
          <t>predicted_reason_3</t>
        </is>
      </c>
      <c r="CA3" s="7" t="inlineStr">
        <is>
          <t>predicted_relative_rank</t>
        </is>
      </c>
      <c r="CB3" s="7" t="inlineStr">
        <is>
          <t>predicted_advance_flag</t>
        </is>
      </c>
      <c r="CC3" s="7" t="inlineStr">
        <is>
          <t>notes</t>
        </is>
      </c>
      <c r="CD3" s="7" t="inlineStr">
        <is>
          <t>applicant_contact</t>
        </is>
      </c>
      <c r="CE3" s="7" t="inlineStr">
        <is>
          <t>applicant_phone</t>
        </is>
      </c>
      <c r="CF3" s="7" t="inlineStr">
        <is>
          <t>applicant_email</t>
        </is>
      </c>
      <c r="CG3" s="7" t="inlineStr">
        <is>
          <t>bond_issuer_contact</t>
        </is>
      </c>
      <c r="CH3" s="7" t="inlineStr">
        <is>
          <t>bond_issuer_phone</t>
        </is>
      </c>
    </row>
    <row r="4">
      <c r="A4" s="8" t="inlineStr">
        <is>
          <t>2025-01-30</t>
        </is>
      </c>
      <c r="B4" s="9" t="inlineStr">
        <is>
          <t>2025-01-30</t>
        </is>
      </c>
      <c r="C4" s="9" t="inlineStr">
        <is>
          <t>25427</t>
        </is>
      </c>
      <c r="D4" s="9" t="n">
        <v>24426</v>
      </c>
      <c r="E4" s="9" t="inlineStr">
        <is>
          <t>Bay Terrace</t>
        </is>
      </c>
      <c r="F4" s="9" t="inlineStr">
        <is>
          <t>Baytown</t>
        </is>
      </c>
      <c r="G4" s="9" t="inlineStr">
        <is>
          <t>Harris</t>
        </is>
      </c>
      <c r="H4" s="9" t="n">
        <v>6</v>
      </c>
      <c r="I4" s="9" t="inlineStr">
        <is>
          <t>1502 Nolan Road</t>
        </is>
      </c>
      <c r="J4" s="9" t="n">
        <v>77520</v>
      </c>
      <c r="K4" s="8" t="n">
        <v>45659</v>
      </c>
      <c r="L4" s="9" t="inlineStr">
        <is>
          <t>Active</t>
        </is>
      </c>
      <c r="M4" s="8" t="n">
        <v>45757</v>
      </c>
      <c r="N4" s="8" t="n"/>
      <c r="O4" s="8" t="n">
        <v>45670</v>
      </c>
      <c r="P4" s="8" t="n">
        <v>45850</v>
      </c>
      <c r="Q4" s="8" t="n"/>
      <c r="R4" s="9" t="inlineStr">
        <is>
          <t>Acq/Rehab</t>
        </is>
      </c>
      <c r="S4" s="9" t="inlineStr">
        <is>
          <t>General</t>
        </is>
      </c>
      <c r="T4" s="10" t="n">
        <v>130</v>
      </c>
      <c r="U4" s="10" t="n">
        <v>130</v>
      </c>
      <c r="V4" s="9" t="n"/>
      <c r="W4" s="9" t="n"/>
      <c r="X4" s="9" t="inlineStr">
        <is>
          <t>Southeast Texas HFC</t>
        </is>
      </c>
      <c r="Y4" s="9" t="inlineStr">
        <is>
          <t>Local HFC</t>
        </is>
      </c>
      <c r="Z4" s="11" t="n">
        <v>22500000</v>
      </c>
      <c r="AA4" s="11" t="n"/>
      <c r="AB4" s="11" t="n">
        <v>1076207</v>
      </c>
      <c r="AC4" s="11" t="n"/>
      <c r="AD4" s="11" t="n">
        <v>1250000</v>
      </c>
      <c r="AE4" s="11" t="n"/>
      <c r="AF4" s="9" t="inlineStr">
        <is>
          <t>N</t>
        </is>
      </c>
      <c r="AG4" s="9" t="inlineStr">
        <is>
          <t>N</t>
        </is>
      </c>
      <c r="AH4" s="9" t="n"/>
      <c r="AI4" s="9" t="n"/>
      <c r="AJ4" s="8" t="n"/>
      <c r="AK4" s="9" t="n"/>
      <c r="AL4" s="9" t="n"/>
      <c r="AM4" s="9" t="n"/>
      <c r="AN4" s="9" t="n"/>
      <c r="AO4" s="9" t="n"/>
      <c r="AP4" s="9" t="n"/>
      <c r="AQ4" s="9" t="n"/>
      <c r="AR4" s="9" t="n"/>
      <c r="AS4" s="9" t="n"/>
      <c r="AT4" s="8" t="n"/>
      <c r="AU4" s="8" t="n"/>
      <c r="AV4" s="9" t="n"/>
      <c r="AW4" s="8" t="n"/>
      <c r="AX4" s="9" t="n"/>
      <c r="AY4" s="9" t="n"/>
      <c r="AZ4" s="9" t="n"/>
      <c r="BA4" s="9" t="n"/>
      <c r="BB4" s="9" t="n"/>
      <c r="BC4" s="9" t="n"/>
      <c r="BD4" s="9" t="n"/>
      <c r="BE4" s="9" t="n"/>
      <c r="BF4" s="9" t="n"/>
      <c r="BG4" s="9" t="n"/>
      <c r="BH4" s="9" t="n"/>
      <c r="BI4" s="9" t="n"/>
      <c r="BJ4" s="9" t="n"/>
      <c r="BK4" s="9" t="n"/>
      <c r="BL4" s="9" t="n"/>
      <c r="BM4" s="9" t="n"/>
      <c r="BN4" s="9" t="n"/>
      <c r="BO4" s="8" t="n">
        <v>45659</v>
      </c>
      <c r="BP4" s="9" t="inlineStr">
        <is>
          <t>N</t>
        </is>
      </c>
      <c r="BQ4" s="9" t="inlineStr">
        <is>
          <t>Y</t>
        </is>
      </c>
      <c r="BR4" s="12">
        <f>IF(AND(AI4="Y",AK4="Y",AL4="Y",AM4="Y",AY4="Y",AZ4="Y",BA4="Y",BB4="Y",BC4="Y",BE4&lt;&gt;"Y",AX4&lt;&gt;"Y",BL4&lt;&gt;"Y",IF(AS4="Y",AV4="Y",TRUE)),"Y","N")</f>
        <v/>
      </c>
      <c r="BS4" s="12">
        <f>IF(AND(BR4="Y",OR(AND(BJ4="Y",BM4="Y"),AND(BK4="Y",BN4="Y"),AND(BJ4&lt;&gt;"Y",BK4&lt;&gt;"Y",OR(BM4="Y",BN4="Y")))),"Y","N")</f>
        <v/>
      </c>
      <c r="BT4" s="10" t="n">
        <v>4</v>
      </c>
      <c r="BU4" s="13" t="n"/>
      <c r="BV4" s="13" t="n"/>
      <c r="BW4" s="13" t="n"/>
      <c r="BX4" s="13" t="n"/>
      <c r="BY4" s="13" t="n"/>
      <c r="BZ4" s="13" t="n"/>
      <c r="CA4" s="14" t="n"/>
      <c r="CB4" s="13" t="n"/>
      <c r="CC4" s="9" t="n"/>
      <c r="CD4" s="9" t="inlineStr">
        <is>
          <t>Steve Anderson</t>
        </is>
      </c>
      <c r="CE4" s="9" t="inlineStr">
        <is>
          <t>(650) 400-8553</t>
        </is>
      </c>
      <c r="CF4" s="9" t="inlineStr">
        <is>
          <t>steve@anderson.org</t>
        </is>
      </c>
      <c r="CG4" s="9" t="inlineStr">
        <is>
          <t>Ron Williams</t>
        </is>
      </c>
      <c r="CH4" s="9" t="inlineStr">
        <is>
          <t>(281) 484-4663</t>
        </is>
      </c>
    </row>
    <row r="5">
      <c r="A5" s="8" t="inlineStr">
        <is>
          <t>2025-01-30</t>
        </is>
      </c>
      <c r="B5" s="9" t="inlineStr">
        <is>
          <t>2025-01-30</t>
        </is>
      </c>
      <c r="C5" s="9" t="inlineStr">
        <is>
          <t>25428</t>
        </is>
      </c>
      <c r="D5" s="9" t="n">
        <v>24434</v>
      </c>
      <c r="E5" s="9" t="inlineStr">
        <is>
          <t>Independence Village</t>
        </is>
      </c>
      <c r="F5" s="9" t="inlineStr">
        <is>
          <t>Amarillo</t>
        </is>
      </c>
      <c r="G5" s="9" t="inlineStr">
        <is>
          <t>Randall</t>
        </is>
      </c>
      <c r="H5" s="9" t="n">
        <v>1</v>
      </c>
      <c r="I5" s="9" t="inlineStr">
        <is>
          <t>4700 Virginia</t>
        </is>
      </c>
      <c r="J5" s="9" t="n">
        <v>79109</v>
      </c>
      <c r="K5" s="8" t="n">
        <v>45659</v>
      </c>
      <c r="L5" s="9" t="inlineStr">
        <is>
          <t>Active</t>
        </is>
      </c>
      <c r="M5" s="8" t="n">
        <v>45757</v>
      </c>
      <c r="N5" s="8" t="n"/>
      <c r="O5" s="8" t="inlineStr">
        <is>
          <t>TBD</t>
        </is>
      </c>
      <c r="P5" s="8" t="inlineStr">
        <is>
          <t>TBD</t>
        </is>
      </c>
      <c r="Q5" s="8" t="n"/>
      <c r="R5" s="9" t="inlineStr">
        <is>
          <t>Acq/Rehab</t>
        </is>
      </c>
      <c r="S5" s="9" t="inlineStr">
        <is>
          <t>Elderly</t>
        </is>
      </c>
      <c r="T5" s="10" t="n">
        <v>150</v>
      </c>
      <c r="U5" s="10" t="n">
        <v>150</v>
      </c>
      <c r="V5" s="9" t="n"/>
      <c r="W5" s="9" t="n"/>
      <c r="X5" s="9" t="inlineStr">
        <is>
          <t>Panhandle Regional HFC</t>
        </is>
      </c>
      <c r="Y5" s="9" t="inlineStr">
        <is>
          <t>Local HFC</t>
        </is>
      </c>
      <c r="Z5" s="11" t="n">
        <v>25000000</v>
      </c>
      <c r="AA5" s="11" t="n"/>
      <c r="AB5" s="11" t="n">
        <v>1324312</v>
      </c>
      <c r="AC5" s="11" t="n"/>
      <c r="AD5" s="11" t="n">
        <v>463534</v>
      </c>
      <c r="AE5" s="11" t="n"/>
      <c r="AF5" s="9" t="inlineStr">
        <is>
          <t>N</t>
        </is>
      </c>
      <c r="AG5" s="9" t="inlineStr">
        <is>
          <t>N</t>
        </is>
      </c>
      <c r="AH5" s="9" t="n"/>
      <c r="AI5" s="9" t="n"/>
      <c r="AJ5" s="8" t="n"/>
      <c r="AK5" s="9" t="n"/>
      <c r="AL5" s="9" t="n"/>
      <c r="AM5" s="9" t="n"/>
      <c r="AN5" s="9" t="n"/>
      <c r="AO5" s="9" t="n"/>
      <c r="AP5" s="9" t="n"/>
      <c r="AQ5" s="9" t="n"/>
      <c r="AR5" s="9" t="n"/>
      <c r="AS5" s="9" t="n"/>
      <c r="AT5" s="8" t="n"/>
      <c r="AU5" s="8" t="n"/>
      <c r="AV5" s="9" t="n"/>
      <c r="AW5" s="8" t="n"/>
      <c r="AX5" s="9" t="n"/>
      <c r="AY5" s="9" t="n"/>
      <c r="AZ5" s="9" t="n"/>
      <c r="BA5" s="9" t="n"/>
      <c r="BB5" s="9" t="n"/>
      <c r="BC5" s="9" t="n"/>
      <c r="BD5" s="9" t="n"/>
      <c r="BE5" s="9" t="n"/>
      <c r="BF5" s="9" t="n"/>
      <c r="BG5" s="9" t="n"/>
      <c r="BH5" s="9" t="n"/>
      <c r="BI5" s="9" t="n"/>
      <c r="BJ5" s="9" t="n"/>
      <c r="BK5" s="9" t="n"/>
      <c r="BL5" s="9" t="n"/>
      <c r="BM5" s="9" t="n"/>
      <c r="BN5" s="9" t="n"/>
      <c r="BO5" s="8" t="n">
        <v>45659</v>
      </c>
      <c r="BP5" s="9" t="inlineStr">
        <is>
          <t>N</t>
        </is>
      </c>
      <c r="BQ5" s="9" t="inlineStr">
        <is>
          <t>Y</t>
        </is>
      </c>
      <c r="BR5" s="12">
        <f>IF(AND(AI5="Y",AK5="Y",AL5="Y",AM5="Y",AY5="Y",AZ5="Y",BA5="Y",BB5="Y",BC5="Y",BE5&lt;&gt;"Y",AX5&lt;&gt;"Y",BL5&lt;&gt;"Y",IF(AS5="Y",AV5="Y",TRUE)),"Y","N")</f>
        <v/>
      </c>
      <c r="BS5" s="12">
        <f>IF(AND(BR5="Y",OR(AND(BJ5="Y",BM5="Y"),AND(BK5="Y",BN5="Y"),AND(BJ5&lt;&gt;"Y",BK5&lt;&gt;"Y",OR(BM5="Y",BN5="Y")))),"Y","N")</f>
        <v/>
      </c>
      <c r="BT5" s="10" t="n">
        <v>5</v>
      </c>
      <c r="BU5" s="13" t="n"/>
      <c r="BV5" s="13" t="n"/>
      <c r="BW5" s="13" t="n"/>
      <c r="BX5" s="13" t="n"/>
      <c r="BY5" s="13" t="n"/>
      <c r="BZ5" s="13" t="n"/>
      <c r="CA5" s="14" t="n"/>
      <c r="CB5" s="13" t="n"/>
      <c r="CC5" s="9" t="n"/>
      <c r="CD5" s="9" t="inlineStr">
        <is>
          <t>Rae Wilder</t>
        </is>
      </c>
      <c r="CE5" s="9" t="inlineStr">
        <is>
          <t>(805) 413-0672</t>
        </is>
      </c>
      <c r="CF5" s="9" t="inlineStr">
        <is>
          <t>rachel.posthumus@ccinvest.com</t>
        </is>
      </c>
      <c r="CG5" s="9" t="inlineStr">
        <is>
          <t>Michael Carr</t>
        </is>
      </c>
      <c r="CH5" s="9" t="inlineStr">
        <is>
          <t>(806) 360-2060</t>
        </is>
      </c>
    </row>
    <row r="6">
      <c r="A6" s="8" t="inlineStr">
        <is>
          <t>2025-01-30</t>
        </is>
      </c>
      <c r="B6" s="9" t="inlineStr">
        <is>
          <t>2025-01-30</t>
        </is>
      </c>
      <c r="C6" s="9" t="inlineStr">
        <is>
          <t>25420</t>
        </is>
      </c>
      <c r="D6" s="9" t="n"/>
      <c r="E6" s="9" t="inlineStr">
        <is>
          <t>The Bloom at Lamar Square</t>
        </is>
      </c>
      <c r="F6" s="9" t="inlineStr">
        <is>
          <t>Austin</t>
        </is>
      </c>
      <c r="G6" s="9" t="inlineStr">
        <is>
          <t>Travis</t>
        </is>
      </c>
      <c r="H6" s="9" t="n">
        <v>7</v>
      </c>
      <c r="I6" s="9" t="inlineStr">
        <is>
          <t>1326 &amp; 1328 Lamar Square Drive</t>
        </is>
      </c>
      <c r="J6" s="9" t="n">
        <v>78704</v>
      </c>
      <c r="K6" s="8" t="n">
        <v>45659</v>
      </c>
      <c r="L6" s="9" t="inlineStr">
        <is>
          <t>Active</t>
        </is>
      </c>
      <c r="M6" s="8" t="n">
        <v>45757</v>
      </c>
      <c r="N6" s="8" t="n"/>
      <c r="O6" s="8" t="n">
        <v>45663</v>
      </c>
      <c r="P6" s="8" t="n">
        <v>45843</v>
      </c>
      <c r="Q6" s="8" t="n"/>
      <c r="R6" s="9" t="inlineStr">
        <is>
          <t>New Construction</t>
        </is>
      </c>
      <c r="S6" s="9" t="inlineStr">
        <is>
          <t>Supportive Housing</t>
        </is>
      </c>
      <c r="T6" s="10" t="n">
        <v>58</v>
      </c>
      <c r="U6" s="10" t="n">
        <v>58</v>
      </c>
      <c r="V6" s="9" t="n"/>
      <c r="W6" s="9" t="n"/>
      <c r="X6" s="9" t="inlineStr">
        <is>
          <t>TSAHC</t>
        </is>
      </c>
      <c r="Y6" s="9" t="inlineStr">
        <is>
          <t>Other</t>
        </is>
      </c>
      <c r="Z6" s="11" t="n">
        <v>16500000</v>
      </c>
      <c r="AA6" s="11" t="n"/>
      <c r="AB6" s="11" t="n">
        <v>903494</v>
      </c>
      <c r="AC6" s="11" t="n"/>
      <c r="AD6" s="11" t="n">
        <v>900000</v>
      </c>
      <c r="AE6" s="11" t="n"/>
      <c r="AF6" s="9" t="inlineStr">
        <is>
          <t>N</t>
        </is>
      </c>
      <c r="AG6" s="9" t="inlineStr">
        <is>
          <t>Y</t>
        </is>
      </c>
      <c r="AH6" s="9" t="n"/>
      <c r="AI6" s="9" t="n"/>
      <c r="AJ6" s="8" t="n"/>
      <c r="AK6" s="9" t="n"/>
      <c r="AL6" s="9" t="n"/>
      <c r="AM6" s="9" t="n"/>
      <c r="AN6" s="9" t="n"/>
      <c r="AO6" s="9" t="n"/>
      <c r="AP6" s="9" t="n"/>
      <c r="AQ6" s="9" t="n"/>
      <c r="AR6" s="9" t="n"/>
      <c r="AS6" s="9" t="n"/>
      <c r="AT6" s="8" t="n"/>
      <c r="AU6" s="8" t="n"/>
      <c r="AV6" s="9" t="n"/>
      <c r="AW6" s="8" t="n"/>
      <c r="AX6" s="9" t="n"/>
      <c r="AY6" s="9" t="n"/>
      <c r="AZ6" s="9" t="n"/>
      <c r="BA6" s="9" t="n"/>
      <c r="BB6" s="9" t="n"/>
      <c r="BC6" s="9" t="n"/>
      <c r="BD6" s="9" t="n"/>
      <c r="BE6" s="9" t="n"/>
      <c r="BF6" s="9" t="n"/>
      <c r="BG6" s="9" t="n"/>
      <c r="BH6" s="9" t="n"/>
      <c r="BI6" s="9" t="n"/>
      <c r="BJ6" s="9" t="n"/>
      <c r="BK6" s="9" t="n"/>
      <c r="BL6" s="9" t="n"/>
      <c r="BM6" s="9" t="n"/>
      <c r="BN6" s="9" t="n"/>
      <c r="BO6" s="8" t="n">
        <v>45659</v>
      </c>
      <c r="BP6" s="9" t="inlineStr">
        <is>
          <t>N</t>
        </is>
      </c>
      <c r="BQ6" s="9" t="inlineStr">
        <is>
          <t>Y</t>
        </is>
      </c>
      <c r="BR6" s="12">
        <f>IF(AND(AI6="Y",AK6="Y",AL6="Y",AM6="Y",AY6="Y",AZ6="Y",BA6="Y",BB6="Y",BC6="Y",BE6&lt;&gt;"Y",AX6&lt;&gt;"Y",BL6&lt;&gt;"Y",IF(AS6="Y",AV6="Y",TRUE)),"Y","N")</f>
        <v/>
      </c>
      <c r="BS6" s="12">
        <f>IF(AND(BR6="Y",OR(AND(BJ6="Y",BM6="Y"),AND(BK6="Y",BN6="Y"),AND(BJ6&lt;&gt;"Y",BK6&lt;&gt;"Y",OR(BM6="Y",BN6="Y")))),"Y","N")</f>
        <v/>
      </c>
      <c r="BT6" s="10" t="n">
        <v>3</v>
      </c>
      <c r="BU6" s="13" t="n"/>
      <c r="BV6" s="13" t="n"/>
      <c r="BW6" s="13" t="n"/>
      <c r="BX6" s="13" t="n"/>
      <c r="BY6" s="13" t="n"/>
      <c r="BZ6" s="13" t="n"/>
      <c r="CA6" s="14" t="n"/>
      <c r="CB6" s="13" t="n"/>
      <c r="CC6" s="9" t="inlineStr">
        <is>
          <t>construction_type mapped from raw 'NC' to 'New Construction'; property_tax_exemption normalized from 'Y (50%)' to 'Y'</t>
        </is>
      </c>
      <c r="CD6" s="9" t="inlineStr">
        <is>
          <t>Walter Moreau</t>
        </is>
      </c>
      <c r="CE6" s="9" t="inlineStr">
        <is>
          <t>(512) 610-4016</t>
        </is>
      </c>
      <c r="CF6" s="9" t="inlineStr">
        <is>
          <t>walter.moreau@foundcom.org</t>
        </is>
      </c>
      <c r="CG6" s="9" t="inlineStr">
        <is>
          <t>David Danenfelzer</t>
        </is>
      </c>
      <c r="CH6" s="9" t="inlineStr">
        <is>
          <t>(512) 477-3562</t>
        </is>
      </c>
    </row>
    <row r="7">
      <c r="A7" s="8" t="inlineStr">
        <is>
          <t>2025-01-30</t>
        </is>
      </c>
      <c r="B7" s="9" t="inlineStr">
        <is>
          <t>2025-01-30</t>
        </is>
      </c>
      <c r="C7" s="9" t="inlineStr">
        <is>
          <t>25429</t>
        </is>
      </c>
      <c r="D7" s="9" t="n"/>
      <c r="E7" s="9" t="inlineStr">
        <is>
          <t>Huntington Place Senior Little Elm</t>
        </is>
      </c>
      <c r="F7" s="9" t="inlineStr">
        <is>
          <t>Little Elm</t>
        </is>
      </c>
      <c r="G7" s="9" t="inlineStr">
        <is>
          <t>Denton</t>
        </is>
      </c>
      <c r="H7" s="9" t="n">
        <v>3</v>
      </c>
      <c r="I7" s="9" t="inlineStr">
        <is>
          <t>NEQ Navo Road and Union Park Blvd</t>
        </is>
      </c>
      <c r="J7" s="9" t="n">
        <v>76227</v>
      </c>
      <c r="K7" s="8" t="n">
        <v>45663</v>
      </c>
      <c r="L7" s="9" t="inlineStr">
        <is>
          <t>Active</t>
        </is>
      </c>
      <c r="M7" s="8" t="n">
        <v>45757</v>
      </c>
      <c r="N7" s="8" t="n"/>
      <c r="O7" s="8" t="n">
        <v>45670</v>
      </c>
      <c r="P7" s="8" t="n">
        <v>45850</v>
      </c>
      <c r="Q7" s="8" t="n"/>
      <c r="R7" s="9" t="inlineStr">
        <is>
          <t>New Construction</t>
        </is>
      </c>
      <c r="S7" s="9" t="inlineStr">
        <is>
          <t>Elderly</t>
        </is>
      </c>
      <c r="T7" s="10" t="n">
        <v>198</v>
      </c>
      <c r="U7" s="10" t="n">
        <v>198</v>
      </c>
      <c r="V7" s="9" t="n"/>
      <c r="W7" s="9" t="n"/>
      <c r="X7" s="9" t="inlineStr">
        <is>
          <t>THF PFC</t>
        </is>
      </c>
      <c r="Y7" s="9" t="inlineStr">
        <is>
          <t>Other</t>
        </is>
      </c>
      <c r="Z7" s="11" t="n">
        <v>35000000</v>
      </c>
      <c r="AA7" s="11" t="n"/>
      <c r="AB7" s="11" t="n">
        <v>1987061</v>
      </c>
      <c r="AC7" s="11" t="n"/>
      <c r="AD7" s="11" t="n"/>
      <c r="AE7" s="11" t="n"/>
      <c r="AF7" s="9" t="inlineStr">
        <is>
          <t>N</t>
        </is>
      </c>
      <c r="AG7" s="9" t="inlineStr">
        <is>
          <t>Y</t>
        </is>
      </c>
      <c r="AH7" s="9" t="inlineStr">
        <is>
          <t>Y</t>
        </is>
      </c>
      <c r="AI7" s="9" t="n"/>
      <c r="AJ7" s="8" t="n"/>
      <c r="AK7" s="9" t="n"/>
      <c r="AL7" s="9" t="n"/>
      <c r="AM7" s="9" t="n"/>
      <c r="AN7" s="9" t="n"/>
      <c r="AO7" s="9" t="n"/>
      <c r="AP7" s="9" t="n"/>
      <c r="AQ7" s="9" t="n"/>
      <c r="AR7" s="9" t="n"/>
      <c r="AS7" s="9" t="n"/>
      <c r="AT7" s="8" t="n"/>
      <c r="AU7" s="8" t="n"/>
      <c r="AV7" s="9" t="n"/>
      <c r="AW7" s="8" t="n"/>
      <c r="AX7" s="9" t="n"/>
      <c r="AY7" s="9" t="n"/>
      <c r="AZ7" s="9" t="n"/>
      <c r="BA7" s="9" t="n"/>
      <c r="BB7" s="9" t="n"/>
      <c r="BC7" s="9" t="n"/>
      <c r="BD7" s="9" t="n"/>
      <c r="BE7" s="9" t="n"/>
      <c r="BF7" s="9" t="n"/>
      <c r="BG7" s="9" t="n"/>
      <c r="BH7" s="9" t="n"/>
      <c r="BI7" s="9" t="n"/>
      <c r="BJ7" s="9" t="n"/>
      <c r="BK7" s="9" t="n"/>
      <c r="BL7" s="9" t="n"/>
      <c r="BM7" s="9" t="n"/>
      <c r="BN7" s="9" t="n"/>
      <c r="BO7" s="8" t="n">
        <v>45663</v>
      </c>
      <c r="BP7" s="9" t="inlineStr">
        <is>
          <t>N</t>
        </is>
      </c>
      <c r="BQ7" s="9" t="inlineStr">
        <is>
          <t>Y</t>
        </is>
      </c>
      <c r="BR7" s="12">
        <f>IF(AND(AI7="Y",AK7="Y",AL7="Y",AM7="Y",AY7="Y",AZ7="Y",BA7="Y",BB7="Y",BC7="Y",BE7&lt;&gt;"Y",AX7&lt;&gt;"Y",BL7&lt;&gt;"Y",IF(AS7="Y",AV7="Y",TRUE)),"Y","N")</f>
        <v/>
      </c>
      <c r="BS7" s="12">
        <f>IF(AND(BR7="Y",OR(AND(BJ7="Y",BM7="Y"),AND(BK7="Y",BN7="Y"),AND(BJ7&lt;&gt;"Y",BK7&lt;&gt;"Y",OR(BM7="Y",BN7="Y")))),"Y","N")</f>
        <v/>
      </c>
      <c r="BT7" s="10" t="n">
        <v>6</v>
      </c>
      <c r="BU7" s="13" t="n"/>
      <c r="BV7" s="13" t="n"/>
      <c r="BW7" s="13" t="n"/>
      <c r="BX7" s="13" t="n"/>
      <c r="BY7" s="13" t="n"/>
      <c r="BZ7" s="13" t="n"/>
      <c r="CA7" s="14" t="n"/>
      <c r="CB7" s="13" t="n"/>
      <c r="CC7" s="9" t="inlineStr">
        <is>
          <t>construction_type mapped from raw 'NC' to 'New Construction'</t>
        </is>
      </c>
      <c r="CD7" s="9" t="inlineStr">
        <is>
          <t>Ryan Combs</t>
        </is>
      </c>
      <c r="CE7" s="9" t="inlineStr">
        <is>
          <t>(512) 983-0422</t>
        </is>
      </c>
      <c r="CF7" s="9" t="inlineStr">
        <is>
          <t>ryan@crossdevelopment.net</t>
        </is>
      </c>
      <c r="CG7" s="9" t="inlineStr">
        <is>
          <t>Jonathan Coreas</t>
        </is>
      </c>
      <c r="CH7" s="9" t="inlineStr">
        <is>
          <t>(830) 693-8100</t>
        </is>
      </c>
    </row>
    <row r="8">
      <c r="A8" s="8" t="inlineStr">
        <is>
          <t>2025-01-30</t>
        </is>
      </c>
      <c r="B8" s="9" t="inlineStr">
        <is>
          <t>2025-01-30</t>
        </is>
      </c>
      <c r="C8" s="9" t="inlineStr">
        <is>
          <t>25415</t>
        </is>
      </c>
      <c r="D8" s="9" t="n"/>
      <c r="E8" s="9" t="inlineStr">
        <is>
          <t>Seville Apartments</t>
        </is>
      </c>
      <c r="F8" s="9" t="inlineStr">
        <is>
          <t>Beaumont</t>
        </is>
      </c>
      <c r="G8" s="9" t="inlineStr">
        <is>
          <t>Jefferson</t>
        </is>
      </c>
      <c r="H8" s="9" t="n">
        <v>10</v>
      </c>
      <c r="I8" s="9" t="inlineStr">
        <is>
          <t>4325 Crow Road</t>
        </is>
      </c>
      <c r="J8" s="9" t="n">
        <v>77706</v>
      </c>
      <c r="K8" s="8" t="n">
        <v>45665</v>
      </c>
      <c r="L8" s="9" t="inlineStr">
        <is>
          <t>Active</t>
        </is>
      </c>
      <c r="M8" s="8" t="n">
        <v>45757</v>
      </c>
      <c r="N8" s="8" t="n"/>
      <c r="O8" s="8" t="n">
        <v>45667</v>
      </c>
      <c r="P8" s="8" t="n">
        <v>45847</v>
      </c>
      <c r="Q8" s="8" t="n"/>
      <c r="R8" s="9" t="inlineStr">
        <is>
          <t>Acq/Rehab</t>
        </is>
      </c>
      <c r="S8" s="9" t="inlineStr">
        <is>
          <t>Elderly</t>
        </is>
      </c>
      <c r="T8" s="10" t="n">
        <v>90</v>
      </c>
      <c r="U8" s="10" t="n">
        <v>90</v>
      </c>
      <c r="V8" s="9" t="n"/>
      <c r="W8" s="9" t="n"/>
      <c r="X8" s="9" t="inlineStr">
        <is>
          <t>Jefferson County HFC</t>
        </is>
      </c>
      <c r="Y8" s="9" t="inlineStr">
        <is>
          <t>Local HFC</t>
        </is>
      </c>
      <c r="Z8" s="11" t="n">
        <v>10000000</v>
      </c>
      <c r="AA8" s="11" t="n"/>
      <c r="AB8" s="11" t="n">
        <v>645144</v>
      </c>
      <c r="AC8" s="11" t="n"/>
      <c r="AD8" s="11" t="n"/>
      <c r="AE8" s="11" t="n"/>
      <c r="AF8" s="9" t="inlineStr">
        <is>
          <t>N</t>
        </is>
      </c>
      <c r="AG8" s="9" t="inlineStr">
        <is>
          <t>Y</t>
        </is>
      </c>
      <c r="AH8" s="9" t="n"/>
      <c r="AI8" s="9" t="n"/>
      <c r="AJ8" s="8" t="n"/>
      <c r="AK8" s="9" t="n"/>
      <c r="AL8" s="9" t="n"/>
      <c r="AM8" s="9" t="n"/>
      <c r="AN8" s="9" t="n"/>
      <c r="AO8" s="9" t="n"/>
      <c r="AP8" s="9" t="n"/>
      <c r="AQ8" s="9" t="n"/>
      <c r="AR8" s="9" t="n"/>
      <c r="AS8" s="9" t="n"/>
      <c r="AT8" s="8" t="n"/>
      <c r="AU8" s="8" t="n"/>
      <c r="AV8" s="9" t="n"/>
      <c r="AW8" s="8" t="n"/>
      <c r="AX8" s="9" t="n"/>
      <c r="AY8" s="9" t="n"/>
      <c r="AZ8" s="9" t="n"/>
      <c r="BA8" s="9" t="n"/>
      <c r="BB8" s="9" t="n"/>
      <c r="BC8" s="9" t="n"/>
      <c r="BD8" s="9" t="n"/>
      <c r="BE8" s="9" t="n"/>
      <c r="BF8" s="9" t="n"/>
      <c r="BG8" s="9" t="n"/>
      <c r="BH8" s="9" t="n"/>
      <c r="BI8" s="9" t="n"/>
      <c r="BJ8" s="9" t="n"/>
      <c r="BK8" s="9" t="n"/>
      <c r="BL8" s="9" t="n"/>
      <c r="BM8" s="9" t="n"/>
      <c r="BN8" s="9" t="n"/>
      <c r="BO8" s="8" t="n">
        <v>45665</v>
      </c>
      <c r="BP8" s="9" t="inlineStr">
        <is>
          <t>N</t>
        </is>
      </c>
      <c r="BQ8" s="9" t="inlineStr">
        <is>
          <t>Y</t>
        </is>
      </c>
      <c r="BR8" s="12">
        <f>IF(AND(AI8="Y",AK8="Y",AL8="Y",AM8="Y",AY8="Y",AZ8="Y",BA8="Y",BB8="Y",BC8="Y",BE8&lt;&gt;"Y",AX8&lt;&gt;"Y",BL8&lt;&gt;"Y",IF(AS8="Y",AV8="Y",TRUE)),"Y","N")</f>
        <v/>
      </c>
      <c r="BS8" s="12">
        <f>IF(AND(BR8="Y",OR(AND(BJ8="Y",BM8="Y"),AND(BK8="Y",BN8="Y"),AND(BJ8&lt;&gt;"Y",BK8&lt;&gt;"Y",OR(BM8="Y",BN8="Y")))),"Y","N")</f>
        <v/>
      </c>
      <c r="BT8" s="10" t="n">
        <v>10</v>
      </c>
      <c r="BU8" s="13" t="n"/>
      <c r="BV8" s="13" t="n"/>
      <c r="BW8" s="13" t="n"/>
      <c r="BX8" s="13" t="n"/>
      <c r="BY8" s="13" t="n"/>
      <c r="BZ8" s="13" t="n"/>
      <c r="CA8" s="14" t="n"/>
      <c r="CB8" s="13" t="n"/>
      <c r="CC8" s="9" t="n"/>
      <c r="CD8" s="9" t="inlineStr">
        <is>
          <t>Andrew Bennett</t>
        </is>
      </c>
      <c r="CE8" s="9" t="inlineStr">
        <is>
          <t>(720) 749-3206</t>
        </is>
      </c>
      <c r="CF8" s="9" t="inlineStr">
        <is>
          <t>abennett@steelellc.com</t>
        </is>
      </c>
      <c r="CG8" s="9" t="inlineStr">
        <is>
          <t>Jeff Branick</t>
        </is>
      </c>
      <c r="CH8" s="9" t="inlineStr">
        <is>
          <t>(409) 654-6730</t>
        </is>
      </c>
    </row>
    <row r="9">
      <c r="A9" s="8" t="inlineStr">
        <is>
          <t>2025-01-30</t>
        </is>
      </c>
      <c r="B9" s="9" t="inlineStr">
        <is>
          <t>2025-01-30</t>
        </is>
      </c>
      <c r="C9" s="9" t="inlineStr">
        <is>
          <t>25409</t>
        </is>
      </c>
      <c r="D9" s="9" t="inlineStr">
        <is>
          <t>060628</t>
        </is>
      </c>
      <c r="E9" s="9" t="inlineStr">
        <is>
          <t>Lancaster Apartments</t>
        </is>
      </c>
      <c r="F9" s="9" t="inlineStr">
        <is>
          <t>Katy</t>
        </is>
      </c>
      <c r="G9" s="9" t="inlineStr">
        <is>
          <t>Harris</t>
        </is>
      </c>
      <c r="H9" s="9" t="n">
        <v>6</v>
      </c>
      <c r="I9" s="9" t="inlineStr">
        <is>
          <t>20100 Park Row Boulevard</t>
        </is>
      </c>
      <c r="J9" s="9" t="n">
        <v>77449</v>
      </c>
      <c r="K9" s="8" t="n">
        <v>45665</v>
      </c>
      <c r="L9" s="9" t="inlineStr">
        <is>
          <t>Active</t>
        </is>
      </c>
      <c r="M9" s="8" t="n">
        <v>45757</v>
      </c>
      <c r="N9" s="8" t="n"/>
      <c r="O9" s="8" t="n">
        <v>45670</v>
      </c>
      <c r="P9" s="8" t="n">
        <v>45850</v>
      </c>
      <c r="Q9" s="8" t="n"/>
      <c r="R9" s="9" t="inlineStr">
        <is>
          <t>Acq/Rehab</t>
        </is>
      </c>
      <c r="S9" s="9" t="inlineStr">
        <is>
          <t>General</t>
        </is>
      </c>
      <c r="T9" s="10" t="n">
        <v>252</v>
      </c>
      <c r="U9" s="10" t="n">
        <v>252</v>
      </c>
      <c r="V9" s="9" t="n"/>
      <c r="W9" s="9" t="n"/>
      <c r="X9" s="9" t="inlineStr">
        <is>
          <t>HHA Fountainview PFC</t>
        </is>
      </c>
      <c r="Y9" s="9" t="inlineStr">
        <is>
          <t>Other</t>
        </is>
      </c>
      <c r="Z9" s="11" t="n">
        <v>30000000</v>
      </c>
      <c r="AA9" s="11" t="n"/>
      <c r="AB9" s="11" t="n">
        <v>1710060</v>
      </c>
      <c r="AC9" s="11" t="n"/>
      <c r="AD9" s="11" t="n">
        <v>350000</v>
      </c>
      <c r="AE9" s="11" t="n"/>
      <c r="AF9" s="9" t="inlineStr">
        <is>
          <t>N</t>
        </is>
      </c>
      <c r="AG9" s="9" t="inlineStr">
        <is>
          <t>Y</t>
        </is>
      </c>
      <c r="AH9" s="9" t="inlineStr">
        <is>
          <t>Y</t>
        </is>
      </c>
      <c r="AI9" s="9" t="n"/>
      <c r="AJ9" s="8" t="n"/>
      <c r="AK9" s="9" t="n"/>
      <c r="AL9" s="9" t="n"/>
      <c r="AM9" s="9" t="n"/>
      <c r="AN9" s="9" t="n"/>
      <c r="AO9" s="9" t="n"/>
      <c r="AP9" s="9" t="n"/>
      <c r="AQ9" s="9" t="n"/>
      <c r="AR9" s="9" t="n"/>
      <c r="AS9" s="9" t="n"/>
      <c r="AT9" s="8" t="n"/>
      <c r="AU9" s="8" t="n"/>
      <c r="AV9" s="9" t="n"/>
      <c r="AW9" s="8" t="n"/>
      <c r="AX9" s="9" t="n"/>
      <c r="AY9" s="9" t="n"/>
      <c r="AZ9" s="9" t="n"/>
      <c r="BA9" s="9" t="n"/>
      <c r="BB9" s="9" t="n"/>
      <c r="BC9" s="9" t="n"/>
      <c r="BD9" s="9" t="n"/>
      <c r="BE9" s="9" t="n"/>
      <c r="BF9" s="9" t="n"/>
      <c r="BG9" s="9" t="n"/>
      <c r="BH9" s="9" t="n"/>
      <c r="BI9" s="9" t="n"/>
      <c r="BJ9" s="9" t="n"/>
      <c r="BK9" s="9" t="n"/>
      <c r="BL9" s="9" t="n"/>
      <c r="BM9" s="9" t="n"/>
      <c r="BN9" s="9" t="n"/>
      <c r="BO9" s="8" t="n">
        <v>45665</v>
      </c>
      <c r="BP9" s="9" t="inlineStr">
        <is>
          <t>N</t>
        </is>
      </c>
      <c r="BQ9" s="9" t="inlineStr">
        <is>
          <t>Y</t>
        </is>
      </c>
      <c r="BR9" s="12">
        <f>IF(AND(AI9="Y",AK9="Y",AL9="Y",AM9="Y",AY9="Y",AZ9="Y",BA9="Y",BB9="Y",BC9="Y",BE9&lt;&gt;"Y",AX9&lt;&gt;"Y",BL9&lt;&gt;"Y",IF(AS9="Y",AV9="Y",TRUE)),"Y","N")</f>
        <v/>
      </c>
      <c r="BS9" s="12">
        <f>IF(AND(BR9="Y",OR(AND(BJ9="Y",BM9="Y"),AND(BK9="Y",BN9="Y"),AND(BJ9&lt;&gt;"Y",BK9&lt;&gt;"Y",OR(BM9="Y",BN9="Y")))),"Y","N")</f>
        <v/>
      </c>
      <c r="BT9" s="10" t="n">
        <v>7</v>
      </c>
      <c r="BU9" s="13" t="n"/>
      <c r="BV9" s="13" t="n"/>
      <c r="BW9" s="13" t="n"/>
      <c r="BX9" s="13" t="n"/>
      <c r="BY9" s="13" t="n"/>
      <c r="BZ9" s="13" t="n"/>
      <c r="CA9" s="14" t="n"/>
      <c r="CB9" s="13" t="n"/>
      <c r="CC9" s="9" t="n"/>
      <c r="CD9" s="9" t="inlineStr">
        <is>
          <t>Jeremy Bartholomew</t>
        </is>
      </c>
      <c r="CE9" s="9" t="inlineStr">
        <is>
          <t>(713) 334-5514</t>
        </is>
      </c>
      <c r="CF9" s="9" t="inlineStr">
        <is>
          <t>jeremy@resolutioncompanies.com</t>
        </is>
      </c>
      <c r="CG9" s="9" t="inlineStr">
        <is>
          <t>Jennine Hovell-Cox</t>
        </is>
      </c>
      <c r="CH9" s="9" t="inlineStr">
        <is>
          <t>(713) 260-0501</t>
        </is>
      </c>
    </row>
    <row r="10">
      <c r="A10" s="8" t="inlineStr">
        <is>
          <t>2025-01-30</t>
        </is>
      </c>
      <c r="B10" s="9" t="inlineStr">
        <is>
          <t>2025-01-30</t>
        </is>
      </c>
      <c r="C10" s="9" t="inlineStr">
        <is>
          <t>25410</t>
        </is>
      </c>
      <c r="D10" s="9" t="inlineStr">
        <is>
          <t>07433</t>
        </is>
      </c>
      <c r="E10" s="9" t="inlineStr">
        <is>
          <t>Regency Park</t>
        </is>
      </c>
      <c r="F10" s="9" t="inlineStr">
        <is>
          <t>Houston</t>
        </is>
      </c>
      <c r="G10" s="9" t="inlineStr">
        <is>
          <t>Harris</t>
        </is>
      </c>
      <c r="H10" s="9" t="n">
        <v>6</v>
      </c>
      <c r="I10" s="9" t="inlineStr">
        <is>
          <t>10600 Southown Trace Trail</t>
        </is>
      </c>
      <c r="J10" s="9" t="n">
        <v>77034</v>
      </c>
      <c r="K10" s="8" t="n">
        <v>45665</v>
      </c>
      <c r="L10" s="9" t="inlineStr">
        <is>
          <t>Active</t>
        </is>
      </c>
      <c r="M10" s="8" t="n">
        <v>45757</v>
      </c>
      <c r="N10" s="8" t="n"/>
      <c r="O10" s="8" t="n">
        <v>45670</v>
      </c>
      <c r="P10" s="8" t="n">
        <v>45850</v>
      </c>
      <c r="Q10" s="8" t="n"/>
      <c r="R10" s="9" t="inlineStr">
        <is>
          <t>Acq/Rehab</t>
        </is>
      </c>
      <c r="S10" s="9" t="inlineStr">
        <is>
          <t>General</t>
        </is>
      </c>
      <c r="T10" s="10" t="n">
        <v>252</v>
      </c>
      <c r="U10" s="10" t="n">
        <v>252</v>
      </c>
      <c r="V10" s="9" t="n"/>
      <c r="W10" s="9" t="n"/>
      <c r="X10" s="9" t="inlineStr">
        <is>
          <t>HHA Fountainview PFC</t>
        </is>
      </c>
      <c r="Y10" s="9" t="inlineStr">
        <is>
          <t>Other</t>
        </is>
      </c>
      <c r="Z10" s="11" t="n">
        <v>30000000</v>
      </c>
      <c r="AA10" s="11" t="n"/>
      <c r="AB10" s="11" t="n">
        <v>1408353</v>
      </c>
      <c r="AC10" s="11" t="n"/>
      <c r="AD10" s="11" t="n">
        <v>470000</v>
      </c>
      <c r="AE10" s="11" t="n"/>
      <c r="AF10" s="9" t="inlineStr">
        <is>
          <t>N</t>
        </is>
      </c>
      <c r="AG10" s="9" t="inlineStr">
        <is>
          <t>Y</t>
        </is>
      </c>
      <c r="AH10" s="9" t="inlineStr">
        <is>
          <t>Y</t>
        </is>
      </c>
      <c r="AI10" s="9" t="n"/>
      <c r="AJ10" s="8" t="n"/>
      <c r="AK10" s="9" t="n"/>
      <c r="AL10" s="9" t="n"/>
      <c r="AM10" s="9" t="n"/>
      <c r="AN10" s="9" t="n"/>
      <c r="AO10" s="9" t="n"/>
      <c r="AP10" s="9" t="n"/>
      <c r="AQ10" s="9" t="n"/>
      <c r="AR10" s="9" t="n"/>
      <c r="AS10" s="9" t="n"/>
      <c r="AT10" s="8" t="n"/>
      <c r="AU10" s="8" t="n"/>
      <c r="AV10" s="9" t="n"/>
      <c r="AW10" s="8" t="n"/>
      <c r="AX10" s="9" t="n"/>
      <c r="AY10" s="9" t="n"/>
      <c r="AZ10" s="9" t="n"/>
      <c r="BA10" s="9" t="n"/>
      <c r="BB10" s="9" t="n"/>
      <c r="BC10" s="9" t="n"/>
      <c r="BD10" s="9" t="n"/>
      <c r="BE10" s="9" t="n"/>
      <c r="BF10" s="9" t="n"/>
      <c r="BG10" s="9" t="n"/>
      <c r="BH10" s="9" t="n"/>
      <c r="BI10" s="9" t="n"/>
      <c r="BJ10" s="9" t="n"/>
      <c r="BK10" s="9" t="n"/>
      <c r="BL10" s="9" t="n"/>
      <c r="BM10" s="9" t="n"/>
      <c r="BN10" s="9" t="n"/>
      <c r="BO10" s="8" t="n">
        <v>45665</v>
      </c>
      <c r="BP10" s="9" t="inlineStr">
        <is>
          <t>N</t>
        </is>
      </c>
      <c r="BQ10" s="9" t="inlineStr">
        <is>
          <t>Y</t>
        </is>
      </c>
      <c r="BR10" s="12">
        <f>IF(AND(AI10="Y",AK10="Y",AL10="Y",AM10="Y",AY10="Y",AZ10="Y",BA10="Y",BB10="Y",BC10="Y",BE10&lt;&gt;"Y",AX10&lt;&gt;"Y",BL10&lt;&gt;"Y",IF(AS10="Y",AV10="Y",TRUE)),"Y","N")</f>
        <v/>
      </c>
      <c r="BS10" s="12">
        <f>IF(AND(BR10="Y",OR(AND(BJ10="Y",BM10="Y"),AND(BK10="Y",BN10="Y"),AND(BJ10&lt;&gt;"Y",BK10&lt;&gt;"Y",OR(BM10="Y",BN10="Y")))),"Y","N")</f>
        <v/>
      </c>
      <c r="BT10" s="10" t="n">
        <v>8</v>
      </c>
      <c r="BU10" s="13" t="n"/>
      <c r="BV10" s="13" t="n"/>
      <c r="BW10" s="13" t="n"/>
      <c r="BX10" s="13" t="n"/>
      <c r="BY10" s="13" t="n"/>
      <c r="BZ10" s="13" t="n"/>
      <c r="CA10" s="14" t="n"/>
      <c r="CB10" s="13" t="n"/>
      <c r="CC10" s="9" t="n"/>
      <c r="CD10" s="9" t="inlineStr">
        <is>
          <t>Jeremy Bartholomew</t>
        </is>
      </c>
      <c r="CE10" s="9" t="inlineStr">
        <is>
          <t>(713) 334-5514</t>
        </is>
      </c>
      <c r="CF10" s="9" t="inlineStr">
        <is>
          <t>jeremy@resolutioncompanies.com</t>
        </is>
      </c>
      <c r="CG10" s="9" t="inlineStr">
        <is>
          <t>Jennine Hovell-Cox</t>
        </is>
      </c>
      <c r="CH10" s="9" t="inlineStr">
        <is>
          <t>(713) 260-0501</t>
        </is>
      </c>
    </row>
    <row r="11">
      <c r="A11" s="8" t="inlineStr">
        <is>
          <t>2025-01-30</t>
        </is>
      </c>
      <c r="B11" s="9" t="inlineStr">
        <is>
          <t>2025-01-30</t>
        </is>
      </c>
      <c r="C11" s="9" t="inlineStr">
        <is>
          <t>25411</t>
        </is>
      </c>
      <c r="D11" s="9" t="inlineStr">
        <is>
          <t>01456</t>
        </is>
      </c>
      <c r="E11" s="9" t="inlineStr">
        <is>
          <t>Sugar Creek</t>
        </is>
      </c>
      <c r="F11" s="9" t="inlineStr">
        <is>
          <t>Houston</t>
        </is>
      </c>
      <c r="G11" s="9" t="inlineStr">
        <is>
          <t>Harris</t>
        </is>
      </c>
      <c r="H11" s="9" t="n">
        <v>6</v>
      </c>
      <c r="I11" s="9" t="inlineStr">
        <is>
          <t>11501 West Road</t>
        </is>
      </c>
      <c r="J11" s="9" t="n">
        <v>77065</v>
      </c>
      <c r="K11" s="8" t="n">
        <v>45665</v>
      </c>
      <c r="L11" s="9" t="inlineStr">
        <is>
          <t>Active</t>
        </is>
      </c>
      <c r="M11" s="8" t="n">
        <v>45757</v>
      </c>
      <c r="N11" s="8" t="n"/>
      <c r="O11" s="8" t="n">
        <v>45672</v>
      </c>
      <c r="P11" s="8" t="n">
        <v>45852</v>
      </c>
      <c r="Q11" s="8" t="n"/>
      <c r="R11" s="9" t="inlineStr">
        <is>
          <t>Acq/Rehab</t>
        </is>
      </c>
      <c r="S11" s="9" t="inlineStr">
        <is>
          <t>General</t>
        </is>
      </c>
      <c r="T11" s="10" t="n">
        <v>240</v>
      </c>
      <c r="U11" s="10" t="n">
        <v>240</v>
      </c>
      <c r="V11" s="9" t="n"/>
      <c r="W11" s="9" t="n"/>
      <c r="X11" s="9" t="inlineStr">
        <is>
          <t>HHA Fountainview PFC</t>
        </is>
      </c>
      <c r="Y11" s="9" t="inlineStr">
        <is>
          <t>Other</t>
        </is>
      </c>
      <c r="Z11" s="11" t="n">
        <v>28000000</v>
      </c>
      <c r="AA11" s="11" t="n"/>
      <c r="AB11" s="11" t="n">
        <v>1442123</v>
      </c>
      <c r="AC11" s="11" t="n"/>
      <c r="AD11" s="11" t="n"/>
      <c r="AE11" s="11" t="n"/>
      <c r="AF11" s="9" t="inlineStr">
        <is>
          <t>N</t>
        </is>
      </c>
      <c r="AG11" s="9" t="inlineStr">
        <is>
          <t>Y</t>
        </is>
      </c>
      <c r="AH11" s="9" t="inlineStr">
        <is>
          <t>Y</t>
        </is>
      </c>
      <c r="AI11" s="9" t="n"/>
      <c r="AJ11" s="8" t="n"/>
      <c r="AK11" s="9" t="n"/>
      <c r="AL11" s="9" t="n"/>
      <c r="AM11" s="9" t="n"/>
      <c r="AN11" s="9" t="n"/>
      <c r="AO11" s="9" t="n"/>
      <c r="AP11" s="9" t="n"/>
      <c r="AQ11" s="9" t="n"/>
      <c r="AR11" s="9" t="n"/>
      <c r="AS11" s="9" t="n"/>
      <c r="AT11" s="8" t="n"/>
      <c r="AU11" s="8" t="n"/>
      <c r="AV11" s="9" t="n"/>
      <c r="AW11" s="8" t="n"/>
      <c r="AX11" s="9" t="n"/>
      <c r="AY11" s="9" t="n"/>
      <c r="AZ11" s="9" t="n"/>
      <c r="BA11" s="9" t="n"/>
      <c r="BB11" s="9" t="n"/>
      <c r="BC11" s="9" t="n"/>
      <c r="BD11" s="9" t="n"/>
      <c r="BE11" s="9" t="n"/>
      <c r="BF11" s="9" t="n"/>
      <c r="BG11" s="9" t="n"/>
      <c r="BH11" s="9" t="n"/>
      <c r="BI11" s="9" t="n"/>
      <c r="BJ11" s="9" t="n"/>
      <c r="BK11" s="9" t="n"/>
      <c r="BL11" s="9" t="n"/>
      <c r="BM11" s="9" t="n"/>
      <c r="BN11" s="9" t="n"/>
      <c r="BO11" s="8" t="n">
        <v>45665</v>
      </c>
      <c r="BP11" s="9" t="inlineStr">
        <is>
          <t>N</t>
        </is>
      </c>
      <c r="BQ11" s="9" t="inlineStr">
        <is>
          <t>Y</t>
        </is>
      </c>
      <c r="BR11" s="12">
        <f>IF(AND(AI11="Y",AK11="Y",AL11="Y",AM11="Y",AY11="Y",AZ11="Y",BA11="Y",BB11="Y",BC11="Y",BE11&lt;&gt;"Y",AX11&lt;&gt;"Y",BL11&lt;&gt;"Y",IF(AS11="Y",AV11="Y",TRUE)),"Y","N")</f>
        <v/>
      </c>
      <c r="BS11" s="12">
        <f>IF(AND(BR11="Y",OR(AND(BJ11="Y",BM11="Y"),AND(BK11="Y",BN11="Y"),AND(BJ11&lt;&gt;"Y",BK11&lt;&gt;"Y",OR(BM11="Y",BN11="Y")))),"Y","N")</f>
        <v/>
      </c>
      <c r="BT11" s="10" t="n">
        <v>9</v>
      </c>
      <c r="BU11" s="13" t="n"/>
      <c r="BV11" s="13" t="n"/>
      <c r="BW11" s="13" t="n"/>
      <c r="BX11" s="13" t="n"/>
      <c r="BY11" s="13" t="n"/>
      <c r="BZ11" s="13" t="n"/>
      <c r="CA11" s="14" t="n"/>
      <c r="CB11" s="13" t="n"/>
      <c r="CC11" s="9" t="n"/>
      <c r="CD11" s="9" t="inlineStr">
        <is>
          <t>Jeremy Bartholomew</t>
        </is>
      </c>
      <c r="CE11" s="9" t="inlineStr">
        <is>
          <t>(713) 334-5514</t>
        </is>
      </c>
      <c r="CF11" s="9" t="inlineStr">
        <is>
          <t>jeremy@resolutioncompanies.com</t>
        </is>
      </c>
      <c r="CG11" s="9" t="inlineStr">
        <is>
          <t>Jennine Hovell-Cox</t>
        </is>
      </c>
      <c r="CH11" s="9" t="inlineStr">
        <is>
          <t>(713) 260-0501</t>
        </is>
      </c>
    </row>
    <row r="12">
      <c r="A12" s="8" t="inlineStr">
        <is>
          <t>2025-01-30</t>
        </is>
      </c>
      <c r="B12" s="9" t="inlineStr">
        <is>
          <t>2025-01-30</t>
        </is>
      </c>
      <c r="C12" s="9" t="inlineStr">
        <is>
          <t>25433</t>
        </is>
      </c>
      <c r="D12" s="9" t="n"/>
      <c r="E12" s="9" t="inlineStr">
        <is>
          <t>Brady Village</t>
        </is>
      </c>
      <c r="F12" s="9" t="inlineStr">
        <is>
          <t>Lancaster</t>
        </is>
      </c>
      <c r="G12" s="9" t="inlineStr">
        <is>
          <t>Dallas</t>
        </is>
      </c>
      <c r="H12" s="9" t="n">
        <v>3</v>
      </c>
      <c r="I12" s="9" t="inlineStr">
        <is>
          <t>Brady Drive and McKinney Drive</t>
        </is>
      </c>
      <c r="J12" s="9" t="n">
        <v>75146</v>
      </c>
      <c r="K12" s="8" t="n">
        <v>45666</v>
      </c>
      <c r="L12" s="9" t="inlineStr">
        <is>
          <t>Active</t>
        </is>
      </c>
      <c r="M12" s="8" t="n">
        <v>45757</v>
      </c>
      <c r="N12" s="8" t="n"/>
      <c r="O12" s="8" t="n">
        <v>45667</v>
      </c>
      <c r="P12" s="8" t="n">
        <v>45847</v>
      </c>
      <c r="Q12" s="8" t="n"/>
      <c r="R12" s="9" t="inlineStr">
        <is>
          <t>Acq/Rehab</t>
        </is>
      </c>
      <c r="S12" s="9" t="inlineStr">
        <is>
          <t>General</t>
        </is>
      </c>
      <c r="T12" s="10" t="n">
        <v>60</v>
      </c>
      <c r="U12" s="10" t="n">
        <v>60</v>
      </c>
      <c r="V12" s="9" t="n"/>
      <c r="W12" s="9" t="n"/>
      <c r="X12" s="9" t="inlineStr">
        <is>
          <t>Texas Home Collaborative</t>
        </is>
      </c>
      <c r="Y12" s="9" t="inlineStr">
        <is>
          <t>Other</t>
        </is>
      </c>
      <c r="Z12" s="11" t="n">
        <v>25000000</v>
      </c>
      <c r="AA12" s="11" t="n"/>
      <c r="AB12" s="11" t="n">
        <v>752709</v>
      </c>
      <c r="AC12" s="11" t="n"/>
      <c r="AD12" s="11" t="n"/>
      <c r="AE12" s="11" t="n"/>
      <c r="AF12" s="9" t="inlineStr">
        <is>
          <t>N</t>
        </is>
      </c>
      <c r="AG12" s="9" t="inlineStr">
        <is>
          <t>N</t>
        </is>
      </c>
      <c r="AH12" s="9" t="n"/>
      <c r="AI12" s="9" t="n"/>
      <c r="AJ12" s="8" t="n"/>
      <c r="AK12" s="9" t="n"/>
      <c r="AL12" s="9" t="n"/>
      <c r="AM12" s="9" t="n"/>
      <c r="AN12" s="9" t="n"/>
      <c r="AO12" s="9" t="n"/>
      <c r="AP12" s="9" t="n"/>
      <c r="AQ12" s="9" t="n"/>
      <c r="AR12" s="9" t="n"/>
      <c r="AS12" s="9" t="n"/>
      <c r="AT12" s="8" t="n"/>
      <c r="AU12" s="8" t="n"/>
      <c r="AV12" s="9" t="n"/>
      <c r="AW12" s="8" t="n"/>
      <c r="AX12" s="9" t="n"/>
      <c r="AY12" s="9" t="n"/>
      <c r="AZ12" s="9" t="n"/>
      <c r="BA12" s="9" t="n"/>
      <c r="BB12" s="9" t="n"/>
      <c r="BC12" s="9" t="n"/>
      <c r="BD12" s="9" t="n"/>
      <c r="BE12" s="9" t="n"/>
      <c r="BF12" s="9" t="n"/>
      <c r="BG12" s="9" t="n"/>
      <c r="BH12" s="9" t="n"/>
      <c r="BI12" s="9" t="n"/>
      <c r="BJ12" s="9" t="n"/>
      <c r="BK12" s="9" t="n"/>
      <c r="BL12" s="9" t="n"/>
      <c r="BM12" s="9" t="n"/>
      <c r="BN12" s="9" t="n"/>
      <c r="BO12" s="8" t="n">
        <v>45666</v>
      </c>
      <c r="BP12" s="9" t="inlineStr">
        <is>
          <t>N</t>
        </is>
      </c>
      <c r="BQ12" s="9" t="inlineStr">
        <is>
          <t>Y</t>
        </is>
      </c>
      <c r="BR12" s="12">
        <f>IF(AND(AI12="Y",AK12="Y",AL12="Y",AM12="Y",AY12="Y",AZ12="Y",BA12="Y",BB12="Y",BC12="Y",BE12&lt;&gt;"Y",AX12&lt;&gt;"Y",BL12&lt;&gt;"Y",IF(AS12="Y",AV12="Y",TRUE)),"Y","N")</f>
        <v/>
      </c>
      <c r="BS12" s="12">
        <f>IF(AND(BR12="Y",OR(AND(BJ12="Y",BM12="Y"),AND(BK12="Y",BN12="Y"),AND(BJ12&lt;&gt;"Y",BK12&lt;&gt;"Y",OR(BM12="Y",BN12="Y")))),"Y","N")</f>
        <v/>
      </c>
      <c r="BT12" s="10" t="n">
        <v>11</v>
      </c>
      <c r="BU12" s="13" t="n"/>
      <c r="BV12" s="13" t="n"/>
      <c r="BW12" s="13" t="n"/>
      <c r="BX12" s="13" t="n"/>
      <c r="BY12" s="13" t="n"/>
      <c r="BZ12" s="13" t="n"/>
      <c r="CA12" s="14" t="n"/>
      <c r="CB12" s="13" t="n"/>
      <c r="CC12" s="9" t="n"/>
      <c r="CD12" s="9" t="inlineStr">
        <is>
          <t>Melissa Fisher</t>
        </is>
      </c>
      <c r="CE12" s="9" t="inlineStr">
        <is>
          <t>(972) 701-5555</t>
        </is>
      </c>
      <c r="CF12" s="9" t="inlineStr">
        <is>
          <t>mfisher@rise-residential.com</t>
        </is>
      </c>
      <c r="CG12" s="9" t="inlineStr">
        <is>
          <t>Antonio Williams</t>
        </is>
      </c>
      <c r="CH12" s="9" t="inlineStr">
        <is>
          <t>(903) 276-7557</t>
        </is>
      </c>
    </row>
    <row r="13">
      <c r="A13" s="8" t="inlineStr">
        <is>
          <t>2025-01-30</t>
        </is>
      </c>
      <c r="B13" s="9" t="inlineStr">
        <is>
          <t>2025-01-30</t>
        </is>
      </c>
      <c r="C13" s="9" t="inlineStr">
        <is>
          <t>25434</t>
        </is>
      </c>
      <c r="D13" s="9" t="n">
        <v>9989</v>
      </c>
      <c r="E13" s="9" t="inlineStr">
        <is>
          <t>Seaport Village</t>
        </is>
      </c>
      <c r="F13" s="9" t="inlineStr">
        <is>
          <t>Galveston</t>
        </is>
      </c>
      <c r="G13" s="9" t="inlineStr">
        <is>
          <t>Galveston</t>
        </is>
      </c>
      <c r="H13" s="9" t="n">
        <v>6</v>
      </c>
      <c r="I13" s="9" t="inlineStr">
        <is>
          <t>7200 Heards Lane</t>
        </is>
      </c>
      <c r="J13" s="9" t="n">
        <v>77551</v>
      </c>
      <c r="K13" s="8" t="n">
        <v>45666</v>
      </c>
      <c r="L13" s="9" t="inlineStr">
        <is>
          <t>Active</t>
        </is>
      </c>
      <c r="M13" s="8" t="n">
        <v>45757</v>
      </c>
      <c r="N13" s="8" t="n"/>
      <c r="O13" s="8" t="n">
        <v>45667</v>
      </c>
      <c r="P13" s="8" t="n">
        <v>45847</v>
      </c>
      <c r="Q13" s="8" t="n"/>
      <c r="R13" s="9" t="inlineStr">
        <is>
          <t>Acq/Rehab</t>
        </is>
      </c>
      <c r="S13" s="9" t="inlineStr">
        <is>
          <t>General</t>
        </is>
      </c>
      <c r="T13" s="10" t="n">
        <v>192</v>
      </c>
      <c r="U13" s="10" t="n">
        <v>192</v>
      </c>
      <c r="V13" s="9" t="n"/>
      <c r="W13" s="9" t="n"/>
      <c r="X13" s="9" t="inlineStr">
        <is>
          <t>Texas Home Collaborative</t>
        </is>
      </c>
      <c r="Y13" s="9" t="inlineStr">
        <is>
          <t>Other</t>
        </is>
      </c>
      <c r="Z13" s="11" t="n">
        <v>25000000</v>
      </c>
      <c r="AA13" s="11" t="n"/>
      <c r="AB13" s="11" t="n">
        <v>1267031</v>
      </c>
      <c r="AC13" s="11" t="n"/>
      <c r="AD13" s="11" t="n"/>
      <c r="AE13" s="11" t="n"/>
      <c r="AF13" s="9" t="inlineStr">
        <is>
          <t>N</t>
        </is>
      </c>
      <c r="AG13" s="9" t="inlineStr">
        <is>
          <t>N</t>
        </is>
      </c>
      <c r="AH13" s="9" t="n"/>
      <c r="AI13" s="9" t="n"/>
      <c r="AJ13" s="8" t="n"/>
      <c r="AK13" s="9" t="n"/>
      <c r="AL13" s="9" t="n"/>
      <c r="AM13" s="9" t="n"/>
      <c r="AN13" s="9" t="n"/>
      <c r="AO13" s="9" t="n"/>
      <c r="AP13" s="9" t="n"/>
      <c r="AQ13" s="9" t="n"/>
      <c r="AR13" s="9" t="n"/>
      <c r="AS13" s="9" t="n"/>
      <c r="AT13" s="8" t="n"/>
      <c r="AU13" s="8" t="n"/>
      <c r="AV13" s="9" t="n"/>
      <c r="AW13" s="8" t="n"/>
      <c r="AX13" s="9" t="n"/>
      <c r="AY13" s="9" t="n"/>
      <c r="AZ13" s="9" t="n"/>
      <c r="BA13" s="9" t="n"/>
      <c r="BB13" s="9" t="n"/>
      <c r="BC13" s="9" t="n"/>
      <c r="BD13" s="9" t="n"/>
      <c r="BE13" s="9" t="n"/>
      <c r="BF13" s="9" t="n"/>
      <c r="BG13" s="9" t="n"/>
      <c r="BH13" s="9" t="n"/>
      <c r="BI13" s="9" t="n"/>
      <c r="BJ13" s="9" t="n"/>
      <c r="BK13" s="9" t="n"/>
      <c r="BL13" s="9" t="n"/>
      <c r="BM13" s="9" t="n"/>
      <c r="BN13" s="9" t="n"/>
      <c r="BO13" s="8" t="n">
        <v>45666</v>
      </c>
      <c r="BP13" s="9" t="inlineStr">
        <is>
          <t>N</t>
        </is>
      </c>
      <c r="BQ13" s="9" t="inlineStr">
        <is>
          <t>Y</t>
        </is>
      </c>
      <c r="BR13" s="12">
        <f>IF(AND(AI13="Y",AK13="Y",AL13="Y",AM13="Y",AY13="Y",AZ13="Y",BA13="Y",BB13="Y",BC13="Y",BE13&lt;&gt;"Y",AX13&lt;&gt;"Y",BL13&lt;&gt;"Y",IF(AS13="Y",AV13="Y",TRUE)),"Y","N")</f>
        <v/>
      </c>
      <c r="BS13" s="12">
        <f>IF(AND(BR13="Y",OR(AND(BJ13="Y",BM13="Y"),AND(BK13="Y",BN13="Y"),AND(BJ13&lt;&gt;"Y",BK13&lt;&gt;"Y",OR(BM13="Y",BN13="Y")))),"Y","N")</f>
        <v/>
      </c>
      <c r="BT13" s="10" t="n">
        <v>12</v>
      </c>
      <c r="BU13" s="13" t="n"/>
      <c r="BV13" s="13" t="n"/>
      <c r="BW13" s="13" t="n"/>
      <c r="BX13" s="13" t="n"/>
      <c r="BY13" s="13" t="n"/>
      <c r="BZ13" s="13" t="n"/>
      <c r="CA13" s="14" t="n"/>
      <c r="CB13" s="13" t="n"/>
      <c r="CC13" s="9" t="n"/>
      <c r="CD13" s="9" t="inlineStr">
        <is>
          <t>Bill Fisher</t>
        </is>
      </c>
      <c r="CE13" s="9" t="inlineStr">
        <is>
          <t>(214) 608-7201</t>
        </is>
      </c>
      <c r="CF13" s="9" t="inlineStr">
        <is>
          <t>bill.fisher@sonomaadvisors.com</t>
        </is>
      </c>
      <c r="CG13" s="9" t="inlineStr">
        <is>
          <t>Antonio Williams</t>
        </is>
      </c>
      <c r="CH13" s="9" t="inlineStr">
        <is>
          <t>(903) 276-7557</t>
        </is>
      </c>
    </row>
    <row r="14">
      <c r="A14" s="8" t="inlineStr">
        <is>
          <t>2025-01-30</t>
        </is>
      </c>
      <c r="B14" s="9" t="inlineStr">
        <is>
          <t>2025-01-30</t>
        </is>
      </c>
      <c r="C14" s="9" t="inlineStr">
        <is>
          <t>25435</t>
        </is>
      </c>
      <c r="D14" s="9" t="n"/>
      <c r="E14" s="9" t="inlineStr">
        <is>
          <t>Sienna Villas</t>
        </is>
      </c>
      <c r="F14" s="9" t="inlineStr">
        <is>
          <t>Freeport</t>
        </is>
      </c>
      <c r="G14" s="9" t="inlineStr">
        <is>
          <t>Brazoria</t>
        </is>
      </c>
      <c r="H14" s="9" t="n">
        <v>6</v>
      </c>
      <c r="I14" s="9" t="inlineStr">
        <is>
          <t>902 North Avenue J</t>
        </is>
      </c>
      <c r="J14" s="9" t="n">
        <v>77541</v>
      </c>
      <c r="K14" s="8" t="n">
        <v>45666</v>
      </c>
      <c r="L14" s="9" t="inlineStr">
        <is>
          <t>Active</t>
        </is>
      </c>
      <c r="M14" s="8" t="n">
        <v>45757</v>
      </c>
      <c r="N14" s="8" t="n"/>
      <c r="O14" s="8" t="n">
        <v>45667</v>
      </c>
      <c r="P14" s="8" t="n">
        <v>45847</v>
      </c>
      <c r="Q14" s="8" t="n"/>
      <c r="R14" s="9" t="inlineStr">
        <is>
          <t>Acq/Rehab</t>
        </is>
      </c>
      <c r="S14" s="9" t="inlineStr">
        <is>
          <t>General</t>
        </is>
      </c>
      <c r="T14" s="10" t="n">
        <v>156</v>
      </c>
      <c r="U14" s="10" t="n">
        <v>156</v>
      </c>
      <c r="V14" s="9" t="n"/>
      <c r="W14" s="9" t="n"/>
      <c r="X14" s="9" t="inlineStr">
        <is>
          <t>Texas Home Collaborative</t>
        </is>
      </c>
      <c r="Y14" s="9" t="inlineStr">
        <is>
          <t>Other</t>
        </is>
      </c>
      <c r="Z14" s="11" t="n">
        <v>20000000</v>
      </c>
      <c r="AA14" s="11" t="n"/>
      <c r="AB14" s="11" t="n">
        <v>1183699</v>
      </c>
      <c r="AC14" s="11" t="n"/>
      <c r="AD14" s="11" t="n"/>
      <c r="AE14" s="11" t="n"/>
      <c r="AF14" s="9" t="inlineStr">
        <is>
          <t>N</t>
        </is>
      </c>
      <c r="AG14" s="9" t="inlineStr">
        <is>
          <t>N</t>
        </is>
      </c>
      <c r="AH14" s="9" t="n"/>
      <c r="AI14" s="9" t="n"/>
      <c r="AJ14" s="8" t="n"/>
      <c r="AK14" s="9" t="n"/>
      <c r="AL14" s="9" t="n"/>
      <c r="AM14" s="9" t="n"/>
      <c r="AN14" s="9" t="n"/>
      <c r="AO14" s="9" t="n"/>
      <c r="AP14" s="9" t="n"/>
      <c r="AQ14" s="9" t="n"/>
      <c r="AR14" s="9" t="n"/>
      <c r="AS14" s="9" t="n"/>
      <c r="AT14" s="8" t="n"/>
      <c r="AU14" s="8" t="n"/>
      <c r="AV14" s="9" t="n"/>
      <c r="AW14" s="8" t="n"/>
      <c r="AX14" s="9" t="n"/>
      <c r="AY14" s="9" t="n"/>
      <c r="AZ14" s="9" t="n"/>
      <c r="BA14" s="9" t="n"/>
      <c r="BB14" s="9" t="n"/>
      <c r="BC14" s="9" t="n"/>
      <c r="BD14" s="9" t="n"/>
      <c r="BE14" s="9" t="n"/>
      <c r="BF14" s="9" t="n"/>
      <c r="BG14" s="9" t="n"/>
      <c r="BH14" s="9" t="n"/>
      <c r="BI14" s="9" t="n"/>
      <c r="BJ14" s="9" t="n"/>
      <c r="BK14" s="9" t="n"/>
      <c r="BL14" s="9" t="n"/>
      <c r="BM14" s="9" t="n"/>
      <c r="BN14" s="9" t="n"/>
      <c r="BO14" s="8" t="n">
        <v>45666</v>
      </c>
      <c r="BP14" s="9" t="inlineStr">
        <is>
          <t>N</t>
        </is>
      </c>
      <c r="BQ14" s="9" t="inlineStr">
        <is>
          <t>Y</t>
        </is>
      </c>
      <c r="BR14" s="12">
        <f>IF(AND(AI14="Y",AK14="Y",AL14="Y",AM14="Y",AY14="Y",AZ14="Y",BA14="Y",BB14="Y",BC14="Y",BE14&lt;&gt;"Y",AX14&lt;&gt;"Y",BL14&lt;&gt;"Y",IF(AS14="Y",AV14="Y",TRUE)),"Y","N")</f>
        <v/>
      </c>
      <c r="BS14" s="12">
        <f>IF(AND(BR14="Y",OR(AND(BJ14="Y",BM14="Y"),AND(BK14="Y",BN14="Y"),AND(BJ14&lt;&gt;"Y",BK14&lt;&gt;"Y",OR(BM14="Y",BN14="Y")))),"Y","N")</f>
        <v/>
      </c>
      <c r="BT14" s="10" t="n">
        <v>13</v>
      </c>
      <c r="BU14" s="13" t="n"/>
      <c r="BV14" s="13" t="n"/>
      <c r="BW14" s="13" t="n"/>
      <c r="BX14" s="13" t="n"/>
      <c r="BY14" s="13" t="n"/>
      <c r="BZ14" s="13" t="n"/>
      <c r="CA14" s="14" t="n"/>
      <c r="CB14" s="13" t="n"/>
      <c r="CC14" s="9" t="n"/>
      <c r="CD14" s="9" t="inlineStr">
        <is>
          <t>Bill Fisher</t>
        </is>
      </c>
      <c r="CE14" s="9" t="inlineStr">
        <is>
          <t>(214) 608-7201</t>
        </is>
      </c>
      <c r="CF14" s="9" t="inlineStr">
        <is>
          <t>bill.fisher@sonomaadvisors.com</t>
        </is>
      </c>
      <c r="CG14" s="9" t="inlineStr">
        <is>
          <t>Antonio Williams</t>
        </is>
      </c>
      <c r="CH14" s="9" t="inlineStr">
        <is>
          <t>(903) 276-7557</t>
        </is>
      </c>
    </row>
    <row r="15">
      <c r="A15" s="8" t="inlineStr">
        <is>
          <t>2025-01-30</t>
        </is>
      </c>
      <c r="B15" s="9" t="inlineStr">
        <is>
          <t>2025-01-30</t>
        </is>
      </c>
      <c r="C15" s="9" t="inlineStr">
        <is>
          <t>25441</t>
        </is>
      </c>
      <c r="D15" s="9" t="n">
        <v>24445</v>
      </c>
      <c r="E15" s="9" t="inlineStr">
        <is>
          <t>Aureus at Whisper Hills</t>
        </is>
      </c>
      <c r="F15" s="9" t="inlineStr">
        <is>
          <t>San Marcos</t>
        </is>
      </c>
      <c r="G15" s="9" t="inlineStr">
        <is>
          <t>Hays</t>
        </is>
      </c>
      <c r="H15" s="9" t="n">
        <v>7</v>
      </c>
      <c r="I15" s="9" t="inlineStr">
        <is>
          <t>538 Celebration Way</t>
        </is>
      </c>
      <c r="J15" s="9" t="n">
        <v>78666</v>
      </c>
      <c r="K15" s="8" t="n">
        <v>45667</v>
      </c>
      <c r="L15" s="9" t="inlineStr">
        <is>
          <t>Active</t>
        </is>
      </c>
      <c r="M15" s="8" t="n">
        <v>45785</v>
      </c>
      <c r="N15" s="8" t="n"/>
      <c r="O15" s="8" t="n">
        <v>45671</v>
      </c>
      <c r="P15" s="8" t="n">
        <v>45851</v>
      </c>
      <c r="Q15" s="8" t="n"/>
      <c r="R15" s="9" t="inlineStr">
        <is>
          <t>New Construction</t>
        </is>
      </c>
      <c r="S15" s="9" t="inlineStr">
        <is>
          <t>Elderly</t>
        </is>
      </c>
      <c r="T15" s="10" t="n">
        <v>267</v>
      </c>
      <c r="U15" s="10" t="n">
        <v>267</v>
      </c>
      <c r="V15" s="9" t="n"/>
      <c r="W15" s="9" t="n"/>
      <c r="X15" s="9" t="inlineStr">
        <is>
          <t>SMHA Finance PFC</t>
        </is>
      </c>
      <c r="Y15" s="9" t="inlineStr">
        <is>
          <t>Other</t>
        </is>
      </c>
      <c r="Z15" s="11" t="n">
        <v>40000000</v>
      </c>
      <c r="AA15" s="11" t="n"/>
      <c r="AB15" s="11" t="n">
        <v>2915592</v>
      </c>
      <c r="AC15" s="11" t="n"/>
      <c r="AD15" s="11" t="n"/>
      <c r="AE15" s="11" t="n"/>
      <c r="AF15" s="9" t="inlineStr">
        <is>
          <t>N</t>
        </is>
      </c>
      <c r="AG15" s="9" t="inlineStr">
        <is>
          <t>Y</t>
        </is>
      </c>
      <c r="AH15" s="9" t="inlineStr">
        <is>
          <t>Y</t>
        </is>
      </c>
      <c r="AI15" s="9" t="n"/>
      <c r="AJ15" s="8" t="n"/>
      <c r="AK15" s="9" t="n"/>
      <c r="AL15" s="9" t="n"/>
      <c r="AM15" s="9" t="n"/>
      <c r="AN15" s="9" t="n"/>
      <c r="AO15" s="9" t="n"/>
      <c r="AP15" s="9" t="n"/>
      <c r="AQ15" s="9" t="n"/>
      <c r="AR15" s="9" t="n"/>
      <c r="AS15" s="9" t="n"/>
      <c r="AT15" s="8" t="n"/>
      <c r="AU15" s="8" t="n"/>
      <c r="AV15" s="9" t="n"/>
      <c r="AW15" s="8" t="n"/>
      <c r="AX15" s="9" t="n"/>
      <c r="AY15" s="9" t="n"/>
      <c r="AZ15" s="9" t="n"/>
      <c r="BA15" s="9" t="n"/>
      <c r="BB15" s="9" t="n"/>
      <c r="BC15" s="9" t="n"/>
      <c r="BD15" s="9" t="n"/>
      <c r="BE15" s="9" t="n"/>
      <c r="BF15" s="9" t="n"/>
      <c r="BG15" s="9" t="n"/>
      <c r="BH15" s="9" t="n"/>
      <c r="BI15" s="9" t="n"/>
      <c r="BJ15" s="9" t="n"/>
      <c r="BK15" s="9" t="n"/>
      <c r="BL15" s="9" t="n"/>
      <c r="BM15" s="9" t="n"/>
      <c r="BN15" s="9" t="n"/>
      <c r="BO15" s="8" t="n">
        <v>45667</v>
      </c>
      <c r="BP15" s="9" t="inlineStr">
        <is>
          <t>N</t>
        </is>
      </c>
      <c r="BQ15" s="9" t="inlineStr">
        <is>
          <t>Y</t>
        </is>
      </c>
      <c r="BR15" s="12">
        <f>IF(AND(AI15="Y",AK15="Y",AL15="Y",AM15="Y",AY15="Y",AZ15="Y",BA15="Y",BB15="Y",BC15="Y",BE15&lt;&gt;"Y",AX15&lt;&gt;"Y",BL15&lt;&gt;"Y",IF(AS15="Y",AV15="Y",TRUE)),"Y","N")</f>
        <v/>
      </c>
      <c r="BS15" s="12">
        <f>IF(AND(BR15="Y",OR(AND(BJ15="Y",BM15="Y"),AND(BK15="Y",BN15="Y"),AND(BJ15&lt;&gt;"Y",BK15&lt;&gt;"Y",OR(BM15="Y",BN15="Y")))),"Y","N")</f>
        <v/>
      </c>
      <c r="BT15" s="10" t="n">
        <v>18</v>
      </c>
      <c r="BU15" s="13" t="n"/>
      <c r="BV15" s="13" t="n"/>
      <c r="BW15" s="13" t="n"/>
      <c r="BX15" s="13" t="n"/>
      <c r="BY15" s="13" t="n"/>
      <c r="BZ15" s="13" t="n"/>
      <c r="CA15" s="14" t="n"/>
      <c r="CB15" s="13" t="n"/>
      <c r="CC15" s="9" t="inlineStr">
        <is>
          <t>construction_type mapped from raw 'NC' to 'New Construction'</t>
        </is>
      </c>
      <c r="CD15" s="9" t="inlineStr">
        <is>
          <t>John Latham</t>
        </is>
      </c>
      <c r="CE15" s="9" t="inlineStr">
        <is>
          <t>(210) 354-3705</t>
        </is>
      </c>
      <c r="CF15" s="9" t="inlineStr">
        <is>
          <t>john@missiondg.com</t>
        </is>
      </c>
      <c r="CG15" s="9" t="inlineStr">
        <is>
          <t>Lana Wagner</t>
        </is>
      </c>
      <c r="CH15" s="9" t="inlineStr">
        <is>
          <t>(512) 353-5058</t>
        </is>
      </c>
    </row>
    <row r="16">
      <c r="A16" s="8" t="inlineStr">
        <is>
          <t>2025-01-30</t>
        </is>
      </c>
      <c r="B16" s="9" t="inlineStr">
        <is>
          <t>2025-01-30</t>
        </is>
      </c>
      <c r="C16" s="9" t="inlineStr">
        <is>
          <t>25406</t>
        </is>
      </c>
      <c r="D16" s="9" t="inlineStr">
        <is>
          <t>04475</t>
        </is>
      </c>
      <c r="E16" s="9" t="inlineStr">
        <is>
          <t>Fairlake Cove</t>
        </is>
      </c>
      <c r="F16" s="9" t="inlineStr">
        <is>
          <t>Houston</t>
        </is>
      </c>
      <c r="G16" s="9" t="inlineStr">
        <is>
          <t>Harris</t>
        </is>
      </c>
      <c r="H16" s="9" t="n">
        <v>6</v>
      </c>
      <c r="I16" s="9" t="inlineStr">
        <is>
          <t>11100 E FM 1960</t>
        </is>
      </c>
      <c r="J16" s="9" t="n">
        <v>77336</v>
      </c>
      <c r="K16" s="8" t="n">
        <v>45667</v>
      </c>
      <c r="L16" s="9" t="inlineStr">
        <is>
          <t>Active</t>
        </is>
      </c>
      <c r="M16" s="8" t="n">
        <v>45785</v>
      </c>
      <c r="N16" s="8" t="n"/>
      <c r="O16" s="8" t="n">
        <v>45671</v>
      </c>
      <c r="P16" s="8" t="n">
        <v>45851</v>
      </c>
      <c r="Q16" s="8" t="n"/>
      <c r="R16" s="9" t="inlineStr">
        <is>
          <t>Acq/Rehab</t>
        </is>
      </c>
      <c r="S16" s="9" t="inlineStr">
        <is>
          <t>General</t>
        </is>
      </c>
      <c r="T16" s="10" t="n">
        <v>200</v>
      </c>
      <c r="U16" s="10" t="n">
        <v>200</v>
      </c>
      <c r="V16" s="9" t="n"/>
      <c r="W16" s="9" t="n"/>
      <c r="X16" s="9" t="inlineStr">
        <is>
          <t>HHA Fountainview PFC</t>
        </is>
      </c>
      <c r="Y16" s="9" t="inlineStr">
        <is>
          <t>Other</t>
        </is>
      </c>
      <c r="Z16" s="11" t="n">
        <v>40000000</v>
      </c>
      <c r="AA16" s="11" t="n"/>
      <c r="AB16" s="11" t="n">
        <v>1686761</v>
      </c>
      <c r="AC16" s="11" t="n"/>
      <c r="AD16" s="11" t="n"/>
      <c r="AE16" s="11" t="n"/>
      <c r="AF16" s="9" t="inlineStr">
        <is>
          <t>N</t>
        </is>
      </c>
      <c r="AG16" s="9" t="inlineStr">
        <is>
          <t>Y</t>
        </is>
      </c>
      <c r="AH16" s="9" t="inlineStr">
        <is>
          <t>Y</t>
        </is>
      </c>
      <c r="AI16" s="9" t="n"/>
      <c r="AJ16" s="8" t="n"/>
      <c r="AK16" s="9" t="n"/>
      <c r="AL16" s="9" t="n"/>
      <c r="AM16" s="9" t="n"/>
      <c r="AN16" s="9" t="n"/>
      <c r="AO16" s="9" t="n"/>
      <c r="AP16" s="9" t="n"/>
      <c r="AQ16" s="9" t="n"/>
      <c r="AR16" s="9" t="n"/>
      <c r="AS16" s="9" t="n"/>
      <c r="AT16" s="8" t="n"/>
      <c r="AU16" s="8" t="n"/>
      <c r="AV16" s="9" t="n"/>
      <c r="AW16" s="8" t="n"/>
      <c r="AX16" s="9" t="n"/>
      <c r="AY16" s="9" t="n"/>
      <c r="AZ16" s="9" t="n"/>
      <c r="BA16" s="9" t="n"/>
      <c r="BB16" s="9" t="n"/>
      <c r="BC16" s="9" t="n"/>
      <c r="BD16" s="9" t="n"/>
      <c r="BE16" s="9" t="n"/>
      <c r="BF16" s="9" t="n"/>
      <c r="BG16" s="9" t="n"/>
      <c r="BH16" s="9" t="n"/>
      <c r="BI16" s="9" t="n"/>
      <c r="BJ16" s="9" t="n"/>
      <c r="BK16" s="9" t="n"/>
      <c r="BL16" s="9" t="n"/>
      <c r="BM16" s="9" t="n"/>
      <c r="BN16" s="9" t="n"/>
      <c r="BO16" s="8" t="n">
        <v>45667</v>
      </c>
      <c r="BP16" s="9" t="inlineStr">
        <is>
          <t>N</t>
        </is>
      </c>
      <c r="BQ16" s="9" t="inlineStr">
        <is>
          <t>Y</t>
        </is>
      </c>
      <c r="BR16" s="12">
        <f>IF(AND(AI16="Y",AK16="Y",AL16="Y",AM16="Y",AY16="Y",AZ16="Y",BA16="Y",BB16="Y",BC16="Y",BE16&lt;&gt;"Y",AX16&lt;&gt;"Y",BL16&lt;&gt;"Y",IF(AS16="Y",AV16="Y",TRUE)),"Y","N")</f>
        <v/>
      </c>
      <c r="BS16" s="12">
        <f>IF(AND(BR16="Y",OR(AND(BJ16="Y",BM16="Y"),AND(BK16="Y",BN16="Y"),AND(BJ16&lt;&gt;"Y",BK16&lt;&gt;"Y",OR(BM16="Y",BN16="Y")))),"Y","N")</f>
        <v/>
      </c>
      <c r="BT16" s="10" t="n">
        <v>15</v>
      </c>
      <c r="BU16" s="13" t="n"/>
      <c r="BV16" s="13" t="n"/>
      <c r="BW16" s="13" t="n"/>
      <c r="BX16" s="13" t="n"/>
      <c r="BY16" s="13" t="n"/>
      <c r="BZ16" s="13" t="n"/>
      <c r="CA16" s="14" t="n"/>
      <c r="CB16" s="13" t="n"/>
      <c r="CC16" s="9" t="n"/>
      <c r="CD16" s="9" t="inlineStr">
        <is>
          <t>Brad Fisher</t>
        </is>
      </c>
      <c r="CE16" s="9" t="inlineStr">
        <is>
          <t>(913) 787-1676</t>
        </is>
      </c>
      <c r="CF16" s="9" t="inlineStr">
        <is>
          <t>bfisher@aprilhousing.com</t>
        </is>
      </c>
      <c r="CG16" s="9" t="inlineStr">
        <is>
          <t>Jennine Hovell-Cox</t>
        </is>
      </c>
      <c r="CH16" s="9" t="inlineStr">
        <is>
          <t>(713) 260-0501</t>
        </is>
      </c>
    </row>
    <row r="17">
      <c r="A17" s="8" t="inlineStr">
        <is>
          <t>2025-01-30</t>
        </is>
      </c>
      <c r="B17" s="9" t="inlineStr">
        <is>
          <t>2025-01-30</t>
        </is>
      </c>
      <c r="C17" s="9" t="inlineStr">
        <is>
          <t>25436</t>
        </is>
      </c>
      <c r="D17" s="9" t="n"/>
      <c r="E17" s="9" t="inlineStr">
        <is>
          <t>Jackson Apartments</t>
        </is>
      </c>
      <c r="F17" s="9" t="inlineStr">
        <is>
          <t>McAllen</t>
        </is>
      </c>
      <c r="G17" s="9" t="inlineStr">
        <is>
          <t>Hidalgo</t>
        </is>
      </c>
      <c r="H17" s="9" t="n">
        <v>11</v>
      </c>
      <c r="I17" s="9" t="inlineStr">
        <is>
          <t>2200 W Jackson Avenue</t>
        </is>
      </c>
      <c r="J17" s="9" t="n">
        <v>78503</v>
      </c>
      <c r="K17" s="8" t="n">
        <v>45667</v>
      </c>
      <c r="L17" s="9" t="inlineStr">
        <is>
          <t>Active</t>
        </is>
      </c>
      <c r="M17" s="8" t="n">
        <v>45785</v>
      </c>
      <c r="N17" s="8" t="n"/>
      <c r="O17" s="8" t="n">
        <v>45670</v>
      </c>
      <c r="P17" s="8" t="n">
        <v>45850</v>
      </c>
      <c r="Q17" s="8" t="n"/>
      <c r="R17" s="9" t="inlineStr">
        <is>
          <t>New Construction</t>
        </is>
      </c>
      <c r="S17" s="9" t="inlineStr">
        <is>
          <t>General</t>
        </is>
      </c>
      <c r="T17" s="10" t="n">
        <v>88</v>
      </c>
      <c r="U17" s="10" t="n">
        <v>88</v>
      </c>
      <c r="V17" s="9" t="n"/>
      <c r="W17" s="9" t="n"/>
      <c r="X17" s="9" t="inlineStr">
        <is>
          <t>Texas Home Collaborative</t>
        </is>
      </c>
      <c r="Y17" s="9" t="inlineStr">
        <is>
          <t>Other</t>
        </is>
      </c>
      <c r="Z17" s="11" t="n">
        <v>12000000</v>
      </c>
      <c r="AA17" s="11" t="n"/>
      <c r="AB17" s="11" t="n">
        <v>776722</v>
      </c>
      <c r="AC17" s="11" t="n"/>
      <c r="AD17" s="11" t="n"/>
      <c r="AE17" s="11" t="n"/>
      <c r="AF17" s="9" t="inlineStr">
        <is>
          <t>N</t>
        </is>
      </c>
      <c r="AG17" s="9" t="inlineStr">
        <is>
          <t>N</t>
        </is>
      </c>
      <c r="AH17" s="9" t="n"/>
      <c r="AI17" s="9" t="n"/>
      <c r="AJ17" s="8" t="n"/>
      <c r="AK17" s="9" t="n"/>
      <c r="AL17" s="9" t="n"/>
      <c r="AM17" s="9" t="n"/>
      <c r="AN17" s="9" t="n"/>
      <c r="AO17" s="9" t="n"/>
      <c r="AP17" s="9" t="n"/>
      <c r="AQ17" s="9" t="n"/>
      <c r="AR17" s="9" t="n"/>
      <c r="AS17" s="9" t="n"/>
      <c r="AT17" s="8" t="n"/>
      <c r="AU17" s="8" t="n"/>
      <c r="AV17" s="9" t="n"/>
      <c r="AW17" s="8" t="n"/>
      <c r="AX17" s="9" t="n"/>
      <c r="AY17" s="9" t="n"/>
      <c r="AZ17" s="9" t="n"/>
      <c r="BA17" s="9" t="n"/>
      <c r="BB17" s="9" t="n"/>
      <c r="BC17" s="9" t="n"/>
      <c r="BD17" s="9" t="n"/>
      <c r="BE17" s="9" t="n"/>
      <c r="BF17" s="9" t="n"/>
      <c r="BG17" s="9" t="n"/>
      <c r="BH17" s="9" t="n"/>
      <c r="BI17" s="9" t="n"/>
      <c r="BJ17" s="9" t="n"/>
      <c r="BK17" s="9" t="n"/>
      <c r="BL17" s="9" t="n"/>
      <c r="BM17" s="9" t="n"/>
      <c r="BN17" s="9" t="n"/>
      <c r="BO17" s="8" t="n">
        <v>45667</v>
      </c>
      <c r="BP17" s="9" t="inlineStr">
        <is>
          <t>N</t>
        </is>
      </c>
      <c r="BQ17" s="9" t="inlineStr">
        <is>
          <t>Y</t>
        </is>
      </c>
      <c r="BR17" s="12">
        <f>IF(AND(AI17="Y",AK17="Y",AL17="Y",AM17="Y",AY17="Y",AZ17="Y",BA17="Y",BB17="Y",BC17="Y",BE17&lt;&gt;"Y",AX17&lt;&gt;"Y",BL17&lt;&gt;"Y",IF(AS17="Y",AV17="Y",TRUE)),"Y","N")</f>
        <v/>
      </c>
      <c r="BS17" s="12">
        <f>IF(AND(BR17="Y",OR(AND(BJ17="Y",BM17="Y"),AND(BK17="Y",BN17="Y"),AND(BJ17&lt;&gt;"Y",BK17&lt;&gt;"Y",OR(BM17="Y",BN17="Y")))),"Y","N")</f>
        <v/>
      </c>
      <c r="BT17" s="10" t="n">
        <v>17</v>
      </c>
      <c r="BU17" s="13" t="n"/>
      <c r="BV17" s="13" t="n"/>
      <c r="BW17" s="13" t="n"/>
      <c r="BX17" s="13" t="n"/>
      <c r="BY17" s="13" t="n"/>
      <c r="BZ17" s="13" t="n"/>
      <c r="CA17" s="14" t="n"/>
      <c r="CB17" s="13" t="n"/>
      <c r="CC17" s="9" t="inlineStr">
        <is>
          <t>construction_type mapped from raw 'NC' to 'New Construction'</t>
        </is>
      </c>
      <c r="CD17" s="9" t="inlineStr">
        <is>
          <t>Melissa Fisher</t>
        </is>
      </c>
      <c r="CE17" s="9" t="inlineStr">
        <is>
          <t>(972) 701-5555</t>
        </is>
      </c>
      <c r="CF17" s="9" t="inlineStr">
        <is>
          <t>mfisher@rise-residential.com</t>
        </is>
      </c>
      <c r="CG17" s="9" t="inlineStr">
        <is>
          <t>Antonio Williams</t>
        </is>
      </c>
      <c r="CH17" s="9" t="inlineStr">
        <is>
          <t>(903) 276-7557</t>
        </is>
      </c>
    </row>
    <row r="18">
      <c r="A18" s="8" t="inlineStr">
        <is>
          <t>2025-01-30</t>
        </is>
      </c>
      <c r="B18" s="9" t="inlineStr">
        <is>
          <t>2025-01-30</t>
        </is>
      </c>
      <c r="C18" s="9" t="inlineStr">
        <is>
          <t>25405</t>
        </is>
      </c>
      <c r="D18" s="9" t="n"/>
      <c r="E18" s="9" t="inlineStr">
        <is>
          <t>HiLine Illinois</t>
        </is>
      </c>
      <c r="F18" s="9" t="inlineStr">
        <is>
          <t>Dallas</t>
        </is>
      </c>
      <c r="G18" s="9" t="inlineStr">
        <is>
          <t>Dallas</t>
        </is>
      </c>
      <c r="H18" s="9" t="n">
        <v>3</v>
      </c>
      <c r="I18" s="9" t="inlineStr">
        <is>
          <t>4710 W Illinois Avenue</t>
        </is>
      </c>
      <c r="J18" s="9" t="n">
        <v>75211</v>
      </c>
      <c r="K18" s="8" t="n">
        <v>45667</v>
      </c>
      <c r="L18" s="9" t="inlineStr">
        <is>
          <t>Active</t>
        </is>
      </c>
      <c r="M18" s="8" t="n">
        <v>45785</v>
      </c>
      <c r="N18" s="8" t="n"/>
      <c r="O18" s="8" t="n">
        <v>45672</v>
      </c>
      <c r="P18" s="8" t="n">
        <v>45852</v>
      </c>
      <c r="Q18" s="8" t="n"/>
      <c r="R18" s="9" t="inlineStr">
        <is>
          <t>New Construction</t>
        </is>
      </c>
      <c r="S18" s="9" t="inlineStr">
        <is>
          <t>General</t>
        </is>
      </c>
      <c r="T18" s="10" t="n">
        <v>200</v>
      </c>
      <c r="U18" s="10" t="n">
        <v>200</v>
      </c>
      <c r="V18" s="9" t="n"/>
      <c r="W18" s="9" t="n"/>
      <c r="X18" s="9" t="inlineStr">
        <is>
          <t>Dallas HFC</t>
        </is>
      </c>
      <c r="Y18" s="9" t="inlineStr">
        <is>
          <t>Local HFC</t>
        </is>
      </c>
      <c r="Z18" s="11" t="n">
        <v>35000000</v>
      </c>
      <c r="AA18" s="11" t="n"/>
      <c r="AB18" s="11" t="n">
        <v>2784011</v>
      </c>
      <c r="AC18" s="11" t="n"/>
      <c r="AD18" s="11" t="n"/>
      <c r="AE18" s="11" t="n"/>
      <c r="AF18" s="9" t="inlineStr">
        <is>
          <t>N</t>
        </is>
      </c>
      <c r="AG18" s="9" t="inlineStr">
        <is>
          <t>Y</t>
        </is>
      </c>
      <c r="AH18" s="9" t="n"/>
      <c r="AI18" s="9" t="n"/>
      <c r="AJ18" s="8" t="n"/>
      <c r="AK18" s="9" t="n"/>
      <c r="AL18" s="9" t="n"/>
      <c r="AM18" s="9" t="n"/>
      <c r="AN18" s="9" t="n"/>
      <c r="AO18" s="9" t="n"/>
      <c r="AP18" s="9" t="n"/>
      <c r="AQ18" s="9" t="n"/>
      <c r="AR18" s="9" t="n"/>
      <c r="AS18" s="9" t="n"/>
      <c r="AT18" s="8" t="n"/>
      <c r="AU18" s="8" t="n"/>
      <c r="AV18" s="9" t="n"/>
      <c r="AW18" s="8" t="n"/>
      <c r="AX18" s="9" t="n"/>
      <c r="AY18" s="9" t="n"/>
      <c r="AZ18" s="9" t="n"/>
      <c r="BA18" s="9" t="n"/>
      <c r="BB18" s="9" t="n"/>
      <c r="BC18" s="9" t="n"/>
      <c r="BD18" s="9" t="n"/>
      <c r="BE18" s="9" t="n"/>
      <c r="BF18" s="9" t="n"/>
      <c r="BG18" s="9" t="n"/>
      <c r="BH18" s="9" t="n"/>
      <c r="BI18" s="9" t="n"/>
      <c r="BJ18" s="9" t="n"/>
      <c r="BK18" s="9" t="n"/>
      <c r="BL18" s="9" t="n"/>
      <c r="BM18" s="9" t="n"/>
      <c r="BN18" s="9" t="n"/>
      <c r="BO18" s="8" t="n">
        <v>45667</v>
      </c>
      <c r="BP18" s="9" t="inlineStr">
        <is>
          <t>N</t>
        </is>
      </c>
      <c r="BQ18" s="9" t="inlineStr">
        <is>
          <t>Y</t>
        </is>
      </c>
      <c r="BR18" s="12">
        <f>IF(AND(AI18="Y",AK18="Y",AL18="Y",AM18="Y",AY18="Y",AZ18="Y",BA18="Y",BB18="Y",BC18="Y",BE18&lt;&gt;"Y",AX18&lt;&gt;"Y",BL18&lt;&gt;"Y",IF(AS18="Y",AV18="Y",TRUE)),"Y","N")</f>
        <v/>
      </c>
      <c r="BS18" s="12">
        <f>IF(AND(BR18="Y",OR(AND(BJ18="Y",BM18="Y"),AND(BK18="Y",BN18="Y"),AND(BJ18&lt;&gt;"Y",BK18&lt;&gt;"Y",OR(BM18="Y",BN18="Y")))),"Y","N")</f>
        <v/>
      </c>
      <c r="BT18" s="10" t="n">
        <v>14</v>
      </c>
      <c r="BU18" s="13" t="n"/>
      <c r="BV18" s="13" t="n"/>
      <c r="BW18" s="13" t="n"/>
      <c r="BX18" s="13" t="n"/>
      <c r="BY18" s="13" t="n"/>
      <c r="BZ18" s="13" t="n"/>
      <c r="CA18" s="14" t="n"/>
      <c r="CB18" s="13" t="n"/>
      <c r="CC18" s="9" t="inlineStr">
        <is>
          <t>construction_type mapped from raw 'NC' to 'New Construction'</t>
        </is>
      </c>
      <c r="CD18" s="9" t="inlineStr">
        <is>
          <t>Adrian Iglesias</t>
        </is>
      </c>
      <c r="CE18" s="9" t="inlineStr">
        <is>
          <t>(214)613-6569</t>
        </is>
      </c>
      <c r="CF18" s="9" t="inlineStr">
        <is>
          <t>aiglesias@ghdevelopment.com</t>
        </is>
      </c>
      <c r="CG18" s="9" t="inlineStr">
        <is>
          <t>Aaron Eaquinto</t>
        </is>
      </c>
      <c r="CH18" s="9" t="inlineStr">
        <is>
          <t>(214) 670-4941</t>
        </is>
      </c>
    </row>
    <row r="19">
      <c r="A19" s="8" t="inlineStr">
        <is>
          <t>2025-01-30</t>
        </is>
      </c>
      <c r="B19" s="9" t="inlineStr">
        <is>
          <t>2025-01-30</t>
        </is>
      </c>
      <c r="C19" s="9" t="inlineStr">
        <is>
          <t>25413</t>
        </is>
      </c>
      <c r="D19" s="9" t="n"/>
      <c r="E19" s="9" t="inlineStr">
        <is>
          <t>Sunflower Terrace</t>
        </is>
      </c>
      <c r="F19" s="9" t="inlineStr">
        <is>
          <t>Houston</t>
        </is>
      </c>
      <c r="G19" s="9" t="inlineStr">
        <is>
          <t>Harris</t>
        </is>
      </c>
      <c r="H19" s="9" t="n">
        <v>6</v>
      </c>
      <c r="I19" s="9" t="inlineStr">
        <is>
          <t>5050 Sunflower Street</t>
        </is>
      </c>
      <c r="J19" s="9" t="n">
        <v>77033</v>
      </c>
      <c r="K19" s="8" t="n">
        <v>45667</v>
      </c>
      <c r="L19" s="9" t="inlineStr">
        <is>
          <t>Active</t>
        </is>
      </c>
      <c r="M19" s="8" t="n">
        <v>45757</v>
      </c>
      <c r="N19" s="8" t="n"/>
      <c r="O19" s="8" t="n">
        <v>45671</v>
      </c>
      <c r="P19" s="8" t="n">
        <v>45851</v>
      </c>
      <c r="Q19" s="8" t="n"/>
      <c r="R19" s="9" t="inlineStr">
        <is>
          <t>Acq/Rehab</t>
        </is>
      </c>
      <c r="S19" s="9" t="inlineStr">
        <is>
          <t>General</t>
        </is>
      </c>
      <c r="T19" s="10" t="n">
        <v>160</v>
      </c>
      <c r="U19" s="10" t="n">
        <v>160</v>
      </c>
      <c r="V19" s="9" t="n"/>
      <c r="W19" s="9" t="n"/>
      <c r="X19" s="9" t="inlineStr">
        <is>
          <t>Houston HFC</t>
        </is>
      </c>
      <c r="Y19" s="9" t="inlineStr">
        <is>
          <t>Local HFC</t>
        </is>
      </c>
      <c r="Z19" s="11" t="n">
        <v>28000000</v>
      </c>
      <c r="AA19" s="11" t="n"/>
      <c r="AB19" s="11" t="n">
        <v>1996896</v>
      </c>
      <c r="AC19" s="11" t="n"/>
      <c r="AD19" s="11" t="n"/>
      <c r="AE19" s="11" t="n"/>
      <c r="AF19" s="9" t="inlineStr">
        <is>
          <t>N</t>
        </is>
      </c>
      <c r="AG19" s="9" t="inlineStr">
        <is>
          <t>Y</t>
        </is>
      </c>
      <c r="AH19" s="9" t="n"/>
      <c r="AI19" s="9" t="n"/>
      <c r="AJ19" s="8" t="n"/>
      <c r="AK19" s="9" t="n"/>
      <c r="AL19" s="9" t="n"/>
      <c r="AM19" s="9" t="n"/>
      <c r="AN19" s="9" t="n"/>
      <c r="AO19" s="9" t="n"/>
      <c r="AP19" s="9" t="n"/>
      <c r="AQ19" s="9" t="n"/>
      <c r="AR19" s="9" t="n"/>
      <c r="AS19" s="9" t="n"/>
      <c r="AT19" s="8" t="n"/>
      <c r="AU19" s="8" t="n"/>
      <c r="AV19" s="9" t="n"/>
      <c r="AW19" s="8" t="n"/>
      <c r="AX19" s="9" t="n"/>
      <c r="AY19" s="9" t="n"/>
      <c r="AZ19" s="9" t="n"/>
      <c r="BA19" s="9" t="n"/>
      <c r="BB19" s="9" t="n"/>
      <c r="BC19" s="9" t="n"/>
      <c r="BD19" s="9" t="n"/>
      <c r="BE19" s="9" t="n"/>
      <c r="BF19" s="9" t="n"/>
      <c r="BG19" s="9" t="n"/>
      <c r="BH19" s="9" t="n"/>
      <c r="BI19" s="9" t="n"/>
      <c r="BJ19" s="9" t="n"/>
      <c r="BK19" s="9" t="n"/>
      <c r="BL19" s="9" t="n"/>
      <c r="BM19" s="9" t="n"/>
      <c r="BN19" s="9" t="n"/>
      <c r="BO19" s="8" t="n">
        <v>45667</v>
      </c>
      <c r="BP19" s="9" t="inlineStr">
        <is>
          <t>N</t>
        </is>
      </c>
      <c r="BQ19" s="9" t="inlineStr">
        <is>
          <t>Y</t>
        </is>
      </c>
      <c r="BR19" s="12">
        <f>IF(AND(AI19="Y",AK19="Y",AL19="Y",AM19="Y",AY19="Y",AZ19="Y",BA19="Y",BB19="Y",BC19="Y",BE19&lt;&gt;"Y",AX19&lt;&gt;"Y",BL19&lt;&gt;"Y",IF(AS19="Y",AV19="Y",TRUE)),"Y","N")</f>
        <v/>
      </c>
      <c r="BS19" s="12">
        <f>IF(AND(BR19="Y",OR(AND(BJ19="Y",BM19="Y"),AND(BK19="Y",BN19="Y"),AND(BJ19&lt;&gt;"Y",BK19&lt;&gt;"Y",OR(BM19="Y",BN19="Y")))),"Y","N")</f>
        <v/>
      </c>
      <c r="BT19" s="10" t="n">
        <v>16</v>
      </c>
      <c r="BU19" s="13" t="n"/>
      <c r="BV19" s="13" t="n"/>
      <c r="BW19" s="13" t="n"/>
      <c r="BX19" s="13" t="n"/>
      <c r="BY19" s="13" t="n"/>
      <c r="BZ19" s="13" t="n"/>
      <c r="CA19" s="14" t="n"/>
      <c r="CB19" s="13" t="n"/>
      <c r="CC19" s="9" t="n"/>
      <c r="CD19" s="9" t="inlineStr">
        <is>
          <t>Allan Izzo</t>
        </is>
      </c>
      <c r="CE19" s="9" t="inlineStr">
        <is>
          <t>(646) 825-7106</t>
        </is>
      </c>
      <c r="CF19" s="9" t="inlineStr">
        <is>
          <t>allan.izzo@fairstead.com</t>
        </is>
      </c>
      <c r="CG19" s="9" t="inlineStr">
        <is>
          <t>Richard Mudd, Sr.</t>
        </is>
      </c>
      <c r="CH19" s="9" t="inlineStr">
        <is>
          <t>(713) 461-2749</t>
        </is>
      </c>
    </row>
    <row r="20">
      <c r="A20" s="8" t="inlineStr">
        <is>
          <t>2025-01-30</t>
        </is>
      </c>
      <c r="B20" s="9" t="inlineStr">
        <is>
          <t>2025-01-30</t>
        </is>
      </c>
      <c r="C20" s="9" t="inlineStr">
        <is>
          <t>25439</t>
        </is>
      </c>
      <c r="D20" s="9" t="n">
        <v>95157</v>
      </c>
      <c r="E20" s="9" t="inlineStr">
        <is>
          <t>Pleasant Hill Village</t>
        </is>
      </c>
      <c r="F20" s="9" t="inlineStr">
        <is>
          <t>Houston</t>
        </is>
      </c>
      <c r="G20" s="9" t="inlineStr">
        <is>
          <t>Harris</t>
        </is>
      </c>
      <c r="H20" s="9" t="n">
        <v>6</v>
      </c>
      <c r="I20" s="9" t="inlineStr">
        <is>
          <t>3814 Lyons Avenue</t>
        </is>
      </c>
      <c r="J20" s="9" t="n">
        <v>77020</v>
      </c>
      <c r="K20" s="8" t="n">
        <v>45670</v>
      </c>
      <c r="L20" s="9" t="inlineStr">
        <is>
          <t>Active</t>
        </is>
      </c>
      <c r="M20" s="8" t="n">
        <v>45785</v>
      </c>
      <c r="N20" s="8" t="n"/>
      <c r="O20" s="8" t="n">
        <v>45671</v>
      </c>
      <c r="P20" s="8" t="n">
        <v>45851</v>
      </c>
      <c r="Q20" s="8" t="n"/>
      <c r="R20" s="9" t="inlineStr">
        <is>
          <t>Acq/Rehab</t>
        </is>
      </c>
      <c r="S20" s="9" t="inlineStr">
        <is>
          <t>Elderly</t>
        </is>
      </c>
      <c r="T20" s="10" t="n">
        <v>165</v>
      </c>
      <c r="U20" s="10" t="n">
        <v>165</v>
      </c>
      <c r="V20" s="9" t="n"/>
      <c r="W20" s="9" t="n"/>
      <c r="X20" s="9" t="inlineStr">
        <is>
          <t>HHA Fountainview PFC</t>
        </is>
      </c>
      <c r="Y20" s="9" t="inlineStr">
        <is>
          <t>Other</t>
        </is>
      </c>
      <c r="Z20" s="11" t="n">
        <v>20000000</v>
      </c>
      <c r="AA20" s="11" t="n"/>
      <c r="AB20" s="11" t="n">
        <v>1081545</v>
      </c>
      <c r="AC20" s="11" t="n"/>
      <c r="AD20" s="11" t="n"/>
      <c r="AE20" s="11" t="n"/>
      <c r="AF20" s="9" t="inlineStr">
        <is>
          <t>N</t>
        </is>
      </c>
      <c r="AG20" s="9" t="inlineStr">
        <is>
          <t>Y</t>
        </is>
      </c>
      <c r="AH20" s="9" t="inlineStr">
        <is>
          <t>Y</t>
        </is>
      </c>
      <c r="AI20" s="9" t="n"/>
      <c r="AJ20" s="8" t="n"/>
      <c r="AK20" s="9" t="n"/>
      <c r="AL20" s="9" t="n"/>
      <c r="AM20" s="9" t="n"/>
      <c r="AN20" s="9" t="n"/>
      <c r="AO20" s="9" t="n"/>
      <c r="AP20" s="9" t="n"/>
      <c r="AQ20" s="9" t="n"/>
      <c r="AR20" s="9" t="n"/>
      <c r="AS20" s="9" t="n"/>
      <c r="AT20" s="8" t="n"/>
      <c r="AU20" s="8" t="n"/>
      <c r="AV20" s="9" t="n"/>
      <c r="AW20" s="8" t="n"/>
      <c r="AX20" s="9" t="n"/>
      <c r="AY20" s="9" t="n"/>
      <c r="AZ20" s="9" t="n"/>
      <c r="BA20" s="9" t="n"/>
      <c r="BB20" s="9" t="n"/>
      <c r="BC20" s="9" t="n"/>
      <c r="BD20" s="9" t="n"/>
      <c r="BE20" s="9" t="n"/>
      <c r="BF20" s="9" t="n"/>
      <c r="BG20" s="9" t="n"/>
      <c r="BH20" s="9" t="n"/>
      <c r="BI20" s="9" t="n"/>
      <c r="BJ20" s="9" t="n"/>
      <c r="BK20" s="9" t="n"/>
      <c r="BL20" s="9" t="n"/>
      <c r="BM20" s="9" t="n"/>
      <c r="BN20" s="9" t="n"/>
      <c r="BO20" s="8" t="n">
        <v>45670</v>
      </c>
      <c r="BP20" s="9" t="inlineStr">
        <is>
          <t>N</t>
        </is>
      </c>
      <c r="BQ20" s="9" t="inlineStr">
        <is>
          <t>Y</t>
        </is>
      </c>
      <c r="BR20" s="12">
        <f>IF(AND(AI20="Y",AK20="Y",AL20="Y",AM20="Y",AY20="Y",AZ20="Y",BA20="Y",BB20="Y",BC20="Y",BE20&lt;&gt;"Y",AX20&lt;&gt;"Y",BL20&lt;&gt;"Y",IF(AS20="Y",AV20="Y",TRUE)),"Y","N")</f>
        <v/>
      </c>
      <c r="BS20" s="12">
        <f>IF(AND(BR20="Y",OR(AND(BJ20="Y",BM20="Y"),AND(BK20="Y",BN20="Y"),AND(BJ20&lt;&gt;"Y",BK20&lt;&gt;"Y",OR(BM20="Y",BN20="Y")))),"Y","N")</f>
        <v/>
      </c>
      <c r="BT20" s="10" t="n">
        <v>24</v>
      </c>
      <c r="BU20" s="13" t="n"/>
      <c r="BV20" s="13" t="n"/>
      <c r="BW20" s="13" t="n"/>
      <c r="BX20" s="13" t="n"/>
      <c r="BY20" s="13" t="n"/>
      <c r="BZ20" s="13" t="n"/>
      <c r="CA20" s="14" t="n"/>
      <c r="CB20" s="13" t="n"/>
      <c r="CC20" s="9" t="n"/>
      <c r="CD20" s="9" t="inlineStr">
        <is>
          <t>Harvey Clemons, Jr.</t>
        </is>
      </c>
      <c r="CE20" s="9" t="inlineStr">
        <is>
          <t>(713) 224-0052</t>
        </is>
      </c>
      <c r="CF20" s="9" t="inlineStr">
        <is>
          <t>hclemons@aol.com</t>
        </is>
      </c>
      <c r="CG20" s="9" t="inlineStr">
        <is>
          <t>David Northern, Sr.</t>
        </is>
      </c>
      <c r="CH20" s="9" t="inlineStr">
        <is>
          <t>(713) 260-0522</t>
        </is>
      </c>
    </row>
    <row r="21">
      <c r="A21" s="8" t="inlineStr">
        <is>
          <t>2025-01-30</t>
        </is>
      </c>
      <c r="B21" s="9" t="inlineStr">
        <is>
          <t>2025-01-30</t>
        </is>
      </c>
      <c r="C21" s="9" t="inlineStr">
        <is>
          <t>25437</t>
        </is>
      </c>
      <c r="D21" s="9" t="n"/>
      <c r="E21" s="9" t="inlineStr">
        <is>
          <t>Manor Apartments</t>
        </is>
      </c>
      <c r="F21" s="9" t="inlineStr">
        <is>
          <t>Austin</t>
        </is>
      </c>
      <c r="G21" s="9" t="inlineStr">
        <is>
          <t>Travis</t>
        </is>
      </c>
      <c r="H21" s="9" t="n">
        <v>7</v>
      </c>
      <c r="I21" s="9" t="inlineStr">
        <is>
          <t>6705 Manor Road</t>
        </is>
      </c>
      <c r="J21" s="9" t="n">
        <v>78723</v>
      </c>
      <c r="K21" s="8" t="n">
        <v>45670</v>
      </c>
      <c r="L21" s="9" t="inlineStr">
        <is>
          <t>Active</t>
        </is>
      </c>
      <c r="M21" s="8" t="n">
        <v>45785</v>
      </c>
      <c r="N21" s="8" t="n"/>
      <c r="O21" s="8" t="n">
        <v>45671</v>
      </c>
      <c r="P21" s="8" t="n">
        <v>45851</v>
      </c>
      <c r="Q21" s="8" t="n"/>
      <c r="R21" s="9" t="inlineStr">
        <is>
          <t>New Construction</t>
        </is>
      </c>
      <c r="S21" s="9" t="inlineStr">
        <is>
          <t>General</t>
        </is>
      </c>
      <c r="T21" s="10" t="n">
        <v>181</v>
      </c>
      <c r="U21" s="10" t="n">
        <v>179</v>
      </c>
      <c r="V21" s="9" t="n"/>
      <c r="W21" s="9" t="n"/>
      <c r="X21" s="9" t="inlineStr">
        <is>
          <t>Travis County HFC</t>
        </is>
      </c>
      <c r="Y21" s="9" t="inlineStr">
        <is>
          <t>Local HFC</t>
        </is>
      </c>
      <c r="Z21" s="11" t="n">
        <v>35000000</v>
      </c>
      <c r="AA21" s="11" t="n"/>
      <c r="AB21" s="11" t="n">
        <v>2902773</v>
      </c>
      <c r="AC21" s="11" t="n"/>
      <c r="AD21" s="11" t="n"/>
      <c r="AE21" s="11" t="n"/>
      <c r="AF21" s="9" t="inlineStr">
        <is>
          <t>N</t>
        </is>
      </c>
      <c r="AG21" s="9" t="inlineStr">
        <is>
          <t>Y</t>
        </is>
      </c>
      <c r="AH21" s="9" t="n"/>
      <c r="AI21" s="9" t="n"/>
      <c r="AJ21" s="8" t="n"/>
      <c r="AK21" s="9" t="n"/>
      <c r="AL21" s="9" t="n"/>
      <c r="AM21" s="9" t="n"/>
      <c r="AN21" s="9" t="n"/>
      <c r="AO21" s="9" t="n"/>
      <c r="AP21" s="9" t="n"/>
      <c r="AQ21" s="9" t="n"/>
      <c r="AR21" s="9" t="n"/>
      <c r="AS21" s="9" t="n"/>
      <c r="AT21" s="8" t="n"/>
      <c r="AU21" s="8" t="n"/>
      <c r="AV21" s="9" t="n"/>
      <c r="AW21" s="8" t="n"/>
      <c r="AX21" s="9" t="n"/>
      <c r="AY21" s="9" t="n"/>
      <c r="AZ21" s="9" t="n"/>
      <c r="BA21" s="9" t="n"/>
      <c r="BB21" s="9" t="n"/>
      <c r="BC21" s="9" t="n"/>
      <c r="BD21" s="9" t="n"/>
      <c r="BE21" s="9" t="n"/>
      <c r="BF21" s="9" t="n"/>
      <c r="BG21" s="9" t="n"/>
      <c r="BH21" s="9" t="n"/>
      <c r="BI21" s="9" t="n"/>
      <c r="BJ21" s="9" t="n"/>
      <c r="BK21" s="9" t="n"/>
      <c r="BL21" s="9" t="n"/>
      <c r="BM21" s="9" t="n"/>
      <c r="BN21" s="9" t="n"/>
      <c r="BO21" s="8" t="n">
        <v>45670</v>
      </c>
      <c r="BP21" s="9" t="inlineStr">
        <is>
          <t>N</t>
        </is>
      </c>
      <c r="BQ21" s="9" t="inlineStr">
        <is>
          <t>Y</t>
        </is>
      </c>
      <c r="BR21" s="12">
        <f>IF(AND(AI21="Y",AK21="Y",AL21="Y",AM21="Y",AY21="Y",AZ21="Y",BA21="Y",BB21="Y",BC21="Y",BE21&lt;&gt;"Y",AX21&lt;&gt;"Y",BL21&lt;&gt;"Y",IF(AS21="Y",AV21="Y",TRUE)),"Y","N")</f>
        <v/>
      </c>
      <c r="BS21" s="12">
        <f>IF(AND(BR21="Y",OR(AND(BJ21="Y",BM21="Y"),AND(BK21="Y",BN21="Y"),AND(BJ21&lt;&gt;"Y",BK21&lt;&gt;"Y",OR(BM21="Y",BN21="Y")))),"Y","N")</f>
        <v/>
      </c>
      <c r="BT21" s="10" t="n">
        <v>22</v>
      </c>
      <c r="BU21" s="13" t="n"/>
      <c r="BV21" s="13" t="n"/>
      <c r="BW21" s="13" t="n"/>
      <c r="BX21" s="13" t="n"/>
      <c r="BY21" s="13" t="n"/>
      <c r="BZ21" s="13" t="n"/>
      <c r="CA21" s="14" t="n"/>
      <c r="CB21" s="13" t="n"/>
      <c r="CC21" s="9" t="inlineStr">
        <is>
          <t>construction_type mapped from raw 'NC' to 'New Construction'</t>
        </is>
      </c>
      <c r="CD21" s="9" t="inlineStr">
        <is>
          <t>Chad Baker</t>
        </is>
      </c>
      <c r="CE21" s="9" t="inlineStr">
        <is>
          <t>(214) 295-5645</t>
        </is>
      </c>
      <c r="CF21" s="9" t="inlineStr">
        <is>
          <t>cbaker@amtexhousing.com</t>
        </is>
      </c>
      <c r="CG21" s="9" t="inlineStr">
        <is>
          <t>Ana Everett</t>
        </is>
      </c>
      <c r="CH21" s="9" t="inlineStr">
        <is>
          <t>(512) 854-1745</t>
        </is>
      </c>
    </row>
    <row r="22">
      <c r="A22" s="8" t="inlineStr">
        <is>
          <t>2025-01-30</t>
        </is>
      </c>
      <c r="B22" s="9" t="inlineStr">
        <is>
          <t>2025-01-30</t>
        </is>
      </c>
      <c r="C22" s="9" t="inlineStr">
        <is>
          <t>25438</t>
        </is>
      </c>
      <c r="D22" s="9" t="n">
        <v>538613</v>
      </c>
      <c r="E22" s="9" t="inlineStr">
        <is>
          <t>Britton's Place</t>
        </is>
      </c>
      <c r="F22" s="9" t="inlineStr">
        <is>
          <t>Houston</t>
        </is>
      </c>
      <c r="G22" s="9" t="inlineStr">
        <is>
          <t>Harris</t>
        </is>
      </c>
      <c r="H22" s="9" t="n">
        <v>6</v>
      </c>
      <c r="I22" s="9" t="inlineStr">
        <is>
          <t>3730 Lyons Avenue</t>
        </is>
      </c>
      <c r="J22" s="9" t="n">
        <v>77020</v>
      </c>
      <c r="K22" s="8" t="n">
        <v>45670</v>
      </c>
      <c r="L22" s="9" t="inlineStr">
        <is>
          <t>Active</t>
        </is>
      </c>
      <c r="M22" s="8" t="n">
        <v>45785</v>
      </c>
      <c r="N22" s="8" t="n"/>
      <c r="O22" s="8" t="n">
        <v>45672</v>
      </c>
      <c r="P22" s="8" t="n">
        <v>45852</v>
      </c>
      <c r="Q22" s="8" t="n"/>
      <c r="R22" s="9" t="inlineStr">
        <is>
          <t>Acq/Rehab</t>
        </is>
      </c>
      <c r="S22" s="9" t="inlineStr">
        <is>
          <t>General</t>
        </is>
      </c>
      <c r="T22" s="10" t="n">
        <v>48</v>
      </c>
      <c r="U22" s="10" t="n">
        <v>48</v>
      </c>
      <c r="V22" s="9" t="n"/>
      <c r="W22" s="9" t="n"/>
      <c r="X22" s="9" t="inlineStr">
        <is>
          <t>HHA Fountainview PFC</t>
        </is>
      </c>
      <c r="Y22" s="9" t="inlineStr">
        <is>
          <t>Other</t>
        </is>
      </c>
      <c r="Z22" s="11" t="n">
        <v>20000000</v>
      </c>
      <c r="AA22" s="11" t="n"/>
      <c r="AB22" s="11" t="n">
        <v>425349</v>
      </c>
      <c r="AC22" s="11" t="n"/>
      <c r="AD22" s="11" t="n"/>
      <c r="AE22" s="11" t="n"/>
      <c r="AF22" s="9" t="inlineStr">
        <is>
          <t>N</t>
        </is>
      </c>
      <c r="AG22" s="9" t="inlineStr">
        <is>
          <t>Y</t>
        </is>
      </c>
      <c r="AH22" s="9" t="inlineStr">
        <is>
          <t>Y</t>
        </is>
      </c>
      <c r="AI22" s="9" t="n"/>
      <c r="AJ22" s="8" t="n"/>
      <c r="AK22" s="9" t="n"/>
      <c r="AL22" s="9" t="n"/>
      <c r="AM22" s="9" t="n"/>
      <c r="AN22" s="9" t="n"/>
      <c r="AO22" s="9" t="n"/>
      <c r="AP22" s="9" t="n"/>
      <c r="AQ22" s="9" t="n"/>
      <c r="AR22" s="9" t="n"/>
      <c r="AS22" s="9" t="n"/>
      <c r="AT22" s="8" t="n"/>
      <c r="AU22" s="8" t="n"/>
      <c r="AV22" s="9" t="n"/>
      <c r="AW22" s="8" t="n"/>
      <c r="AX22" s="9" t="n"/>
      <c r="AY22" s="9" t="n"/>
      <c r="AZ22" s="9" t="n"/>
      <c r="BA22" s="9" t="n"/>
      <c r="BB22" s="9" t="n"/>
      <c r="BC22" s="9" t="n"/>
      <c r="BD22" s="9" t="n"/>
      <c r="BE22" s="9" t="n"/>
      <c r="BF22" s="9" t="n"/>
      <c r="BG22" s="9" t="n"/>
      <c r="BH22" s="9" t="n"/>
      <c r="BI22" s="9" t="n"/>
      <c r="BJ22" s="9" t="n"/>
      <c r="BK22" s="9" t="n"/>
      <c r="BL22" s="9" t="n"/>
      <c r="BM22" s="9" t="n"/>
      <c r="BN22" s="9" t="n"/>
      <c r="BO22" s="8" t="n">
        <v>45670</v>
      </c>
      <c r="BP22" s="9" t="inlineStr">
        <is>
          <t>N</t>
        </is>
      </c>
      <c r="BQ22" s="9" t="inlineStr">
        <is>
          <t>Y</t>
        </is>
      </c>
      <c r="BR22" s="12">
        <f>IF(AND(AI22="Y",AK22="Y",AL22="Y",AM22="Y",AY22="Y",AZ22="Y",BA22="Y",BB22="Y",BC22="Y",BE22&lt;&gt;"Y",AX22&lt;&gt;"Y",BL22&lt;&gt;"Y",IF(AS22="Y",AV22="Y",TRUE)),"Y","N")</f>
        <v/>
      </c>
      <c r="BS22" s="12">
        <f>IF(AND(BR22="Y",OR(AND(BJ22="Y",BM22="Y"),AND(BK22="Y",BN22="Y"),AND(BJ22&lt;&gt;"Y",BK22&lt;&gt;"Y",OR(BM22="Y",BN22="Y")))),"Y","N")</f>
        <v/>
      </c>
      <c r="BT22" s="10" t="n">
        <v>23</v>
      </c>
      <c r="BU22" s="13" t="n"/>
      <c r="BV22" s="13" t="n"/>
      <c r="BW22" s="13" t="n"/>
      <c r="BX22" s="13" t="n"/>
      <c r="BY22" s="13" t="n"/>
      <c r="BZ22" s="13" t="n"/>
      <c r="CA22" s="14" t="n"/>
      <c r="CB22" s="13" t="n"/>
      <c r="CC22" s="9" t="n"/>
      <c r="CD22" s="9" t="inlineStr">
        <is>
          <t>Harvey Clemons, Jr.</t>
        </is>
      </c>
      <c r="CE22" s="9" t="inlineStr">
        <is>
          <t>(713) 224-0052</t>
        </is>
      </c>
      <c r="CF22" s="9" t="inlineStr">
        <is>
          <t>hclemons@aol.com</t>
        </is>
      </c>
      <c r="CG22" s="9" t="inlineStr">
        <is>
          <t>David Northern, Sr.</t>
        </is>
      </c>
      <c r="CH22" s="9" t="inlineStr">
        <is>
          <t>(713) 260-0522</t>
        </is>
      </c>
    </row>
    <row r="23">
      <c r="A23" s="8" t="inlineStr">
        <is>
          <t>2025-01-30</t>
        </is>
      </c>
      <c r="B23" s="9" t="inlineStr">
        <is>
          <t>2025-01-30</t>
        </is>
      </c>
      <c r="C23" s="9" t="inlineStr">
        <is>
          <t>25417</t>
        </is>
      </c>
      <c r="D23" s="9" t="n"/>
      <c r="E23" s="9" t="inlineStr">
        <is>
          <t>Reserve at Ella</t>
        </is>
      </c>
      <c r="F23" s="9" t="inlineStr">
        <is>
          <t>Houston</t>
        </is>
      </c>
      <c r="G23" s="9" t="inlineStr">
        <is>
          <t>Harris</t>
        </is>
      </c>
      <c r="H23" s="9" t="n">
        <v>6</v>
      </c>
      <c r="I23" s="9" t="inlineStr">
        <is>
          <t>867 Rushcreek Drive</t>
        </is>
      </c>
      <c r="J23" s="9" t="n">
        <v>77067</v>
      </c>
      <c r="K23" s="8" t="n">
        <v>45670</v>
      </c>
      <c r="L23" s="9" t="inlineStr">
        <is>
          <t>Active</t>
        </is>
      </c>
      <c r="M23" s="8" t="n">
        <v>45820</v>
      </c>
      <c r="N23" s="8" t="n"/>
      <c r="O23" s="8" t="n">
        <v>45671</v>
      </c>
      <c r="P23" s="8" t="n">
        <v>45851</v>
      </c>
      <c r="Q23" s="8" t="n"/>
      <c r="R23" s="9" t="inlineStr">
        <is>
          <t>New Construction</t>
        </is>
      </c>
      <c r="S23" s="9" t="inlineStr">
        <is>
          <t>General</t>
        </is>
      </c>
      <c r="T23" s="10" t="n">
        <v>344</v>
      </c>
      <c r="U23" s="10" t="n">
        <v>344</v>
      </c>
      <c r="V23" s="9" t="n"/>
      <c r="W23" s="9" t="n"/>
      <c r="X23" s="9" t="inlineStr">
        <is>
          <t>HHA Fountainview PFC</t>
        </is>
      </c>
      <c r="Y23" s="9" t="inlineStr">
        <is>
          <t>Other</t>
        </is>
      </c>
      <c r="Z23" s="11" t="n">
        <v>50000000</v>
      </c>
      <c r="AA23" s="11" t="n"/>
      <c r="AB23" s="11" t="n">
        <v>3405323</v>
      </c>
      <c r="AC23" s="11" t="n"/>
      <c r="AD23" s="11" t="n"/>
      <c r="AE23" s="11" t="n"/>
      <c r="AF23" s="9" t="inlineStr">
        <is>
          <t>N</t>
        </is>
      </c>
      <c r="AG23" s="9" t="inlineStr">
        <is>
          <t>Y</t>
        </is>
      </c>
      <c r="AH23" s="9" t="inlineStr">
        <is>
          <t>Y</t>
        </is>
      </c>
      <c r="AI23" s="9" t="n"/>
      <c r="AJ23" s="8" t="n"/>
      <c r="AK23" s="9" t="n"/>
      <c r="AL23" s="9" t="n"/>
      <c r="AM23" s="9" t="n"/>
      <c r="AN23" s="9" t="n"/>
      <c r="AO23" s="9" t="n"/>
      <c r="AP23" s="9" t="n"/>
      <c r="AQ23" s="9" t="n"/>
      <c r="AR23" s="9" t="n"/>
      <c r="AS23" s="9" t="n"/>
      <c r="AT23" s="8" t="n"/>
      <c r="AU23" s="8" t="n"/>
      <c r="AV23" s="9" t="n"/>
      <c r="AW23" s="8" t="n"/>
      <c r="AX23" s="9" t="n"/>
      <c r="AY23" s="9" t="n"/>
      <c r="AZ23" s="9" t="n"/>
      <c r="BA23" s="9" t="n"/>
      <c r="BB23" s="9" t="n"/>
      <c r="BC23" s="9" t="n"/>
      <c r="BD23" s="9" t="n"/>
      <c r="BE23" s="9" t="n"/>
      <c r="BF23" s="9" t="n"/>
      <c r="BG23" s="9" t="n"/>
      <c r="BH23" s="9" t="n"/>
      <c r="BI23" s="9" t="n"/>
      <c r="BJ23" s="9" t="n"/>
      <c r="BK23" s="9" t="n"/>
      <c r="BL23" s="9" t="n"/>
      <c r="BM23" s="9" t="n"/>
      <c r="BN23" s="9" t="n"/>
      <c r="BO23" s="8" t="n">
        <v>45670</v>
      </c>
      <c r="BP23" s="9" t="inlineStr">
        <is>
          <t>N</t>
        </is>
      </c>
      <c r="BQ23" s="9" t="inlineStr">
        <is>
          <t>Y</t>
        </is>
      </c>
      <c r="BR23" s="12">
        <f>IF(AND(AI23="Y",AK23="Y",AL23="Y",AM23="Y",AY23="Y",AZ23="Y",BA23="Y",BB23="Y",BC23="Y",BE23&lt;&gt;"Y",AX23&lt;&gt;"Y",BL23&lt;&gt;"Y",IF(AS23="Y",AV23="Y",TRUE)),"Y","N")</f>
        <v/>
      </c>
      <c r="BS23" s="12">
        <f>IF(AND(BR23="Y",OR(AND(BJ23="Y",BM23="Y"),AND(BK23="Y",BN23="Y"),AND(BJ23&lt;&gt;"Y",BK23&lt;&gt;"Y",OR(BM23="Y",BN23="Y")))),"Y","N")</f>
        <v/>
      </c>
      <c r="BT23" s="10" t="n">
        <v>21</v>
      </c>
      <c r="BU23" s="13" t="n"/>
      <c r="BV23" s="13" t="n"/>
      <c r="BW23" s="13" t="n"/>
      <c r="BX23" s="13" t="n"/>
      <c r="BY23" s="13" t="n"/>
      <c r="BZ23" s="13" t="n"/>
      <c r="CA23" s="14" t="n"/>
      <c r="CB23" s="13" t="n"/>
      <c r="CC23" s="9" t="inlineStr">
        <is>
          <t>construction_type mapped from raw 'NC' to 'New Construction'</t>
        </is>
      </c>
      <c r="CD23" s="9" t="inlineStr">
        <is>
          <t>Tony Ly</t>
        </is>
      </c>
      <c r="CE23" s="9" t="inlineStr">
        <is>
          <t>(713) 980-1622</t>
        </is>
      </c>
      <c r="CF23" s="9" t="inlineStr">
        <is>
          <t>tonyly@stoacapitalpartners.com</t>
        </is>
      </c>
      <c r="CG23" s="9" t="inlineStr">
        <is>
          <t>Bill Walter</t>
        </is>
      </c>
      <c r="CH23" s="9" t="inlineStr">
        <is>
          <t>(512) 684-3842</t>
        </is>
      </c>
    </row>
    <row r="24">
      <c r="A24" s="8" t="inlineStr">
        <is>
          <t>2025-01-30</t>
        </is>
      </c>
      <c r="B24" s="9" t="inlineStr">
        <is>
          <t>2025-01-30</t>
        </is>
      </c>
      <c r="C24" s="9" t="inlineStr">
        <is>
          <t>25404</t>
        </is>
      </c>
      <c r="D24" s="9" t="n"/>
      <c r="E24" s="9" t="inlineStr">
        <is>
          <t>Torrington Briarwood</t>
        </is>
      </c>
      <c r="F24" s="9" t="inlineStr">
        <is>
          <t>Mesquite</t>
        </is>
      </c>
      <c r="G24" s="9" t="inlineStr">
        <is>
          <t>Dallas</t>
        </is>
      </c>
      <c r="H24" s="9" t="n">
        <v>3</v>
      </c>
      <c r="I24" s="9" t="inlineStr">
        <is>
          <t>23701 Lyndon B Johnson Freeway</t>
        </is>
      </c>
      <c r="J24" s="9" t="n">
        <v>75149</v>
      </c>
      <c r="K24" s="8" t="n">
        <v>45670</v>
      </c>
      <c r="L24" s="9" t="inlineStr">
        <is>
          <t>Active</t>
        </is>
      </c>
      <c r="M24" s="8" t="n">
        <v>45785</v>
      </c>
      <c r="N24" s="8" t="n"/>
      <c r="O24" s="8" t="n">
        <v>45671</v>
      </c>
      <c r="P24" s="8" t="n">
        <v>45851</v>
      </c>
      <c r="Q24" s="8" t="n"/>
      <c r="R24" s="9" t="inlineStr">
        <is>
          <t>New Construction</t>
        </is>
      </c>
      <c r="S24" s="9" t="inlineStr">
        <is>
          <t>General</t>
        </is>
      </c>
      <c r="T24" s="10" t="n">
        <v>313</v>
      </c>
      <c r="U24" s="10" t="n">
        <v>313</v>
      </c>
      <c r="V24" s="9" t="n"/>
      <c r="W24" s="9" t="n"/>
      <c r="X24" s="9" t="inlineStr">
        <is>
          <t>The Mesquite HFC</t>
        </is>
      </c>
      <c r="Y24" s="9" t="inlineStr">
        <is>
          <t>Local HFC</t>
        </is>
      </c>
      <c r="Z24" s="11" t="n">
        <v>50000000</v>
      </c>
      <c r="AA24" s="11" t="n"/>
      <c r="AB24" s="11" t="n">
        <v>4371047</v>
      </c>
      <c r="AC24" s="11" t="n"/>
      <c r="AD24" s="11" t="n"/>
      <c r="AE24" s="11" t="n"/>
      <c r="AF24" s="9" t="inlineStr">
        <is>
          <t>N</t>
        </is>
      </c>
      <c r="AG24" s="9" t="inlineStr">
        <is>
          <t>Y</t>
        </is>
      </c>
      <c r="AH24" s="9" t="n"/>
      <c r="AI24" s="9" t="n"/>
      <c r="AJ24" s="8" t="n"/>
      <c r="AK24" s="9" t="n"/>
      <c r="AL24" s="9" t="n"/>
      <c r="AM24" s="9" t="n"/>
      <c r="AN24" s="9" t="n"/>
      <c r="AO24" s="9" t="n"/>
      <c r="AP24" s="9" t="n"/>
      <c r="AQ24" s="9" t="n"/>
      <c r="AR24" s="9" t="n"/>
      <c r="AS24" s="9" t="n"/>
      <c r="AT24" s="8" t="n"/>
      <c r="AU24" s="8" t="n"/>
      <c r="AV24" s="9" t="n"/>
      <c r="AW24" s="8" t="n"/>
      <c r="AX24" s="9" t="n"/>
      <c r="AY24" s="9" t="n"/>
      <c r="AZ24" s="9" t="n"/>
      <c r="BA24" s="9" t="n"/>
      <c r="BB24" s="9" t="n"/>
      <c r="BC24" s="9" t="n"/>
      <c r="BD24" s="9" t="n"/>
      <c r="BE24" s="9" t="n"/>
      <c r="BF24" s="9" t="n"/>
      <c r="BG24" s="9" t="n"/>
      <c r="BH24" s="9" t="n"/>
      <c r="BI24" s="9" t="n"/>
      <c r="BJ24" s="9" t="n"/>
      <c r="BK24" s="9" t="n"/>
      <c r="BL24" s="9" t="n"/>
      <c r="BM24" s="9" t="n"/>
      <c r="BN24" s="9" t="n"/>
      <c r="BO24" s="8" t="n">
        <v>45670</v>
      </c>
      <c r="BP24" s="9" t="inlineStr">
        <is>
          <t>N</t>
        </is>
      </c>
      <c r="BQ24" s="9" t="inlineStr">
        <is>
          <t>Y</t>
        </is>
      </c>
      <c r="BR24" s="12">
        <f>IF(AND(AI24="Y",AK24="Y",AL24="Y",AM24="Y",AY24="Y",AZ24="Y",BA24="Y",BB24="Y",BC24="Y",BE24&lt;&gt;"Y",AX24&lt;&gt;"Y",BL24&lt;&gt;"Y",IF(AS24="Y",AV24="Y",TRUE)),"Y","N")</f>
        <v/>
      </c>
      <c r="BS24" s="12">
        <f>IF(AND(BR24="Y",OR(AND(BJ24="Y",BM24="Y"),AND(BK24="Y",BN24="Y"),AND(BJ24&lt;&gt;"Y",BK24&lt;&gt;"Y",OR(BM24="Y",BN24="Y")))),"Y","N")</f>
        <v/>
      </c>
      <c r="BT24" s="10" t="n">
        <v>19</v>
      </c>
      <c r="BU24" s="13" t="n"/>
      <c r="BV24" s="13" t="n"/>
      <c r="BW24" s="13" t="n"/>
      <c r="BX24" s="13" t="n"/>
      <c r="BY24" s="13" t="n"/>
      <c r="BZ24" s="13" t="n"/>
      <c r="CA24" s="14" t="n"/>
      <c r="CB24" s="13" t="n"/>
      <c r="CC24" s="9" t="inlineStr">
        <is>
          <t>construction_type mapped from raw 'NC' to 'New Construction'</t>
        </is>
      </c>
      <c r="CD24" s="9" t="inlineStr">
        <is>
          <t>Karsten Lowe</t>
        </is>
      </c>
      <c r="CE24" s="9" t="inlineStr">
        <is>
          <t>(210) 493-8633</t>
        </is>
      </c>
      <c r="CF24" s="9" t="inlineStr">
        <is>
          <t>Karsten.Lowe@jpi.com</t>
        </is>
      </c>
      <c r="CG24" s="9" t="inlineStr">
        <is>
          <t>Ted Chinn</t>
        </is>
      </c>
      <c r="CH24" s="9" t="inlineStr">
        <is>
          <t>(972) 216-6287</t>
        </is>
      </c>
    </row>
    <row r="25">
      <c r="A25" s="8" t="inlineStr">
        <is>
          <t>2025-01-30</t>
        </is>
      </c>
      <c r="B25" s="9" t="inlineStr">
        <is>
          <t>2025-01-30</t>
        </is>
      </c>
      <c r="C25" s="9" t="inlineStr">
        <is>
          <t>25412</t>
        </is>
      </c>
      <c r="D25" s="9" t="inlineStr">
        <is>
          <t>07457</t>
        </is>
      </c>
      <c r="E25" s="9" t="inlineStr">
        <is>
          <t>Wyndham Park</t>
        </is>
      </c>
      <c r="F25" s="9" t="inlineStr">
        <is>
          <t>Baytown</t>
        </is>
      </c>
      <c r="G25" s="9" t="inlineStr">
        <is>
          <t>Harris</t>
        </is>
      </c>
      <c r="H25" s="9" t="n">
        <v>6</v>
      </c>
      <c r="I25" s="9" t="inlineStr">
        <is>
          <t>2700 Rollingbrook Drive</t>
        </is>
      </c>
      <c r="J25" s="9" t="n">
        <v>77521</v>
      </c>
      <c r="K25" s="8" t="n">
        <v>45670</v>
      </c>
      <c r="L25" s="9" t="inlineStr">
        <is>
          <t>Active</t>
        </is>
      </c>
      <c r="M25" s="8" t="n">
        <v>45785</v>
      </c>
      <c r="N25" s="8" t="n"/>
      <c r="O25" s="8" t="n">
        <v>45673</v>
      </c>
      <c r="P25" s="8" t="n">
        <v>45853</v>
      </c>
      <c r="Q25" s="8" t="n"/>
      <c r="R25" s="9" t="inlineStr">
        <is>
          <t>Acq/Rehab</t>
        </is>
      </c>
      <c r="S25" s="9" t="inlineStr">
        <is>
          <t>Elderly</t>
        </is>
      </c>
      <c r="T25" s="10" t="n">
        <v>184</v>
      </c>
      <c r="U25" s="10" t="n">
        <v>184</v>
      </c>
      <c r="V25" s="9" t="n"/>
      <c r="W25" s="9" t="n"/>
      <c r="X25" s="9" t="inlineStr">
        <is>
          <t>Southeast Texas HFC</t>
        </is>
      </c>
      <c r="Y25" s="9" t="inlineStr">
        <is>
          <t>Local HFC</t>
        </is>
      </c>
      <c r="Z25" s="11" t="n">
        <v>20000000</v>
      </c>
      <c r="AA25" s="11" t="n"/>
      <c r="AB25" s="11" t="n">
        <v>986417</v>
      </c>
      <c r="AC25" s="11" t="n"/>
      <c r="AD25" s="11" t="n"/>
      <c r="AE25" s="11" t="n"/>
      <c r="AF25" s="9" t="inlineStr">
        <is>
          <t>N</t>
        </is>
      </c>
      <c r="AG25" s="9" t="inlineStr">
        <is>
          <t>Y</t>
        </is>
      </c>
      <c r="AH25" s="9" t="n"/>
      <c r="AI25" s="9" t="n"/>
      <c r="AJ25" s="8" t="n"/>
      <c r="AK25" s="9" t="n"/>
      <c r="AL25" s="9" t="n"/>
      <c r="AM25" s="9" t="n"/>
      <c r="AN25" s="9" t="n"/>
      <c r="AO25" s="9" t="n"/>
      <c r="AP25" s="9" t="n"/>
      <c r="AQ25" s="9" t="n"/>
      <c r="AR25" s="9" t="n"/>
      <c r="AS25" s="9" t="n"/>
      <c r="AT25" s="8" t="n"/>
      <c r="AU25" s="8" t="n"/>
      <c r="AV25" s="9" t="n"/>
      <c r="AW25" s="8" t="n"/>
      <c r="AX25" s="9" t="n"/>
      <c r="AY25" s="9" t="n"/>
      <c r="AZ25" s="9" t="n"/>
      <c r="BA25" s="9" t="n"/>
      <c r="BB25" s="9" t="n"/>
      <c r="BC25" s="9" t="n"/>
      <c r="BD25" s="9" t="n"/>
      <c r="BE25" s="9" t="n"/>
      <c r="BF25" s="9" t="n"/>
      <c r="BG25" s="9" t="n"/>
      <c r="BH25" s="9" t="n"/>
      <c r="BI25" s="9" t="n"/>
      <c r="BJ25" s="9" t="n"/>
      <c r="BK25" s="9" t="n"/>
      <c r="BL25" s="9" t="n"/>
      <c r="BM25" s="9" t="n"/>
      <c r="BN25" s="9" t="n"/>
      <c r="BO25" s="8" t="n">
        <v>45670</v>
      </c>
      <c r="BP25" s="9" t="inlineStr">
        <is>
          <t>N</t>
        </is>
      </c>
      <c r="BQ25" s="9" t="inlineStr">
        <is>
          <t>Y</t>
        </is>
      </c>
      <c r="BR25" s="12">
        <f>IF(AND(AI25="Y",AK25="Y",AL25="Y",AM25="Y",AY25="Y",AZ25="Y",BA25="Y",BB25="Y",BC25="Y",BE25&lt;&gt;"Y",AX25&lt;&gt;"Y",BL25&lt;&gt;"Y",IF(AS25="Y",AV25="Y",TRUE)),"Y","N")</f>
        <v/>
      </c>
      <c r="BS25" s="12">
        <f>IF(AND(BR25="Y",OR(AND(BJ25="Y",BM25="Y"),AND(BK25="Y",BN25="Y"),AND(BJ25&lt;&gt;"Y",BK25&lt;&gt;"Y",OR(BM25="Y",BN25="Y")))),"Y","N")</f>
        <v/>
      </c>
      <c r="BT25" s="10" t="n">
        <v>20</v>
      </c>
      <c r="BU25" s="13" t="n"/>
      <c r="BV25" s="13" t="n"/>
      <c r="BW25" s="13" t="n"/>
      <c r="BX25" s="13" t="n"/>
      <c r="BY25" s="13" t="n"/>
      <c r="BZ25" s="13" t="n"/>
      <c r="CA25" s="14" t="n"/>
      <c r="CB25" s="13" t="n"/>
      <c r="CC25" s="9" t="n"/>
      <c r="CD25" s="9" t="inlineStr">
        <is>
          <t>Jeremy Bartholomew</t>
        </is>
      </c>
      <c r="CE25" s="9" t="inlineStr">
        <is>
          <t>(713) 334-5514</t>
        </is>
      </c>
      <c r="CF25" s="9" t="inlineStr">
        <is>
          <t>jeremy@resolutioncompanies.com</t>
        </is>
      </c>
      <c r="CG25" s="9" t="inlineStr">
        <is>
          <t>Ron Williams</t>
        </is>
      </c>
      <c r="CH25" s="9" t="inlineStr">
        <is>
          <t>(281) 484-4663</t>
        </is>
      </c>
    </row>
    <row r="26">
      <c r="A26" s="8" t="inlineStr">
        <is>
          <t>2025-01-30</t>
        </is>
      </c>
      <c r="B26" s="9" t="inlineStr">
        <is>
          <t>2025-01-30</t>
        </is>
      </c>
      <c r="C26" s="9" t="inlineStr">
        <is>
          <t>21608S</t>
        </is>
      </c>
      <c r="D26" s="9" t="n">
        <v>21608</v>
      </c>
      <c r="E26" s="9" t="inlineStr">
        <is>
          <t>Fiji Lofts</t>
        </is>
      </c>
      <c r="F26" s="9" t="inlineStr">
        <is>
          <t>Dallas</t>
        </is>
      </c>
      <c r="G26" s="9" t="inlineStr">
        <is>
          <t>Dallas</t>
        </is>
      </c>
      <c r="H26" s="9" t="n">
        <v>3</v>
      </c>
      <c r="I26" s="9" t="inlineStr">
        <is>
          <t>301 S. Corinth Road</t>
        </is>
      </c>
      <c r="J26" s="9" t="n">
        <v>75203</v>
      </c>
      <c r="K26" s="8" t="n">
        <v>45525</v>
      </c>
      <c r="L26" s="9" t="inlineStr">
        <is>
          <t>Active</t>
        </is>
      </c>
      <c r="M26" s="8" t="inlineStr">
        <is>
          <t>TBD</t>
        </is>
      </c>
      <c r="N26" s="8" t="n"/>
      <c r="O26" s="8" t="inlineStr">
        <is>
          <t>TBD</t>
        </is>
      </c>
      <c r="P26" s="8" t="inlineStr">
        <is>
          <t>TBD</t>
        </is>
      </c>
      <c r="Q26" s="8" t="n"/>
      <c r="R26" s="9" t="inlineStr">
        <is>
          <t>New Construction</t>
        </is>
      </c>
      <c r="S26" s="9" t="inlineStr">
        <is>
          <t>General</t>
        </is>
      </c>
      <c r="T26" s="10" t="n">
        <v>204</v>
      </c>
      <c r="U26" s="10" t="n">
        <v>204</v>
      </c>
      <c r="V26" s="9" t="n"/>
      <c r="W26" s="9" t="n"/>
      <c r="X26" s="9" t="inlineStr">
        <is>
          <t>TDHCA</t>
        </is>
      </c>
      <c r="Y26" s="9" t="inlineStr">
        <is>
          <t>TDHCA</t>
        </is>
      </c>
      <c r="Z26" s="11" t="n">
        <v>6000000</v>
      </c>
      <c r="AA26" s="11" t="n"/>
      <c r="AB26" s="11" t="n">
        <v>2703561</v>
      </c>
      <c r="AC26" s="11" t="n"/>
      <c r="AD26" s="11" t="n"/>
      <c r="AE26" s="11" t="n"/>
      <c r="AF26" s="9" t="inlineStr">
        <is>
          <t>N</t>
        </is>
      </c>
      <c r="AG26" s="9" t="inlineStr">
        <is>
          <t>Y</t>
        </is>
      </c>
      <c r="AH26" s="9" t="n"/>
      <c r="AI26" s="9" t="n"/>
      <c r="AJ26" s="8" t="n"/>
      <c r="AK26" s="9" t="n"/>
      <c r="AL26" s="9" t="n"/>
      <c r="AM26" s="9" t="n"/>
      <c r="AN26" s="9" t="n"/>
      <c r="AO26" s="9" t="n"/>
      <c r="AP26" s="9" t="n"/>
      <c r="AQ26" s="9" t="n"/>
      <c r="AR26" s="9" t="n"/>
      <c r="AS26" s="9" t="n"/>
      <c r="AT26" s="8" t="n"/>
      <c r="AU26" s="8" t="n"/>
      <c r="AV26" s="9" t="n"/>
      <c r="AW26" s="8" t="n"/>
      <c r="AX26" s="9" t="n"/>
      <c r="AY26" s="9" t="n"/>
      <c r="AZ26" s="9" t="n"/>
      <c r="BA26" s="9" t="n"/>
      <c r="BB26" s="9" t="n"/>
      <c r="BC26" s="9" t="n"/>
      <c r="BD26" s="9" t="n"/>
      <c r="BE26" s="9" t="n"/>
      <c r="BF26" s="9" t="n"/>
      <c r="BG26" s="9" t="n"/>
      <c r="BH26" s="9" t="n"/>
      <c r="BI26" s="9" t="n"/>
      <c r="BJ26" s="9" t="n"/>
      <c r="BK26" s="9" t="n"/>
      <c r="BL26" s="9" t="n"/>
      <c r="BM26" s="9" t="n"/>
      <c r="BN26" s="9" t="n"/>
      <c r="BO26" s="8" t="n">
        <v>45525</v>
      </c>
      <c r="BP26" s="9" t="inlineStr">
        <is>
          <t>N</t>
        </is>
      </c>
      <c r="BQ26" s="9" t="inlineStr">
        <is>
          <t>Y</t>
        </is>
      </c>
      <c r="BR26" s="12">
        <f>IF(AND(AI26="Y",AK26="Y",AL26="Y",AM26="Y",AY26="Y",AZ26="Y",BA26="Y",BB26="Y",BC26="Y",BE26&lt;&gt;"Y",AX26&lt;&gt;"Y",BL26&lt;&gt;"Y",IF(AS26="Y",AV26="Y",TRUE)),"Y","N")</f>
        <v/>
      </c>
      <c r="BS26" s="12">
        <f>IF(AND(BR26="Y",OR(AND(BJ26="Y",BM26="Y"),AND(BK26="Y",BN26="Y"),AND(BJ26&lt;&gt;"Y",BK26&lt;&gt;"Y",OR(BM26="Y",BN26="Y")))),"Y","N")</f>
        <v/>
      </c>
      <c r="BT26" s="10" t="n">
        <v>1</v>
      </c>
      <c r="BU26" s="13" t="n"/>
      <c r="BV26" s="13" t="n"/>
      <c r="BW26" s="13" t="n"/>
      <c r="BX26" s="13" t="n"/>
      <c r="BY26" s="13" t="n"/>
      <c r="BZ26" s="13" t="n"/>
      <c r="CA26" s="14" t="n"/>
      <c r="CB26" s="13" t="n"/>
      <c r="CC26" s="9" t="inlineStr">
        <is>
          <t>construction_type mapped from raw 'NC' to 'New Construction'</t>
        </is>
      </c>
      <c r="CD26" s="9" t="inlineStr">
        <is>
          <t>Joseph Agumadu</t>
        </is>
      </c>
      <c r="CE26" s="9" t="inlineStr">
        <is>
          <t>(214) 342-1400</t>
        </is>
      </c>
      <c r="CF26" s="9" t="inlineStr">
        <is>
          <t>development@sdcus.com</t>
        </is>
      </c>
      <c r="CG26" s="9" t="inlineStr">
        <is>
          <t>Teresa Morales</t>
        </is>
      </c>
      <c r="CH26" s="9" t="inlineStr">
        <is>
          <t>(512) 475-3344</t>
        </is>
      </c>
    </row>
    <row r="27">
      <c r="A27" s="8" t="inlineStr">
        <is>
          <t>2025-01-30</t>
        </is>
      </c>
      <c r="B27" s="9" t="inlineStr">
        <is>
          <t>2025-01-30</t>
        </is>
      </c>
      <c r="C27" s="9" t="inlineStr">
        <is>
          <t>21614S</t>
        </is>
      </c>
      <c r="D27" s="9" t="n">
        <v>21614</v>
      </c>
      <c r="E27" s="9" t="inlineStr">
        <is>
          <t>Murdeaux Villas</t>
        </is>
      </c>
      <c r="F27" s="9" t="inlineStr">
        <is>
          <t>Dallas</t>
        </is>
      </c>
      <c r="G27" s="9" t="inlineStr">
        <is>
          <t>Dallas</t>
        </is>
      </c>
      <c r="H27" s="9" t="n">
        <v>3</v>
      </c>
      <c r="I27" s="9" t="inlineStr">
        <is>
          <t>125 S. Murdeaux Lane</t>
        </is>
      </c>
      <c r="J27" s="9" t="n">
        <v>75217</v>
      </c>
      <c r="K27" s="8" t="n">
        <v>45540</v>
      </c>
      <c r="L27" s="9" t="inlineStr">
        <is>
          <t>Active</t>
        </is>
      </c>
      <c r="M27" s="8" t="inlineStr">
        <is>
          <t>TBD</t>
        </is>
      </c>
      <c r="N27" s="8" t="n"/>
      <c r="O27" s="8" t="inlineStr">
        <is>
          <t>TBD</t>
        </is>
      </c>
      <c r="P27" s="8" t="inlineStr">
        <is>
          <t>TBD</t>
        </is>
      </c>
      <c r="Q27" s="8" t="n"/>
      <c r="R27" s="9" t="inlineStr">
        <is>
          <t>Acq/Rehab</t>
        </is>
      </c>
      <c r="S27" s="9" t="inlineStr">
        <is>
          <t>General</t>
        </is>
      </c>
      <c r="T27" s="10" t="n">
        <v>301</v>
      </c>
      <c r="U27" s="10" t="n">
        <v>301</v>
      </c>
      <c r="V27" s="9" t="n"/>
      <c r="W27" s="9" t="n"/>
      <c r="X27" s="9" t="inlineStr">
        <is>
          <t>TDHCA</t>
        </is>
      </c>
      <c r="Y27" s="9" t="inlineStr">
        <is>
          <t>TDHCA</t>
        </is>
      </c>
      <c r="Z27" s="11" t="n">
        <v>5000000</v>
      </c>
      <c r="AA27" s="11" t="n"/>
      <c r="AB27" s="11" t="n">
        <v>3745444</v>
      </c>
      <c r="AC27" s="11" t="n"/>
      <c r="AD27" s="11" t="n"/>
      <c r="AE27" s="11" t="n"/>
      <c r="AF27" s="9" t="inlineStr">
        <is>
          <t>N</t>
        </is>
      </c>
      <c r="AG27" s="9" t="inlineStr">
        <is>
          <t>Y</t>
        </is>
      </c>
      <c r="AH27" s="9" t="n"/>
      <c r="AI27" s="9" t="n"/>
      <c r="AJ27" s="8" t="n"/>
      <c r="AK27" s="9" t="n"/>
      <c r="AL27" s="9" t="n"/>
      <c r="AM27" s="9" t="n"/>
      <c r="AN27" s="9" t="n"/>
      <c r="AO27" s="9" t="n"/>
      <c r="AP27" s="9" t="n"/>
      <c r="AQ27" s="9" t="n"/>
      <c r="AR27" s="9" t="n"/>
      <c r="AS27" s="9" t="n"/>
      <c r="AT27" s="8" t="n"/>
      <c r="AU27" s="8" t="n"/>
      <c r="AV27" s="9" t="n"/>
      <c r="AW27" s="8" t="n"/>
      <c r="AX27" s="9" t="n"/>
      <c r="AY27" s="9" t="n"/>
      <c r="AZ27" s="9" t="n"/>
      <c r="BA27" s="9" t="n"/>
      <c r="BB27" s="9" t="n"/>
      <c r="BC27" s="9" t="n"/>
      <c r="BD27" s="9" t="n"/>
      <c r="BE27" s="9" t="n"/>
      <c r="BF27" s="9" t="n"/>
      <c r="BG27" s="9" t="n"/>
      <c r="BH27" s="9" t="n"/>
      <c r="BI27" s="9" t="n"/>
      <c r="BJ27" s="9" t="n"/>
      <c r="BK27" s="9" t="n"/>
      <c r="BL27" s="9" t="n"/>
      <c r="BM27" s="9" t="n"/>
      <c r="BN27" s="9" t="n"/>
      <c r="BO27" s="8" t="n">
        <v>45540</v>
      </c>
      <c r="BP27" s="9" t="inlineStr">
        <is>
          <t>N</t>
        </is>
      </c>
      <c r="BQ27" s="9" t="inlineStr">
        <is>
          <t>Y</t>
        </is>
      </c>
      <c r="BR27" s="12">
        <f>IF(AND(AI27="Y",AK27="Y",AL27="Y",AM27="Y",AY27="Y",AZ27="Y",BA27="Y",BB27="Y",BC27="Y",BE27&lt;&gt;"Y",AX27&lt;&gt;"Y",BL27&lt;&gt;"Y",IF(AS27="Y",AV27="Y",TRUE)),"Y","N")</f>
        <v/>
      </c>
      <c r="BS27" s="12">
        <f>IF(AND(BR27="Y",OR(AND(BJ27="Y",BM27="Y"),AND(BK27="Y",BN27="Y"),AND(BJ27&lt;&gt;"Y",BK27&lt;&gt;"Y",OR(BM27="Y",BN27="Y")))),"Y","N")</f>
        <v/>
      </c>
      <c r="BT27" s="10" t="n">
        <v>2</v>
      </c>
      <c r="BU27" s="13" t="n"/>
      <c r="BV27" s="13" t="n"/>
      <c r="BW27" s="13" t="n"/>
      <c r="BX27" s="13" t="n"/>
      <c r="BY27" s="13" t="n"/>
      <c r="BZ27" s="13" t="n"/>
      <c r="CA27" s="14" t="n"/>
      <c r="CB27" s="13" t="n"/>
      <c r="CC27" s="9" t="n"/>
      <c r="CD27" s="9" t="inlineStr">
        <is>
          <t>Ryan Hamilton</t>
        </is>
      </c>
      <c r="CE27" s="9" t="inlineStr">
        <is>
          <t>(417) 882-1701</t>
        </is>
      </c>
      <c r="CF27" s="9" t="inlineStr">
        <is>
          <t>ryanhamilton@hamiltoncorporation.com</t>
        </is>
      </c>
      <c r="CG27" s="9" t="inlineStr">
        <is>
          <t>Teresa Morales</t>
        </is>
      </c>
      <c r="CH27" s="9" t="inlineStr">
        <is>
          <t>(512) 475-3344</t>
        </is>
      </c>
    </row>
    <row r="28">
      <c r="A28" s="8" t="inlineStr">
        <is>
          <t>2025-01-30</t>
        </is>
      </c>
      <c r="B28" s="9" t="inlineStr">
        <is>
          <t>2025-01-30</t>
        </is>
      </c>
      <c r="C28" s="9" t="inlineStr">
        <is>
          <t>25425</t>
        </is>
      </c>
      <c r="D28" s="9" t="n"/>
      <c r="E28" s="9" t="inlineStr">
        <is>
          <t>Bridge at Treeline</t>
        </is>
      </c>
      <c r="F28" s="9" t="inlineStr">
        <is>
          <t>Austin</t>
        </is>
      </c>
      <c r="G28" s="9" t="inlineStr">
        <is>
          <t>Travis</t>
        </is>
      </c>
      <c r="H28" s="9" t="n">
        <v>7</v>
      </c>
      <c r="I28" s="9" t="inlineStr">
        <is>
          <t>12201 Heatherly Drive</t>
        </is>
      </c>
      <c r="J28" s="9" t="n">
        <v>78747</v>
      </c>
      <c r="K28" s="8" t="n">
        <v>45671</v>
      </c>
      <c r="L28" s="9" t="inlineStr">
        <is>
          <t>Active</t>
        </is>
      </c>
      <c r="M28" s="8" t="n">
        <v>45757</v>
      </c>
      <c r="N28" s="8" t="n"/>
      <c r="O28" s="8" t="n">
        <v>45672</v>
      </c>
      <c r="P28" s="8" t="n">
        <v>45852</v>
      </c>
      <c r="Q28" s="8" t="n"/>
      <c r="R28" s="9" t="inlineStr">
        <is>
          <t>New Construction</t>
        </is>
      </c>
      <c r="S28" s="9" t="inlineStr">
        <is>
          <t>General</t>
        </is>
      </c>
      <c r="T28" s="10" t="n">
        <v>330</v>
      </c>
      <c r="U28" s="10" t="n">
        <v>330</v>
      </c>
      <c r="V28" s="9" t="n"/>
      <c r="W28" s="9" t="n"/>
      <c r="X28" s="9" t="inlineStr">
        <is>
          <t>Austin Affordable PFC</t>
        </is>
      </c>
      <c r="Y28" s="9" t="inlineStr">
        <is>
          <t>Other</t>
        </is>
      </c>
      <c r="Z28" s="11" t="n">
        <v>40000000</v>
      </c>
      <c r="AA28" s="11" t="n"/>
      <c r="AB28" s="11" t="n">
        <v>2443032</v>
      </c>
      <c r="AC28" s="11" t="n"/>
      <c r="AD28" s="11" t="n"/>
      <c r="AE28" s="11" t="n"/>
      <c r="AF28" s="9" t="inlineStr">
        <is>
          <t>N</t>
        </is>
      </c>
      <c r="AG28" s="9" t="inlineStr">
        <is>
          <t>Y</t>
        </is>
      </c>
      <c r="AH28" s="9" t="inlineStr">
        <is>
          <t>Y</t>
        </is>
      </c>
      <c r="AI28" s="9" t="n"/>
      <c r="AJ28" s="8" t="n"/>
      <c r="AK28" s="9" t="n"/>
      <c r="AL28" s="9" t="n"/>
      <c r="AM28" s="9" t="n"/>
      <c r="AN28" s="9" t="n"/>
      <c r="AO28" s="9" t="n"/>
      <c r="AP28" s="9" t="n"/>
      <c r="AQ28" s="9" t="n"/>
      <c r="AR28" s="9" t="n"/>
      <c r="AS28" s="9" t="n"/>
      <c r="AT28" s="8" t="n"/>
      <c r="AU28" s="8" t="n"/>
      <c r="AV28" s="9" t="n"/>
      <c r="AW28" s="8" t="n"/>
      <c r="AX28" s="9" t="n"/>
      <c r="AY28" s="9" t="n"/>
      <c r="AZ28" s="9" t="n"/>
      <c r="BA28" s="9" t="n"/>
      <c r="BB28" s="9" t="n"/>
      <c r="BC28" s="9" t="n"/>
      <c r="BD28" s="9" t="n"/>
      <c r="BE28" s="9" t="n"/>
      <c r="BF28" s="9" t="n"/>
      <c r="BG28" s="9" t="n"/>
      <c r="BH28" s="9" t="n"/>
      <c r="BI28" s="9" t="n"/>
      <c r="BJ28" s="9" t="n"/>
      <c r="BK28" s="9" t="n"/>
      <c r="BL28" s="9" t="n"/>
      <c r="BM28" s="9" t="n"/>
      <c r="BN28" s="9" t="n"/>
      <c r="BO28" s="8" t="n">
        <v>45671</v>
      </c>
      <c r="BP28" s="9" t="inlineStr">
        <is>
          <t>N</t>
        </is>
      </c>
      <c r="BQ28" s="9" t="inlineStr">
        <is>
          <t>Y</t>
        </is>
      </c>
      <c r="BR28" s="12">
        <f>IF(AND(AI28="Y",AK28="Y",AL28="Y",AM28="Y",AY28="Y",AZ28="Y",BA28="Y",BB28="Y",BC28="Y",BE28&lt;&gt;"Y",AX28&lt;&gt;"Y",BL28&lt;&gt;"Y",IF(AS28="Y",AV28="Y",TRUE)),"Y","N")</f>
        <v/>
      </c>
      <c r="BS28" s="12">
        <f>IF(AND(BR28="Y",OR(AND(BJ28="Y",BM28="Y"),AND(BK28="Y",BN28="Y"),AND(BJ28&lt;&gt;"Y",BK28&lt;&gt;"Y",OR(BM28="Y",BN28="Y")))),"Y","N")</f>
        <v/>
      </c>
      <c r="BT28" s="10" t="n">
        <v>28</v>
      </c>
      <c r="BU28" s="13" t="n"/>
      <c r="BV28" s="13" t="n"/>
      <c r="BW28" s="13" t="n"/>
      <c r="BX28" s="13" t="n"/>
      <c r="BY28" s="13" t="n"/>
      <c r="BZ28" s="13" t="n"/>
      <c r="CA28" s="14" t="n"/>
      <c r="CB28" s="13" t="n"/>
      <c r="CC28" s="9" t="inlineStr">
        <is>
          <t>construction_type mapped from raw 'NC' to 'New Construction'</t>
        </is>
      </c>
      <c r="CD28" s="9" t="inlineStr">
        <is>
          <t>Sam Kumar</t>
        </is>
      </c>
      <c r="CE28" s="9" t="inlineStr">
        <is>
          <t>(512) 247-7000</t>
        </is>
      </c>
      <c r="CF28" s="9" t="inlineStr">
        <is>
          <t>SKumar@journeymangroup.com</t>
        </is>
      </c>
      <c r="CG28" s="9" t="inlineStr">
        <is>
          <t>Ron Kowal</t>
        </is>
      </c>
      <c r="CH28" s="9" t="inlineStr">
        <is>
          <t>512‐477‐4488</t>
        </is>
      </c>
    </row>
    <row r="29">
      <c r="A29" s="8" t="inlineStr">
        <is>
          <t>2025-01-30</t>
        </is>
      </c>
      <c r="B29" s="9" t="inlineStr">
        <is>
          <t>2025-01-30</t>
        </is>
      </c>
      <c r="C29" s="9" t="inlineStr">
        <is>
          <t>25431</t>
        </is>
      </c>
      <c r="D29" s="9" t="n">
        <v>93101</v>
      </c>
      <c r="E29" s="9" t="inlineStr">
        <is>
          <t>The Meadows</t>
        </is>
      </c>
      <c r="F29" s="9" t="inlineStr">
        <is>
          <t>Garland</t>
        </is>
      </c>
      <c r="G29" s="9" t="inlineStr">
        <is>
          <t>Dallas</t>
        </is>
      </c>
      <c r="H29" s="9" t="n">
        <v>3</v>
      </c>
      <c r="I29" s="9" t="inlineStr">
        <is>
          <t>3826 Easton Meadows Drive</t>
        </is>
      </c>
      <c r="J29" s="9" t="n">
        <v>75043</v>
      </c>
      <c r="K29" s="8" t="n">
        <v>45671</v>
      </c>
      <c r="L29" s="9" t="inlineStr">
        <is>
          <t>Active</t>
        </is>
      </c>
      <c r="M29" s="8" t="n">
        <v>45785</v>
      </c>
      <c r="N29" s="8" t="n"/>
      <c r="O29" s="8" t="n">
        <v>45672</v>
      </c>
      <c r="P29" s="8" t="n">
        <v>45852</v>
      </c>
      <c r="Q29" s="8" t="n"/>
      <c r="R29" s="9" t="inlineStr">
        <is>
          <t>Acq/Rehab</t>
        </is>
      </c>
      <c r="S29" s="9" t="inlineStr">
        <is>
          <t>General</t>
        </is>
      </c>
      <c r="T29" s="10" t="n">
        <v>152</v>
      </c>
      <c r="U29" s="10" t="n">
        <v>152</v>
      </c>
      <c r="V29" s="9" t="n"/>
      <c r="W29" s="9" t="n"/>
      <c r="X29" s="9" t="inlineStr">
        <is>
          <t>Texas Home Collaborative</t>
        </is>
      </c>
      <c r="Y29" s="9" t="inlineStr">
        <is>
          <t>Other</t>
        </is>
      </c>
      <c r="Z29" s="11" t="n">
        <v>25000000</v>
      </c>
      <c r="AA29" s="11" t="n"/>
      <c r="AB29" s="11" t="n">
        <v>1527490</v>
      </c>
      <c r="AC29" s="11" t="n"/>
      <c r="AD29" s="11" t="n"/>
      <c r="AE29" s="11" t="n"/>
      <c r="AF29" s="9" t="inlineStr">
        <is>
          <t>N</t>
        </is>
      </c>
      <c r="AG29" s="9" t="inlineStr">
        <is>
          <t>Y</t>
        </is>
      </c>
      <c r="AH29" s="9" t="n"/>
      <c r="AI29" s="9" t="n"/>
      <c r="AJ29" s="8" t="n"/>
      <c r="AK29" s="9" t="n"/>
      <c r="AL29" s="9" t="n"/>
      <c r="AM29" s="9" t="n"/>
      <c r="AN29" s="9" t="n"/>
      <c r="AO29" s="9" t="n"/>
      <c r="AP29" s="9" t="n"/>
      <c r="AQ29" s="9" t="n"/>
      <c r="AR29" s="9" t="n"/>
      <c r="AS29" s="9" t="n"/>
      <c r="AT29" s="8" t="n"/>
      <c r="AU29" s="8" t="n"/>
      <c r="AV29" s="9" t="n"/>
      <c r="AW29" s="8" t="n"/>
      <c r="AX29" s="9" t="n"/>
      <c r="AY29" s="9" t="n"/>
      <c r="AZ29" s="9" t="n"/>
      <c r="BA29" s="9" t="n"/>
      <c r="BB29" s="9" t="n"/>
      <c r="BC29" s="9" t="n"/>
      <c r="BD29" s="9" t="n"/>
      <c r="BE29" s="9" t="n"/>
      <c r="BF29" s="9" t="n"/>
      <c r="BG29" s="9" t="n"/>
      <c r="BH29" s="9" t="n"/>
      <c r="BI29" s="9" t="n"/>
      <c r="BJ29" s="9" t="n"/>
      <c r="BK29" s="9" t="n"/>
      <c r="BL29" s="9" t="n"/>
      <c r="BM29" s="9" t="n"/>
      <c r="BN29" s="9" t="n"/>
      <c r="BO29" s="8" t="n">
        <v>45671</v>
      </c>
      <c r="BP29" s="9" t="inlineStr">
        <is>
          <t>N</t>
        </is>
      </c>
      <c r="BQ29" s="9" t="inlineStr">
        <is>
          <t>Y</t>
        </is>
      </c>
      <c r="BR29" s="12">
        <f>IF(AND(AI29="Y",AK29="Y",AL29="Y",AM29="Y",AY29="Y",AZ29="Y",BA29="Y",BB29="Y",BC29="Y",BE29&lt;&gt;"Y",AX29&lt;&gt;"Y",BL29&lt;&gt;"Y",IF(AS29="Y",AV29="Y",TRUE)),"Y","N")</f>
        <v/>
      </c>
      <c r="BS29" s="12">
        <f>IF(AND(BR29="Y",OR(AND(BJ29="Y",BM29="Y"),AND(BK29="Y",BN29="Y"),AND(BJ29&lt;&gt;"Y",BK29&lt;&gt;"Y",OR(BM29="Y",BN29="Y")))),"Y","N")</f>
        <v/>
      </c>
      <c r="BT29" s="10" t="n">
        <v>29</v>
      </c>
      <c r="BU29" s="13" t="n"/>
      <c r="BV29" s="13" t="n"/>
      <c r="BW29" s="13" t="n"/>
      <c r="BX29" s="13" t="n"/>
      <c r="BY29" s="13" t="n"/>
      <c r="BZ29" s="13" t="n"/>
      <c r="CA29" s="14" t="n"/>
      <c r="CB29" s="13" t="n"/>
      <c r="CC29" s="9" t="n"/>
      <c r="CD29" s="9" t="inlineStr">
        <is>
          <t>Brad Fisher</t>
        </is>
      </c>
      <c r="CE29" s="9" t="inlineStr">
        <is>
          <t>(913) 787-1676</t>
        </is>
      </c>
      <c r="CF29" s="9" t="inlineStr">
        <is>
          <t>bfisher@aprilhousing.com</t>
        </is>
      </c>
      <c r="CG29" s="9" t="inlineStr">
        <is>
          <t>Antonio Williams</t>
        </is>
      </c>
      <c r="CH29" s="9" t="inlineStr">
        <is>
          <t>(903) 276-7557</t>
        </is>
      </c>
    </row>
    <row r="30">
      <c r="A30" s="8" t="inlineStr">
        <is>
          <t>2025-01-30</t>
        </is>
      </c>
      <c r="B30" s="9" t="inlineStr">
        <is>
          <t>2025-01-30</t>
        </is>
      </c>
      <c r="C30" s="9" t="inlineStr">
        <is>
          <t>25401</t>
        </is>
      </c>
      <c r="D30" s="9" t="n"/>
      <c r="E30" s="9" t="inlineStr">
        <is>
          <t>Enclave at Cypress</t>
        </is>
      </c>
      <c r="F30" s="9" t="inlineStr">
        <is>
          <t>Cypress</t>
        </is>
      </c>
      <c r="G30" s="9" t="inlineStr">
        <is>
          <t>Harris</t>
        </is>
      </c>
      <c r="H30" s="9" t="n">
        <v>6</v>
      </c>
      <c r="I30" s="9" t="inlineStr">
        <is>
          <t>15815 Merle Road</t>
        </is>
      </c>
      <c r="J30" s="9" t="n">
        <v>77433</v>
      </c>
      <c r="K30" s="8" t="n">
        <v>45671</v>
      </c>
      <c r="L30" s="9" t="inlineStr">
        <is>
          <t>Active</t>
        </is>
      </c>
      <c r="M30" s="8" t="n">
        <v>45785</v>
      </c>
      <c r="N30" s="8" t="n"/>
      <c r="O30" s="8" t="n">
        <v>45672</v>
      </c>
      <c r="P30" s="8" t="n">
        <v>45852</v>
      </c>
      <c r="Q30" s="8" t="n"/>
      <c r="R30" s="9" t="inlineStr">
        <is>
          <t>New Construction</t>
        </is>
      </c>
      <c r="S30" s="9" t="inlineStr">
        <is>
          <t>General</t>
        </is>
      </c>
      <c r="T30" s="10" t="n">
        <v>363</v>
      </c>
      <c r="U30" s="10" t="n">
        <v>363</v>
      </c>
      <c r="V30" s="9" t="n"/>
      <c r="W30" s="9" t="n"/>
      <c r="X30" s="9" t="inlineStr">
        <is>
          <t>Harris County HFC</t>
        </is>
      </c>
      <c r="Y30" s="9" t="inlineStr">
        <is>
          <t>Local HFC</t>
        </is>
      </c>
      <c r="Z30" s="11" t="n">
        <v>50000000</v>
      </c>
      <c r="AA30" s="11" t="n"/>
      <c r="AB30" s="11" t="n">
        <v>3570057</v>
      </c>
      <c r="AC30" s="11" t="n"/>
      <c r="AD30" s="11" t="n"/>
      <c r="AE30" s="11" t="n"/>
      <c r="AF30" s="9" t="inlineStr">
        <is>
          <t>N</t>
        </is>
      </c>
      <c r="AG30" s="9" t="inlineStr">
        <is>
          <t>Y</t>
        </is>
      </c>
      <c r="AH30" s="9" t="n"/>
      <c r="AI30" s="9" t="n"/>
      <c r="AJ30" s="8" t="n"/>
      <c r="AK30" s="9" t="n"/>
      <c r="AL30" s="9" t="n"/>
      <c r="AM30" s="9" t="n"/>
      <c r="AN30" s="9" t="n"/>
      <c r="AO30" s="9" t="n"/>
      <c r="AP30" s="9" t="n"/>
      <c r="AQ30" s="9" t="n"/>
      <c r="AR30" s="9" t="n"/>
      <c r="AS30" s="9" t="n"/>
      <c r="AT30" s="8" t="n"/>
      <c r="AU30" s="8" t="n"/>
      <c r="AV30" s="9" t="n"/>
      <c r="AW30" s="8" t="n"/>
      <c r="AX30" s="9" t="n"/>
      <c r="AY30" s="9" t="n"/>
      <c r="AZ30" s="9" t="n"/>
      <c r="BA30" s="9" t="n"/>
      <c r="BB30" s="9" t="n"/>
      <c r="BC30" s="9" t="n"/>
      <c r="BD30" s="9" t="n"/>
      <c r="BE30" s="9" t="n"/>
      <c r="BF30" s="9" t="n"/>
      <c r="BG30" s="9" t="n"/>
      <c r="BH30" s="9" t="n"/>
      <c r="BI30" s="9" t="n"/>
      <c r="BJ30" s="9" t="n"/>
      <c r="BK30" s="9" t="n"/>
      <c r="BL30" s="9" t="n"/>
      <c r="BM30" s="9" t="n"/>
      <c r="BN30" s="9" t="n"/>
      <c r="BO30" s="8" t="n">
        <v>45671</v>
      </c>
      <c r="BP30" s="9" t="inlineStr">
        <is>
          <t>N</t>
        </is>
      </c>
      <c r="BQ30" s="9" t="inlineStr">
        <is>
          <t>Y</t>
        </is>
      </c>
      <c r="BR30" s="12">
        <f>IF(AND(AI30="Y",AK30="Y",AL30="Y",AM30="Y",AY30="Y",AZ30="Y",BA30="Y",BB30="Y",BC30="Y",BE30&lt;&gt;"Y",AX30&lt;&gt;"Y",BL30&lt;&gt;"Y",IF(AS30="Y",AV30="Y",TRUE)),"Y","N")</f>
        <v/>
      </c>
      <c r="BS30" s="12">
        <f>IF(AND(BR30="Y",OR(AND(BJ30="Y",BM30="Y"),AND(BK30="Y",BN30="Y"),AND(BJ30&lt;&gt;"Y",BK30&lt;&gt;"Y",OR(BM30="Y",BN30="Y")))),"Y","N")</f>
        <v/>
      </c>
      <c r="BT30" s="10" t="n">
        <v>25</v>
      </c>
      <c r="BU30" s="13" t="n"/>
      <c r="BV30" s="13" t="n"/>
      <c r="BW30" s="13" t="n"/>
      <c r="BX30" s="13" t="n"/>
      <c r="BY30" s="13" t="n"/>
      <c r="BZ30" s="13" t="n"/>
      <c r="CA30" s="14" t="n"/>
      <c r="CB30" s="13" t="n"/>
      <c r="CC30" s="9" t="inlineStr">
        <is>
          <t>construction_type mapped from raw 'NC' to 'New Construction'</t>
        </is>
      </c>
      <c r="CD30" s="9" t="inlineStr">
        <is>
          <t>Mark Gregg</t>
        </is>
      </c>
      <c r="CE30" s="9" t="inlineStr">
        <is>
          <t>(210) 771-4127</t>
        </is>
      </c>
      <c r="CF30" s="9" t="inlineStr">
        <is>
          <t>mgregg@streamlineap.com</t>
        </is>
      </c>
      <c r="CG30" s="9" t="inlineStr">
        <is>
          <t>Rene Martinez</t>
        </is>
      </c>
      <c r="CH30" s="9" t="inlineStr">
        <is>
          <t>(832) 927-4955</t>
        </is>
      </c>
    </row>
    <row r="31">
      <c r="A31" s="8" t="inlineStr">
        <is>
          <t>2025-01-30</t>
        </is>
      </c>
      <c r="B31" s="9" t="inlineStr">
        <is>
          <t>2025-01-30</t>
        </is>
      </c>
      <c r="C31" s="9" t="inlineStr">
        <is>
          <t>25432</t>
        </is>
      </c>
      <c r="D31" s="9" t="n"/>
      <c r="E31" s="9" t="inlineStr">
        <is>
          <t>Village at Meadowbend</t>
        </is>
      </c>
      <c r="F31" s="9" t="inlineStr">
        <is>
          <t>Temple</t>
        </is>
      </c>
      <c r="G31" s="9" t="inlineStr">
        <is>
          <t>Bell</t>
        </is>
      </c>
      <c r="H31" s="9" t="n">
        <v>8</v>
      </c>
      <c r="I31" s="9" t="inlineStr">
        <is>
          <t>2787 S. Martin Luther King Drive</t>
        </is>
      </c>
      <c r="J31" s="9" t="n">
        <v>76504</v>
      </c>
      <c r="K31" s="8" t="n">
        <v>45671</v>
      </c>
      <c r="L31" s="9" t="inlineStr">
        <is>
          <t>Active</t>
        </is>
      </c>
      <c r="M31" s="8" t="n">
        <v>45785</v>
      </c>
      <c r="N31" s="8" t="n"/>
      <c r="O31" s="8" t="n">
        <v>45672</v>
      </c>
      <c r="P31" s="8" t="n">
        <v>45852</v>
      </c>
      <c r="Q31" s="8" t="n"/>
      <c r="R31" s="9" t="inlineStr">
        <is>
          <t>Acq/Rehab</t>
        </is>
      </c>
      <c r="S31" s="9" t="inlineStr">
        <is>
          <t>General</t>
        </is>
      </c>
      <c r="T31" s="10" t="n">
        <v>237</v>
      </c>
      <c r="U31" s="10" t="n">
        <v>237</v>
      </c>
      <c r="V31" s="9" t="n"/>
      <c r="W31" s="9" t="n"/>
      <c r="X31" s="9" t="inlineStr">
        <is>
          <t>Texas Home Collaborative</t>
        </is>
      </c>
      <c r="Y31" s="9" t="inlineStr">
        <is>
          <t>Other</t>
        </is>
      </c>
      <c r="Z31" s="11" t="n">
        <v>25000000</v>
      </c>
      <c r="AA31" s="11" t="n"/>
      <c r="AB31" s="11" t="n">
        <v>2052801</v>
      </c>
      <c r="AC31" s="11" t="n"/>
      <c r="AD31" s="11" t="n"/>
      <c r="AE31" s="11" t="n"/>
      <c r="AF31" s="9" t="inlineStr">
        <is>
          <t>N</t>
        </is>
      </c>
      <c r="AG31" s="9" t="inlineStr">
        <is>
          <t>Y</t>
        </is>
      </c>
      <c r="AH31" s="9" t="n"/>
      <c r="AI31" s="9" t="n"/>
      <c r="AJ31" s="8" t="n"/>
      <c r="AK31" s="9" t="n"/>
      <c r="AL31" s="9" t="n"/>
      <c r="AM31" s="9" t="n"/>
      <c r="AN31" s="9" t="n"/>
      <c r="AO31" s="9" t="n"/>
      <c r="AP31" s="9" t="n"/>
      <c r="AQ31" s="9" t="n"/>
      <c r="AR31" s="9" t="n"/>
      <c r="AS31" s="9" t="n"/>
      <c r="AT31" s="8" t="n"/>
      <c r="AU31" s="8" t="n"/>
      <c r="AV31" s="9" t="n"/>
      <c r="AW31" s="8" t="n"/>
      <c r="AX31" s="9" t="n"/>
      <c r="AY31" s="9" t="n"/>
      <c r="AZ31" s="9" t="n"/>
      <c r="BA31" s="9" t="n"/>
      <c r="BB31" s="9" t="n"/>
      <c r="BC31" s="9" t="n"/>
      <c r="BD31" s="9" t="n"/>
      <c r="BE31" s="9" t="n"/>
      <c r="BF31" s="9" t="n"/>
      <c r="BG31" s="9" t="n"/>
      <c r="BH31" s="9" t="n"/>
      <c r="BI31" s="9" t="n"/>
      <c r="BJ31" s="9" t="n"/>
      <c r="BK31" s="9" t="n"/>
      <c r="BL31" s="9" t="n"/>
      <c r="BM31" s="9" t="n"/>
      <c r="BN31" s="9" t="n"/>
      <c r="BO31" s="8" t="n">
        <v>45671</v>
      </c>
      <c r="BP31" s="9" t="inlineStr">
        <is>
          <t>N</t>
        </is>
      </c>
      <c r="BQ31" s="9" t="inlineStr">
        <is>
          <t>Y</t>
        </is>
      </c>
      <c r="BR31" s="12">
        <f>IF(AND(AI31="Y",AK31="Y",AL31="Y",AM31="Y",AY31="Y",AZ31="Y",BA31="Y",BB31="Y",BC31="Y",BE31&lt;&gt;"Y",AX31&lt;&gt;"Y",BL31&lt;&gt;"Y",IF(AS31="Y",AV31="Y",TRUE)),"Y","N")</f>
        <v/>
      </c>
      <c r="BS31" s="12">
        <f>IF(AND(BR31="Y",OR(AND(BJ31="Y",BM31="Y"),AND(BK31="Y",BN31="Y"),AND(BJ31&lt;&gt;"Y",BK31&lt;&gt;"Y",OR(BM31="Y",BN31="Y")))),"Y","N")</f>
        <v/>
      </c>
      <c r="BT31" s="10" t="n">
        <v>30</v>
      </c>
      <c r="BU31" s="13" t="n"/>
      <c r="BV31" s="13" t="n"/>
      <c r="BW31" s="13" t="n"/>
      <c r="BX31" s="13" t="n"/>
      <c r="BY31" s="13" t="n"/>
      <c r="BZ31" s="13" t="n"/>
      <c r="CA31" s="14" t="n"/>
      <c r="CB31" s="13" t="n"/>
      <c r="CC31" s="9" t="n"/>
      <c r="CD31" s="9" t="inlineStr">
        <is>
          <t>Asia Williams</t>
        </is>
      </c>
      <c r="CE31" s="9" t="inlineStr">
        <is>
          <t>(213) 362-0260</t>
        </is>
      </c>
      <c r="CF31" s="9" t="inlineStr">
        <is>
          <t>awilliams@chavezfoundation.org</t>
        </is>
      </c>
      <c r="CG31" s="9" t="inlineStr">
        <is>
          <t>Antonio Williams</t>
        </is>
      </c>
      <c r="CH31" s="9" t="inlineStr">
        <is>
          <t>(903) 276-7557</t>
        </is>
      </c>
    </row>
    <row r="32">
      <c r="A32" s="8" t="inlineStr">
        <is>
          <t>2025-01-30</t>
        </is>
      </c>
      <c r="B32" s="9" t="inlineStr">
        <is>
          <t>2025-01-30</t>
        </is>
      </c>
      <c r="C32" s="9" t="inlineStr">
        <is>
          <t>25407</t>
        </is>
      </c>
      <c r="D32" s="9" t="inlineStr">
        <is>
          <t>03436</t>
        </is>
      </c>
      <c r="E32" s="9" t="inlineStr">
        <is>
          <t>Northland Woods</t>
        </is>
      </c>
      <c r="F32" s="9" t="inlineStr">
        <is>
          <t>Houston</t>
        </is>
      </c>
      <c r="G32" s="9" t="inlineStr">
        <is>
          <t>Harris</t>
        </is>
      </c>
      <c r="H32" s="9" t="n">
        <v>6</v>
      </c>
      <c r="I32" s="9" t="inlineStr">
        <is>
          <t>15165 Vickery Drive</t>
        </is>
      </c>
      <c r="J32" s="9" t="n">
        <v>77032</v>
      </c>
      <c r="K32" s="8" t="n">
        <v>45671</v>
      </c>
      <c r="L32" s="9" t="inlineStr">
        <is>
          <t>Active</t>
        </is>
      </c>
      <c r="M32" s="8" t="n">
        <v>45785</v>
      </c>
      <c r="N32" s="8" t="n"/>
      <c r="O32" s="8" t="n">
        <v>45673</v>
      </c>
      <c r="P32" s="8" t="n">
        <v>45853</v>
      </c>
      <c r="Q32" s="8" t="n"/>
      <c r="R32" s="9" t="inlineStr">
        <is>
          <t>Acq/Rehab</t>
        </is>
      </c>
      <c r="S32" s="9" t="inlineStr">
        <is>
          <t>General</t>
        </is>
      </c>
      <c r="T32" s="10" t="n">
        <v>280</v>
      </c>
      <c r="U32" s="10" t="n">
        <v>280</v>
      </c>
      <c r="V32" s="9" t="n"/>
      <c r="W32" s="9" t="n"/>
      <c r="X32" s="9" t="inlineStr">
        <is>
          <t>HHA Fountainview PFC</t>
        </is>
      </c>
      <c r="Y32" s="9" t="inlineStr">
        <is>
          <t>Other</t>
        </is>
      </c>
      <c r="Z32" s="11" t="n">
        <v>45000000</v>
      </c>
      <c r="AA32" s="11" t="n"/>
      <c r="AB32" s="11" t="n">
        <v>3400940</v>
      </c>
      <c r="AC32" s="11" t="n"/>
      <c r="AD32" s="11" t="n"/>
      <c r="AE32" s="11" t="n"/>
      <c r="AF32" s="9" t="inlineStr">
        <is>
          <t>N</t>
        </is>
      </c>
      <c r="AG32" s="9" t="inlineStr">
        <is>
          <t>Y</t>
        </is>
      </c>
      <c r="AH32" s="9" t="inlineStr">
        <is>
          <t>Y</t>
        </is>
      </c>
      <c r="AI32" s="9" t="n"/>
      <c r="AJ32" s="8" t="n"/>
      <c r="AK32" s="9" t="n"/>
      <c r="AL32" s="9" t="n"/>
      <c r="AM32" s="9" t="n"/>
      <c r="AN32" s="9" t="n"/>
      <c r="AO32" s="9" t="n"/>
      <c r="AP32" s="9" t="n"/>
      <c r="AQ32" s="9" t="n"/>
      <c r="AR32" s="9" t="n"/>
      <c r="AS32" s="9" t="n"/>
      <c r="AT32" s="8" t="n"/>
      <c r="AU32" s="8" t="n"/>
      <c r="AV32" s="9" t="n"/>
      <c r="AW32" s="8" t="n"/>
      <c r="AX32" s="9" t="n"/>
      <c r="AY32" s="9" t="n"/>
      <c r="AZ32" s="9" t="n"/>
      <c r="BA32" s="9" t="n"/>
      <c r="BB32" s="9" t="n"/>
      <c r="BC32" s="9" t="n"/>
      <c r="BD32" s="9" t="n"/>
      <c r="BE32" s="9" t="n"/>
      <c r="BF32" s="9" t="n"/>
      <c r="BG32" s="9" t="n"/>
      <c r="BH32" s="9" t="n"/>
      <c r="BI32" s="9" t="n"/>
      <c r="BJ32" s="9" t="n"/>
      <c r="BK32" s="9" t="n"/>
      <c r="BL32" s="9" t="n"/>
      <c r="BM32" s="9" t="n"/>
      <c r="BN32" s="9" t="n"/>
      <c r="BO32" s="8" t="n">
        <v>45671</v>
      </c>
      <c r="BP32" s="9" t="inlineStr">
        <is>
          <t>N</t>
        </is>
      </c>
      <c r="BQ32" s="9" t="inlineStr">
        <is>
          <t>Y</t>
        </is>
      </c>
      <c r="BR32" s="12">
        <f>IF(AND(AI32="Y",AK32="Y",AL32="Y",AM32="Y",AY32="Y",AZ32="Y",BA32="Y",BB32="Y",BC32="Y",BE32&lt;&gt;"Y",AX32&lt;&gt;"Y",BL32&lt;&gt;"Y",IF(AS32="Y",AV32="Y",TRUE)),"Y","N")</f>
        <v/>
      </c>
      <c r="BS32" s="12">
        <f>IF(AND(BR32="Y",OR(AND(BJ32="Y",BM32="Y"),AND(BK32="Y",BN32="Y"),AND(BJ32&lt;&gt;"Y",BK32&lt;&gt;"Y",OR(BM32="Y",BN32="Y")))),"Y","N")</f>
        <v/>
      </c>
      <c r="BT32" s="10" t="n">
        <v>27</v>
      </c>
      <c r="BU32" s="13" t="n"/>
      <c r="BV32" s="13" t="n"/>
      <c r="BW32" s="13" t="n"/>
      <c r="BX32" s="13" t="n"/>
      <c r="BY32" s="13" t="n"/>
      <c r="BZ32" s="13" t="n"/>
      <c r="CA32" s="14" t="n"/>
      <c r="CB32" s="13" t="n"/>
      <c r="CC32" s="9" t="n"/>
      <c r="CD32" s="9" t="inlineStr">
        <is>
          <t>Brad Fisher</t>
        </is>
      </c>
      <c r="CE32" s="9" t="inlineStr">
        <is>
          <t>(913) 787-1676</t>
        </is>
      </c>
      <c r="CF32" s="9" t="inlineStr">
        <is>
          <t>bfisher@aprilhousing.com</t>
        </is>
      </c>
      <c r="CG32" s="9" t="inlineStr">
        <is>
          <t>Jennine Hovell-Cox</t>
        </is>
      </c>
      <c r="CH32" s="9" t="inlineStr">
        <is>
          <t>(713) 260-0501</t>
        </is>
      </c>
    </row>
    <row r="33">
      <c r="A33" s="8" t="inlineStr">
        <is>
          <t>2025-01-30</t>
        </is>
      </c>
      <c r="B33" s="9" t="inlineStr">
        <is>
          <t>2025-01-30</t>
        </is>
      </c>
      <c r="C33" s="9" t="inlineStr">
        <is>
          <t>25403</t>
        </is>
      </c>
      <c r="D33" s="9" t="inlineStr">
        <is>
          <t>CMTS 2514</t>
        </is>
      </c>
      <c r="E33" s="9" t="inlineStr">
        <is>
          <t>Waters at Stone Creek</t>
        </is>
      </c>
      <c r="F33" s="9" t="inlineStr">
        <is>
          <t>Lewisville</t>
        </is>
      </c>
      <c r="G33" s="9" t="inlineStr">
        <is>
          <t>Denton</t>
        </is>
      </c>
      <c r="H33" s="9" t="n">
        <v>3</v>
      </c>
      <c r="I33" s="9" t="inlineStr">
        <is>
          <t>328 E Southwest Parkway</t>
        </is>
      </c>
      <c r="J33" s="9" t="n">
        <v>75067</v>
      </c>
      <c r="K33" s="8" t="n">
        <v>45671</v>
      </c>
      <c r="L33" s="9" t="inlineStr">
        <is>
          <t>Active</t>
        </is>
      </c>
      <c r="M33" s="8" t="n">
        <v>45757</v>
      </c>
      <c r="N33" s="8" t="n"/>
      <c r="O33" s="8" t="n">
        <v>45673</v>
      </c>
      <c r="P33" s="8" t="n">
        <v>45853</v>
      </c>
      <c r="Q33" s="8" t="n"/>
      <c r="R33" s="9" t="inlineStr">
        <is>
          <t>Acq/Rehab</t>
        </is>
      </c>
      <c r="S33" s="9" t="inlineStr">
        <is>
          <t>General</t>
        </is>
      </c>
      <c r="T33" s="10" t="n">
        <v>199</v>
      </c>
      <c r="U33" s="10" t="n">
        <v>199</v>
      </c>
      <c r="V33" s="9" t="n"/>
      <c r="W33" s="9" t="n"/>
      <c r="X33" s="9" t="inlineStr">
        <is>
          <t>Denton County HFC</t>
        </is>
      </c>
      <c r="Y33" s="9" t="inlineStr">
        <is>
          <t>Local HFC</t>
        </is>
      </c>
      <c r="Z33" s="11" t="n">
        <v>30000000</v>
      </c>
      <c r="AA33" s="11" t="n"/>
      <c r="AB33" s="11" t="n">
        <v>1973644</v>
      </c>
      <c r="AC33" s="11" t="n"/>
      <c r="AD33" s="11" t="n"/>
      <c r="AE33" s="11" t="n"/>
      <c r="AF33" s="9" t="inlineStr">
        <is>
          <t>N</t>
        </is>
      </c>
      <c r="AG33" s="9" t="inlineStr">
        <is>
          <t>Y</t>
        </is>
      </c>
      <c r="AH33" s="9" t="n"/>
      <c r="AI33" s="9" t="n"/>
      <c r="AJ33" s="8" t="n"/>
      <c r="AK33" s="9" t="n"/>
      <c r="AL33" s="9" t="n"/>
      <c r="AM33" s="9" t="n"/>
      <c r="AN33" s="9" t="n"/>
      <c r="AO33" s="9" t="n"/>
      <c r="AP33" s="9" t="n"/>
      <c r="AQ33" s="9" t="n"/>
      <c r="AR33" s="9" t="n"/>
      <c r="AS33" s="9" t="n"/>
      <c r="AT33" s="8" t="n"/>
      <c r="AU33" s="8" t="n"/>
      <c r="AV33" s="9" t="n"/>
      <c r="AW33" s="8" t="n"/>
      <c r="AX33" s="9" t="n"/>
      <c r="AY33" s="9" t="n"/>
      <c r="AZ33" s="9" t="n"/>
      <c r="BA33" s="9" t="n"/>
      <c r="BB33" s="9" t="n"/>
      <c r="BC33" s="9" t="n"/>
      <c r="BD33" s="9" t="n"/>
      <c r="BE33" s="9" t="n"/>
      <c r="BF33" s="9" t="n"/>
      <c r="BG33" s="9" t="n"/>
      <c r="BH33" s="9" t="n"/>
      <c r="BI33" s="9" t="n"/>
      <c r="BJ33" s="9" t="n"/>
      <c r="BK33" s="9" t="n"/>
      <c r="BL33" s="9" t="n"/>
      <c r="BM33" s="9" t="n"/>
      <c r="BN33" s="9" t="n"/>
      <c r="BO33" s="8" t="n">
        <v>45671</v>
      </c>
      <c r="BP33" s="9" t="inlineStr">
        <is>
          <t>N</t>
        </is>
      </c>
      <c r="BQ33" s="9" t="inlineStr">
        <is>
          <t>Y</t>
        </is>
      </c>
      <c r="BR33" s="12">
        <f>IF(AND(AI33="Y",AK33="Y",AL33="Y",AM33="Y",AY33="Y",AZ33="Y",BA33="Y",BB33="Y",BC33="Y",BE33&lt;&gt;"Y",AX33&lt;&gt;"Y",BL33&lt;&gt;"Y",IF(AS33="Y",AV33="Y",TRUE)),"Y","N")</f>
        <v/>
      </c>
      <c r="BS33" s="12">
        <f>IF(AND(BR33="Y",OR(AND(BJ33="Y",BM33="Y"),AND(BK33="Y",BN33="Y"),AND(BJ33&lt;&gt;"Y",BK33&lt;&gt;"Y",OR(BM33="Y",BN33="Y")))),"Y","N")</f>
        <v/>
      </c>
      <c r="BT33" s="10" t="n">
        <v>26</v>
      </c>
      <c r="BU33" s="13" t="n"/>
      <c r="BV33" s="13" t="n"/>
      <c r="BW33" s="13" t="n"/>
      <c r="BX33" s="13" t="n"/>
      <c r="BY33" s="13" t="n"/>
      <c r="BZ33" s="13" t="n"/>
      <c r="CA33" s="14" t="n"/>
      <c r="CB33" s="13" t="n"/>
      <c r="CC33" s="9" t="n"/>
      <c r="CD33" s="9" t="inlineStr">
        <is>
          <t>Rafael Navarro</t>
        </is>
      </c>
      <c r="CE33" s="9" t="inlineStr">
        <is>
          <t>(469) 206-8930</t>
        </is>
      </c>
      <c r="CF33" s="9" t="inlineStr">
        <is>
          <t>navarro@atlantichousing.org</t>
        </is>
      </c>
      <c r="CG33" s="9" t="inlineStr">
        <is>
          <t>Andy Eads</t>
        </is>
      </c>
      <c r="CH33" s="9" t="inlineStr">
        <is>
          <t>(904) 349-2801</t>
        </is>
      </c>
    </row>
    <row r="34">
      <c r="A34" s="8" t="inlineStr">
        <is>
          <t>2025-01-30</t>
        </is>
      </c>
      <c r="B34" s="9" t="inlineStr">
        <is>
          <t>2025-01-30</t>
        </is>
      </c>
      <c r="C34" s="9" t="inlineStr">
        <is>
          <t>25402</t>
        </is>
      </c>
      <c r="D34" s="9" t="n"/>
      <c r="E34" s="9" t="inlineStr">
        <is>
          <t>Enclave at Katy</t>
        </is>
      </c>
      <c r="F34" s="9" t="inlineStr">
        <is>
          <t>Katy</t>
        </is>
      </c>
      <c r="G34" s="9" t="inlineStr">
        <is>
          <t>Harris</t>
        </is>
      </c>
      <c r="H34" s="9" t="n">
        <v>6</v>
      </c>
      <c r="I34" s="9" t="inlineStr">
        <is>
          <t>5138 &amp; 5202 Katy Hockley Road</t>
        </is>
      </c>
      <c r="J34" s="9" t="n">
        <v>77493</v>
      </c>
      <c r="K34" s="8" t="n">
        <v>45672</v>
      </c>
      <c r="L34" s="9" t="inlineStr">
        <is>
          <t>Active</t>
        </is>
      </c>
      <c r="M34" s="8" t="n">
        <v>45785</v>
      </c>
      <c r="N34" s="8" t="n"/>
      <c r="O34" s="8" t="n">
        <v>45673</v>
      </c>
      <c r="P34" s="8" t="n">
        <v>45853</v>
      </c>
      <c r="Q34" s="8" t="n"/>
      <c r="R34" s="9" t="inlineStr">
        <is>
          <t>New Construction</t>
        </is>
      </c>
      <c r="S34" s="9" t="inlineStr">
        <is>
          <t>General</t>
        </is>
      </c>
      <c r="T34" s="10" t="n">
        <v>360</v>
      </c>
      <c r="U34" s="10" t="n">
        <v>360</v>
      </c>
      <c r="V34" s="9" t="n"/>
      <c r="W34" s="9" t="n"/>
      <c r="X34" s="9" t="inlineStr">
        <is>
          <t>Harris County HFC</t>
        </is>
      </c>
      <c r="Y34" s="9" t="inlineStr">
        <is>
          <t>Local HFC</t>
        </is>
      </c>
      <c r="Z34" s="11" t="n">
        <v>50000000</v>
      </c>
      <c r="AA34" s="11" t="n"/>
      <c r="AB34" s="11" t="n">
        <v>3534223</v>
      </c>
      <c r="AC34" s="11" t="n"/>
      <c r="AD34" s="11" t="n"/>
      <c r="AE34" s="11" t="n"/>
      <c r="AF34" s="9" t="inlineStr">
        <is>
          <t>N</t>
        </is>
      </c>
      <c r="AG34" s="9" t="inlineStr">
        <is>
          <t>Y</t>
        </is>
      </c>
      <c r="AH34" s="9" t="n"/>
      <c r="AI34" s="9" t="n"/>
      <c r="AJ34" s="8" t="n"/>
      <c r="AK34" s="9" t="n"/>
      <c r="AL34" s="9" t="n"/>
      <c r="AM34" s="9" t="n"/>
      <c r="AN34" s="9" t="n"/>
      <c r="AO34" s="9" t="n"/>
      <c r="AP34" s="9" t="n"/>
      <c r="AQ34" s="9" t="n"/>
      <c r="AR34" s="9" t="n"/>
      <c r="AS34" s="9" t="n"/>
      <c r="AT34" s="8" t="n"/>
      <c r="AU34" s="8" t="n"/>
      <c r="AV34" s="9" t="n"/>
      <c r="AW34" s="8" t="n"/>
      <c r="AX34" s="9" t="n"/>
      <c r="AY34" s="9" t="n"/>
      <c r="AZ34" s="9" t="n"/>
      <c r="BA34" s="9" t="n"/>
      <c r="BB34" s="9" t="n"/>
      <c r="BC34" s="9" t="n"/>
      <c r="BD34" s="9" t="n"/>
      <c r="BE34" s="9" t="n"/>
      <c r="BF34" s="9" t="n"/>
      <c r="BG34" s="9" t="n"/>
      <c r="BH34" s="9" t="n"/>
      <c r="BI34" s="9" t="n"/>
      <c r="BJ34" s="9" t="n"/>
      <c r="BK34" s="9" t="n"/>
      <c r="BL34" s="9" t="n"/>
      <c r="BM34" s="9" t="n"/>
      <c r="BN34" s="9" t="n"/>
      <c r="BO34" s="8" t="n">
        <v>45672</v>
      </c>
      <c r="BP34" s="9" t="inlineStr">
        <is>
          <t>N</t>
        </is>
      </c>
      <c r="BQ34" s="9" t="inlineStr">
        <is>
          <t>Y</t>
        </is>
      </c>
      <c r="BR34" s="12">
        <f>IF(AND(AI34="Y",AK34="Y",AL34="Y",AM34="Y",AY34="Y",AZ34="Y",BA34="Y",BB34="Y",BC34="Y",BE34&lt;&gt;"Y",AX34&lt;&gt;"Y",BL34&lt;&gt;"Y",IF(AS34="Y",AV34="Y",TRUE)),"Y","N")</f>
        <v/>
      </c>
      <c r="BS34" s="12">
        <f>IF(AND(BR34="Y",OR(AND(BJ34="Y",BM34="Y"),AND(BK34="Y",BN34="Y"),AND(BJ34&lt;&gt;"Y",BK34&lt;&gt;"Y",OR(BM34="Y",BN34="Y")))),"Y","N")</f>
        <v/>
      </c>
      <c r="BT34" s="10" t="n">
        <v>31</v>
      </c>
      <c r="BU34" s="13" t="n"/>
      <c r="BV34" s="13" t="n"/>
      <c r="BW34" s="13" t="n"/>
      <c r="BX34" s="13" t="n"/>
      <c r="BY34" s="13" t="n"/>
      <c r="BZ34" s="13" t="n"/>
      <c r="CA34" s="14" t="n"/>
      <c r="CB34" s="13" t="n"/>
      <c r="CC34" s="9" t="inlineStr">
        <is>
          <t>construction_type mapped from raw 'NC' to 'New Construction'</t>
        </is>
      </c>
      <c r="CD34" s="9" t="inlineStr">
        <is>
          <t>Mark Gregg</t>
        </is>
      </c>
      <c r="CE34" s="9" t="inlineStr">
        <is>
          <t>(210) 771-4127</t>
        </is>
      </c>
      <c r="CF34" s="9" t="inlineStr">
        <is>
          <t>mgregg@streamlineap.com</t>
        </is>
      </c>
      <c r="CG34" s="9" t="inlineStr">
        <is>
          <t>Rene Martinez</t>
        </is>
      </c>
      <c r="CH34" s="9" t="inlineStr">
        <is>
          <t>(832) 927-4955</t>
        </is>
      </c>
    </row>
    <row r="35">
      <c r="A35" s="8" t="inlineStr">
        <is>
          <t>2025-01-30</t>
        </is>
      </c>
      <c r="B35" s="9" t="inlineStr">
        <is>
          <t>2025-01-30</t>
        </is>
      </c>
      <c r="C35" s="9" t="inlineStr">
        <is>
          <t>25422</t>
        </is>
      </c>
      <c r="D35" s="9" t="n"/>
      <c r="E35" s="9" t="inlineStr">
        <is>
          <t>Covington Acres</t>
        </is>
      </c>
      <c r="F35" s="9" t="inlineStr">
        <is>
          <t>Keene</t>
        </is>
      </c>
      <c r="G35" s="9" t="inlineStr">
        <is>
          <t>Johnson</t>
        </is>
      </c>
      <c r="H35" s="9" t="n">
        <v>3</v>
      </c>
      <c r="I35" s="9" t="inlineStr">
        <is>
          <t>2632 US Highway 67</t>
        </is>
      </c>
      <c r="J35" s="9" t="n">
        <v>76031</v>
      </c>
      <c r="K35" s="8" t="n">
        <v>45673</v>
      </c>
      <c r="L35" s="9" t="inlineStr">
        <is>
          <t>Active</t>
        </is>
      </c>
      <c r="M35" s="8" t="n">
        <v>45785</v>
      </c>
      <c r="N35" s="8" t="n"/>
      <c r="O35" s="8" t="n">
        <v>45674</v>
      </c>
      <c r="P35" s="8" t="n">
        <v>45854</v>
      </c>
      <c r="Q35" s="8" t="n"/>
      <c r="R35" s="9" t="inlineStr">
        <is>
          <t>New Construction</t>
        </is>
      </c>
      <c r="S35" s="9" t="inlineStr">
        <is>
          <t>General</t>
        </is>
      </c>
      <c r="T35" s="10" t="n">
        <v>252</v>
      </c>
      <c r="U35" s="10" t="n">
        <v>252</v>
      </c>
      <c r="V35" s="9" t="n"/>
      <c r="W35" s="9" t="n"/>
      <c r="X35" s="9" t="inlineStr">
        <is>
          <t>THF PFC</t>
        </is>
      </c>
      <c r="Y35" s="9" t="inlineStr">
        <is>
          <t>Other</t>
        </is>
      </c>
      <c r="Z35" s="11" t="n">
        <v>40000000</v>
      </c>
      <c r="AA35" s="11" t="n"/>
      <c r="AB35" s="11" t="n">
        <v>2926539</v>
      </c>
      <c r="AC35" s="11" t="n"/>
      <c r="AD35" s="11" t="n"/>
      <c r="AE35" s="11" t="n"/>
      <c r="AF35" s="9" t="inlineStr">
        <is>
          <t>N</t>
        </is>
      </c>
      <c r="AG35" s="9" t="inlineStr">
        <is>
          <t>Y</t>
        </is>
      </c>
      <c r="AH35" s="9" t="inlineStr">
        <is>
          <t>Y</t>
        </is>
      </c>
      <c r="AI35" s="9" t="n"/>
      <c r="AJ35" s="8" t="n"/>
      <c r="AK35" s="9" t="n"/>
      <c r="AL35" s="9" t="n"/>
      <c r="AM35" s="9" t="n"/>
      <c r="AN35" s="9" t="n"/>
      <c r="AO35" s="9" t="n"/>
      <c r="AP35" s="9" t="n"/>
      <c r="AQ35" s="9" t="n"/>
      <c r="AR35" s="9" t="n"/>
      <c r="AS35" s="9" t="n"/>
      <c r="AT35" s="8" t="n"/>
      <c r="AU35" s="8" t="n"/>
      <c r="AV35" s="9" t="n"/>
      <c r="AW35" s="8" t="n"/>
      <c r="AX35" s="9" t="n"/>
      <c r="AY35" s="9" t="n"/>
      <c r="AZ35" s="9" t="n"/>
      <c r="BA35" s="9" t="n"/>
      <c r="BB35" s="9" t="n"/>
      <c r="BC35" s="9" t="n"/>
      <c r="BD35" s="9" t="n"/>
      <c r="BE35" s="9" t="n"/>
      <c r="BF35" s="9" t="n"/>
      <c r="BG35" s="9" t="n"/>
      <c r="BH35" s="9" t="n"/>
      <c r="BI35" s="9" t="n"/>
      <c r="BJ35" s="9" t="n"/>
      <c r="BK35" s="9" t="n"/>
      <c r="BL35" s="9" t="n"/>
      <c r="BM35" s="9" t="n"/>
      <c r="BN35" s="9" t="n"/>
      <c r="BO35" s="8" t="n">
        <v>45673</v>
      </c>
      <c r="BP35" s="9" t="inlineStr">
        <is>
          <t>N</t>
        </is>
      </c>
      <c r="BQ35" s="9" t="inlineStr">
        <is>
          <t>Y</t>
        </is>
      </c>
      <c r="BR35" s="12">
        <f>IF(AND(AI35="Y",AK35="Y",AL35="Y",AM35="Y",AY35="Y",AZ35="Y",BA35="Y",BB35="Y",BC35="Y",BE35&lt;&gt;"Y",AX35&lt;&gt;"Y",BL35&lt;&gt;"Y",IF(AS35="Y",AV35="Y",TRUE)),"Y","N")</f>
        <v/>
      </c>
      <c r="BS35" s="12">
        <f>IF(AND(BR35="Y",OR(AND(BJ35="Y",BM35="Y"),AND(BK35="Y",BN35="Y"),AND(BJ35&lt;&gt;"Y",BK35&lt;&gt;"Y",OR(BM35="Y",BN35="Y")))),"Y","N")</f>
        <v/>
      </c>
      <c r="BT35" s="10" t="n">
        <v>32</v>
      </c>
      <c r="BU35" s="13" t="n"/>
      <c r="BV35" s="13" t="n"/>
      <c r="BW35" s="13" t="n"/>
      <c r="BX35" s="13" t="n"/>
      <c r="BY35" s="13" t="n"/>
      <c r="BZ35" s="13" t="n"/>
      <c r="CA35" s="14" t="n"/>
      <c r="CB35" s="13" t="n"/>
      <c r="CC35" s="9" t="inlineStr">
        <is>
          <t>construction_type mapped from raw 'NC' to 'New Construction'</t>
        </is>
      </c>
      <c r="CD35" s="9" t="inlineStr">
        <is>
          <t>Elena Harston</t>
        </is>
      </c>
      <c r="CE35" s="9" t="inlineStr">
        <is>
          <t>(925) 586-7619</t>
        </is>
      </c>
      <c r="CF35" s="9" t="inlineStr">
        <is>
          <t>eharston@kittleproperties.com</t>
        </is>
      </c>
      <c r="CG35" s="9" t="inlineStr">
        <is>
          <t>Jonathan Coreas</t>
        </is>
      </c>
      <c r="CH35" s="9" t="inlineStr">
        <is>
          <t>(830) 693‐8100</t>
        </is>
      </c>
    </row>
    <row r="36">
      <c r="A36" s="8" t="inlineStr">
        <is>
          <t>2025-01-30</t>
        </is>
      </c>
      <c r="B36" s="9" t="inlineStr">
        <is>
          <t>2025-01-30</t>
        </is>
      </c>
      <c r="C36" s="9" t="inlineStr">
        <is>
          <t>25445</t>
        </is>
      </c>
      <c r="D36" s="9" t="n"/>
      <c r="E36" s="9" t="inlineStr">
        <is>
          <t>Enclave at Sherman</t>
        </is>
      </c>
      <c r="F36" s="9" t="inlineStr">
        <is>
          <t>Sherman</t>
        </is>
      </c>
      <c r="G36" s="9" t="inlineStr">
        <is>
          <t>Grayson</t>
        </is>
      </c>
      <c r="H36" s="9" t="n">
        <v>3</v>
      </c>
      <c r="I36" s="9" t="inlineStr">
        <is>
          <t>2700 US-82</t>
        </is>
      </c>
      <c r="J36" s="9" t="n">
        <v>75090</v>
      </c>
      <c r="K36" s="8" t="n">
        <v>45679</v>
      </c>
      <c r="L36" s="9" t="inlineStr">
        <is>
          <t>Active</t>
        </is>
      </c>
      <c r="M36" s="8" t="n">
        <v>45785</v>
      </c>
      <c r="N36" s="8" t="n"/>
      <c r="O36" s="8" t="n">
        <v>45680</v>
      </c>
      <c r="P36" s="8" t="n">
        <v>45860</v>
      </c>
      <c r="Q36" s="8" t="n"/>
      <c r="R36" s="9" t="inlineStr">
        <is>
          <t>New Construction</t>
        </is>
      </c>
      <c r="S36" s="9" t="inlineStr">
        <is>
          <t>General</t>
        </is>
      </c>
      <c r="T36" s="10" t="n">
        <v>360</v>
      </c>
      <c r="U36" s="10" t="n">
        <v>360</v>
      </c>
      <c r="V36" s="9" t="n"/>
      <c r="W36" s="9" t="n"/>
      <c r="X36" s="9" t="inlineStr">
        <is>
          <t>THF PFC</t>
        </is>
      </c>
      <c r="Y36" s="9" t="inlineStr">
        <is>
          <t>Other</t>
        </is>
      </c>
      <c r="Z36" s="11" t="n">
        <v>50000000</v>
      </c>
      <c r="AA36" s="11" t="n"/>
      <c r="AB36" s="11" t="n">
        <v>3572847</v>
      </c>
      <c r="AC36" s="11" t="n"/>
      <c r="AD36" s="11" t="n"/>
      <c r="AE36" s="11" t="n"/>
      <c r="AF36" s="9" t="inlineStr">
        <is>
          <t>N</t>
        </is>
      </c>
      <c r="AG36" s="9" t="inlineStr">
        <is>
          <t>Y</t>
        </is>
      </c>
      <c r="AH36" s="9" t="inlineStr">
        <is>
          <t>Y</t>
        </is>
      </c>
      <c r="AI36" s="9" t="n"/>
      <c r="AJ36" s="8" t="n"/>
      <c r="AK36" s="9" t="n"/>
      <c r="AL36" s="9" t="n"/>
      <c r="AM36" s="9" t="n"/>
      <c r="AN36" s="9" t="n"/>
      <c r="AO36" s="9" t="n"/>
      <c r="AP36" s="9" t="n"/>
      <c r="AQ36" s="9" t="n"/>
      <c r="AR36" s="9" t="n"/>
      <c r="AS36" s="9" t="n"/>
      <c r="AT36" s="8" t="n"/>
      <c r="AU36" s="8" t="n"/>
      <c r="AV36" s="9" t="n"/>
      <c r="AW36" s="8" t="n"/>
      <c r="AX36" s="9" t="n"/>
      <c r="AY36" s="9" t="n"/>
      <c r="AZ36" s="9" t="n"/>
      <c r="BA36" s="9" t="n"/>
      <c r="BB36" s="9" t="n"/>
      <c r="BC36" s="9" t="n"/>
      <c r="BD36" s="9" t="n"/>
      <c r="BE36" s="9" t="n"/>
      <c r="BF36" s="9" t="n"/>
      <c r="BG36" s="9" t="n"/>
      <c r="BH36" s="9" t="n"/>
      <c r="BI36" s="9" t="n"/>
      <c r="BJ36" s="9" t="n"/>
      <c r="BK36" s="9" t="n"/>
      <c r="BL36" s="9" t="n"/>
      <c r="BM36" s="9" t="n"/>
      <c r="BN36" s="9" t="n"/>
      <c r="BO36" s="8" t="n">
        <v>45679</v>
      </c>
      <c r="BP36" s="9" t="inlineStr">
        <is>
          <t>N</t>
        </is>
      </c>
      <c r="BQ36" s="9" t="inlineStr">
        <is>
          <t>Y</t>
        </is>
      </c>
      <c r="BR36" s="12">
        <f>IF(AND(AI36="Y",AK36="Y",AL36="Y",AM36="Y",AY36="Y",AZ36="Y",BA36="Y",BB36="Y",BC36="Y",BE36&lt;&gt;"Y",AX36&lt;&gt;"Y",BL36&lt;&gt;"Y",IF(AS36="Y",AV36="Y",TRUE)),"Y","N")</f>
        <v/>
      </c>
      <c r="BS36" s="12">
        <f>IF(AND(BR36="Y",OR(AND(BJ36="Y",BM36="Y"),AND(BK36="Y",BN36="Y"),AND(BJ36&lt;&gt;"Y",BK36&lt;&gt;"Y",OR(BM36="Y",BN36="Y")))),"Y","N")</f>
        <v/>
      </c>
      <c r="BT36" s="10" t="n">
        <v>33</v>
      </c>
      <c r="BU36" s="13" t="n"/>
      <c r="BV36" s="13" t="n"/>
      <c r="BW36" s="13" t="n"/>
      <c r="BX36" s="13" t="n"/>
      <c r="BY36" s="13" t="n"/>
      <c r="BZ36" s="13" t="n"/>
      <c r="CA36" s="14" t="n"/>
      <c r="CB36" s="13" t="n"/>
      <c r="CC36" s="9" t="inlineStr">
        <is>
          <t>construction_type mapped from raw 'NC' to 'New Construction'</t>
        </is>
      </c>
      <c r="CD36" s="9" t="inlineStr">
        <is>
          <t>Mark Gregg</t>
        </is>
      </c>
      <c r="CE36" s="9" t="inlineStr">
        <is>
          <t>(210) 771-4127</t>
        </is>
      </c>
      <c r="CF36" s="9" t="inlineStr">
        <is>
          <t>mgregg@streamlineap.com</t>
        </is>
      </c>
      <c r="CG36" s="9" t="inlineStr">
        <is>
          <t>Allison Millihorn</t>
        </is>
      </c>
      <c r="CH36" s="9" t="inlineStr">
        <is>
          <t>(830) 693-8100</t>
        </is>
      </c>
    </row>
    <row r="37">
      <c r="A37" s="8" t="inlineStr">
        <is>
          <t>2025-01-30</t>
        </is>
      </c>
      <c r="B37" s="9" t="inlineStr">
        <is>
          <t>2025-01-30</t>
        </is>
      </c>
      <c r="C37" s="9" t="inlineStr">
        <is>
          <t>25418</t>
        </is>
      </c>
      <c r="D37" s="9" t="n"/>
      <c r="E37" s="9" t="inlineStr">
        <is>
          <t>Parmer North Apartments</t>
        </is>
      </c>
      <c r="F37" s="9" t="inlineStr">
        <is>
          <t>Pflugerville</t>
        </is>
      </c>
      <c r="G37" s="9" t="inlineStr">
        <is>
          <t>Travis</t>
        </is>
      </c>
      <c r="H37" s="9" t="n">
        <v>7</v>
      </c>
      <c r="I37" s="9" t="inlineStr">
        <is>
          <t>1420 E Howard Lane</t>
        </is>
      </c>
      <c r="J37" s="9" t="n">
        <v>78660</v>
      </c>
      <c r="K37" s="8" t="n">
        <v>45680</v>
      </c>
      <c r="L37" s="9" t="inlineStr">
        <is>
          <t>Active</t>
        </is>
      </c>
      <c r="M37" s="8" t="n">
        <v>45757</v>
      </c>
      <c r="N37" s="8" t="n"/>
      <c r="O37" s="8" t="n">
        <v>45680</v>
      </c>
      <c r="P37" s="8" t="n">
        <v>45860</v>
      </c>
      <c r="Q37" s="8" t="n"/>
      <c r="R37" s="9" t="inlineStr">
        <is>
          <t>New Construction</t>
        </is>
      </c>
      <c r="S37" s="9" t="inlineStr">
        <is>
          <t>General</t>
        </is>
      </c>
      <c r="T37" s="10" t="n">
        <v>288</v>
      </c>
      <c r="U37" s="10" t="n">
        <v>288</v>
      </c>
      <c r="V37" s="9" t="n"/>
      <c r="W37" s="9" t="n"/>
      <c r="X37" s="9" t="inlineStr">
        <is>
          <t>Travis County HFC</t>
        </is>
      </c>
      <c r="Y37" s="9" t="inlineStr">
        <is>
          <t>Local HFC</t>
        </is>
      </c>
      <c r="Z37" s="11" t="n">
        <v>40000000</v>
      </c>
      <c r="AA37" s="11" t="n"/>
      <c r="AB37" s="11" t="n">
        <v>2254150</v>
      </c>
      <c r="AC37" s="11" t="n"/>
      <c r="AD37" s="11" t="n"/>
      <c r="AE37" s="11" t="n"/>
      <c r="AF37" s="9" t="inlineStr">
        <is>
          <t>N</t>
        </is>
      </c>
      <c r="AG37" s="9" t="inlineStr">
        <is>
          <t>Y</t>
        </is>
      </c>
      <c r="AH37" s="9" t="n"/>
      <c r="AI37" s="9" t="n"/>
      <c r="AJ37" s="8" t="n"/>
      <c r="AK37" s="9" t="n"/>
      <c r="AL37" s="9" t="n"/>
      <c r="AM37" s="9" t="n"/>
      <c r="AN37" s="9" t="n"/>
      <c r="AO37" s="9" t="n"/>
      <c r="AP37" s="9" t="n"/>
      <c r="AQ37" s="9" t="n"/>
      <c r="AR37" s="9" t="n"/>
      <c r="AS37" s="9" t="n"/>
      <c r="AT37" s="8" t="n"/>
      <c r="AU37" s="8" t="n"/>
      <c r="AV37" s="9" t="n"/>
      <c r="AW37" s="8" t="n"/>
      <c r="AX37" s="9" t="n"/>
      <c r="AY37" s="9" t="n"/>
      <c r="AZ37" s="9" t="n"/>
      <c r="BA37" s="9" t="n"/>
      <c r="BB37" s="9" t="n"/>
      <c r="BC37" s="9" t="n"/>
      <c r="BD37" s="9" t="n"/>
      <c r="BE37" s="9" t="n"/>
      <c r="BF37" s="9" t="n"/>
      <c r="BG37" s="9" t="n"/>
      <c r="BH37" s="9" t="n"/>
      <c r="BI37" s="9" t="n"/>
      <c r="BJ37" s="9" t="n"/>
      <c r="BK37" s="9" t="n"/>
      <c r="BL37" s="9" t="n"/>
      <c r="BM37" s="9" t="n"/>
      <c r="BN37" s="9" t="n"/>
      <c r="BO37" s="8" t="n">
        <v>45680</v>
      </c>
      <c r="BP37" s="9" t="inlineStr">
        <is>
          <t>N</t>
        </is>
      </c>
      <c r="BQ37" s="9" t="inlineStr">
        <is>
          <t>Y</t>
        </is>
      </c>
      <c r="BR37" s="12">
        <f>IF(AND(AI37="Y",AK37="Y",AL37="Y",AM37="Y",AY37="Y",AZ37="Y",BA37="Y",BB37="Y",BC37="Y",BE37&lt;&gt;"Y",AX37&lt;&gt;"Y",BL37&lt;&gt;"Y",IF(AS37="Y",AV37="Y",TRUE)),"Y","N")</f>
        <v/>
      </c>
      <c r="BS37" s="12">
        <f>IF(AND(BR37="Y",OR(AND(BJ37="Y",BM37="Y"),AND(BK37="Y",BN37="Y"),AND(BJ37&lt;&gt;"Y",BK37&lt;&gt;"Y",OR(BM37="Y",BN37="Y")))),"Y","N")</f>
        <v/>
      </c>
      <c r="BT37" s="10" t="n">
        <v>34</v>
      </c>
      <c r="BU37" s="13" t="n"/>
      <c r="BV37" s="13" t="n"/>
      <c r="BW37" s="13" t="n"/>
      <c r="BX37" s="13" t="n"/>
      <c r="BY37" s="13" t="n"/>
      <c r="BZ37" s="13" t="n"/>
      <c r="CA37" s="14" t="n"/>
      <c r="CB37" s="13" t="n"/>
      <c r="CC37" s="9" t="inlineStr">
        <is>
          <t>construction_type mapped from raw 'NC' to 'New Construction'</t>
        </is>
      </c>
      <c r="CD37" s="9" t="inlineStr">
        <is>
          <t>Sam Kumar</t>
        </is>
      </c>
      <c r="CE37" s="9" t="inlineStr">
        <is>
          <t>(512) 247-7000</t>
        </is>
      </c>
      <c r="CF37" s="9" t="inlineStr">
        <is>
          <t>SKumar@journeymangroup.com</t>
        </is>
      </c>
      <c r="CG37" s="9" t="inlineStr">
        <is>
          <t>Christy Moffett</t>
        </is>
      </c>
      <c r="CH37" s="9" t="inlineStr">
        <is>
          <t>(512) 854-1161</t>
        </is>
      </c>
    </row>
    <row r="38">
      <c r="A38" s="8" t="inlineStr">
        <is>
          <t>2025-01-30</t>
        </is>
      </c>
      <c r="B38" s="9" t="inlineStr">
        <is>
          <t>2025-01-30</t>
        </is>
      </c>
      <c r="C38" s="9" t="inlineStr">
        <is>
          <t>25447</t>
        </is>
      </c>
      <c r="D38" s="9" t="n">
        <v>24490</v>
      </c>
      <c r="E38" s="9" t="inlineStr">
        <is>
          <t>Columbia Renaissance Square</t>
        </is>
      </c>
      <c r="F38" s="9" t="inlineStr">
        <is>
          <t>Fort Worth</t>
        </is>
      </c>
      <c r="G38" s="9" t="inlineStr">
        <is>
          <t>Tarrant</t>
        </is>
      </c>
      <c r="H38" s="9" t="n">
        <v>3</v>
      </c>
      <c r="I38" s="9" t="inlineStr">
        <is>
          <t>2757 Moresby Street</t>
        </is>
      </c>
      <c r="J38" s="9" t="n">
        <v>76105</v>
      </c>
      <c r="K38" s="8" t="n">
        <v>45684</v>
      </c>
      <c r="L38" s="9" t="inlineStr">
        <is>
          <t>Active</t>
        </is>
      </c>
      <c r="M38" s="8" t="n">
        <v>45757</v>
      </c>
      <c r="N38" s="8" t="n"/>
      <c r="O38" s="8" t="n">
        <v>45685</v>
      </c>
      <c r="P38" s="8" t="n">
        <v>45865</v>
      </c>
      <c r="Q38" s="8" t="n"/>
      <c r="R38" s="9" t="inlineStr">
        <is>
          <t>New Construction</t>
        </is>
      </c>
      <c r="S38" s="9" t="inlineStr">
        <is>
          <t>General</t>
        </is>
      </c>
      <c r="T38" s="10" t="n">
        <v>100</v>
      </c>
      <c r="U38" s="10" t="n">
        <v>100</v>
      </c>
      <c r="V38" s="9" t="n"/>
      <c r="W38" s="9" t="n"/>
      <c r="X38" s="9" t="inlineStr">
        <is>
          <t>Tarrant County HFC</t>
        </is>
      </c>
      <c r="Y38" s="9" t="inlineStr">
        <is>
          <t>Local HFC</t>
        </is>
      </c>
      <c r="Z38" s="11" t="n">
        <v>25000000</v>
      </c>
      <c r="AA38" s="11" t="n"/>
      <c r="AB38" s="11" t="n">
        <v>1465750</v>
      </c>
      <c r="AC38" s="11" t="n"/>
      <c r="AD38" s="11" t="n"/>
      <c r="AE38" s="11" t="n"/>
      <c r="AF38" s="9" t="inlineStr">
        <is>
          <t>N</t>
        </is>
      </c>
      <c r="AG38" s="9" t="inlineStr">
        <is>
          <t>N</t>
        </is>
      </c>
      <c r="AH38" s="9" t="n"/>
      <c r="AI38" s="9" t="n"/>
      <c r="AJ38" s="8" t="n"/>
      <c r="AK38" s="9" t="n"/>
      <c r="AL38" s="9" t="n"/>
      <c r="AM38" s="9" t="n"/>
      <c r="AN38" s="9" t="n"/>
      <c r="AO38" s="9" t="n"/>
      <c r="AP38" s="9" t="n"/>
      <c r="AQ38" s="9" t="n"/>
      <c r="AR38" s="9" t="n"/>
      <c r="AS38" s="9" t="n"/>
      <c r="AT38" s="8" t="n"/>
      <c r="AU38" s="8" t="n"/>
      <c r="AV38" s="9" t="n"/>
      <c r="AW38" s="8" t="n"/>
      <c r="AX38" s="9" t="n"/>
      <c r="AY38" s="9" t="n"/>
      <c r="AZ38" s="9" t="n"/>
      <c r="BA38" s="9" t="n"/>
      <c r="BB38" s="9" t="n"/>
      <c r="BC38" s="9" t="n"/>
      <c r="BD38" s="9" t="n"/>
      <c r="BE38" s="9" t="n"/>
      <c r="BF38" s="9" t="n"/>
      <c r="BG38" s="9" t="n"/>
      <c r="BH38" s="9" t="n"/>
      <c r="BI38" s="9" t="n"/>
      <c r="BJ38" s="9" t="n"/>
      <c r="BK38" s="9" t="n"/>
      <c r="BL38" s="9" t="n"/>
      <c r="BM38" s="9" t="n"/>
      <c r="BN38" s="9" t="n"/>
      <c r="BO38" s="8" t="n">
        <v>45684</v>
      </c>
      <c r="BP38" s="9" t="inlineStr">
        <is>
          <t>N</t>
        </is>
      </c>
      <c r="BQ38" s="9" t="inlineStr">
        <is>
          <t>Y</t>
        </is>
      </c>
      <c r="BR38" s="12">
        <f>IF(AND(AI38="Y",AK38="Y",AL38="Y",AM38="Y",AY38="Y",AZ38="Y",BA38="Y",BB38="Y",BC38="Y",BE38&lt;&gt;"Y",AX38&lt;&gt;"Y",BL38&lt;&gt;"Y",IF(AS38="Y",AV38="Y",TRUE)),"Y","N")</f>
        <v/>
      </c>
      <c r="BS38" s="12">
        <f>IF(AND(BR38="Y",OR(AND(BJ38="Y",BM38="Y"),AND(BK38="Y",BN38="Y"),AND(BJ38&lt;&gt;"Y",BK38&lt;&gt;"Y",OR(BM38="Y",BN38="Y")))),"Y","N")</f>
        <v/>
      </c>
      <c r="BT38" s="10" t="n">
        <v>36</v>
      </c>
      <c r="BU38" s="13" t="n"/>
      <c r="BV38" s="13" t="n"/>
      <c r="BW38" s="13" t="n"/>
      <c r="BX38" s="13" t="n"/>
      <c r="BY38" s="13" t="n"/>
      <c r="BZ38" s="13" t="n"/>
      <c r="CA38" s="14" t="n"/>
      <c r="CB38" s="13" t="n"/>
      <c r="CC38" s="9" t="inlineStr">
        <is>
          <t>construction_type mapped from raw 'NC' to 'New Construction'</t>
        </is>
      </c>
      <c r="CD38" s="9" t="inlineStr">
        <is>
          <t>Clara Trejos</t>
        </is>
      </c>
      <c r="CE38" s="9" t="inlineStr">
        <is>
          <t>(404) 867-6921</t>
        </is>
      </c>
      <c r="CF38" s="9" t="inlineStr">
        <is>
          <t>ctrejos@columbiares.com</t>
        </is>
      </c>
      <c r="CG38" s="9" t="inlineStr">
        <is>
          <t>Kristen Camareno</t>
        </is>
      </c>
      <c r="CH38" s="9" t="inlineStr">
        <is>
          <t>(817) 884-1965</t>
        </is>
      </c>
    </row>
    <row r="39">
      <c r="A39" s="8" t="inlineStr">
        <is>
          <t>2025-01-30</t>
        </is>
      </c>
      <c r="B39" s="9" t="inlineStr">
        <is>
          <t>2025-01-30</t>
        </is>
      </c>
      <c r="C39" s="9" t="inlineStr">
        <is>
          <t>25442</t>
        </is>
      </c>
      <c r="D39" s="9" t="n"/>
      <c r="E39" s="9" t="inlineStr">
        <is>
          <t>Palladium Buckner Station</t>
        </is>
      </c>
      <c r="F39" s="9" t="inlineStr">
        <is>
          <t>Dallas</t>
        </is>
      </c>
      <c r="G39" s="9" t="inlineStr">
        <is>
          <t>Dallas</t>
        </is>
      </c>
      <c r="H39" s="9" t="n">
        <v>3</v>
      </c>
      <c r="I39" s="9" t="inlineStr">
        <is>
          <t>8008 Elam Road</t>
        </is>
      </c>
      <c r="J39" s="9" t="n">
        <v>75217</v>
      </c>
      <c r="K39" s="8" t="n">
        <v>45684</v>
      </c>
      <c r="L39" s="9" t="inlineStr">
        <is>
          <t>Active</t>
        </is>
      </c>
      <c r="M39" s="8" t="n">
        <v>45785</v>
      </c>
      <c r="N39" s="8" t="n"/>
      <c r="O39" s="8" t="n">
        <v>45685</v>
      </c>
      <c r="P39" s="8" t="n">
        <v>45865</v>
      </c>
      <c r="Q39" s="8" t="n"/>
      <c r="R39" s="9" t="inlineStr">
        <is>
          <t>New Construction</t>
        </is>
      </c>
      <c r="S39" s="9" t="inlineStr">
        <is>
          <t>General</t>
        </is>
      </c>
      <c r="T39" s="10" t="n">
        <v>304</v>
      </c>
      <c r="U39" s="10" t="n">
        <v>244</v>
      </c>
      <c r="V39" s="9" t="n"/>
      <c r="W39" s="9" t="n"/>
      <c r="X39" s="9" t="inlineStr">
        <is>
          <t>City of Dallas HFC</t>
        </is>
      </c>
      <c r="Y39" s="9" t="inlineStr">
        <is>
          <t>Local HFC</t>
        </is>
      </c>
      <c r="Z39" s="11" t="n">
        <v>50000000</v>
      </c>
      <c r="AA39" s="11" t="n"/>
      <c r="AB39" s="11" t="n">
        <v>3390779</v>
      </c>
      <c r="AC39" s="11" t="n"/>
      <c r="AD39" s="11" t="n"/>
      <c r="AE39" s="11" t="n"/>
      <c r="AF39" s="9" t="inlineStr">
        <is>
          <t>N</t>
        </is>
      </c>
      <c r="AG39" s="9" t="inlineStr">
        <is>
          <t>Y</t>
        </is>
      </c>
      <c r="AH39" s="9" t="n"/>
      <c r="AI39" s="9" t="n"/>
      <c r="AJ39" s="8" t="n"/>
      <c r="AK39" s="9" t="n"/>
      <c r="AL39" s="9" t="n"/>
      <c r="AM39" s="9" t="n"/>
      <c r="AN39" s="9" t="n"/>
      <c r="AO39" s="9" t="n"/>
      <c r="AP39" s="9" t="n"/>
      <c r="AQ39" s="9" t="n"/>
      <c r="AR39" s="9" t="n"/>
      <c r="AS39" s="9" t="n"/>
      <c r="AT39" s="8" t="n"/>
      <c r="AU39" s="8" t="n"/>
      <c r="AV39" s="9" t="n"/>
      <c r="AW39" s="8" t="n"/>
      <c r="AX39" s="9" t="n"/>
      <c r="AY39" s="9" t="n"/>
      <c r="AZ39" s="9" t="n"/>
      <c r="BA39" s="9" t="n"/>
      <c r="BB39" s="9" t="n"/>
      <c r="BC39" s="9" t="n"/>
      <c r="BD39" s="9" t="n"/>
      <c r="BE39" s="9" t="n"/>
      <c r="BF39" s="9" t="n"/>
      <c r="BG39" s="9" t="n"/>
      <c r="BH39" s="9" t="n"/>
      <c r="BI39" s="9" t="n"/>
      <c r="BJ39" s="9" t="n"/>
      <c r="BK39" s="9" t="n"/>
      <c r="BL39" s="9" t="n"/>
      <c r="BM39" s="9" t="n"/>
      <c r="BN39" s="9" t="n"/>
      <c r="BO39" s="8" t="n">
        <v>45684</v>
      </c>
      <c r="BP39" s="9" t="inlineStr">
        <is>
          <t>N</t>
        </is>
      </c>
      <c r="BQ39" s="9" t="inlineStr">
        <is>
          <t>Y</t>
        </is>
      </c>
      <c r="BR39" s="12">
        <f>IF(AND(AI39="Y",AK39="Y",AL39="Y",AM39="Y",AY39="Y",AZ39="Y",BA39="Y",BB39="Y",BC39="Y",BE39&lt;&gt;"Y",AX39&lt;&gt;"Y",BL39&lt;&gt;"Y",IF(AS39="Y",AV39="Y",TRUE)),"Y","N")</f>
        <v/>
      </c>
      <c r="BS39" s="12">
        <f>IF(AND(BR39="Y",OR(AND(BJ39="Y",BM39="Y"),AND(BK39="Y",BN39="Y"),AND(BJ39&lt;&gt;"Y",BK39&lt;&gt;"Y",OR(BM39="Y",BN39="Y")))),"Y","N")</f>
        <v/>
      </c>
      <c r="BT39" s="10" t="n">
        <v>35</v>
      </c>
      <c r="BU39" s="13" t="n"/>
      <c r="BV39" s="13" t="n"/>
      <c r="BW39" s="13" t="n"/>
      <c r="BX39" s="13" t="n"/>
      <c r="BY39" s="13" t="n"/>
      <c r="BZ39" s="13" t="n"/>
      <c r="CA39" s="14" t="n"/>
      <c r="CB39" s="13" t="n"/>
      <c r="CC39" s="9" t="inlineStr">
        <is>
          <t>construction_type mapped from raw 'NC' to 'New Construction'</t>
        </is>
      </c>
      <c r="CD39" s="9" t="inlineStr">
        <is>
          <t>Thomas Huth</t>
        </is>
      </c>
      <c r="CE39" s="9" t="inlineStr">
        <is>
          <t>(972) 774-4400</t>
        </is>
      </c>
      <c r="CF39" s="9" t="inlineStr">
        <is>
          <t>thuth@palladiumusa.com</t>
        </is>
      </c>
      <c r="CG39" s="9" t="inlineStr">
        <is>
          <t>Aaron Eaquinto</t>
        </is>
      </c>
      <c r="CH39" s="9" t="inlineStr">
        <is>
          <t>(214) 670-4941</t>
        </is>
      </c>
    </row>
    <row r="40">
      <c r="A40" s="8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8" t="n"/>
      <c r="L40" s="9" t="n"/>
      <c r="M40" s="8" t="n"/>
      <c r="N40" s="8" t="n"/>
      <c r="O40" s="8" t="n"/>
      <c r="P40" s="8" t="n"/>
      <c r="Q40" s="8" t="n"/>
      <c r="R40" s="9" t="n"/>
      <c r="S40" s="9" t="n"/>
      <c r="T40" s="10" t="n"/>
      <c r="U40" s="10" t="n"/>
      <c r="V40" s="9" t="n"/>
      <c r="W40" s="9" t="n"/>
      <c r="X40" s="9" t="n"/>
      <c r="Y40" s="9" t="n"/>
      <c r="Z40" s="11" t="n"/>
      <c r="AA40" s="11" t="n"/>
      <c r="AB40" s="11" t="n"/>
      <c r="AC40" s="11" t="n"/>
      <c r="AD40" s="11" t="n"/>
      <c r="AE40" s="11" t="n"/>
      <c r="AF40" s="9" t="n"/>
      <c r="AG40" s="9" t="n"/>
      <c r="AH40" s="9" t="n"/>
      <c r="AI40" s="9" t="n"/>
      <c r="AJ40" s="8" t="n"/>
      <c r="AK40" s="9" t="n"/>
      <c r="AL40" s="9" t="n"/>
      <c r="AM40" s="9" t="n"/>
      <c r="AN40" s="9" t="n"/>
      <c r="AO40" s="9" t="n"/>
      <c r="AP40" s="9" t="n"/>
      <c r="AQ40" s="9" t="n"/>
      <c r="AR40" s="9" t="n"/>
      <c r="AS40" s="9" t="n"/>
      <c r="AT40" s="8" t="n"/>
      <c r="AU40" s="8" t="n"/>
      <c r="AV40" s="9" t="n"/>
      <c r="AW40" s="8" t="n"/>
      <c r="AX40" s="9" t="n"/>
      <c r="AY40" s="9" t="n"/>
      <c r="AZ40" s="9" t="n"/>
      <c r="BA40" s="9" t="n"/>
      <c r="BB40" s="9" t="n"/>
      <c r="BC40" s="9" t="n"/>
      <c r="BD40" s="9" t="n"/>
      <c r="BE40" s="9" t="n"/>
      <c r="BF40" s="9" t="n"/>
      <c r="BG40" s="9" t="n"/>
      <c r="BH40" s="9" t="n"/>
      <c r="BI40" s="9" t="n"/>
      <c r="BJ40" s="9" t="n"/>
      <c r="BK40" s="9" t="n"/>
      <c r="BL40" s="9" t="n"/>
      <c r="BM40" s="9" t="n"/>
      <c r="BN40" s="9" t="n"/>
      <c r="BO40" s="8" t="n"/>
      <c r="BP40" s="9" t="n"/>
      <c r="BQ40" s="9" t="n"/>
      <c r="BR40" s="12">
        <f>IF(AND(AI40="Y",AK40="Y",AL40="Y",AM40="Y",AY40="Y",AZ40="Y",BA40="Y",BB40="Y",BC40="Y",BE40&lt;&gt;"Y",AX40&lt;&gt;"Y",BL40&lt;&gt;"Y",IF(AS40="Y",AV40="Y",TRUE)),"Y","N")</f>
        <v/>
      </c>
      <c r="BS40" s="12">
        <f>IF(AND(BR40="Y",OR(AND(BJ40="Y",BM40="Y"),AND(BK40="Y",BN40="Y"),AND(BJ40&lt;&gt;"Y",BK40&lt;&gt;"Y",OR(BM40="Y",BN40="Y")))),"Y","N")</f>
        <v/>
      </c>
      <c r="BT40" s="10" t="n"/>
      <c r="BU40" s="13" t="n"/>
      <c r="BV40" s="13" t="n"/>
      <c r="BW40" s="13" t="n"/>
      <c r="BX40" s="13" t="n"/>
      <c r="BY40" s="13" t="n"/>
      <c r="BZ40" s="13" t="n"/>
      <c r="CA40" s="14" t="n"/>
      <c r="CB40" s="13" t="n"/>
      <c r="CC40" s="9" t="n"/>
      <c r="CD40" s="9" t="n"/>
      <c r="CE40" s="9" t="n"/>
      <c r="CF40" s="9" t="n"/>
      <c r="CG40" s="9" t="n"/>
      <c r="CH40" s="9" t="n"/>
    </row>
    <row r="41">
      <c r="A41" s="8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8" t="n"/>
      <c r="L41" s="9" t="n"/>
      <c r="M41" s="8" t="n"/>
      <c r="N41" s="8" t="n"/>
      <c r="O41" s="8" t="n"/>
      <c r="P41" s="8" t="n"/>
      <c r="Q41" s="8" t="n"/>
      <c r="R41" s="9" t="n"/>
      <c r="S41" s="9" t="n"/>
      <c r="T41" s="10" t="n"/>
      <c r="U41" s="10" t="n"/>
      <c r="V41" s="9" t="n"/>
      <c r="W41" s="9" t="n"/>
      <c r="X41" s="9" t="n"/>
      <c r="Y41" s="9" t="n"/>
      <c r="Z41" s="11" t="n"/>
      <c r="AA41" s="11" t="n"/>
      <c r="AB41" s="11" t="n"/>
      <c r="AC41" s="11" t="n"/>
      <c r="AD41" s="11" t="n"/>
      <c r="AE41" s="11" t="n"/>
      <c r="AF41" s="9" t="n"/>
      <c r="AG41" s="9" t="n"/>
      <c r="AH41" s="9" t="n"/>
      <c r="AI41" s="9" t="n"/>
      <c r="AJ41" s="8" t="n"/>
      <c r="AK41" s="9" t="n"/>
      <c r="AL41" s="9" t="n"/>
      <c r="AM41" s="9" t="n"/>
      <c r="AN41" s="9" t="n"/>
      <c r="AO41" s="9" t="n"/>
      <c r="AP41" s="9" t="n"/>
      <c r="AQ41" s="9" t="n"/>
      <c r="AR41" s="9" t="n"/>
      <c r="AS41" s="9" t="n"/>
      <c r="AT41" s="8" t="n"/>
      <c r="AU41" s="8" t="n"/>
      <c r="AV41" s="9" t="n"/>
      <c r="AW41" s="8" t="n"/>
      <c r="AX41" s="9" t="n"/>
      <c r="AY41" s="9" t="n"/>
      <c r="AZ41" s="9" t="n"/>
      <c r="BA41" s="9" t="n"/>
      <c r="BB41" s="9" t="n"/>
      <c r="BC41" s="9" t="n"/>
      <c r="BD41" s="9" t="n"/>
      <c r="BE41" s="9" t="n"/>
      <c r="BF41" s="9" t="n"/>
      <c r="BG41" s="9" t="n"/>
      <c r="BH41" s="9" t="n"/>
      <c r="BI41" s="9" t="n"/>
      <c r="BJ41" s="9" t="n"/>
      <c r="BK41" s="9" t="n"/>
      <c r="BL41" s="9" t="n"/>
      <c r="BM41" s="9" t="n"/>
      <c r="BN41" s="9" t="n"/>
      <c r="BO41" s="8" t="n"/>
      <c r="BP41" s="9" t="n"/>
      <c r="BQ41" s="9" t="n"/>
      <c r="BR41" s="12">
        <f>IF(AND(AI41="Y",AK41="Y",AL41="Y",AM41="Y",AY41="Y",AZ41="Y",BA41="Y",BB41="Y",BC41="Y",BE41&lt;&gt;"Y",AX41&lt;&gt;"Y",BL41&lt;&gt;"Y",IF(AS41="Y",AV41="Y",TRUE)),"Y","N")</f>
        <v/>
      </c>
      <c r="BS41" s="12">
        <f>IF(AND(BR41="Y",OR(AND(BJ41="Y",BM41="Y"),AND(BK41="Y",BN41="Y"),AND(BJ41&lt;&gt;"Y",BK41&lt;&gt;"Y",OR(BM41="Y",BN41="Y")))),"Y","N")</f>
        <v/>
      </c>
      <c r="BT41" s="10" t="n"/>
      <c r="BU41" s="13" t="n"/>
      <c r="BV41" s="13" t="n"/>
      <c r="BW41" s="13" t="n"/>
      <c r="BX41" s="13" t="n"/>
      <c r="BY41" s="13" t="n"/>
      <c r="BZ41" s="13" t="n"/>
      <c r="CA41" s="14" t="n"/>
      <c r="CB41" s="13" t="n"/>
      <c r="CC41" s="9" t="n"/>
      <c r="CD41" s="9" t="n"/>
      <c r="CE41" s="9" t="n"/>
      <c r="CF41" s="9" t="n"/>
      <c r="CG41" s="9" t="n"/>
      <c r="CH41" s="9" t="n"/>
    </row>
    <row r="42">
      <c r="A42" s="8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8" t="n"/>
      <c r="L42" s="9" t="n"/>
      <c r="M42" s="8" t="n"/>
      <c r="N42" s="8" t="n"/>
      <c r="O42" s="8" t="n"/>
      <c r="P42" s="8" t="n"/>
      <c r="Q42" s="8" t="n"/>
      <c r="R42" s="9" t="n"/>
      <c r="S42" s="9" t="n"/>
      <c r="T42" s="10" t="n"/>
      <c r="U42" s="10" t="n"/>
      <c r="V42" s="9" t="n"/>
      <c r="W42" s="9" t="n"/>
      <c r="X42" s="9" t="n"/>
      <c r="Y42" s="9" t="n"/>
      <c r="Z42" s="11" t="n"/>
      <c r="AA42" s="11" t="n"/>
      <c r="AB42" s="11" t="n"/>
      <c r="AC42" s="11" t="n"/>
      <c r="AD42" s="11" t="n"/>
      <c r="AE42" s="11" t="n"/>
      <c r="AF42" s="9" t="n"/>
      <c r="AG42" s="9" t="n"/>
      <c r="AH42" s="9" t="n"/>
      <c r="AI42" s="9" t="n"/>
      <c r="AJ42" s="8" t="n"/>
      <c r="AK42" s="9" t="n"/>
      <c r="AL42" s="9" t="n"/>
      <c r="AM42" s="9" t="n"/>
      <c r="AN42" s="9" t="n"/>
      <c r="AO42" s="9" t="n"/>
      <c r="AP42" s="9" t="n"/>
      <c r="AQ42" s="9" t="n"/>
      <c r="AR42" s="9" t="n"/>
      <c r="AS42" s="9" t="n"/>
      <c r="AT42" s="8" t="n"/>
      <c r="AU42" s="8" t="n"/>
      <c r="AV42" s="9" t="n"/>
      <c r="AW42" s="8" t="n"/>
      <c r="AX42" s="9" t="n"/>
      <c r="AY42" s="9" t="n"/>
      <c r="AZ42" s="9" t="n"/>
      <c r="BA42" s="9" t="n"/>
      <c r="BB42" s="9" t="n"/>
      <c r="BC42" s="9" t="n"/>
      <c r="BD42" s="9" t="n"/>
      <c r="BE42" s="9" t="n"/>
      <c r="BF42" s="9" t="n"/>
      <c r="BG42" s="9" t="n"/>
      <c r="BH42" s="9" t="n"/>
      <c r="BI42" s="9" t="n"/>
      <c r="BJ42" s="9" t="n"/>
      <c r="BK42" s="9" t="n"/>
      <c r="BL42" s="9" t="n"/>
      <c r="BM42" s="9" t="n"/>
      <c r="BN42" s="9" t="n"/>
      <c r="BO42" s="8" t="n"/>
      <c r="BP42" s="9" t="n"/>
      <c r="BQ42" s="9" t="n"/>
      <c r="BR42" s="12">
        <f>IF(AND(AI42="Y",AK42="Y",AL42="Y",AM42="Y",AY42="Y",AZ42="Y",BA42="Y",BB42="Y",BC42="Y",BE42&lt;&gt;"Y",AX42&lt;&gt;"Y",BL42&lt;&gt;"Y",IF(AS42="Y",AV42="Y",TRUE)),"Y","N")</f>
        <v/>
      </c>
      <c r="BS42" s="12">
        <f>IF(AND(BR42="Y",OR(AND(BJ42="Y",BM42="Y"),AND(BK42="Y",BN42="Y"),AND(BJ42&lt;&gt;"Y",BK42&lt;&gt;"Y",OR(BM42="Y",BN42="Y")))),"Y","N")</f>
        <v/>
      </c>
      <c r="BT42" s="10" t="n"/>
      <c r="BU42" s="13" t="n"/>
      <c r="BV42" s="13" t="n"/>
      <c r="BW42" s="13" t="n"/>
      <c r="BX42" s="13" t="n"/>
      <c r="BY42" s="13" t="n"/>
      <c r="BZ42" s="13" t="n"/>
      <c r="CA42" s="14" t="n"/>
      <c r="CB42" s="13" t="n"/>
      <c r="CC42" s="9" t="n"/>
      <c r="CD42" s="9" t="n"/>
      <c r="CE42" s="9" t="n"/>
      <c r="CF42" s="9" t="n"/>
      <c r="CG42" s="9" t="n"/>
      <c r="CH42" s="9" t="n"/>
    </row>
    <row r="43">
      <c r="A43" s="8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8" t="n"/>
      <c r="L43" s="9" t="n"/>
      <c r="M43" s="8" t="n"/>
      <c r="N43" s="8" t="n"/>
      <c r="O43" s="8" t="n"/>
      <c r="P43" s="8" t="n"/>
      <c r="Q43" s="8" t="n"/>
      <c r="R43" s="9" t="n"/>
      <c r="S43" s="9" t="n"/>
      <c r="T43" s="10" t="n"/>
      <c r="U43" s="10" t="n"/>
      <c r="V43" s="9" t="n"/>
      <c r="W43" s="9" t="n"/>
      <c r="X43" s="9" t="n"/>
      <c r="Y43" s="9" t="n"/>
      <c r="Z43" s="11" t="n"/>
      <c r="AA43" s="11" t="n"/>
      <c r="AB43" s="11" t="n"/>
      <c r="AC43" s="11" t="n"/>
      <c r="AD43" s="11" t="n"/>
      <c r="AE43" s="11" t="n"/>
      <c r="AF43" s="9" t="n"/>
      <c r="AG43" s="9" t="n"/>
      <c r="AH43" s="9" t="n"/>
      <c r="AI43" s="9" t="n"/>
      <c r="AJ43" s="8" t="n"/>
      <c r="AK43" s="9" t="n"/>
      <c r="AL43" s="9" t="n"/>
      <c r="AM43" s="9" t="n"/>
      <c r="AN43" s="9" t="n"/>
      <c r="AO43" s="9" t="n"/>
      <c r="AP43" s="9" t="n"/>
      <c r="AQ43" s="9" t="n"/>
      <c r="AR43" s="9" t="n"/>
      <c r="AS43" s="9" t="n"/>
      <c r="AT43" s="8" t="n"/>
      <c r="AU43" s="8" t="n"/>
      <c r="AV43" s="9" t="n"/>
      <c r="AW43" s="8" t="n"/>
      <c r="AX43" s="9" t="n"/>
      <c r="AY43" s="9" t="n"/>
      <c r="AZ43" s="9" t="n"/>
      <c r="BA43" s="9" t="n"/>
      <c r="BB43" s="9" t="n"/>
      <c r="BC43" s="9" t="n"/>
      <c r="BD43" s="9" t="n"/>
      <c r="BE43" s="9" t="n"/>
      <c r="BF43" s="9" t="n"/>
      <c r="BG43" s="9" t="n"/>
      <c r="BH43" s="9" t="n"/>
      <c r="BI43" s="9" t="n"/>
      <c r="BJ43" s="9" t="n"/>
      <c r="BK43" s="9" t="n"/>
      <c r="BL43" s="9" t="n"/>
      <c r="BM43" s="9" t="n"/>
      <c r="BN43" s="9" t="n"/>
      <c r="BO43" s="8" t="n"/>
      <c r="BP43" s="9" t="n"/>
      <c r="BQ43" s="9" t="n"/>
      <c r="BR43" s="12">
        <f>IF(AND(AI43="Y",AK43="Y",AL43="Y",AM43="Y",AY43="Y",AZ43="Y",BA43="Y",BB43="Y",BC43="Y",BE43&lt;&gt;"Y",AX43&lt;&gt;"Y",BL43&lt;&gt;"Y",IF(AS43="Y",AV43="Y",TRUE)),"Y","N")</f>
        <v/>
      </c>
      <c r="BS43" s="12">
        <f>IF(AND(BR43="Y",OR(AND(BJ43="Y",BM43="Y"),AND(BK43="Y",BN43="Y"),AND(BJ43&lt;&gt;"Y",BK43&lt;&gt;"Y",OR(BM43="Y",BN43="Y")))),"Y","N")</f>
        <v/>
      </c>
      <c r="BT43" s="10" t="n"/>
      <c r="BU43" s="13" t="n"/>
      <c r="BV43" s="13" t="n"/>
      <c r="BW43" s="13" t="n"/>
      <c r="BX43" s="13" t="n"/>
      <c r="BY43" s="13" t="n"/>
      <c r="BZ43" s="13" t="n"/>
      <c r="CA43" s="14" t="n"/>
      <c r="CB43" s="13" t="n"/>
      <c r="CC43" s="9" t="n"/>
      <c r="CD43" s="9" t="n"/>
      <c r="CE43" s="9" t="n"/>
      <c r="CF43" s="9" t="n"/>
      <c r="CG43" s="9" t="n"/>
      <c r="CH43" s="9" t="n"/>
    </row>
    <row r="44">
      <c r="A44" s="8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8" t="n"/>
      <c r="L44" s="9" t="n"/>
      <c r="M44" s="8" t="n"/>
      <c r="N44" s="8" t="n"/>
      <c r="O44" s="8" t="n"/>
      <c r="P44" s="8" t="n"/>
      <c r="Q44" s="8" t="n"/>
      <c r="R44" s="9" t="n"/>
      <c r="S44" s="9" t="n"/>
      <c r="T44" s="10" t="n"/>
      <c r="U44" s="10" t="n"/>
      <c r="V44" s="9" t="n"/>
      <c r="W44" s="9" t="n"/>
      <c r="X44" s="9" t="n"/>
      <c r="Y44" s="9" t="n"/>
      <c r="Z44" s="11" t="n"/>
      <c r="AA44" s="11" t="n"/>
      <c r="AB44" s="11" t="n"/>
      <c r="AC44" s="11" t="n"/>
      <c r="AD44" s="11" t="n"/>
      <c r="AE44" s="11" t="n"/>
      <c r="AF44" s="9" t="n"/>
      <c r="AG44" s="9" t="n"/>
      <c r="AH44" s="9" t="n"/>
      <c r="AI44" s="9" t="n"/>
      <c r="AJ44" s="8" t="n"/>
      <c r="AK44" s="9" t="n"/>
      <c r="AL44" s="9" t="n"/>
      <c r="AM44" s="9" t="n"/>
      <c r="AN44" s="9" t="n"/>
      <c r="AO44" s="9" t="n"/>
      <c r="AP44" s="9" t="n"/>
      <c r="AQ44" s="9" t="n"/>
      <c r="AR44" s="9" t="n"/>
      <c r="AS44" s="9" t="n"/>
      <c r="AT44" s="8" t="n"/>
      <c r="AU44" s="8" t="n"/>
      <c r="AV44" s="9" t="n"/>
      <c r="AW44" s="8" t="n"/>
      <c r="AX44" s="9" t="n"/>
      <c r="AY44" s="9" t="n"/>
      <c r="AZ44" s="9" t="n"/>
      <c r="BA44" s="9" t="n"/>
      <c r="BB44" s="9" t="n"/>
      <c r="BC44" s="9" t="n"/>
      <c r="BD44" s="9" t="n"/>
      <c r="BE44" s="9" t="n"/>
      <c r="BF44" s="9" t="n"/>
      <c r="BG44" s="9" t="n"/>
      <c r="BH44" s="9" t="n"/>
      <c r="BI44" s="9" t="n"/>
      <c r="BJ44" s="9" t="n"/>
      <c r="BK44" s="9" t="n"/>
      <c r="BL44" s="9" t="n"/>
      <c r="BM44" s="9" t="n"/>
      <c r="BN44" s="9" t="n"/>
      <c r="BO44" s="8" t="n"/>
      <c r="BP44" s="9" t="n"/>
      <c r="BQ44" s="9" t="n"/>
      <c r="BR44" s="12">
        <f>IF(AND(AI44="Y",AK44="Y",AL44="Y",AM44="Y",AY44="Y",AZ44="Y",BA44="Y",BB44="Y",BC44="Y",BE44&lt;&gt;"Y",AX44&lt;&gt;"Y",BL44&lt;&gt;"Y",IF(AS44="Y",AV44="Y",TRUE)),"Y","N")</f>
        <v/>
      </c>
      <c r="BS44" s="12">
        <f>IF(AND(BR44="Y",OR(AND(BJ44="Y",BM44="Y"),AND(BK44="Y",BN44="Y"),AND(BJ44&lt;&gt;"Y",BK44&lt;&gt;"Y",OR(BM44="Y",BN44="Y")))),"Y","N")</f>
        <v/>
      </c>
      <c r="BT44" s="10" t="n"/>
      <c r="BU44" s="13" t="n"/>
      <c r="BV44" s="13" t="n"/>
      <c r="BW44" s="13" t="n"/>
      <c r="BX44" s="13" t="n"/>
      <c r="BY44" s="13" t="n"/>
      <c r="BZ44" s="13" t="n"/>
      <c r="CA44" s="14" t="n"/>
      <c r="CB44" s="13" t="n"/>
      <c r="CC44" s="9" t="n"/>
      <c r="CD44" s="9" t="n"/>
      <c r="CE44" s="9" t="n"/>
      <c r="CF44" s="9" t="n"/>
      <c r="CG44" s="9" t="n"/>
      <c r="CH44" s="9" t="n"/>
    </row>
    <row r="45">
      <c r="A45" s="8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8" t="n"/>
      <c r="L45" s="9" t="n"/>
      <c r="M45" s="8" t="n"/>
      <c r="N45" s="8" t="n"/>
      <c r="O45" s="8" t="n"/>
      <c r="P45" s="8" t="n"/>
      <c r="Q45" s="8" t="n"/>
      <c r="R45" s="9" t="n"/>
      <c r="S45" s="9" t="n"/>
      <c r="T45" s="10" t="n"/>
      <c r="U45" s="10" t="n"/>
      <c r="V45" s="9" t="n"/>
      <c r="W45" s="9" t="n"/>
      <c r="X45" s="9" t="n"/>
      <c r="Y45" s="9" t="n"/>
      <c r="Z45" s="11" t="n"/>
      <c r="AA45" s="11" t="n"/>
      <c r="AB45" s="11" t="n"/>
      <c r="AC45" s="11" t="n"/>
      <c r="AD45" s="11" t="n"/>
      <c r="AE45" s="11" t="n"/>
      <c r="AF45" s="9" t="n"/>
      <c r="AG45" s="9" t="n"/>
      <c r="AH45" s="9" t="n"/>
      <c r="AI45" s="9" t="n"/>
      <c r="AJ45" s="8" t="n"/>
      <c r="AK45" s="9" t="n"/>
      <c r="AL45" s="9" t="n"/>
      <c r="AM45" s="9" t="n"/>
      <c r="AN45" s="9" t="n"/>
      <c r="AO45" s="9" t="n"/>
      <c r="AP45" s="9" t="n"/>
      <c r="AQ45" s="9" t="n"/>
      <c r="AR45" s="9" t="n"/>
      <c r="AS45" s="9" t="n"/>
      <c r="AT45" s="8" t="n"/>
      <c r="AU45" s="8" t="n"/>
      <c r="AV45" s="9" t="n"/>
      <c r="AW45" s="8" t="n"/>
      <c r="AX45" s="9" t="n"/>
      <c r="AY45" s="9" t="n"/>
      <c r="AZ45" s="9" t="n"/>
      <c r="BA45" s="9" t="n"/>
      <c r="BB45" s="9" t="n"/>
      <c r="BC45" s="9" t="n"/>
      <c r="BD45" s="9" t="n"/>
      <c r="BE45" s="9" t="n"/>
      <c r="BF45" s="9" t="n"/>
      <c r="BG45" s="9" t="n"/>
      <c r="BH45" s="9" t="n"/>
      <c r="BI45" s="9" t="n"/>
      <c r="BJ45" s="9" t="n"/>
      <c r="BK45" s="9" t="n"/>
      <c r="BL45" s="9" t="n"/>
      <c r="BM45" s="9" t="n"/>
      <c r="BN45" s="9" t="n"/>
      <c r="BO45" s="8" t="n"/>
      <c r="BP45" s="9" t="n"/>
      <c r="BQ45" s="9" t="n"/>
      <c r="BR45" s="12">
        <f>IF(AND(AI45="Y",AK45="Y",AL45="Y",AM45="Y",AY45="Y",AZ45="Y",BA45="Y",BB45="Y",BC45="Y",BE45&lt;&gt;"Y",AX45&lt;&gt;"Y",BL45&lt;&gt;"Y",IF(AS45="Y",AV45="Y",TRUE)),"Y","N")</f>
        <v/>
      </c>
      <c r="BS45" s="12">
        <f>IF(AND(BR45="Y",OR(AND(BJ45="Y",BM45="Y"),AND(BK45="Y",BN45="Y"),AND(BJ45&lt;&gt;"Y",BK45&lt;&gt;"Y",OR(BM45="Y",BN45="Y")))),"Y","N")</f>
        <v/>
      </c>
      <c r="BT45" s="10" t="n"/>
      <c r="BU45" s="13" t="n"/>
      <c r="BV45" s="13" t="n"/>
      <c r="BW45" s="13" t="n"/>
      <c r="BX45" s="13" t="n"/>
      <c r="BY45" s="13" t="n"/>
      <c r="BZ45" s="13" t="n"/>
      <c r="CA45" s="14" t="n"/>
      <c r="CB45" s="13" t="n"/>
      <c r="CC45" s="9" t="n"/>
      <c r="CD45" s="9" t="n"/>
      <c r="CE45" s="9" t="n"/>
      <c r="CF45" s="9" t="n"/>
      <c r="CG45" s="9" t="n"/>
      <c r="CH45" s="9" t="n"/>
    </row>
    <row r="46">
      <c r="A46" s="8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8" t="n"/>
      <c r="L46" s="9" t="n"/>
      <c r="M46" s="8" t="n"/>
      <c r="N46" s="8" t="n"/>
      <c r="O46" s="8" t="n"/>
      <c r="P46" s="8" t="n"/>
      <c r="Q46" s="8" t="n"/>
      <c r="R46" s="9" t="n"/>
      <c r="S46" s="9" t="n"/>
      <c r="T46" s="10" t="n"/>
      <c r="U46" s="10" t="n"/>
      <c r="V46" s="9" t="n"/>
      <c r="W46" s="9" t="n"/>
      <c r="X46" s="9" t="n"/>
      <c r="Y46" s="9" t="n"/>
      <c r="Z46" s="11" t="n"/>
      <c r="AA46" s="11" t="n"/>
      <c r="AB46" s="11" t="n"/>
      <c r="AC46" s="11" t="n"/>
      <c r="AD46" s="11" t="n"/>
      <c r="AE46" s="11" t="n"/>
      <c r="AF46" s="9" t="n"/>
      <c r="AG46" s="9" t="n"/>
      <c r="AH46" s="9" t="n"/>
      <c r="AI46" s="9" t="n"/>
      <c r="AJ46" s="8" t="n"/>
      <c r="AK46" s="9" t="n"/>
      <c r="AL46" s="9" t="n"/>
      <c r="AM46" s="9" t="n"/>
      <c r="AN46" s="9" t="n"/>
      <c r="AO46" s="9" t="n"/>
      <c r="AP46" s="9" t="n"/>
      <c r="AQ46" s="9" t="n"/>
      <c r="AR46" s="9" t="n"/>
      <c r="AS46" s="9" t="n"/>
      <c r="AT46" s="8" t="n"/>
      <c r="AU46" s="8" t="n"/>
      <c r="AV46" s="9" t="n"/>
      <c r="AW46" s="8" t="n"/>
      <c r="AX46" s="9" t="n"/>
      <c r="AY46" s="9" t="n"/>
      <c r="AZ46" s="9" t="n"/>
      <c r="BA46" s="9" t="n"/>
      <c r="BB46" s="9" t="n"/>
      <c r="BC46" s="9" t="n"/>
      <c r="BD46" s="9" t="n"/>
      <c r="BE46" s="9" t="n"/>
      <c r="BF46" s="9" t="n"/>
      <c r="BG46" s="9" t="n"/>
      <c r="BH46" s="9" t="n"/>
      <c r="BI46" s="9" t="n"/>
      <c r="BJ46" s="9" t="n"/>
      <c r="BK46" s="9" t="n"/>
      <c r="BL46" s="9" t="n"/>
      <c r="BM46" s="9" t="n"/>
      <c r="BN46" s="9" t="n"/>
      <c r="BO46" s="8" t="n"/>
      <c r="BP46" s="9" t="n"/>
      <c r="BQ46" s="9" t="n"/>
      <c r="BR46" s="12">
        <f>IF(AND(AI46="Y",AK46="Y",AL46="Y",AM46="Y",AY46="Y",AZ46="Y",BA46="Y",BB46="Y",BC46="Y",BE46&lt;&gt;"Y",AX46&lt;&gt;"Y",BL46&lt;&gt;"Y",IF(AS46="Y",AV46="Y",TRUE)),"Y","N")</f>
        <v/>
      </c>
      <c r="BS46" s="12">
        <f>IF(AND(BR46="Y",OR(AND(BJ46="Y",BM46="Y"),AND(BK46="Y",BN46="Y"),AND(BJ46&lt;&gt;"Y",BK46&lt;&gt;"Y",OR(BM46="Y",BN46="Y")))),"Y","N")</f>
        <v/>
      </c>
      <c r="BT46" s="10" t="n"/>
      <c r="BU46" s="13" t="n"/>
      <c r="BV46" s="13" t="n"/>
      <c r="BW46" s="13" t="n"/>
      <c r="BX46" s="13" t="n"/>
      <c r="BY46" s="13" t="n"/>
      <c r="BZ46" s="13" t="n"/>
      <c r="CA46" s="14" t="n"/>
      <c r="CB46" s="13" t="n"/>
      <c r="CC46" s="9" t="n"/>
      <c r="CD46" s="9" t="n"/>
      <c r="CE46" s="9" t="n"/>
      <c r="CF46" s="9" t="n"/>
      <c r="CG46" s="9" t="n"/>
      <c r="CH46" s="9" t="n"/>
    </row>
    <row r="47">
      <c r="A47" s="8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8" t="n"/>
      <c r="L47" s="9" t="n"/>
      <c r="M47" s="8" t="n"/>
      <c r="N47" s="8" t="n"/>
      <c r="O47" s="8" t="n"/>
      <c r="P47" s="8" t="n"/>
      <c r="Q47" s="8" t="n"/>
      <c r="R47" s="9" t="n"/>
      <c r="S47" s="9" t="n"/>
      <c r="T47" s="10" t="n"/>
      <c r="U47" s="10" t="n"/>
      <c r="V47" s="9" t="n"/>
      <c r="W47" s="9" t="n"/>
      <c r="X47" s="9" t="n"/>
      <c r="Y47" s="9" t="n"/>
      <c r="Z47" s="11" t="n"/>
      <c r="AA47" s="11" t="n"/>
      <c r="AB47" s="11" t="n"/>
      <c r="AC47" s="11" t="n"/>
      <c r="AD47" s="11" t="n"/>
      <c r="AE47" s="11" t="n"/>
      <c r="AF47" s="9" t="n"/>
      <c r="AG47" s="9" t="n"/>
      <c r="AH47" s="9" t="n"/>
      <c r="AI47" s="9" t="n"/>
      <c r="AJ47" s="8" t="n"/>
      <c r="AK47" s="9" t="n"/>
      <c r="AL47" s="9" t="n"/>
      <c r="AM47" s="9" t="n"/>
      <c r="AN47" s="9" t="n"/>
      <c r="AO47" s="9" t="n"/>
      <c r="AP47" s="9" t="n"/>
      <c r="AQ47" s="9" t="n"/>
      <c r="AR47" s="9" t="n"/>
      <c r="AS47" s="9" t="n"/>
      <c r="AT47" s="8" t="n"/>
      <c r="AU47" s="8" t="n"/>
      <c r="AV47" s="9" t="n"/>
      <c r="AW47" s="8" t="n"/>
      <c r="AX47" s="9" t="n"/>
      <c r="AY47" s="9" t="n"/>
      <c r="AZ47" s="9" t="n"/>
      <c r="BA47" s="9" t="n"/>
      <c r="BB47" s="9" t="n"/>
      <c r="BC47" s="9" t="n"/>
      <c r="BD47" s="9" t="n"/>
      <c r="BE47" s="9" t="n"/>
      <c r="BF47" s="9" t="n"/>
      <c r="BG47" s="9" t="n"/>
      <c r="BH47" s="9" t="n"/>
      <c r="BI47" s="9" t="n"/>
      <c r="BJ47" s="9" t="n"/>
      <c r="BK47" s="9" t="n"/>
      <c r="BL47" s="9" t="n"/>
      <c r="BM47" s="9" t="n"/>
      <c r="BN47" s="9" t="n"/>
      <c r="BO47" s="8" t="n"/>
      <c r="BP47" s="9" t="n"/>
      <c r="BQ47" s="9" t="n"/>
      <c r="BR47" s="12">
        <f>IF(AND(AI47="Y",AK47="Y",AL47="Y",AM47="Y",AY47="Y",AZ47="Y",BA47="Y",BB47="Y",BC47="Y",BE47&lt;&gt;"Y",AX47&lt;&gt;"Y",BL47&lt;&gt;"Y",IF(AS47="Y",AV47="Y",TRUE)),"Y","N")</f>
        <v/>
      </c>
      <c r="BS47" s="12">
        <f>IF(AND(BR47="Y",OR(AND(BJ47="Y",BM47="Y"),AND(BK47="Y",BN47="Y"),AND(BJ47&lt;&gt;"Y",BK47&lt;&gt;"Y",OR(BM47="Y",BN47="Y")))),"Y","N")</f>
        <v/>
      </c>
      <c r="BT47" s="10" t="n"/>
      <c r="BU47" s="13" t="n"/>
      <c r="BV47" s="13" t="n"/>
      <c r="BW47" s="13" t="n"/>
      <c r="BX47" s="13" t="n"/>
      <c r="BY47" s="13" t="n"/>
      <c r="BZ47" s="13" t="n"/>
      <c r="CA47" s="14" t="n"/>
      <c r="CB47" s="13" t="n"/>
      <c r="CC47" s="9" t="n"/>
      <c r="CD47" s="9" t="n"/>
      <c r="CE47" s="9" t="n"/>
      <c r="CF47" s="9" t="n"/>
      <c r="CG47" s="9" t="n"/>
      <c r="CH47" s="9" t="n"/>
    </row>
    <row r="48">
      <c r="A48" s="8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8" t="n"/>
      <c r="L48" s="9" t="n"/>
      <c r="M48" s="8" t="n"/>
      <c r="N48" s="8" t="n"/>
      <c r="O48" s="8" t="n"/>
      <c r="P48" s="8" t="n"/>
      <c r="Q48" s="8" t="n"/>
      <c r="R48" s="9" t="n"/>
      <c r="S48" s="9" t="n"/>
      <c r="T48" s="10" t="n"/>
      <c r="U48" s="10" t="n"/>
      <c r="V48" s="9" t="n"/>
      <c r="W48" s="9" t="n"/>
      <c r="X48" s="9" t="n"/>
      <c r="Y48" s="9" t="n"/>
      <c r="Z48" s="11" t="n"/>
      <c r="AA48" s="11" t="n"/>
      <c r="AB48" s="11" t="n"/>
      <c r="AC48" s="11" t="n"/>
      <c r="AD48" s="11" t="n"/>
      <c r="AE48" s="11" t="n"/>
      <c r="AF48" s="9" t="n"/>
      <c r="AG48" s="9" t="n"/>
      <c r="AH48" s="9" t="n"/>
      <c r="AI48" s="9" t="n"/>
      <c r="AJ48" s="8" t="n"/>
      <c r="AK48" s="9" t="n"/>
      <c r="AL48" s="9" t="n"/>
      <c r="AM48" s="9" t="n"/>
      <c r="AN48" s="9" t="n"/>
      <c r="AO48" s="9" t="n"/>
      <c r="AP48" s="9" t="n"/>
      <c r="AQ48" s="9" t="n"/>
      <c r="AR48" s="9" t="n"/>
      <c r="AS48" s="9" t="n"/>
      <c r="AT48" s="8" t="n"/>
      <c r="AU48" s="8" t="n"/>
      <c r="AV48" s="9" t="n"/>
      <c r="AW48" s="8" t="n"/>
      <c r="AX48" s="9" t="n"/>
      <c r="AY48" s="9" t="n"/>
      <c r="AZ48" s="9" t="n"/>
      <c r="BA48" s="9" t="n"/>
      <c r="BB48" s="9" t="n"/>
      <c r="BC48" s="9" t="n"/>
      <c r="BD48" s="9" t="n"/>
      <c r="BE48" s="9" t="n"/>
      <c r="BF48" s="9" t="n"/>
      <c r="BG48" s="9" t="n"/>
      <c r="BH48" s="9" t="n"/>
      <c r="BI48" s="9" t="n"/>
      <c r="BJ48" s="9" t="n"/>
      <c r="BK48" s="9" t="n"/>
      <c r="BL48" s="9" t="n"/>
      <c r="BM48" s="9" t="n"/>
      <c r="BN48" s="9" t="n"/>
      <c r="BO48" s="8" t="n"/>
      <c r="BP48" s="9" t="n"/>
      <c r="BQ48" s="9" t="n"/>
      <c r="BR48" s="12">
        <f>IF(AND(AI48="Y",AK48="Y",AL48="Y",AM48="Y",AY48="Y",AZ48="Y",BA48="Y",BB48="Y",BC48="Y",BE48&lt;&gt;"Y",AX48&lt;&gt;"Y",BL48&lt;&gt;"Y",IF(AS48="Y",AV48="Y",TRUE)),"Y","N")</f>
        <v/>
      </c>
      <c r="BS48" s="12">
        <f>IF(AND(BR48="Y",OR(AND(BJ48="Y",BM48="Y"),AND(BK48="Y",BN48="Y"),AND(BJ48&lt;&gt;"Y",BK48&lt;&gt;"Y",OR(BM48="Y",BN48="Y")))),"Y","N")</f>
        <v/>
      </c>
      <c r="BT48" s="10" t="n"/>
      <c r="BU48" s="13" t="n"/>
      <c r="BV48" s="13" t="n"/>
      <c r="BW48" s="13" t="n"/>
      <c r="BX48" s="13" t="n"/>
      <c r="BY48" s="13" t="n"/>
      <c r="BZ48" s="13" t="n"/>
      <c r="CA48" s="14" t="n"/>
      <c r="CB48" s="13" t="n"/>
      <c r="CC48" s="9" t="n"/>
      <c r="CD48" s="9" t="n"/>
      <c r="CE48" s="9" t="n"/>
      <c r="CF48" s="9" t="n"/>
      <c r="CG48" s="9" t="n"/>
      <c r="CH48" s="9" t="n"/>
    </row>
    <row r="49">
      <c r="A49" s="8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8" t="n"/>
      <c r="L49" s="9" t="n"/>
      <c r="M49" s="8" t="n"/>
      <c r="N49" s="8" t="n"/>
      <c r="O49" s="8" t="n"/>
      <c r="P49" s="8" t="n"/>
      <c r="Q49" s="8" t="n"/>
      <c r="R49" s="9" t="n"/>
      <c r="S49" s="9" t="n"/>
      <c r="T49" s="10" t="n"/>
      <c r="U49" s="10" t="n"/>
      <c r="V49" s="9" t="n"/>
      <c r="W49" s="9" t="n"/>
      <c r="X49" s="9" t="n"/>
      <c r="Y49" s="9" t="n"/>
      <c r="Z49" s="11" t="n"/>
      <c r="AA49" s="11" t="n"/>
      <c r="AB49" s="11" t="n"/>
      <c r="AC49" s="11" t="n"/>
      <c r="AD49" s="11" t="n"/>
      <c r="AE49" s="11" t="n"/>
      <c r="AF49" s="9" t="n"/>
      <c r="AG49" s="9" t="n"/>
      <c r="AH49" s="9" t="n"/>
      <c r="AI49" s="9" t="n"/>
      <c r="AJ49" s="8" t="n"/>
      <c r="AK49" s="9" t="n"/>
      <c r="AL49" s="9" t="n"/>
      <c r="AM49" s="9" t="n"/>
      <c r="AN49" s="9" t="n"/>
      <c r="AO49" s="9" t="n"/>
      <c r="AP49" s="9" t="n"/>
      <c r="AQ49" s="9" t="n"/>
      <c r="AR49" s="9" t="n"/>
      <c r="AS49" s="9" t="n"/>
      <c r="AT49" s="8" t="n"/>
      <c r="AU49" s="8" t="n"/>
      <c r="AV49" s="9" t="n"/>
      <c r="AW49" s="8" t="n"/>
      <c r="AX49" s="9" t="n"/>
      <c r="AY49" s="9" t="n"/>
      <c r="AZ49" s="9" t="n"/>
      <c r="BA49" s="9" t="n"/>
      <c r="BB49" s="9" t="n"/>
      <c r="BC49" s="9" t="n"/>
      <c r="BD49" s="9" t="n"/>
      <c r="BE49" s="9" t="n"/>
      <c r="BF49" s="9" t="n"/>
      <c r="BG49" s="9" t="n"/>
      <c r="BH49" s="9" t="n"/>
      <c r="BI49" s="9" t="n"/>
      <c r="BJ49" s="9" t="n"/>
      <c r="BK49" s="9" t="n"/>
      <c r="BL49" s="9" t="n"/>
      <c r="BM49" s="9" t="n"/>
      <c r="BN49" s="9" t="n"/>
      <c r="BO49" s="8" t="n"/>
      <c r="BP49" s="9" t="n"/>
      <c r="BQ49" s="9" t="n"/>
      <c r="BR49" s="12">
        <f>IF(AND(AI49="Y",AK49="Y",AL49="Y",AM49="Y",AY49="Y",AZ49="Y",BA49="Y",BB49="Y",BC49="Y",BE49&lt;&gt;"Y",AX49&lt;&gt;"Y",BL49&lt;&gt;"Y",IF(AS49="Y",AV49="Y",TRUE)),"Y","N")</f>
        <v/>
      </c>
      <c r="BS49" s="12">
        <f>IF(AND(BR49="Y",OR(AND(BJ49="Y",BM49="Y"),AND(BK49="Y",BN49="Y"),AND(BJ49&lt;&gt;"Y",BK49&lt;&gt;"Y",OR(BM49="Y",BN49="Y")))),"Y","N")</f>
        <v/>
      </c>
      <c r="BT49" s="10" t="n"/>
      <c r="BU49" s="13" t="n"/>
      <c r="BV49" s="13" t="n"/>
      <c r="BW49" s="13" t="n"/>
      <c r="BX49" s="13" t="n"/>
      <c r="BY49" s="13" t="n"/>
      <c r="BZ49" s="13" t="n"/>
      <c r="CA49" s="14" t="n"/>
      <c r="CB49" s="13" t="n"/>
      <c r="CC49" s="9" t="n"/>
      <c r="CD49" s="9" t="n"/>
      <c r="CE49" s="9" t="n"/>
      <c r="CF49" s="9" t="n"/>
      <c r="CG49" s="9" t="n"/>
      <c r="CH49" s="9" t="n"/>
    </row>
    <row r="50">
      <c r="A50" s="8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8" t="n"/>
      <c r="L50" s="9" t="n"/>
      <c r="M50" s="8" t="n"/>
      <c r="N50" s="8" t="n"/>
      <c r="O50" s="8" t="n"/>
      <c r="P50" s="8" t="n"/>
      <c r="Q50" s="8" t="n"/>
      <c r="R50" s="9" t="n"/>
      <c r="S50" s="9" t="n"/>
      <c r="T50" s="10" t="n"/>
      <c r="U50" s="10" t="n"/>
      <c r="V50" s="9" t="n"/>
      <c r="W50" s="9" t="n"/>
      <c r="X50" s="9" t="n"/>
      <c r="Y50" s="9" t="n"/>
      <c r="Z50" s="11" t="n"/>
      <c r="AA50" s="11" t="n"/>
      <c r="AB50" s="11" t="n"/>
      <c r="AC50" s="11" t="n"/>
      <c r="AD50" s="11" t="n"/>
      <c r="AE50" s="11" t="n"/>
      <c r="AF50" s="9" t="n"/>
      <c r="AG50" s="9" t="n"/>
      <c r="AH50" s="9" t="n"/>
      <c r="AI50" s="9" t="n"/>
      <c r="AJ50" s="8" t="n"/>
      <c r="AK50" s="9" t="n"/>
      <c r="AL50" s="9" t="n"/>
      <c r="AM50" s="9" t="n"/>
      <c r="AN50" s="9" t="n"/>
      <c r="AO50" s="9" t="n"/>
      <c r="AP50" s="9" t="n"/>
      <c r="AQ50" s="9" t="n"/>
      <c r="AR50" s="9" t="n"/>
      <c r="AS50" s="9" t="n"/>
      <c r="AT50" s="8" t="n"/>
      <c r="AU50" s="8" t="n"/>
      <c r="AV50" s="9" t="n"/>
      <c r="AW50" s="8" t="n"/>
      <c r="AX50" s="9" t="n"/>
      <c r="AY50" s="9" t="n"/>
      <c r="AZ50" s="9" t="n"/>
      <c r="BA50" s="9" t="n"/>
      <c r="BB50" s="9" t="n"/>
      <c r="BC50" s="9" t="n"/>
      <c r="BD50" s="9" t="n"/>
      <c r="BE50" s="9" t="n"/>
      <c r="BF50" s="9" t="n"/>
      <c r="BG50" s="9" t="n"/>
      <c r="BH50" s="9" t="n"/>
      <c r="BI50" s="9" t="n"/>
      <c r="BJ50" s="9" t="n"/>
      <c r="BK50" s="9" t="n"/>
      <c r="BL50" s="9" t="n"/>
      <c r="BM50" s="9" t="n"/>
      <c r="BN50" s="9" t="n"/>
      <c r="BO50" s="8" t="n"/>
      <c r="BP50" s="9" t="n"/>
      <c r="BQ50" s="9" t="n"/>
      <c r="BR50" s="12">
        <f>IF(AND(AI50="Y",AK50="Y",AL50="Y",AM50="Y",AY50="Y",AZ50="Y",BA50="Y",BB50="Y",BC50="Y",BE50&lt;&gt;"Y",AX50&lt;&gt;"Y",BL50&lt;&gt;"Y",IF(AS50="Y",AV50="Y",TRUE)),"Y","N")</f>
        <v/>
      </c>
      <c r="BS50" s="12">
        <f>IF(AND(BR50="Y",OR(AND(BJ50="Y",BM50="Y"),AND(BK50="Y",BN50="Y"),AND(BJ50&lt;&gt;"Y",BK50&lt;&gt;"Y",OR(BM50="Y",BN50="Y")))),"Y","N")</f>
        <v/>
      </c>
      <c r="BT50" s="10" t="n"/>
      <c r="BU50" s="13" t="n"/>
      <c r="BV50" s="13" t="n"/>
      <c r="BW50" s="13" t="n"/>
      <c r="BX50" s="13" t="n"/>
      <c r="BY50" s="13" t="n"/>
      <c r="BZ50" s="13" t="n"/>
      <c r="CA50" s="14" t="n"/>
      <c r="CB50" s="13" t="n"/>
      <c r="CC50" s="9" t="n"/>
      <c r="CD50" s="9" t="n"/>
      <c r="CE50" s="9" t="n"/>
      <c r="CF50" s="9" t="n"/>
      <c r="CG50" s="9" t="n"/>
      <c r="CH50" s="9" t="n"/>
    </row>
    <row r="51">
      <c r="A51" s="8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8" t="n"/>
      <c r="L51" s="9" t="n"/>
      <c r="M51" s="8" t="n"/>
      <c r="N51" s="8" t="n"/>
      <c r="O51" s="8" t="n"/>
      <c r="P51" s="8" t="n"/>
      <c r="Q51" s="8" t="n"/>
      <c r="R51" s="9" t="n"/>
      <c r="S51" s="9" t="n"/>
      <c r="T51" s="10" t="n"/>
      <c r="U51" s="10" t="n"/>
      <c r="V51" s="9" t="n"/>
      <c r="W51" s="9" t="n"/>
      <c r="X51" s="9" t="n"/>
      <c r="Y51" s="9" t="n"/>
      <c r="Z51" s="11" t="n"/>
      <c r="AA51" s="11" t="n"/>
      <c r="AB51" s="11" t="n"/>
      <c r="AC51" s="11" t="n"/>
      <c r="AD51" s="11" t="n"/>
      <c r="AE51" s="11" t="n"/>
      <c r="AF51" s="9" t="n"/>
      <c r="AG51" s="9" t="n"/>
      <c r="AH51" s="9" t="n"/>
      <c r="AI51" s="9" t="n"/>
      <c r="AJ51" s="8" t="n"/>
      <c r="AK51" s="9" t="n"/>
      <c r="AL51" s="9" t="n"/>
      <c r="AM51" s="9" t="n"/>
      <c r="AN51" s="9" t="n"/>
      <c r="AO51" s="9" t="n"/>
      <c r="AP51" s="9" t="n"/>
      <c r="AQ51" s="9" t="n"/>
      <c r="AR51" s="9" t="n"/>
      <c r="AS51" s="9" t="n"/>
      <c r="AT51" s="8" t="n"/>
      <c r="AU51" s="8" t="n"/>
      <c r="AV51" s="9" t="n"/>
      <c r="AW51" s="8" t="n"/>
      <c r="AX51" s="9" t="n"/>
      <c r="AY51" s="9" t="n"/>
      <c r="AZ51" s="9" t="n"/>
      <c r="BA51" s="9" t="n"/>
      <c r="BB51" s="9" t="n"/>
      <c r="BC51" s="9" t="n"/>
      <c r="BD51" s="9" t="n"/>
      <c r="BE51" s="9" t="n"/>
      <c r="BF51" s="9" t="n"/>
      <c r="BG51" s="9" t="n"/>
      <c r="BH51" s="9" t="n"/>
      <c r="BI51" s="9" t="n"/>
      <c r="BJ51" s="9" t="n"/>
      <c r="BK51" s="9" t="n"/>
      <c r="BL51" s="9" t="n"/>
      <c r="BM51" s="9" t="n"/>
      <c r="BN51" s="9" t="n"/>
      <c r="BO51" s="8" t="n"/>
      <c r="BP51" s="9" t="n"/>
      <c r="BQ51" s="9" t="n"/>
      <c r="BR51" s="12">
        <f>IF(AND(AI51="Y",AK51="Y",AL51="Y",AM51="Y",AY51="Y",AZ51="Y",BA51="Y",BB51="Y",BC51="Y",BE51&lt;&gt;"Y",AX51&lt;&gt;"Y",BL51&lt;&gt;"Y",IF(AS51="Y",AV51="Y",TRUE)),"Y","N")</f>
        <v/>
      </c>
      <c r="BS51" s="12">
        <f>IF(AND(BR51="Y",OR(AND(BJ51="Y",BM51="Y"),AND(BK51="Y",BN51="Y"),AND(BJ51&lt;&gt;"Y",BK51&lt;&gt;"Y",OR(BM51="Y",BN51="Y")))),"Y","N")</f>
        <v/>
      </c>
      <c r="BT51" s="10" t="n"/>
      <c r="BU51" s="13" t="n"/>
      <c r="BV51" s="13" t="n"/>
      <c r="BW51" s="13" t="n"/>
      <c r="BX51" s="13" t="n"/>
      <c r="BY51" s="13" t="n"/>
      <c r="BZ51" s="13" t="n"/>
      <c r="CA51" s="14" t="n"/>
      <c r="CB51" s="13" t="n"/>
      <c r="CC51" s="9" t="n"/>
      <c r="CD51" s="9" t="n"/>
      <c r="CE51" s="9" t="n"/>
      <c r="CF51" s="9" t="n"/>
      <c r="CG51" s="9" t="n"/>
      <c r="CH51" s="9" t="n"/>
    </row>
    <row r="52">
      <c r="A52" s="8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8" t="n"/>
      <c r="L52" s="9" t="n"/>
      <c r="M52" s="8" t="n"/>
      <c r="N52" s="8" t="n"/>
      <c r="O52" s="8" t="n"/>
      <c r="P52" s="8" t="n"/>
      <c r="Q52" s="8" t="n"/>
      <c r="R52" s="9" t="n"/>
      <c r="S52" s="9" t="n"/>
      <c r="T52" s="10" t="n"/>
      <c r="U52" s="10" t="n"/>
      <c r="V52" s="9" t="n"/>
      <c r="W52" s="9" t="n"/>
      <c r="X52" s="9" t="n"/>
      <c r="Y52" s="9" t="n"/>
      <c r="Z52" s="11" t="n"/>
      <c r="AA52" s="11" t="n"/>
      <c r="AB52" s="11" t="n"/>
      <c r="AC52" s="11" t="n"/>
      <c r="AD52" s="11" t="n"/>
      <c r="AE52" s="11" t="n"/>
      <c r="AF52" s="9" t="n"/>
      <c r="AG52" s="9" t="n"/>
      <c r="AH52" s="9" t="n"/>
      <c r="AI52" s="9" t="n"/>
      <c r="AJ52" s="8" t="n"/>
      <c r="AK52" s="9" t="n"/>
      <c r="AL52" s="9" t="n"/>
      <c r="AM52" s="9" t="n"/>
      <c r="AN52" s="9" t="n"/>
      <c r="AO52" s="9" t="n"/>
      <c r="AP52" s="9" t="n"/>
      <c r="AQ52" s="9" t="n"/>
      <c r="AR52" s="9" t="n"/>
      <c r="AS52" s="9" t="n"/>
      <c r="AT52" s="8" t="n"/>
      <c r="AU52" s="8" t="n"/>
      <c r="AV52" s="9" t="n"/>
      <c r="AW52" s="8" t="n"/>
      <c r="AX52" s="9" t="n"/>
      <c r="AY52" s="9" t="n"/>
      <c r="AZ52" s="9" t="n"/>
      <c r="BA52" s="9" t="n"/>
      <c r="BB52" s="9" t="n"/>
      <c r="BC52" s="9" t="n"/>
      <c r="BD52" s="9" t="n"/>
      <c r="BE52" s="9" t="n"/>
      <c r="BF52" s="9" t="n"/>
      <c r="BG52" s="9" t="n"/>
      <c r="BH52" s="9" t="n"/>
      <c r="BI52" s="9" t="n"/>
      <c r="BJ52" s="9" t="n"/>
      <c r="BK52" s="9" t="n"/>
      <c r="BL52" s="9" t="n"/>
      <c r="BM52" s="9" t="n"/>
      <c r="BN52" s="9" t="n"/>
      <c r="BO52" s="8" t="n"/>
      <c r="BP52" s="9" t="n"/>
      <c r="BQ52" s="9" t="n"/>
      <c r="BR52" s="12">
        <f>IF(AND(AI52="Y",AK52="Y",AL52="Y",AM52="Y",AY52="Y",AZ52="Y",BA52="Y",BB52="Y",BC52="Y",BE52&lt;&gt;"Y",AX52&lt;&gt;"Y",BL52&lt;&gt;"Y",IF(AS52="Y",AV52="Y",TRUE)),"Y","N")</f>
        <v/>
      </c>
      <c r="BS52" s="12">
        <f>IF(AND(BR52="Y",OR(AND(BJ52="Y",BM52="Y"),AND(BK52="Y",BN52="Y"),AND(BJ52&lt;&gt;"Y",BK52&lt;&gt;"Y",OR(BM52="Y",BN52="Y")))),"Y","N")</f>
        <v/>
      </c>
      <c r="BT52" s="10" t="n"/>
      <c r="BU52" s="13" t="n"/>
      <c r="BV52" s="13" t="n"/>
      <c r="BW52" s="13" t="n"/>
      <c r="BX52" s="13" t="n"/>
      <c r="BY52" s="13" t="n"/>
      <c r="BZ52" s="13" t="n"/>
      <c r="CA52" s="14" t="n"/>
      <c r="CB52" s="13" t="n"/>
      <c r="CC52" s="9" t="n"/>
      <c r="CD52" s="9" t="n"/>
      <c r="CE52" s="9" t="n"/>
      <c r="CF52" s="9" t="n"/>
      <c r="CG52" s="9" t="n"/>
      <c r="CH52" s="9" t="n"/>
    </row>
    <row r="53">
      <c r="A53" s="8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8" t="n"/>
      <c r="L53" s="9" t="n"/>
      <c r="M53" s="8" t="n"/>
      <c r="N53" s="8" t="n"/>
      <c r="O53" s="8" t="n"/>
      <c r="P53" s="8" t="n"/>
      <c r="Q53" s="8" t="n"/>
      <c r="R53" s="9" t="n"/>
      <c r="S53" s="9" t="n"/>
      <c r="T53" s="10" t="n"/>
      <c r="U53" s="10" t="n"/>
      <c r="V53" s="9" t="n"/>
      <c r="W53" s="9" t="n"/>
      <c r="X53" s="9" t="n"/>
      <c r="Y53" s="9" t="n"/>
      <c r="Z53" s="11" t="n"/>
      <c r="AA53" s="11" t="n"/>
      <c r="AB53" s="11" t="n"/>
      <c r="AC53" s="11" t="n"/>
      <c r="AD53" s="11" t="n"/>
      <c r="AE53" s="11" t="n"/>
      <c r="AF53" s="9" t="n"/>
      <c r="AG53" s="9" t="n"/>
      <c r="AH53" s="9" t="n"/>
      <c r="AI53" s="9" t="n"/>
      <c r="AJ53" s="8" t="n"/>
      <c r="AK53" s="9" t="n"/>
      <c r="AL53" s="9" t="n"/>
      <c r="AM53" s="9" t="n"/>
      <c r="AN53" s="9" t="n"/>
      <c r="AO53" s="9" t="n"/>
      <c r="AP53" s="9" t="n"/>
      <c r="AQ53" s="9" t="n"/>
      <c r="AR53" s="9" t="n"/>
      <c r="AS53" s="9" t="n"/>
      <c r="AT53" s="8" t="n"/>
      <c r="AU53" s="8" t="n"/>
      <c r="AV53" s="9" t="n"/>
      <c r="AW53" s="8" t="n"/>
      <c r="AX53" s="9" t="n"/>
      <c r="AY53" s="9" t="n"/>
      <c r="AZ53" s="9" t="n"/>
      <c r="BA53" s="9" t="n"/>
      <c r="BB53" s="9" t="n"/>
      <c r="BC53" s="9" t="n"/>
      <c r="BD53" s="9" t="n"/>
      <c r="BE53" s="9" t="n"/>
      <c r="BF53" s="9" t="n"/>
      <c r="BG53" s="9" t="n"/>
      <c r="BH53" s="9" t="n"/>
      <c r="BI53" s="9" t="n"/>
      <c r="BJ53" s="9" t="n"/>
      <c r="BK53" s="9" t="n"/>
      <c r="BL53" s="9" t="n"/>
      <c r="BM53" s="9" t="n"/>
      <c r="BN53" s="9" t="n"/>
      <c r="BO53" s="8" t="n"/>
      <c r="BP53" s="9" t="n"/>
      <c r="BQ53" s="9" t="n"/>
      <c r="BR53" s="12">
        <f>IF(AND(AI53="Y",AK53="Y",AL53="Y",AM53="Y",AY53="Y",AZ53="Y",BA53="Y",BB53="Y",BC53="Y",BE53&lt;&gt;"Y",AX53&lt;&gt;"Y",BL53&lt;&gt;"Y",IF(AS53="Y",AV53="Y",TRUE)),"Y","N")</f>
        <v/>
      </c>
      <c r="BS53" s="12">
        <f>IF(AND(BR53="Y",OR(AND(BJ53="Y",BM53="Y"),AND(BK53="Y",BN53="Y"),AND(BJ53&lt;&gt;"Y",BK53&lt;&gt;"Y",OR(BM53="Y",BN53="Y")))),"Y","N")</f>
        <v/>
      </c>
      <c r="BT53" s="10" t="n"/>
      <c r="BU53" s="13" t="n"/>
      <c r="BV53" s="13" t="n"/>
      <c r="BW53" s="13" t="n"/>
      <c r="BX53" s="13" t="n"/>
      <c r="BY53" s="13" t="n"/>
      <c r="BZ53" s="13" t="n"/>
      <c r="CA53" s="14" t="n"/>
      <c r="CB53" s="13" t="n"/>
      <c r="CC53" s="9" t="n"/>
      <c r="CD53" s="9" t="n"/>
      <c r="CE53" s="9" t="n"/>
      <c r="CF53" s="9" t="n"/>
      <c r="CG53" s="9" t="n"/>
      <c r="CH53" s="9" t="n"/>
    </row>
    <row r="54">
      <c r="A54" s="8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8" t="n"/>
      <c r="L54" s="9" t="n"/>
      <c r="M54" s="8" t="n"/>
      <c r="N54" s="8" t="n"/>
      <c r="O54" s="8" t="n"/>
      <c r="P54" s="8" t="n"/>
      <c r="Q54" s="8" t="n"/>
      <c r="R54" s="9" t="n"/>
      <c r="S54" s="9" t="n"/>
      <c r="T54" s="10" t="n"/>
      <c r="U54" s="10" t="n"/>
      <c r="V54" s="9" t="n"/>
      <c r="W54" s="9" t="n"/>
      <c r="X54" s="9" t="n"/>
      <c r="Y54" s="9" t="n"/>
      <c r="Z54" s="11" t="n"/>
      <c r="AA54" s="11" t="n"/>
      <c r="AB54" s="11" t="n"/>
      <c r="AC54" s="11" t="n"/>
      <c r="AD54" s="11" t="n"/>
      <c r="AE54" s="11" t="n"/>
      <c r="AF54" s="9" t="n"/>
      <c r="AG54" s="9" t="n"/>
      <c r="AH54" s="9" t="n"/>
      <c r="AI54" s="9" t="n"/>
      <c r="AJ54" s="8" t="n"/>
      <c r="AK54" s="9" t="n"/>
      <c r="AL54" s="9" t="n"/>
      <c r="AM54" s="9" t="n"/>
      <c r="AN54" s="9" t="n"/>
      <c r="AO54" s="9" t="n"/>
      <c r="AP54" s="9" t="n"/>
      <c r="AQ54" s="9" t="n"/>
      <c r="AR54" s="9" t="n"/>
      <c r="AS54" s="9" t="n"/>
      <c r="AT54" s="8" t="n"/>
      <c r="AU54" s="8" t="n"/>
      <c r="AV54" s="9" t="n"/>
      <c r="AW54" s="8" t="n"/>
      <c r="AX54" s="9" t="n"/>
      <c r="AY54" s="9" t="n"/>
      <c r="AZ54" s="9" t="n"/>
      <c r="BA54" s="9" t="n"/>
      <c r="BB54" s="9" t="n"/>
      <c r="BC54" s="9" t="n"/>
      <c r="BD54" s="9" t="n"/>
      <c r="BE54" s="9" t="n"/>
      <c r="BF54" s="9" t="n"/>
      <c r="BG54" s="9" t="n"/>
      <c r="BH54" s="9" t="n"/>
      <c r="BI54" s="9" t="n"/>
      <c r="BJ54" s="9" t="n"/>
      <c r="BK54" s="9" t="n"/>
      <c r="BL54" s="9" t="n"/>
      <c r="BM54" s="9" t="n"/>
      <c r="BN54" s="9" t="n"/>
      <c r="BO54" s="8" t="n"/>
      <c r="BP54" s="9" t="n"/>
      <c r="BQ54" s="9" t="n"/>
      <c r="BR54" s="12">
        <f>IF(AND(AI54="Y",AK54="Y",AL54="Y",AM54="Y",AY54="Y",AZ54="Y",BA54="Y",BB54="Y",BC54="Y",BE54&lt;&gt;"Y",AX54&lt;&gt;"Y",BL54&lt;&gt;"Y",IF(AS54="Y",AV54="Y",TRUE)),"Y","N")</f>
        <v/>
      </c>
      <c r="BS54" s="12">
        <f>IF(AND(BR54="Y",OR(AND(BJ54="Y",BM54="Y"),AND(BK54="Y",BN54="Y"),AND(BJ54&lt;&gt;"Y",BK54&lt;&gt;"Y",OR(BM54="Y",BN54="Y")))),"Y","N")</f>
        <v/>
      </c>
      <c r="BT54" s="10" t="n"/>
      <c r="BU54" s="13" t="n"/>
      <c r="BV54" s="13" t="n"/>
      <c r="BW54" s="13" t="n"/>
      <c r="BX54" s="13" t="n"/>
      <c r="BY54" s="13" t="n"/>
      <c r="BZ54" s="13" t="n"/>
      <c r="CA54" s="14" t="n"/>
      <c r="CB54" s="13" t="n"/>
      <c r="CC54" s="9" t="n"/>
      <c r="CD54" s="9" t="n"/>
      <c r="CE54" s="9" t="n"/>
      <c r="CF54" s="9" t="n"/>
      <c r="CG54" s="9" t="n"/>
      <c r="CH54" s="9" t="n"/>
    </row>
    <row r="55">
      <c r="A55" s="8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8" t="n"/>
      <c r="L55" s="9" t="n"/>
      <c r="M55" s="8" t="n"/>
      <c r="N55" s="8" t="n"/>
      <c r="O55" s="8" t="n"/>
      <c r="P55" s="8" t="n"/>
      <c r="Q55" s="8" t="n"/>
      <c r="R55" s="9" t="n"/>
      <c r="S55" s="9" t="n"/>
      <c r="T55" s="10" t="n"/>
      <c r="U55" s="10" t="n"/>
      <c r="V55" s="9" t="n"/>
      <c r="W55" s="9" t="n"/>
      <c r="X55" s="9" t="n"/>
      <c r="Y55" s="9" t="n"/>
      <c r="Z55" s="11" t="n"/>
      <c r="AA55" s="11" t="n"/>
      <c r="AB55" s="11" t="n"/>
      <c r="AC55" s="11" t="n"/>
      <c r="AD55" s="11" t="n"/>
      <c r="AE55" s="11" t="n"/>
      <c r="AF55" s="9" t="n"/>
      <c r="AG55" s="9" t="n"/>
      <c r="AH55" s="9" t="n"/>
      <c r="AI55" s="9" t="n"/>
      <c r="AJ55" s="8" t="n"/>
      <c r="AK55" s="9" t="n"/>
      <c r="AL55" s="9" t="n"/>
      <c r="AM55" s="9" t="n"/>
      <c r="AN55" s="9" t="n"/>
      <c r="AO55" s="9" t="n"/>
      <c r="AP55" s="9" t="n"/>
      <c r="AQ55" s="9" t="n"/>
      <c r="AR55" s="9" t="n"/>
      <c r="AS55" s="9" t="n"/>
      <c r="AT55" s="8" t="n"/>
      <c r="AU55" s="8" t="n"/>
      <c r="AV55" s="9" t="n"/>
      <c r="AW55" s="8" t="n"/>
      <c r="AX55" s="9" t="n"/>
      <c r="AY55" s="9" t="n"/>
      <c r="AZ55" s="9" t="n"/>
      <c r="BA55" s="9" t="n"/>
      <c r="BB55" s="9" t="n"/>
      <c r="BC55" s="9" t="n"/>
      <c r="BD55" s="9" t="n"/>
      <c r="BE55" s="9" t="n"/>
      <c r="BF55" s="9" t="n"/>
      <c r="BG55" s="9" t="n"/>
      <c r="BH55" s="9" t="n"/>
      <c r="BI55" s="9" t="n"/>
      <c r="BJ55" s="9" t="n"/>
      <c r="BK55" s="9" t="n"/>
      <c r="BL55" s="9" t="n"/>
      <c r="BM55" s="9" t="n"/>
      <c r="BN55" s="9" t="n"/>
      <c r="BO55" s="8" t="n"/>
      <c r="BP55" s="9" t="n"/>
      <c r="BQ55" s="9" t="n"/>
      <c r="BR55" s="12">
        <f>IF(AND(AI55="Y",AK55="Y",AL55="Y",AM55="Y",AY55="Y",AZ55="Y",BA55="Y",BB55="Y",BC55="Y",BE55&lt;&gt;"Y",AX55&lt;&gt;"Y",BL55&lt;&gt;"Y",IF(AS55="Y",AV55="Y",TRUE)),"Y","N")</f>
        <v/>
      </c>
      <c r="BS55" s="12">
        <f>IF(AND(BR55="Y",OR(AND(BJ55="Y",BM55="Y"),AND(BK55="Y",BN55="Y"),AND(BJ55&lt;&gt;"Y",BK55&lt;&gt;"Y",OR(BM55="Y",BN55="Y")))),"Y","N")</f>
        <v/>
      </c>
      <c r="BT55" s="10" t="n"/>
      <c r="BU55" s="13" t="n"/>
      <c r="BV55" s="13" t="n"/>
      <c r="BW55" s="13" t="n"/>
      <c r="BX55" s="13" t="n"/>
      <c r="BY55" s="13" t="n"/>
      <c r="BZ55" s="13" t="n"/>
      <c r="CA55" s="14" t="n"/>
      <c r="CB55" s="13" t="n"/>
      <c r="CC55" s="9" t="n"/>
      <c r="CD55" s="9" t="n"/>
      <c r="CE55" s="9" t="n"/>
      <c r="CF55" s="9" t="n"/>
      <c r="CG55" s="9" t="n"/>
      <c r="CH55" s="9" t="n"/>
    </row>
    <row r="56">
      <c r="A56" s="8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8" t="n"/>
      <c r="L56" s="9" t="n"/>
      <c r="M56" s="8" t="n"/>
      <c r="N56" s="8" t="n"/>
      <c r="O56" s="8" t="n"/>
      <c r="P56" s="8" t="n"/>
      <c r="Q56" s="8" t="n"/>
      <c r="R56" s="9" t="n"/>
      <c r="S56" s="9" t="n"/>
      <c r="T56" s="10" t="n"/>
      <c r="U56" s="10" t="n"/>
      <c r="V56" s="9" t="n"/>
      <c r="W56" s="9" t="n"/>
      <c r="X56" s="9" t="n"/>
      <c r="Y56" s="9" t="n"/>
      <c r="Z56" s="11" t="n"/>
      <c r="AA56" s="11" t="n"/>
      <c r="AB56" s="11" t="n"/>
      <c r="AC56" s="11" t="n"/>
      <c r="AD56" s="11" t="n"/>
      <c r="AE56" s="11" t="n"/>
      <c r="AF56" s="9" t="n"/>
      <c r="AG56" s="9" t="n"/>
      <c r="AH56" s="9" t="n"/>
      <c r="AI56" s="9" t="n"/>
      <c r="AJ56" s="8" t="n"/>
      <c r="AK56" s="9" t="n"/>
      <c r="AL56" s="9" t="n"/>
      <c r="AM56" s="9" t="n"/>
      <c r="AN56" s="9" t="n"/>
      <c r="AO56" s="9" t="n"/>
      <c r="AP56" s="9" t="n"/>
      <c r="AQ56" s="9" t="n"/>
      <c r="AR56" s="9" t="n"/>
      <c r="AS56" s="9" t="n"/>
      <c r="AT56" s="8" t="n"/>
      <c r="AU56" s="8" t="n"/>
      <c r="AV56" s="9" t="n"/>
      <c r="AW56" s="8" t="n"/>
      <c r="AX56" s="9" t="n"/>
      <c r="AY56" s="9" t="n"/>
      <c r="AZ56" s="9" t="n"/>
      <c r="BA56" s="9" t="n"/>
      <c r="BB56" s="9" t="n"/>
      <c r="BC56" s="9" t="n"/>
      <c r="BD56" s="9" t="n"/>
      <c r="BE56" s="9" t="n"/>
      <c r="BF56" s="9" t="n"/>
      <c r="BG56" s="9" t="n"/>
      <c r="BH56" s="9" t="n"/>
      <c r="BI56" s="9" t="n"/>
      <c r="BJ56" s="9" t="n"/>
      <c r="BK56" s="9" t="n"/>
      <c r="BL56" s="9" t="n"/>
      <c r="BM56" s="9" t="n"/>
      <c r="BN56" s="9" t="n"/>
      <c r="BO56" s="8" t="n"/>
      <c r="BP56" s="9" t="n"/>
      <c r="BQ56" s="9" t="n"/>
      <c r="BR56" s="12">
        <f>IF(AND(AI56="Y",AK56="Y",AL56="Y",AM56="Y",AY56="Y",AZ56="Y",BA56="Y",BB56="Y",BC56="Y",BE56&lt;&gt;"Y",AX56&lt;&gt;"Y",BL56&lt;&gt;"Y",IF(AS56="Y",AV56="Y",TRUE)),"Y","N")</f>
        <v/>
      </c>
      <c r="BS56" s="12">
        <f>IF(AND(BR56="Y",OR(AND(BJ56="Y",BM56="Y"),AND(BK56="Y",BN56="Y"),AND(BJ56&lt;&gt;"Y",BK56&lt;&gt;"Y",OR(BM56="Y",BN56="Y")))),"Y","N")</f>
        <v/>
      </c>
      <c r="BT56" s="10" t="n"/>
      <c r="BU56" s="13" t="n"/>
      <c r="BV56" s="13" t="n"/>
      <c r="BW56" s="13" t="n"/>
      <c r="BX56" s="13" t="n"/>
      <c r="BY56" s="13" t="n"/>
      <c r="BZ56" s="13" t="n"/>
      <c r="CA56" s="14" t="n"/>
      <c r="CB56" s="13" t="n"/>
      <c r="CC56" s="9" t="n"/>
      <c r="CD56" s="9" t="n"/>
      <c r="CE56" s="9" t="n"/>
      <c r="CF56" s="9" t="n"/>
      <c r="CG56" s="9" t="n"/>
      <c r="CH56" s="9" t="n"/>
    </row>
    <row r="57">
      <c r="A57" s="8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8" t="n"/>
      <c r="L57" s="9" t="n"/>
      <c r="M57" s="8" t="n"/>
      <c r="N57" s="8" t="n"/>
      <c r="O57" s="8" t="n"/>
      <c r="P57" s="8" t="n"/>
      <c r="Q57" s="8" t="n"/>
      <c r="R57" s="9" t="n"/>
      <c r="S57" s="9" t="n"/>
      <c r="T57" s="10" t="n"/>
      <c r="U57" s="10" t="n"/>
      <c r="V57" s="9" t="n"/>
      <c r="W57" s="9" t="n"/>
      <c r="X57" s="9" t="n"/>
      <c r="Y57" s="9" t="n"/>
      <c r="Z57" s="11" t="n"/>
      <c r="AA57" s="11" t="n"/>
      <c r="AB57" s="11" t="n"/>
      <c r="AC57" s="11" t="n"/>
      <c r="AD57" s="11" t="n"/>
      <c r="AE57" s="11" t="n"/>
      <c r="AF57" s="9" t="n"/>
      <c r="AG57" s="9" t="n"/>
      <c r="AH57" s="9" t="n"/>
      <c r="AI57" s="9" t="n"/>
      <c r="AJ57" s="8" t="n"/>
      <c r="AK57" s="9" t="n"/>
      <c r="AL57" s="9" t="n"/>
      <c r="AM57" s="9" t="n"/>
      <c r="AN57" s="9" t="n"/>
      <c r="AO57" s="9" t="n"/>
      <c r="AP57" s="9" t="n"/>
      <c r="AQ57" s="9" t="n"/>
      <c r="AR57" s="9" t="n"/>
      <c r="AS57" s="9" t="n"/>
      <c r="AT57" s="8" t="n"/>
      <c r="AU57" s="8" t="n"/>
      <c r="AV57" s="9" t="n"/>
      <c r="AW57" s="8" t="n"/>
      <c r="AX57" s="9" t="n"/>
      <c r="AY57" s="9" t="n"/>
      <c r="AZ57" s="9" t="n"/>
      <c r="BA57" s="9" t="n"/>
      <c r="BB57" s="9" t="n"/>
      <c r="BC57" s="9" t="n"/>
      <c r="BD57" s="9" t="n"/>
      <c r="BE57" s="9" t="n"/>
      <c r="BF57" s="9" t="n"/>
      <c r="BG57" s="9" t="n"/>
      <c r="BH57" s="9" t="n"/>
      <c r="BI57" s="9" t="n"/>
      <c r="BJ57" s="9" t="n"/>
      <c r="BK57" s="9" t="n"/>
      <c r="BL57" s="9" t="n"/>
      <c r="BM57" s="9" t="n"/>
      <c r="BN57" s="9" t="n"/>
      <c r="BO57" s="8" t="n"/>
      <c r="BP57" s="9" t="n"/>
      <c r="BQ57" s="9" t="n"/>
      <c r="BR57" s="12">
        <f>IF(AND(AI57="Y",AK57="Y",AL57="Y",AM57="Y",AY57="Y",AZ57="Y",BA57="Y",BB57="Y",BC57="Y",BE57&lt;&gt;"Y",AX57&lt;&gt;"Y",BL57&lt;&gt;"Y",IF(AS57="Y",AV57="Y",TRUE)),"Y","N")</f>
        <v/>
      </c>
      <c r="BS57" s="12">
        <f>IF(AND(BR57="Y",OR(AND(BJ57="Y",BM57="Y"),AND(BK57="Y",BN57="Y"),AND(BJ57&lt;&gt;"Y",BK57&lt;&gt;"Y",OR(BM57="Y",BN57="Y")))),"Y","N")</f>
        <v/>
      </c>
      <c r="BT57" s="10" t="n"/>
      <c r="BU57" s="13" t="n"/>
      <c r="BV57" s="13" t="n"/>
      <c r="BW57" s="13" t="n"/>
      <c r="BX57" s="13" t="n"/>
      <c r="BY57" s="13" t="n"/>
      <c r="BZ57" s="13" t="n"/>
      <c r="CA57" s="14" t="n"/>
      <c r="CB57" s="13" t="n"/>
      <c r="CC57" s="9" t="n"/>
      <c r="CD57" s="9" t="n"/>
      <c r="CE57" s="9" t="n"/>
      <c r="CF57" s="9" t="n"/>
      <c r="CG57" s="9" t="n"/>
      <c r="CH57" s="9" t="n"/>
    </row>
    <row r="58">
      <c r="A58" s="8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8" t="n"/>
      <c r="L58" s="9" t="n"/>
      <c r="M58" s="8" t="n"/>
      <c r="N58" s="8" t="n"/>
      <c r="O58" s="8" t="n"/>
      <c r="P58" s="8" t="n"/>
      <c r="Q58" s="8" t="n"/>
      <c r="R58" s="9" t="n"/>
      <c r="S58" s="9" t="n"/>
      <c r="T58" s="10" t="n"/>
      <c r="U58" s="10" t="n"/>
      <c r="V58" s="9" t="n"/>
      <c r="W58" s="9" t="n"/>
      <c r="X58" s="9" t="n"/>
      <c r="Y58" s="9" t="n"/>
      <c r="Z58" s="11" t="n"/>
      <c r="AA58" s="11" t="n"/>
      <c r="AB58" s="11" t="n"/>
      <c r="AC58" s="11" t="n"/>
      <c r="AD58" s="11" t="n"/>
      <c r="AE58" s="11" t="n"/>
      <c r="AF58" s="9" t="n"/>
      <c r="AG58" s="9" t="n"/>
      <c r="AH58" s="9" t="n"/>
      <c r="AI58" s="9" t="n"/>
      <c r="AJ58" s="8" t="n"/>
      <c r="AK58" s="9" t="n"/>
      <c r="AL58" s="9" t="n"/>
      <c r="AM58" s="9" t="n"/>
      <c r="AN58" s="9" t="n"/>
      <c r="AO58" s="9" t="n"/>
      <c r="AP58" s="9" t="n"/>
      <c r="AQ58" s="9" t="n"/>
      <c r="AR58" s="9" t="n"/>
      <c r="AS58" s="9" t="n"/>
      <c r="AT58" s="8" t="n"/>
      <c r="AU58" s="8" t="n"/>
      <c r="AV58" s="9" t="n"/>
      <c r="AW58" s="8" t="n"/>
      <c r="AX58" s="9" t="n"/>
      <c r="AY58" s="9" t="n"/>
      <c r="AZ58" s="9" t="n"/>
      <c r="BA58" s="9" t="n"/>
      <c r="BB58" s="9" t="n"/>
      <c r="BC58" s="9" t="n"/>
      <c r="BD58" s="9" t="n"/>
      <c r="BE58" s="9" t="n"/>
      <c r="BF58" s="9" t="n"/>
      <c r="BG58" s="9" t="n"/>
      <c r="BH58" s="9" t="n"/>
      <c r="BI58" s="9" t="n"/>
      <c r="BJ58" s="9" t="n"/>
      <c r="BK58" s="9" t="n"/>
      <c r="BL58" s="9" t="n"/>
      <c r="BM58" s="9" t="n"/>
      <c r="BN58" s="9" t="n"/>
      <c r="BO58" s="8" t="n"/>
      <c r="BP58" s="9" t="n"/>
      <c r="BQ58" s="9" t="n"/>
      <c r="BR58" s="12">
        <f>IF(AND(AI58="Y",AK58="Y",AL58="Y",AM58="Y",AY58="Y",AZ58="Y",BA58="Y",BB58="Y",BC58="Y",BE58&lt;&gt;"Y",AX58&lt;&gt;"Y",BL58&lt;&gt;"Y",IF(AS58="Y",AV58="Y",TRUE)),"Y","N")</f>
        <v/>
      </c>
      <c r="BS58" s="12">
        <f>IF(AND(BR58="Y",OR(AND(BJ58="Y",BM58="Y"),AND(BK58="Y",BN58="Y"),AND(BJ58&lt;&gt;"Y",BK58&lt;&gt;"Y",OR(BM58="Y",BN58="Y")))),"Y","N")</f>
        <v/>
      </c>
      <c r="BT58" s="10" t="n"/>
      <c r="BU58" s="13" t="n"/>
      <c r="BV58" s="13" t="n"/>
      <c r="BW58" s="13" t="n"/>
      <c r="BX58" s="13" t="n"/>
      <c r="BY58" s="13" t="n"/>
      <c r="BZ58" s="13" t="n"/>
      <c r="CA58" s="14" t="n"/>
      <c r="CB58" s="13" t="n"/>
      <c r="CC58" s="9" t="n"/>
      <c r="CD58" s="9" t="n"/>
      <c r="CE58" s="9" t="n"/>
      <c r="CF58" s="9" t="n"/>
      <c r="CG58" s="9" t="n"/>
      <c r="CH58" s="9" t="n"/>
    </row>
    <row r="59">
      <c r="A59" s="8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8" t="n"/>
      <c r="L59" s="9" t="n"/>
      <c r="M59" s="8" t="n"/>
      <c r="N59" s="8" t="n"/>
      <c r="O59" s="8" t="n"/>
      <c r="P59" s="8" t="n"/>
      <c r="Q59" s="8" t="n"/>
      <c r="R59" s="9" t="n"/>
      <c r="S59" s="9" t="n"/>
      <c r="T59" s="10" t="n"/>
      <c r="U59" s="10" t="n"/>
      <c r="V59" s="9" t="n"/>
      <c r="W59" s="9" t="n"/>
      <c r="X59" s="9" t="n"/>
      <c r="Y59" s="9" t="n"/>
      <c r="Z59" s="11" t="n"/>
      <c r="AA59" s="11" t="n"/>
      <c r="AB59" s="11" t="n"/>
      <c r="AC59" s="11" t="n"/>
      <c r="AD59" s="11" t="n"/>
      <c r="AE59" s="11" t="n"/>
      <c r="AF59" s="9" t="n"/>
      <c r="AG59" s="9" t="n"/>
      <c r="AH59" s="9" t="n"/>
      <c r="AI59" s="9" t="n"/>
      <c r="AJ59" s="8" t="n"/>
      <c r="AK59" s="9" t="n"/>
      <c r="AL59" s="9" t="n"/>
      <c r="AM59" s="9" t="n"/>
      <c r="AN59" s="9" t="n"/>
      <c r="AO59" s="9" t="n"/>
      <c r="AP59" s="9" t="n"/>
      <c r="AQ59" s="9" t="n"/>
      <c r="AR59" s="9" t="n"/>
      <c r="AS59" s="9" t="n"/>
      <c r="AT59" s="8" t="n"/>
      <c r="AU59" s="8" t="n"/>
      <c r="AV59" s="9" t="n"/>
      <c r="AW59" s="8" t="n"/>
      <c r="AX59" s="9" t="n"/>
      <c r="AY59" s="9" t="n"/>
      <c r="AZ59" s="9" t="n"/>
      <c r="BA59" s="9" t="n"/>
      <c r="BB59" s="9" t="n"/>
      <c r="BC59" s="9" t="n"/>
      <c r="BD59" s="9" t="n"/>
      <c r="BE59" s="9" t="n"/>
      <c r="BF59" s="9" t="n"/>
      <c r="BG59" s="9" t="n"/>
      <c r="BH59" s="9" t="n"/>
      <c r="BI59" s="9" t="n"/>
      <c r="BJ59" s="9" t="n"/>
      <c r="BK59" s="9" t="n"/>
      <c r="BL59" s="9" t="n"/>
      <c r="BM59" s="9" t="n"/>
      <c r="BN59" s="9" t="n"/>
      <c r="BO59" s="8" t="n"/>
      <c r="BP59" s="9" t="n"/>
      <c r="BQ59" s="9" t="n"/>
      <c r="BR59" s="12">
        <f>IF(AND(AI59="Y",AK59="Y",AL59="Y",AM59="Y",AY59="Y",AZ59="Y",BA59="Y",BB59="Y",BC59="Y",BE59&lt;&gt;"Y",AX59&lt;&gt;"Y",BL59&lt;&gt;"Y",IF(AS59="Y",AV59="Y",TRUE)),"Y","N")</f>
        <v/>
      </c>
      <c r="BS59" s="12">
        <f>IF(AND(BR59="Y",OR(AND(BJ59="Y",BM59="Y"),AND(BK59="Y",BN59="Y"),AND(BJ59&lt;&gt;"Y",BK59&lt;&gt;"Y",OR(BM59="Y",BN59="Y")))),"Y","N")</f>
        <v/>
      </c>
      <c r="BT59" s="10" t="n"/>
      <c r="BU59" s="13" t="n"/>
      <c r="BV59" s="13" t="n"/>
      <c r="BW59" s="13" t="n"/>
      <c r="BX59" s="13" t="n"/>
      <c r="BY59" s="13" t="n"/>
      <c r="BZ59" s="13" t="n"/>
      <c r="CA59" s="14" t="n"/>
      <c r="CB59" s="13" t="n"/>
      <c r="CC59" s="9" t="n"/>
      <c r="CD59" s="9" t="n"/>
      <c r="CE59" s="9" t="n"/>
      <c r="CF59" s="9" t="n"/>
      <c r="CG59" s="9" t="n"/>
      <c r="CH59" s="9" t="n"/>
    </row>
    <row r="60">
      <c r="A60" s="8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8" t="n"/>
      <c r="L60" s="9" t="n"/>
      <c r="M60" s="8" t="n"/>
      <c r="N60" s="8" t="n"/>
      <c r="O60" s="8" t="n"/>
      <c r="P60" s="8" t="n"/>
      <c r="Q60" s="8" t="n"/>
      <c r="R60" s="9" t="n"/>
      <c r="S60" s="9" t="n"/>
      <c r="T60" s="10" t="n"/>
      <c r="U60" s="10" t="n"/>
      <c r="V60" s="9" t="n"/>
      <c r="W60" s="9" t="n"/>
      <c r="X60" s="9" t="n"/>
      <c r="Y60" s="9" t="n"/>
      <c r="Z60" s="11" t="n"/>
      <c r="AA60" s="11" t="n"/>
      <c r="AB60" s="11" t="n"/>
      <c r="AC60" s="11" t="n"/>
      <c r="AD60" s="11" t="n"/>
      <c r="AE60" s="11" t="n"/>
      <c r="AF60" s="9" t="n"/>
      <c r="AG60" s="9" t="n"/>
      <c r="AH60" s="9" t="n"/>
      <c r="AI60" s="9" t="n"/>
      <c r="AJ60" s="8" t="n"/>
      <c r="AK60" s="9" t="n"/>
      <c r="AL60" s="9" t="n"/>
      <c r="AM60" s="9" t="n"/>
      <c r="AN60" s="9" t="n"/>
      <c r="AO60" s="9" t="n"/>
      <c r="AP60" s="9" t="n"/>
      <c r="AQ60" s="9" t="n"/>
      <c r="AR60" s="9" t="n"/>
      <c r="AS60" s="9" t="n"/>
      <c r="AT60" s="8" t="n"/>
      <c r="AU60" s="8" t="n"/>
      <c r="AV60" s="9" t="n"/>
      <c r="AW60" s="8" t="n"/>
      <c r="AX60" s="9" t="n"/>
      <c r="AY60" s="9" t="n"/>
      <c r="AZ60" s="9" t="n"/>
      <c r="BA60" s="9" t="n"/>
      <c r="BB60" s="9" t="n"/>
      <c r="BC60" s="9" t="n"/>
      <c r="BD60" s="9" t="n"/>
      <c r="BE60" s="9" t="n"/>
      <c r="BF60" s="9" t="n"/>
      <c r="BG60" s="9" t="n"/>
      <c r="BH60" s="9" t="n"/>
      <c r="BI60" s="9" t="n"/>
      <c r="BJ60" s="9" t="n"/>
      <c r="BK60" s="9" t="n"/>
      <c r="BL60" s="9" t="n"/>
      <c r="BM60" s="9" t="n"/>
      <c r="BN60" s="9" t="n"/>
      <c r="BO60" s="8" t="n"/>
      <c r="BP60" s="9" t="n"/>
      <c r="BQ60" s="9" t="n"/>
      <c r="BR60" s="12">
        <f>IF(AND(AI60="Y",AK60="Y",AL60="Y",AM60="Y",AY60="Y",AZ60="Y",BA60="Y",BB60="Y",BC60="Y",BE60&lt;&gt;"Y",AX60&lt;&gt;"Y",BL60&lt;&gt;"Y",IF(AS60="Y",AV60="Y",TRUE)),"Y","N")</f>
        <v/>
      </c>
      <c r="BS60" s="12">
        <f>IF(AND(BR60="Y",OR(AND(BJ60="Y",BM60="Y"),AND(BK60="Y",BN60="Y"),AND(BJ60&lt;&gt;"Y",BK60&lt;&gt;"Y",OR(BM60="Y",BN60="Y")))),"Y","N")</f>
        <v/>
      </c>
      <c r="BT60" s="10" t="n"/>
      <c r="BU60" s="13" t="n"/>
      <c r="BV60" s="13" t="n"/>
      <c r="BW60" s="13" t="n"/>
      <c r="BX60" s="13" t="n"/>
      <c r="BY60" s="13" t="n"/>
      <c r="BZ60" s="13" t="n"/>
      <c r="CA60" s="14" t="n"/>
      <c r="CB60" s="13" t="n"/>
      <c r="CC60" s="9" t="n"/>
      <c r="CD60" s="9" t="n"/>
      <c r="CE60" s="9" t="n"/>
      <c r="CF60" s="9" t="n"/>
      <c r="CG60" s="9" t="n"/>
      <c r="CH60" s="9" t="n"/>
    </row>
    <row r="61">
      <c r="A61" s="8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8" t="n"/>
      <c r="L61" s="9" t="n"/>
      <c r="M61" s="8" t="n"/>
      <c r="N61" s="8" t="n"/>
      <c r="O61" s="8" t="n"/>
      <c r="P61" s="8" t="n"/>
      <c r="Q61" s="8" t="n"/>
      <c r="R61" s="9" t="n"/>
      <c r="S61" s="9" t="n"/>
      <c r="T61" s="10" t="n"/>
      <c r="U61" s="10" t="n"/>
      <c r="V61" s="9" t="n"/>
      <c r="W61" s="9" t="n"/>
      <c r="X61" s="9" t="n"/>
      <c r="Y61" s="9" t="n"/>
      <c r="Z61" s="11" t="n"/>
      <c r="AA61" s="11" t="n"/>
      <c r="AB61" s="11" t="n"/>
      <c r="AC61" s="11" t="n"/>
      <c r="AD61" s="11" t="n"/>
      <c r="AE61" s="11" t="n"/>
      <c r="AF61" s="9" t="n"/>
      <c r="AG61" s="9" t="n"/>
      <c r="AH61" s="9" t="n"/>
      <c r="AI61" s="9" t="n"/>
      <c r="AJ61" s="8" t="n"/>
      <c r="AK61" s="9" t="n"/>
      <c r="AL61" s="9" t="n"/>
      <c r="AM61" s="9" t="n"/>
      <c r="AN61" s="9" t="n"/>
      <c r="AO61" s="9" t="n"/>
      <c r="AP61" s="9" t="n"/>
      <c r="AQ61" s="9" t="n"/>
      <c r="AR61" s="9" t="n"/>
      <c r="AS61" s="9" t="n"/>
      <c r="AT61" s="8" t="n"/>
      <c r="AU61" s="8" t="n"/>
      <c r="AV61" s="9" t="n"/>
      <c r="AW61" s="8" t="n"/>
      <c r="AX61" s="9" t="n"/>
      <c r="AY61" s="9" t="n"/>
      <c r="AZ61" s="9" t="n"/>
      <c r="BA61" s="9" t="n"/>
      <c r="BB61" s="9" t="n"/>
      <c r="BC61" s="9" t="n"/>
      <c r="BD61" s="9" t="n"/>
      <c r="BE61" s="9" t="n"/>
      <c r="BF61" s="9" t="n"/>
      <c r="BG61" s="9" t="n"/>
      <c r="BH61" s="9" t="n"/>
      <c r="BI61" s="9" t="n"/>
      <c r="BJ61" s="9" t="n"/>
      <c r="BK61" s="9" t="n"/>
      <c r="BL61" s="9" t="n"/>
      <c r="BM61" s="9" t="n"/>
      <c r="BN61" s="9" t="n"/>
      <c r="BO61" s="8" t="n"/>
      <c r="BP61" s="9" t="n"/>
      <c r="BQ61" s="9" t="n"/>
      <c r="BR61" s="12">
        <f>IF(AND(AI61="Y",AK61="Y",AL61="Y",AM61="Y",AY61="Y",AZ61="Y",BA61="Y",BB61="Y",BC61="Y",BE61&lt;&gt;"Y",AX61&lt;&gt;"Y",BL61&lt;&gt;"Y",IF(AS61="Y",AV61="Y",TRUE)),"Y","N")</f>
        <v/>
      </c>
      <c r="BS61" s="12">
        <f>IF(AND(BR61="Y",OR(AND(BJ61="Y",BM61="Y"),AND(BK61="Y",BN61="Y"),AND(BJ61&lt;&gt;"Y",BK61&lt;&gt;"Y",OR(BM61="Y",BN61="Y")))),"Y","N")</f>
        <v/>
      </c>
      <c r="BT61" s="10" t="n"/>
      <c r="BU61" s="13" t="n"/>
      <c r="BV61" s="13" t="n"/>
      <c r="BW61" s="13" t="n"/>
      <c r="BX61" s="13" t="n"/>
      <c r="BY61" s="13" t="n"/>
      <c r="BZ61" s="13" t="n"/>
      <c r="CA61" s="14" t="n"/>
      <c r="CB61" s="13" t="n"/>
      <c r="CC61" s="9" t="n"/>
      <c r="CD61" s="9" t="n"/>
      <c r="CE61" s="9" t="n"/>
      <c r="CF61" s="9" t="n"/>
      <c r="CG61" s="9" t="n"/>
      <c r="CH61" s="9" t="n"/>
    </row>
    <row r="62">
      <c r="A62" s="8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8" t="n"/>
      <c r="L62" s="9" t="n"/>
      <c r="M62" s="8" t="n"/>
      <c r="N62" s="8" t="n"/>
      <c r="O62" s="8" t="n"/>
      <c r="P62" s="8" t="n"/>
      <c r="Q62" s="8" t="n"/>
      <c r="R62" s="9" t="n"/>
      <c r="S62" s="9" t="n"/>
      <c r="T62" s="10" t="n"/>
      <c r="U62" s="10" t="n"/>
      <c r="V62" s="9" t="n"/>
      <c r="W62" s="9" t="n"/>
      <c r="X62" s="9" t="n"/>
      <c r="Y62" s="9" t="n"/>
      <c r="Z62" s="11" t="n"/>
      <c r="AA62" s="11" t="n"/>
      <c r="AB62" s="11" t="n"/>
      <c r="AC62" s="11" t="n"/>
      <c r="AD62" s="11" t="n"/>
      <c r="AE62" s="11" t="n"/>
      <c r="AF62" s="9" t="n"/>
      <c r="AG62" s="9" t="n"/>
      <c r="AH62" s="9" t="n"/>
      <c r="AI62" s="9" t="n"/>
      <c r="AJ62" s="8" t="n"/>
      <c r="AK62" s="9" t="n"/>
      <c r="AL62" s="9" t="n"/>
      <c r="AM62" s="9" t="n"/>
      <c r="AN62" s="9" t="n"/>
      <c r="AO62" s="9" t="n"/>
      <c r="AP62" s="9" t="n"/>
      <c r="AQ62" s="9" t="n"/>
      <c r="AR62" s="9" t="n"/>
      <c r="AS62" s="9" t="n"/>
      <c r="AT62" s="8" t="n"/>
      <c r="AU62" s="8" t="n"/>
      <c r="AV62" s="9" t="n"/>
      <c r="AW62" s="8" t="n"/>
      <c r="AX62" s="9" t="n"/>
      <c r="AY62" s="9" t="n"/>
      <c r="AZ62" s="9" t="n"/>
      <c r="BA62" s="9" t="n"/>
      <c r="BB62" s="9" t="n"/>
      <c r="BC62" s="9" t="n"/>
      <c r="BD62" s="9" t="n"/>
      <c r="BE62" s="9" t="n"/>
      <c r="BF62" s="9" t="n"/>
      <c r="BG62" s="9" t="n"/>
      <c r="BH62" s="9" t="n"/>
      <c r="BI62" s="9" t="n"/>
      <c r="BJ62" s="9" t="n"/>
      <c r="BK62" s="9" t="n"/>
      <c r="BL62" s="9" t="n"/>
      <c r="BM62" s="9" t="n"/>
      <c r="BN62" s="9" t="n"/>
      <c r="BO62" s="8" t="n"/>
      <c r="BP62" s="9" t="n"/>
      <c r="BQ62" s="9" t="n"/>
      <c r="BR62" s="12">
        <f>IF(AND(AI62="Y",AK62="Y",AL62="Y",AM62="Y",AY62="Y",AZ62="Y",BA62="Y",BB62="Y",BC62="Y",BE62&lt;&gt;"Y",AX62&lt;&gt;"Y",BL62&lt;&gt;"Y",IF(AS62="Y",AV62="Y",TRUE)),"Y","N")</f>
        <v/>
      </c>
      <c r="BS62" s="12">
        <f>IF(AND(BR62="Y",OR(AND(BJ62="Y",BM62="Y"),AND(BK62="Y",BN62="Y"),AND(BJ62&lt;&gt;"Y",BK62&lt;&gt;"Y",OR(BM62="Y",BN62="Y")))),"Y","N")</f>
        <v/>
      </c>
      <c r="BT62" s="10" t="n"/>
      <c r="BU62" s="13" t="n"/>
      <c r="BV62" s="13" t="n"/>
      <c r="BW62" s="13" t="n"/>
      <c r="BX62" s="13" t="n"/>
      <c r="BY62" s="13" t="n"/>
      <c r="BZ62" s="13" t="n"/>
      <c r="CA62" s="14" t="n"/>
      <c r="CB62" s="13" t="n"/>
      <c r="CC62" s="9" t="n"/>
      <c r="CD62" s="9" t="n"/>
      <c r="CE62" s="9" t="n"/>
      <c r="CF62" s="9" t="n"/>
      <c r="CG62" s="9" t="n"/>
      <c r="CH62" s="9" t="n"/>
    </row>
    <row r="63">
      <c r="A63" s="8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8" t="n"/>
      <c r="L63" s="9" t="n"/>
      <c r="M63" s="8" t="n"/>
      <c r="N63" s="8" t="n"/>
      <c r="O63" s="8" t="n"/>
      <c r="P63" s="8" t="n"/>
      <c r="Q63" s="8" t="n"/>
      <c r="R63" s="9" t="n"/>
      <c r="S63" s="9" t="n"/>
      <c r="T63" s="10" t="n"/>
      <c r="U63" s="10" t="n"/>
      <c r="V63" s="9" t="n"/>
      <c r="W63" s="9" t="n"/>
      <c r="X63" s="9" t="n"/>
      <c r="Y63" s="9" t="n"/>
      <c r="Z63" s="11" t="n"/>
      <c r="AA63" s="11" t="n"/>
      <c r="AB63" s="11" t="n"/>
      <c r="AC63" s="11" t="n"/>
      <c r="AD63" s="11" t="n"/>
      <c r="AE63" s="11" t="n"/>
      <c r="AF63" s="9" t="n"/>
      <c r="AG63" s="9" t="n"/>
      <c r="AH63" s="9" t="n"/>
      <c r="AI63" s="9" t="n"/>
      <c r="AJ63" s="8" t="n"/>
      <c r="AK63" s="9" t="n"/>
      <c r="AL63" s="9" t="n"/>
      <c r="AM63" s="9" t="n"/>
      <c r="AN63" s="9" t="n"/>
      <c r="AO63" s="9" t="n"/>
      <c r="AP63" s="9" t="n"/>
      <c r="AQ63" s="9" t="n"/>
      <c r="AR63" s="9" t="n"/>
      <c r="AS63" s="9" t="n"/>
      <c r="AT63" s="8" t="n"/>
      <c r="AU63" s="8" t="n"/>
      <c r="AV63" s="9" t="n"/>
      <c r="AW63" s="8" t="n"/>
      <c r="AX63" s="9" t="n"/>
      <c r="AY63" s="9" t="n"/>
      <c r="AZ63" s="9" t="n"/>
      <c r="BA63" s="9" t="n"/>
      <c r="BB63" s="9" t="n"/>
      <c r="BC63" s="9" t="n"/>
      <c r="BD63" s="9" t="n"/>
      <c r="BE63" s="9" t="n"/>
      <c r="BF63" s="9" t="n"/>
      <c r="BG63" s="9" t="n"/>
      <c r="BH63" s="9" t="n"/>
      <c r="BI63" s="9" t="n"/>
      <c r="BJ63" s="9" t="n"/>
      <c r="BK63" s="9" t="n"/>
      <c r="BL63" s="9" t="n"/>
      <c r="BM63" s="9" t="n"/>
      <c r="BN63" s="9" t="n"/>
      <c r="BO63" s="8" t="n"/>
      <c r="BP63" s="9" t="n"/>
      <c r="BQ63" s="9" t="n"/>
      <c r="BR63" s="12">
        <f>IF(AND(AI63="Y",AK63="Y",AL63="Y",AM63="Y",AY63="Y",AZ63="Y",BA63="Y",BB63="Y",BC63="Y",BE63&lt;&gt;"Y",AX63&lt;&gt;"Y",BL63&lt;&gt;"Y",IF(AS63="Y",AV63="Y",TRUE)),"Y","N")</f>
        <v/>
      </c>
      <c r="BS63" s="12">
        <f>IF(AND(BR63="Y",OR(AND(BJ63="Y",BM63="Y"),AND(BK63="Y",BN63="Y"),AND(BJ63&lt;&gt;"Y",BK63&lt;&gt;"Y",OR(BM63="Y",BN63="Y")))),"Y","N")</f>
        <v/>
      </c>
      <c r="BT63" s="10" t="n"/>
      <c r="BU63" s="13" t="n"/>
      <c r="BV63" s="13" t="n"/>
      <c r="BW63" s="13" t="n"/>
      <c r="BX63" s="13" t="n"/>
      <c r="BY63" s="13" t="n"/>
      <c r="BZ63" s="13" t="n"/>
      <c r="CA63" s="14" t="n"/>
      <c r="CB63" s="13" t="n"/>
      <c r="CC63" s="9" t="n"/>
      <c r="CD63" s="9" t="n"/>
      <c r="CE63" s="9" t="n"/>
      <c r="CF63" s="9" t="n"/>
      <c r="CG63" s="9" t="n"/>
      <c r="CH63" s="9" t="n"/>
    </row>
    <row r="64">
      <c r="A64" s="8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8" t="n"/>
      <c r="L64" s="9" t="n"/>
      <c r="M64" s="8" t="n"/>
      <c r="N64" s="8" t="n"/>
      <c r="O64" s="8" t="n"/>
      <c r="P64" s="8" t="n"/>
      <c r="Q64" s="8" t="n"/>
      <c r="R64" s="9" t="n"/>
      <c r="S64" s="9" t="n"/>
      <c r="T64" s="10" t="n"/>
      <c r="U64" s="10" t="n"/>
      <c r="V64" s="9" t="n"/>
      <c r="W64" s="9" t="n"/>
      <c r="X64" s="9" t="n"/>
      <c r="Y64" s="9" t="n"/>
      <c r="Z64" s="11" t="n"/>
      <c r="AA64" s="11" t="n"/>
      <c r="AB64" s="11" t="n"/>
      <c r="AC64" s="11" t="n"/>
      <c r="AD64" s="11" t="n"/>
      <c r="AE64" s="11" t="n"/>
      <c r="AF64" s="9" t="n"/>
      <c r="AG64" s="9" t="n"/>
      <c r="AH64" s="9" t="n"/>
      <c r="AI64" s="9" t="n"/>
      <c r="AJ64" s="8" t="n"/>
      <c r="AK64" s="9" t="n"/>
      <c r="AL64" s="9" t="n"/>
      <c r="AM64" s="9" t="n"/>
      <c r="AN64" s="9" t="n"/>
      <c r="AO64" s="9" t="n"/>
      <c r="AP64" s="9" t="n"/>
      <c r="AQ64" s="9" t="n"/>
      <c r="AR64" s="9" t="n"/>
      <c r="AS64" s="9" t="n"/>
      <c r="AT64" s="8" t="n"/>
      <c r="AU64" s="8" t="n"/>
      <c r="AV64" s="9" t="n"/>
      <c r="AW64" s="8" t="n"/>
      <c r="AX64" s="9" t="n"/>
      <c r="AY64" s="9" t="n"/>
      <c r="AZ64" s="9" t="n"/>
      <c r="BA64" s="9" t="n"/>
      <c r="BB64" s="9" t="n"/>
      <c r="BC64" s="9" t="n"/>
      <c r="BD64" s="9" t="n"/>
      <c r="BE64" s="9" t="n"/>
      <c r="BF64" s="9" t="n"/>
      <c r="BG64" s="9" t="n"/>
      <c r="BH64" s="9" t="n"/>
      <c r="BI64" s="9" t="n"/>
      <c r="BJ64" s="9" t="n"/>
      <c r="BK64" s="9" t="n"/>
      <c r="BL64" s="9" t="n"/>
      <c r="BM64" s="9" t="n"/>
      <c r="BN64" s="9" t="n"/>
      <c r="BO64" s="8" t="n"/>
      <c r="BP64" s="9" t="n"/>
      <c r="BQ64" s="9" t="n"/>
      <c r="BR64" s="12">
        <f>IF(AND(AI64="Y",AK64="Y",AL64="Y",AM64="Y",AY64="Y",AZ64="Y",BA64="Y",BB64="Y",BC64="Y",BE64&lt;&gt;"Y",AX64&lt;&gt;"Y",BL64&lt;&gt;"Y",IF(AS64="Y",AV64="Y",TRUE)),"Y","N")</f>
        <v/>
      </c>
      <c r="BS64" s="12">
        <f>IF(AND(BR64="Y",OR(AND(BJ64="Y",BM64="Y"),AND(BK64="Y",BN64="Y"),AND(BJ64&lt;&gt;"Y",BK64&lt;&gt;"Y",OR(BM64="Y",BN64="Y")))),"Y","N")</f>
        <v/>
      </c>
      <c r="BT64" s="10" t="n"/>
      <c r="BU64" s="13" t="n"/>
      <c r="BV64" s="13" t="n"/>
      <c r="BW64" s="13" t="n"/>
      <c r="BX64" s="13" t="n"/>
      <c r="BY64" s="13" t="n"/>
      <c r="BZ64" s="13" t="n"/>
      <c r="CA64" s="14" t="n"/>
      <c r="CB64" s="13" t="n"/>
      <c r="CC64" s="9" t="n"/>
      <c r="CD64" s="9" t="n"/>
      <c r="CE64" s="9" t="n"/>
      <c r="CF64" s="9" t="n"/>
      <c r="CG64" s="9" t="n"/>
      <c r="CH64" s="9" t="n"/>
    </row>
    <row r="65">
      <c r="A65" s="8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8" t="n"/>
      <c r="L65" s="9" t="n"/>
      <c r="M65" s="8" t="n"/>
      <c r="N65" s="8" t="n"/>
      <c r="O65" s="8" t="n"/>
      <c r="P65" s="8" t="n"/>
      <c r="Q65" s="8" t="n"/>
      <c r="R65" s="9" t="n"/>
      <c r="S65" s="9" t="n"/>
      <c r="T65" s="10" t="n"/>
      <c r="U65" s="10" t="n"/>
      <c r="V65" s="9" t="n"/>
      <c r="W65" s="9" t="n"/>
      <c r="X65" s="9" t="n"/>
      <c r="Y65" s="9" t="n"/>
      <c r="Z65" s="11" t="n"/>
      <c r="AA65" s="11" t="n"/>
      <c r="AB65" s="11" t="n"/>
      <c r="AC65" s="11" t="n"/>
      <c r="AD65" s="11" t="n"/>
      <c r="AE65" s="11" t="n"/>
      <c r="AF65" s="9" t="n"/>
      <c r="AG65" s="9" t="n"/>
      <c r="AH65" s="9" t="n"/>
      <c r="AI65" s="9" t="n"/>
      <c r="AJ65" s="8" t="n"/>
      <c r="AK65" s="9" t="n"/>
      <c r="AL65" s="9" t="n"/>
      <c r="AM65" s="9" t="n"/>
      <c r="AN65" s="9" t="n"/>
      <c r="AO65" s="9" t="n"/>
      <c r="AP65" s="9" t="n"/>
      <c r="AQ65" s="9" t="n"/>
      <c r="AR65" s="9" t="n"/>
      <c r="AS65" s="9" t="n"/>
      <c r="AT65" s="8" t="n"/>
      <c r="AU65" s="8" t="n"/>
      <c r="AV65" s="9" t="n"/>
      <c r="AW65" s="8" t="n"/>
      <c r="AX65" s="9" t="n"/>
      <c r="AY65" s="9" t="n"/>
      <c r="AZ65" s="9" t="n"/>
      <c r="BA65" s="9" t="n"/>
      <c r="BB65" s="9" t="n"/>
      <c r="BC65" s="9" t="n"/>
      <c r="BD65" s="9" t="n"/>
      <c r="BE65" s="9" t="n"/>
      <c r="BF65" s="9" t="n"/>
      <c r="BG65" s="9" t="n"/>
      <c r="BH65" s="9" t="n"/>
      <c r="BI65" s="9" t="n"/>
      <c r="BJ65" s="9" t="n"/>
      <c r="BK65" s="9" t="n"/>
      <c r="BL65" s="9" t="n"/>
      <c r="BM65" s="9" t="n"/>
      <c r="BN65" s="9" t="n"/>
      <c r="BO65" s="8" t="n"/>
      <c r="BP65" s="9" t="n"/>
      <c r="BQ65" s="9" t="n"/>
      <c r="BR65" s="12">
        <f>IF(AND(AI65="Y",AK65="Y",AL65="Y",AM65="Y",AY65="Y",AZ65="Y",BA65="Y",BB65="Y",BC65="Y",BE65&lt;&gt;"Y",AX65&lt;&gt;"Y",BL65&lt;&gt;"Y",IF(AS65="Y",AV65="Y",TRUE)),"Y","N")</f>
        <v/>
      </c>
      <c r="BS65" s="12">
        <f>IF(AND(BR65="Y",OR(AND(BJ65="Y",BM65="Y"),AND(BK65="Y",BN65="Y"),AND(BJ65&lt;&gt;"Y",BK65&lt;&gt;"Y",OR(BM65="Y",BN65="Y")))),"Y","N")</f>
        <v/>
      </c>
      <c r="BT65" s="10" t="n"/>
      <c r="BU65" s="13" t="n"/>
      <c r="BV65" s="13" t="n"/>
      <c r="BW65" s="13" t="n"/>
      <c r="BX65" s="13" t="n"/>
      <c r="BY65" s="13" t="n"/>
      <c r="BZ65" s="13" t="n"/>
      <c r="CA65" s="14" t="n"/>
      <c r="CB65" s="13" t="n"/>
      <c r="CC65" s="9" t="n"/>
      <c r="CD65" s="9" t="n"/>
      <c r="CE65" s="9" t="n"/>
      <c r="CF65" s="9" t="n"/>
      <c r="CG65" s="9" t="n"/>
      <c r="CH65" s="9" t="n"/>
    </row>
    <row r="66">
      <c r="A66" s="8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8" t="n"/>
      <c r="L66" s="9" t="n"/>
      <c r="M66" s="8" t="n"/>
      <c r="N66" s="8" t="n"/>
      <c r="O66" s="8" t="n"/>
      <c r="P66" s="8" t="n"/>
      <c r="Q66" s="8" t="n"/>
      <c r="R66" s="9" t="n"/>
      <c r="S66" s="9" t="n"/>
      <c r="T66" s="10" t="n"/>
      <c r="U66" s="10" t="n"/>
      <c r="V66" s="9" t="n"/>
      <c r="W66" s="9" t="n"/>
      <c r="X66" s="9" t="n"/>
      <c r="Y66" s="9" t="n"/>
      <c r="Z66" s="11" t="n"/>
      <c r="AA66" s="11" t="n"/>
      <c r="AB66" s="11" t="n"/>
      <c r="AC66" s="11" t="n"/>
      <c r="AD66" s="11" t="n"/>
      <c r="AE66" s="11" t="n"/>
      <c r="AF66" s="9" t="n"/>
      <c r="AG66" s="9" t="n"/>
      <c r="AH66" s="9" t="n"/>
      <c r="AI66" s="9" t="n"/>
      <c r="AJ66" s="8" t="n"/>
      <c r="AK66" s="9" t="n"/>
      <c r="AL66" s="9" t="n"/>
      <c r="AM66" s="9" t="n"/>
      <c r="AN66" s="9" t="n"/>
      <c r="AO66" s="9" t="n"/>
      <c r="AP66" s="9" t="n"/>
      <c r="AQ66" s="9" t="n"/>
      <c r="AR66" s="9" t="n"/>
      <c r="AS66" s="9" t="n"/>
      <c r="AT66" s="8" t="n"/>
      <c r="AU66" s="8" t="n"/>
      <c r="AV66" s="9" t="n"/>
      <c r="AW66" s="8" t="n"/>
      <c r="AX66" s="9" t="n"/>
      <c r="AY66" s="9" t="n"/>
      <c r="AZ66" s="9" t="n"/>
      <c r="BA66" s="9" t="n"/>
      <c r="BB66" s="9" t="n"/>
      <c r="BC66" s="9" t="n"/>
      <c r="BD66" s="9" t="n"/>
      <c r="BE66" s="9" t="n"/>
      <c r="BF66" s="9" t="n"/>
      <c r="BG66" s="9" t="n"/>
      <c r="BH66" s="9" t="n"/>
      <c r="BI66" s="9" t="n"/>
      <c r="BJ66" s="9" t="n"/>
      <c r="BK66" s="9" t="n"/>
      <c r="BL66" s="9" t="n"/>
      <c r="BM66" s="9" t="n"/>
      <c r="BN66" s="9" t="n"/>
      <c r="BO66" s="8" t="n"/>
      <c r="BP66" s="9" t="n"/>
      <c r="BQ66" s="9" t="n"/>
      <c r="BR66" s="12">
        <f>IF(AND(AI66="Y",AK66="Y",AL66="Y",AM66="Y",AY66="Y",AZ66="Y",BA66="Y",BB66="Y",BC66="Y",BE66&lt;&gt;"Y",AX66&lt;&gt;"Y",BL66&lt;&gt;"Y",IF(AS66="Y",AV66="Y",TRUE)),"Y","N")</f>
        <v/>
      </c>
      <c r="BS66" s="12">
        <f>IF(AND(BR66="Y",OR(AND(BJ66="Y",BM66="Y"),AND(BK66="Y",BN66="Y"),AND(BJ66&lt;&gt;"Y",BK66&lt;&gt;"Y",OR(BM66="Y",BN66="Y")))),"Y","N")</f>
        <v/>
      </c>
      <c r="BT66" s="10" t="n"/>
      <c r="BU66" s="13" t="n"/>
      <c r="BV66" s="13" t="n"/>
      <c r="BW66" s="13" t="n"/>
      <c r="BX66" s="13" t="n"/>
      <c r="BY66" s="13" t="n"/>
      <c r="BZ66" s="13" t="n"/>
      <c r="CA66" s="14" t="n"/>
      <c r="CB66" s="13" t="n"/>
      <c r="CC66" s="9" t="n"/>
      <c r="CD66" s="9" t="n"/>
      <c r="CE66" s="9" t="n"/>
      <c r="CF66" s="9" t="n"/>
      <c r="CG66" s="9" t="n"/>
      <c r="CH66" s="9" t="n"/>
    </row>
    <row r="67">
      <c r="A67" s="8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8" t="n"/>
      <c r="L67" s="9" t="n"/>
      <c r="M67" s="8" t="n"/>
      <c r="N67" s="8" t="n"/>
      <c r="O67" s="8" t="n"/>
      <c r="P67" s="8" t="n"/>
      <c r="Q67" s="8" t="n"/>
      <c r="R67" s="9" t="n"/>
      <c r="S67" s="9" t="n"/>
      <c r="T67" s="10" t="n"/>
      <c r="U67" s="10" t="n"/>
      <c r="V67" s="9" t="n"/>
      <c r="W67" s="9" t="n"/>
      <c r="X67" s="9" t="n"/>
      <c r="Y67" s="9" t="n"/>
      <c r="Z67" s="11" t="n"/>
      <c r="AA67" s="11" t="n"/>
      <c r="AB67" s="11" t="n"/>
      <c r="AC67" s="11" t="n"/>
      <c r="AD67" s="11" t="n"/>
      <c r="AE67" s="11" t="n"/>
      <c r="AF67" s="9" t="n"/>
      <c r="AG67" s="9" t="n"/>
      <c r="AH67" s="9" t="n"/>
      <c r="AI67" s="9" t="n"/>
      <c r="AJ67" s="8" t="n"/>
      <c r="AK67" s="9" t="n"/>
      <c r="AL67" s="9" t="n"/>
      <c r="AM67" s="9" t="n"/>
      <c r="AN67" s="9" t="n"/>
      <c r="AO67" s="9" t="n"/>
      <c r="AP67" s="9" t="n"/>
      <c r="AQ67" s="9" t="n"/>
      <c r="AR67" s="9" t="n"/>
      <c r="AS67" s="9" t="n"/>
      <c r="AT67" s="8" t="n"/>
      <c r="AU67" s="8" t="n"/>
      <c r="AV67" s="9" t="n"/>
      <c r="AW67" s="8" t="n"/>
      <c r="AX67" s="9" t="n"/>
      <c r="AY67" s="9" t="n"/>
      <c r="AZ67" s="9" t="n"/>
      <c r="BA67" s="9" t="n"/>
      <c r="BB67" s="9" t="n"/>
      <c r="BC67" s="9" t="n"/>
      <c r="BD67" s="9" t="n"/>
      <c r="BE67" s="9" t="n"/>
      <c r="BF67" s="9" t="n"/>
      <c r="BG67" s="9" t="n"/>
      <c r="BH67" s="9" t="n"/>
      <c r="BI67" s="9" t="n"/>
      <c r="BJ67" s="9" t="n"/>
      <c r="BK67" s="9" t="n"/>
      <c r="BL67" s="9" t="n"/>
      <c r="BM67" s="9" t="n"/>
      <c r="BN67" s="9" t="n"/>
      <c r="BO67" s="8" t="n"/>
      <c r="BP67" s="9" t="n"/>
      <c r="BQ67" s="9" t="n"/>
      <c r="BR67" s="12">
        <f>IF(AND(AI67="Y",AK67="Y",AL67="Y",AM67="Y",AY67="Y",AZ67="Y",BA67="Y",BB67="Y",BC67="Y",BE67&lt;&gt;"Y",AX67&lt;&gt;"Y",BL67&lt;&gt;"Y",IF(AS67="Y",AV67="Y",TRUE)),"Y","N")</f>
        <v/>
      </c>
      <c r="BS67" s="12">
        <f>IF(AND(BR67="Y",OR(AND(BJ67="Y",BM67="Y"),AND(BK67="Y",BN67="Y"),AND(BJ67&lt;&gt;"Y",BK67&lt;&gt;"Y",OR(BM67="Y",BN67="Y")))),"Y","N")</f>
        <v/>
      </c>
      <c r="BT67" s="10" t="n"/>
      <c r="BU67" s="13" t="n"/>
      <c r="BV67" s="13" t="n"/>
      <c r="BW67" s="13" t="n"/>
      <c r="BX67" s="13" t="n"/>
      <c r="BY67" s="13" t="n"/>
      <c r="BZ67" s="13" t="n"/>
      <c r="CA67" s="14" t="n"/>
      <c r="CB67" s="13" t="n"/>
      <c r="CC67" s="9" t="n"/>
      <c r="CD67" s="9" t="n"/>
      <c r="CE67" s="9" t="n"/>
      <c r="CF67" s="9" t="n"/>
      <c r="CG67" s="9" t="n"/>
      <c r="CH67" s="9" t="n"/>
    </row>
    <row r="68">
      <c r="A68" s="8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8" t="n"/>
      <c r="L68" s="9" t="n"/>
      <c r="M68" s="8" t="n"/>
      <c r="N68" s="8" t="n"/>
      <c r="O68" s="8" t="n"/>
      <c r="P68" s="8" t="n"/>
      <c r="Q68" s="8" t="n"/>
      <c r="R68" s="9" t="n"/>
      <c r="S68" s="9" t="n"/>
      <c r="T68" s="10" t="n"/>
      <c r="U68" s="10" t="n"/>
      <c r="V68" s="9" t="n"/>
      <c r="W68" s="9" t="n"/>
      <c r="X68" s="9" t="n"/>
      <c r="Y68" s="9" t="n"/>
      <c r="Z68" s="11" t="n"/>
      <c r="AA68" s="11" t="n"/>
      <c r="AB68" s="11" t="n"/>
      <c r="AC68" s="11" t="n"/>
      <c r="AD68" s="11" t="n"/>
      <c r="AE68" s="11" t="n"/>
      <c r="AF68" s="9" t="n"/>
      <c r="AG68" s="9" t="n"/>
      <c r="AH68" s="9" t="n"/>
      <c r="AI68" s="9" t="n"/>
      <c r="AJ68" s="8" t="n"/>
      <c r="AK68" s="9" t="n"/>
      <c r="AL68" s="9" t="n"/>
      <c r="AM68" s="9" t="n"/>
      <c r="AN68" s="9" t="n"/>
      <c r="AO68" s="9" t="n"/>
      <c r="AP68" s="9" t="n"/>
      <c r="AQ68" s="9" t="n"/>
      <c r="AR68" s="9" t="n"/>
      <c r="AS68" s="9" t="n"/>
      <c r="AT68" s="8" t="n"/>
      <c r="AU68" s="8" t="n"/>
      <c r="AV68" s="9" t="n"/>
      <c r="AW68" s="8" t="n"/>
      <c r="AX68" s="9" t="n"/>
      <c r="AY68" s="9" t="n"/>
      <c r="AZ68" s="9" t="n"/>
      <c r="BA68" s="9" t="n"/>
      <c r="BB68" s="9" t="n"/>
      <c r="BC68" s="9" t="n"/>
      <c r="BD68" s="9" t="n"/>
      <c r="BE68" s="9" t="n"/>
      <c r="BF68" s="9" t="n"/>
      <c r="BG68" s="9" t="n"/>
      <c r="BH68" s="9" t="n"/>
      <c r="BI68" s="9" t="n"/>
      <c r="BJ68" s="9" t="n"/>
      <c r="BK68" s="9" t="n"/>
      <c r="BL68" s="9" t="n"/>
      <c r="BM68" s="9" t="n"/>
      <c r="BN68" s="9" t="n"/>
      <c r="BO68" s="8" t="n"/>
      <c r="BP68" s="9" t="n"/>
      <c r="BQ68" s="9" t="n"/>
      <c r="BR68" s="12">
        <f>IF(AND(AI68="Y",AK68="Y",AL68="Y",AM68="Y",AY68="Y",AZ68="Y",BA68="Y",BB68="Y",BC68="Y",BE68&lt;&gt;"Y",AX68&lt;&gt;"Y",BL68&lt;&gt;"Y",IF(AS68="Y",AV68="Y",TRUE)),"Y","N")</f>
        <v/>
      </c>
      <c r="BS68" s="12">
        <f>IF(AND(BR68="Y",OR(AND(BJ68="Y",BM68="Y"),AND(BK68="Y",BN68="Y"),AND(BJ68&lt;&gt;"Y",BK68&lt;&gt;"Y",OR(BM68="Y",BN68="Y")))),"Y","N")</f>
        <v/>
      </c>
      <c r="BT68" s="10" t="n"/>
      <c r="BU68" s="13" t="n"/>
      <c r="BV68" s="13" t="n"/>
      <c r="BW68" s="13" t="n"/>
      <c r="BX68" s="13" t="n"/>
      <c r="BY68" s="13" t="n"/>
      <c r="BZ68" s="13" t="n"/>
      <c r="CA68" s="14" t="n"/>
      <c r="CB68" s="13" t="n"/>
      <c r="CC68" s="9" t="n"/>
      <c r="CD68" s="9" t="n"/>
      <c r="CE68" s="9" t="n"/>
      <c r="CF68" s="9" t="n"/>
      <c r="CG68" s="9" t="n"/>
      <c r="CH68" s="9" t="n"/>
    </row>
    <row r="69">
      <c r="A69" s="8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8" t="n"/>
      <c r="L69" s="9" t="n"/>
      <c r="M69" s="8" t="n"/>
      <c r="N69" s="8" t="n"/>
      <c r="O69" s="8" t="n"/>
      <c r="P69" s="8" t="n"/>
      <c r="Q69" s="8" t="n"/>
      <c r="R69" s="9" t="n"/>
      <c r="S69" s="9" t="n"/>
      <c r="T69" s="10" t="n"/>
      <c r="U69" s="10" t="n"/>
      <c r="V69" s="9" t="n"/>
      <c r="W69" s="9" t="n"/>
      <c r="X69" s="9" t="n"/>
      <c r="Y69" s="9" t="n"/>
      <c r="Z69" s="11" t="n"/>
      <c r="AA69" s="11" t="n"/>
      <c r="AB69" s="11" t="n"/>
      <c r="AC69" s="11" t="n"/>
      <c r="AD69" s="11" t="n"/>
      <c r="AE69" s="11" t="n"/>
      <c r="AF69" s="9" t="n"/>
      <c r="AG69" s="9" t="n"/>
      <c r="AH69" s="9" t="n"/>
      <c r="AI69" s="9" t="n"/>
      <c r="AJ69" s="8" t="n"/>
      <c r="AK69" s="9" t="n"/>
      <c r="AL69" s="9" t="n"/>
      <c r="AM69" s="9" t="n"/>
      <c r="AN69" s="9" t="n"/>
      <c r="AO69" s="9" t="n"/>
      <c r="AP69" s="9" t="n"/>
      <c r="AQ69" s="9" t="n"/>
      <c r="AR69" s="9" t="n"/>
      <c r="AS69" s="9" t="n"/>
      <c r="AT69" s="8" t="n"/>
      <c r="AU69" s="8" t="n"/>
      <c r="AV69" s="9" t="n"/>
      <c r="AW69" s="8" t="n"/>
      <c r="AX69" s="9" t="n"/>
      <c r="AY69" s="9" t="n"/>
      <c r="AZ69" s="9" t="n"/>
      <c r="BA69" s="9" t="n"/>
      <c r="BB69" s="9" t="n"/>
      <c r="BC69" s="9" t="n"/>
      <c r="BD69" s="9" t="n"/>
      <c r="BE69" s="9" t="n"/>
      <c r="BF69" s="9" t="n"/>
      <c r="BG69" s="9" t="n"/>
      <c r="BH69" s="9" t="n"/>
      <c r="BI69" s="9" t="n"/>
      <c r="BJ69" s="9" t="n"/>
      <c r="BK69" s="9" t="n"/>
      <c r="BL69" s="9" t="n"/>
      <c r="BM69" s="9" t="n"/>
      <c r="BN69" s="9" t="n"/>
      <c r="BO69" s="8" t="n"/>
      <c r="BP69" s="9" t="n"/>
      <c r="BQ69" s="9" t="n"/>
      <c r="BR69" s="12">
        <f>IF(AND(AI69="Y",AK69="Y",AL69="Y",AM69="Y",AY69="Y",AZ69="Y",BA69="Y",BB69="Y",BC69="Y",BE69&lt;&gt;"Y",AX69&lt;&gt;"Y",BL69&lt;&gt;"Y",IF(AS69="Y",AV69="Y",TRUE)),"Y","N")</f>
        <v/>
      </c>
      <c r="BS69" s="12">
        <f>IF(AND(BR69="Y",OR(AND(BJ69="Y",BM69="Y"),AND(BK69="Y",BN69="Y"),AND(BJ69&lt;&gt;"Y",BK69&lt;&gt;"Y",OR(BM69="Y",BN69="Y")))),"Y","N")</f>
        <v/>
      </c>
      <c r="BT69" s="10" t="n"/>
      <c r="BU69" s="13" t="n"/>
      <c r="BV69" s="13" t="n"/>
      <c r="BW69" s="13" t="n"/>
      <c r="BX69" s="13" t="n"/>
      <c r="BY69" s="13" t="n"/>
      <c r="BZ69" s="13" t="n"/>
      <c r="CA69" s="14" t="n"/>
      <c r="CB69" s="13" t="n"/>
      <c r="CC69" s="9" t="n"/>
      <c r="CD69" s="9" t="n"/>
      <c r="CE69" s="9" t="n"/>
      <c r="CF69" s="9" t="n"/>
      <c r="CG69" s="9" t="n"/>
      <c r="CH69" s="9" t="n"/>
    </row>
    <row r="70">
      <c r="A70" s="8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8" t="n"/>
      <c r="L70" s="9" t="n"/>
      <c r="M70" s="8" t="n"/>
      <c r="N70" s="8" t="n"/>
      <c r="O70" s="8" t="n"/>
      <c r="P70" s="8" t="n"/>
      <c r="Q70" s="8" t="n"/>
      <c r="R70" s="9" t="n"/>
      <c r="S70" s="9" t="n"/>
      <c r="T70" s="10" t="n"/>
      <c r="U70" s="10" t="n"/>
      <c r="V70" s="9" t="n"/>
      <c r="W70" s="9" t="n"/>
      <c r="X70" s="9" t="n"/>
      <c r="Y70" s="9" t="n"/>
      <c r="Z70" s="11" t="n"/>
      <c r="AA70" s="11" t="n"/>
      <c r="AB70" s="11" t="n"/>
      <c r="AC70" s="11" t="n"/>
      <c r="AD70" s="11" t="n"/>
      <c r="AE70" s="11" t="n"/>
      <c r="AF70" s="9" t="n"/>
      <c r="AG70" s="9" t="n"/>
      <c r="AH70" s="9" t="n"/>
      <c r="AI70" s="9" t="n"/>
      <c r="AJ70" s="8" t="n"/>
      <c r="AK70" s="9" t="n"/>
      <c r="AL70" s="9" t="n"/>
      <c r="AM70" s="9" t="n"/>
      <c r="AN70" s="9" t="n"/>
      <c r="AO70" s="9" t="n"/>
      <c r="AP70" s="9" t="n"/>
      <c r="AQ70" s="9" t="n"/>
      <c r="AR70" s="9" t="n"/>
      <c r="AS70" s="9" t="n"/>
      <c r="AT70" s="8" t="n"/>
      <c r="AU70" s="8" t="n"/>
      <c r="AV70" s="9" t="n"/>
      <c r="AW70" s="8" t="n"/>
      <c r="AX70" s="9" t="n"/>
      <c r="AY70" s="9" t="n"/>
      <c r="AZ70" s="9" t="n"/>
      <c r="BA70" s="9" t="n"/>
      <c r="BB70" s="9" t="n"/>
      <c r="BC70" s="9" t="n"/>
      <c r="BD70" s="9" t="n"/>
      <c r="BE70" s="9" t="n"/>
      <c r="BF70" s="9" t="n"/>
      <c r="BG70" s="9" t="n"/>
      <c r="BH70" s="9" t="n"/>
      <c r="BI70" s="9" t="n"/>
      <c r="BJ70" s="9" t="n"/>
      <c r="BK70" s="9" t="n"/>
      <c r="BL70" s="9" t="n"/>
      <c r="BM70" s="9" t="n"/>
      <c r="BN70" s="9" t="n"/>
      <c r="BO70" s="8" t="n"/>
      <c r="BP70" s="9" t="n"/>
      <c r="BQ70" s="9" t="n"/>
      <c r="BR70" s="12">
        <f>IF(AND(AI70="Y",AK70="Y",AL70="Y",AM70="Y",AY70="Y",AZ70="Y",BA70="Y",BB70="Y",BC70="Y",BE70&lt;&gt;"Y",AX70&lt;&gt;"Y",BL70&lt;&gt;"Y",IF(AS70="Y",AV70="Y",TRUE)),"Y","N")</f>
        <v/>
      </c>
      <c r="BS70" s="12">
        <f>IF(AND(BR70="Y",OR(AND(BJ70="Y",BM70="Y"),AND(BK70="Y",BN70="Y"),AND(BJ70&lt;&gt;"Y",BK70&lt;&gt;"Y",OR(BM70="Y",BN70="Y")))),"Y","N")</f>
        <v/>
      </c>
      <c r="BT70" s="10" t="n"/>
      <c r="BU70" s="13" t="n"/>
      <c r="BV70" s="13" t="n"/>
      <c r="BW70" s="13" t="n"/>
      <c r="BX70" s="13" t="n"/>
      <c r="BY70" s="13" t="n"/>
      <c r="BZ70" s="13" t="n"/>
      <c r="CA70" s="14" t="n"/>
      <c r="CB70" s="13" t="n"/>
      <c r="CC70" s="9" t="n"/>
      <c r="CD70" s="9" t="n"/>
      <c r="CE70" s="9" t="n"/>
      <c r="CF70" s="9" t="n"/>
      <c r="CG70" s="9" t="n"/>
      <c r="CH70" s="9" t="n"/>
    </row>
    <row r="71">
      <c r="A71" s="8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8" t="n"/>
      <c r="L71" s="9" t="n"/>
      <c r="M71" s="8" t="n"/>
      <c r="N71" s="8" t="n"/>
      <c r="O71" s="8" t="n"/>
      <c r="P71" s="8" t="n"/>
      <c r="Q71" s="8" t="n"/>
      <c r="R71" s="9" t="n"/>
      <c r="S71" s="9" t="n"/>
      <c r="T71" s="10" t="n"/>
      <c r="U71" s="10" t="n"/>
      <c r="V71" s="9" t="n"/>
      <c r="W71" s="9" t="n"/>
      <c r="X71" s="9" t="n"/>
      <c r="Y71" s="9" t="n"/>
      <c r="Z71" s="11" t="n"/>
      <c r="AA71" s="11" t="n"/>
      <c r="AB71" s="11" t="n"/>
      <c r="AC71" s="11" t="n"/>
      <c r="AD71" s="11" t="n"/>
      <c r="AE71" s="11" t="n"/>
      <c r="AF71" s="9" t="n"/>
      <c r="AG71" s="9" t="n"/>
      <c r="AH71" s="9" t="n"/>
      <c r="AI71" s="9" t="n"/>
      <c r="AJ71" s="8" t="n"/>
      <c r="AK71" s="9" t="n"/>
      <c r="AL71" s="9" t="n"/>
      <c r="AM71" s="9" t="n"/>
      <c r="AN71" s="9" t="n"/>
      <c r="AO71" s="9" t="n"/>
      <c r="AP71" s="9" t="n"/>
      <c r="AQ71" s="9" t="n"/>
      <c r="AR71" s="9" t="n"/>
      <c r="AS71" s="9" t="n"/>
      <c r="AT71" s="8" t="n"/>
      <c r="AU71" s="8" t="n"/>
      <c r="AV71" s="9" t="n"/>
      <c r="AW71" s="8" t="n"/>
      <c r="AX71" s="9" t="n"/>
      <c r="AY71" s="9" t="n"/>
      <c r="AZ71" s="9" t="n"/>
      <c r="BA71" s="9" t="n"/>
      <c r="BB71" s="9" t="n"/>
      <c r="BC71" s="9" t="n"/>
      <c r="BD71" s="9" t="n"/>
      <c r="BE71" s="9" t="n"/>
      <c r="BF71" s="9" t="n"/>
      <c r="BG71" s="9" t="n"/>
      <c r="BH71" s="9" t="n"/>
      <c r="BI71" s="9" t="n"/>
      <c r="BJ71" s="9" t="n"/>
      <c r="BK71" s="9" t="n"/>
      <c r="BL71" s="9" t="n"/>
      <c r="BM71" s="9" t="n"/>
      <c r="BN71" s="9" t="n"/>
      <c r="BO71" s="8" t="n"/>
      <c r="BP71" s="9" t="n"/>
      <c r="BQ71" s="9" t="n"/>
      <c r="BR71" s="12">
        <f>IF(AND(AI71="Y",AK71="Y",AL71="Y",AM71="Y",AY71="Y",AZ71="Y",BA71="Y",BB71="Y",BC71="Y",BE71&lt;&gt;"Y",AX71&lt;&gt;"Y",BL71&lt;&gt;"Y",IF(AS71="Y",AV71="Y",TRUE)),"Y","N")</f>
        <v/>
      </c>
      <c r="BS71" s="12">
        <f>IF(AND(BR71="Y",OR(AND(BJ71="Y",BM71="Y"),AND(BK71="Y",BN71="Y"),AND(BJ71&lt;&gt;"Y",BK71&lt;&gt;"Y",OR(BM71="Y",BN71="Y")))),"Y","N")</f>
        <v/>
      </c>
      <c r="BT71" s="10" t="n"/>
      <c r="BU71" s="13" t="n"/>
      <c r="BV71" s="13" t="n"/>
      <c r="BW71" s="13" t="n"/>
      <c r="BX71" s="13" t="n"/>
      <c r="BY71" s="13" t="n"/>
      <c r="BZ71" s="13" t="n"/>
      <c r="CA71" s="14" t="n"/>
      <c r="CB71" s="13" t="n"/>
      <c r="CC71" s="9" t="n"/>
      <c r="CD71" s="9" t="n"/>
      <c r="CE71" s="9" t="n"/>
      <c r="CF71" s="9" t="n"/>
      <c r="CG71" s="9" t="n"/>
      <c r="CH71" s="9" t="n"/>
    </row>
    <row r="72">
      <c r="A72" s="8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8" t="n"/>
      <c r="L72" s="9" t="n"/>
      <c r="M72" s="8" t="n"/>
      <c r="N72" s="8" t="n"/>
      <c r="O72" s="8" t="n"/>
      <c r="P72" s="8" t="n"/>
      <c r="Q72" s="8" t="n"/>
      <c r="R72" s="9" t="n"/>
      <c r="S72" s="9" t="n"/>
      <c r="T72" s="10" t="n"/>
      <c r="U72" s="10" t="n"/>
      <c r="V72" s="9" t="n"/>
      <c r="W72" s="9" t="n"/>
      <c r="X72" s="9" t="n"/>
      <c r="Y72" s="9" t="n"/>
      <c r="Z72" s="11" t="n"/>
      <c r="AA72" s="11" t="n"/>
      <c r="AB72" s="11" t="n"/>
      <c r="AC72" s="11" t="n"/>
      <c r="AD72" s="11" t="n"/>
      <c r="AE72" s="11" t="n"/>
      <c r="AF72" s="9" t="n"/>
      <c r="AG72" s="9" t="n"/>
      <c r="AH72" s="9" t="n"/>
      <c r="AI72" s="9" t="n"/>
      <c r="AJ72" s="8" t="n"/>
      <c r="AK72" s="9" t="n"/>
      <c r="AL72" s="9" t="n"/>
      <c r="AM72" s="9" t="n"/>
      <c r="AN72" s="9" t="n"/>
      <c r="AO72" s="9" t="n"/>
      <c r="AP72" s="9" t="n"/>
      <c r="AQ72" s="9" t="n"/>
      <c r="AR72" s="9" t="n"/>
      <c r="AS72" s="9" t="n"/>
      <c r="AT72" s="8" t="n"/>
      <c r="AU72" s="8" t="n"/>
      <c r="AV72" s="9" t="n"/>
      <c r="AW72" s="8" t="n"/>
      <c r="AX72" s="9" t="n"/>
      <c r="AY72" s="9" t="n"/>
      <c r="AZ72" s="9" t="n"/>
      <c r="BA72" s="9" t="n"/>
      <c r="BB72" s="9" t="n"/>
      <c r="BC72" s="9" t="n"/>
      <c r="BD72" s="9" t="n"/>
      <c r="BE72" s="9" t="n"/>
      <c r="BF72" s="9" t="n"/>
      <c r="BG72" s="9" t="n"/>
      <c r="BH72" s="9" t="n"/>
      <c r="BI72" s="9" t="n"/>
      <c r="BJ72" s="9" t="n"/>
      <c r="BK72" s="9" t="n"/>
      <c r="BL72" s="9" t="n"/>
      <c r="BM72" s="9" t="n"/>
      <c r="BN72" s="9" t="n"/>
      <c r="BO72" s="8" t="n"/>
      <c r="BP72" s="9" t="n"/>
      <c r="BQ72" s="9" t="n"/>
      <c r="BR72" s="12">
        <f>IF(AND(AI72="Y",AK72="Y",AL72="Y",AM72="Y",AY72="Y",AZ72="Y",BA72="Y",BB72="Y",BC72="Y",BE72&lt;&gt;"Y",AX72&lt;&gt;"Y",BL72&lt;&gt;"Y",IF(AS72="Y",AV72="Y",TRUE)),"Y","N")</f>
        <v/>
      </c>
      <c r="BS72" s="12">
        <f>IF(AND(BR72="Y",OR(AND(BJ72="Y",BM72="Y"),AND(BK72="Y",BN72="Y"),AND(BJ72&lt;&gt;"Y",BK72&lt;&gt;"Y",OR(BM72="Y",BN72="Y")))),"Y","N")</f>
        <v/>
      </c>
      <c r="BT72" s="10" t="n"/>
      <c r="BU72" s="13" t="n"/>
      <c r="BV72" s="13" t="n"/>
      <c r="BW72" s="13" t="n"/>
      <c r="BX72" s="13" t="n"/>
      <c r="BY72" s="13" t="n"/>
      <c r="BZ72" s="13" t="n"/>
      <c r="CA72" s="14" t="n"/>
      <c r="CB72" s="13" t="n"/>
      <c r="CC72" s="9" t="n"/>
      <c r="CD72" s="9" t="n"/>
      <c r="CE72" s="9" t="n"/>
      <c r="CF72" s="9" t="n"/>
      <c r="CG72" s="9" t="n"/>
      <c r="CH72" s="9" t="n"/>
    </row>
    <row r="73">
      <c r="A73" s="8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8" t="n"/>
      <c r="L73" s="9" t="n"/>
      <c r="M73" s="8" t="n"/>
      <c r="N73" s="8" t="n"/>
      <c r="O73" s="8" t="n"/>
      <c r="P73" s="8" t="n"/>
      <c r="Q73" s="8" t="n"/>
      <c r="R73" s="9" t="n"/>
      <c r="S73" s="9" t="n"/>
      <c r="T73" s="10" t="n"/>
      <c r="U73" s="10" t="n"/>
      <c r="V73" s="9" t="n"/>
      <c r="W73" s="9" t="n"/>
      <c r="X73" s="9" t="n"/>
      <c r="Y73" s="9" t="n"/>
      <c r="Z73" s="11" t="n"/>
      <c r="AA73" s="11" t="n"/>
      <c r="AB73" s="11" t="n"/>
      <c r="AC73" s="11" t="n"/>
      <c r="AD73" s="11" t="n"/>
      <c r="AE73" s="11" t="n"/>
      <c r="AF73" s="9" t="n"/>
      <c r="AG73" s="9" t="n"/>
      <c r="AH73" s="9" t="n"/>
      <c r="AI73" s="9" t="n"/>
      <c r="AJ73" s="8" t="n"/>
      <c r="AK73" s="9" t="n"/>
      <c r="AL73" s="9" t="n"/>
      <c r="AM73" s="9" t="n"/>
      <c r="AN73" s="9" t="n"/>
      <c r="AO73" s="9" t="n"/>
      <c r="AP73" s="9" t="n"/>
      <c r="AQ73" s="9" t="n"/>
      <c r="AR73" s="9" t="n"/>
      <c r="AS73" s="9" t="n"/>
      <c r="AT73" s="8" t="n"/>
      <c r="AU73" s="8" t="n"/>
      <c r="AV73" s="9" t="n"/>
      <c r="AW73" s="8" t="n"/>
      <c r="AX73" s="9" t="n"/>
      <c r="AY73" s="9" t="n"/>
      <c r="AZ73" s="9" t="n"/>
      <c r="BA73" s="9" t="n"/>
      <c r="BB73" s="9" t="n"/>
      <c r="BC73" s="9" t="n"/>
      <c r="BD73" s="9" t="n"/>
      <c r="BE73" s="9" t="n"/>
      <c r="BF73" s="9" t="n"/>
      <c r="BG73" s="9" t="n"/>
      <c r="BH73" s="9" t="n"/>
      <c r="BI73" s="9" t="n"/>
      <c r="BJ73" s="9" t="n"/>
      <c r="BK73" s="9" t="n"/>
      <c r="BL73" s="9" t="n"/>
      <c r="BM73" s="9" t="n"/>
      <c r="BN73" s="9" t="n"/>
      <c r="BO73" s="8" t="n"/>
      <c r="BP73" s="9" t="n"/>
      <c r="BQ73" s="9" t="n"/>
      <c r="BR73" s="12">
        <f>IF(AND(AI73="Y",AK73="Y",AL73="Y",AM73="Y",AY73="Y",AZ73="Y",BA73="Y",BB73="Y",BC73="Y",BE73&lt;&gt;"Y",AX73&lt;&gt;"Y",BL73&lt;&gt;"Y",IF(AS73="Y",AV73="Y",TRUE)),"Y","N")</f>
        <v/>
      </c>
      <c r="BS73" s="12">
        <f>IF(AND(BR73="Y",OR(AND(BJ73="Y",BM73="Y"),AND(BK73="Y",BN73="Y"),AND(BJ73&lt;&gt;"Y",BK73&lt;&gt;"Y",OR(BM73="Y",BN73="Y")))),"Y","N")</f>
        <v/>
      </c>
      <c r="BT73" s="10" t="n"/>
      <c r="BU73" s="13" t="n"/>
      <c r="BV73" s="13" t="n"/>
      <c r="BW73" s="13" t="n"/>
      <c r="BX73" s="13" t="n"/>
      <c r="BY73" s="13" t="n"/>
      <c r="BZ73" s="13" t="n"/>
      <c r="CA73" s="14" t="n"/>
      <c r="CB73" s="13" t="n"/>
      <c r="CC73" s="9" t="n"/>
      <c r="CD73" s="9" t="n"/>
      <c r="CE73" s="9" t="n"/>
      <c r="CF73" s="9" t="n"/>
      <c r="CG73" s="9" t="n"/>
      <c r="CH73" s="9" t="n"/>
    </row>
    <row r="74">
      <c r="A74" s="8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8" t="n"/>
      <c r="L74" s="9" t="n"/>
      <c r="M74" s="8" t="n"/>
      <c r="N74" s="8" t="n"/>
      <c r="O74" s="8" t="n"/>
      <c r="P74" s="8" t="n"/>
      <c r="Q74" s="8" t="n"/>
      <c r="R74" s="9" t="n"/>
      <c r="S74" s="9" t="n"/>
      <c r="T74" s="10" t="n"/>
      <c r="U74" s="10" t="n"/>
      <c r="V74" s="9" t="n"/>
      <c r="W74" s="9" t="n"/>
      <c r="X74" s="9" t="n"/>
      <c r="Y74" s="9" t="n"/>
      <c r="Z74" s="11" t="n"/>
      <c r="AA74" s="11" t="n"/>
      <c r="AB74" s="11" t="n"/>
      <c r="AC74" s="11" t="n"/>
      <c r="AD74" s="11" t="n"/>
      <c r="AE74" s="11" t="n"/>
      <c r="AF74" s="9" t="n"/>
      <c r="AG74" s="9" t="n"/>
      <c r="AH74" s="9" t="n"/>
      <c r="AI74" s="9" t="n"/>
      <c r="AJ74" s="8" t="n"/>
      <c r="AK74" s="9" t="n"/>
      <c r="AL74" s="9" t="n"/>
      <c r="AM74" s="9" t="n"/>
      <c r="AN74" s="9" t="n"/>
      <c r="AO74" s="9" t="n"/>
      <c r="AP74" s="9" t="n"/>
      <c r="AQ74" s="9" t="n"/>
      <c r="AR74" s="9" t="n"/>
      <c r="AS74" s="9" t="n"/>
      <c r="AT74" s="8" t="n"/>
      <c r="AU74" s="8" t="n"/>
      <c r="AV74" s="9" t="n"/>
      <c r="AW74" s="8" t="n"/>
      <c r="AX74" s="9" t="n"/>
      <c r="AY74" s="9" t="n"/>
      <c r="AZ74" s="9" t="n"/>
      <c r="BA74" s="9" t="n"/>
      <c r="BB74" s="9" t="n"/>
      <c r="BC74" s="9" t="n"/>
      <c r="BD74" s="9" t="n"/>
      <c r="BE74" s="9" t="n"/>
      <c r="BF74" s="9" t="n"/>
      <c r="BG74" s="9" t="n"/>
      <c r="BH74" s="9" t="n"/>
      <c r="BI74" s="9" t="n"/>
      <c r="BJ74" s="9" t="n"/>
      <c r="BK74" s="9" t="n"/>
      <c r="BL74" s="9" t="n"/>
      <c r="BM74" s="9" t="n"/>
      <c r="BN74" s="9" t="n"/>
      <c r="BO74" s="8" t="n"/>
      <c r="BP74" s="9" t="n"/>
      <c r="BQ74" s="9" t="n"/>
      <c r="BR74" s="12">
        <f>IF(AND(AI74="Y",AK74="Y",AL74="Y",AM74="Y",AY74="Y",AZ74="Y",BA74="Y",BB74="Y",BC74="Y",BE74&lt;&gt;"Y",AX74&lt;&gt;"Y",BL74&lt;&gt;"Y",IF(AS74="Y",AV74="Y",TRUE)),"Y","N")</f>
        <v/>
      </c>
      <c r="BS74" s="12">
        <f>IF(AND(BR74="Y",OR(AND(BJ74="Y",BM74="Y"),AND(BK74="Y",BN74="Y"),AND(BJ74&lt;&gt;"Y",BK74&lt;&gt;"Y",OR(BM74="Y",BN74="Y")))),"Y","N")</f>
        <v/>
      </c>
      <c r="BT74" s="10" t="n"/>
      <c r="BU74" s="13" t="n"/>
      <c r="BV74" s="13" t="n"/>
      <c r="BW74" s="13" t="n"/>
      <c r="BX74" s="13" t="n"/>
      <c r="BY74" s="13" t="n"/>
      <c r="BZ74" s="13" t="n"/>
      <c r="CA74" s="14" t="n"/>
      <c r="CB74" s="13" t="n"/>
      <c r="CC74" s="9" t="n"/>
      <c r="CD74" s="9" t="n"/>
      <c r="CE74" s="9" t="n"/>
      <c r="CF74" s="9" t="n"/>
      <c r="CG74" s="9" t="n"/>
      <c r="CH74" s="9" t="n"/>
    </row>
    <row r="75">
      <c r="A75" s="8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8" t="n"/>
      <c r="L75" s="9" t="n"/>
      <c r="M75" s="8" t="n"/>
      <c r="N75" s="8" t="n"/>
      <c r="O75" s="8" t="n"/>
      <c r="P75" s="8" t="n"/>
      <c r="Q75" s="8" t="n"/>
      <c r="R75" s="9" t="n"/>
      <c r="S75" s="9" t="n"/>
      <c r="T75" s="10" t="n"/>
      <c r="U75" s="10" t="n"/>
      <c r="V75" s="9" t="n"/>
      <c r="W75" s="9" t="n"/>
      <c r="X75" s="9" t="n"/>
      <c r="Y75" s="9" t="n"/>
      <c r="Z75" s="11" t="n"/>
      <c r="AA75" s="11" t="n"/>
      <c r="AB75" s="11" t="n"/>
      <c r="AC75" s="11" t="n"/>
      <c r="AD75" s="11" t="n"/>
      <c r="AE75" s="11" t="n"/>
      <c r="AF75" s="9" t="n"/>
      <c r="AG75" s="9" t="n"/>
      <c r="AH75" s="9" t="n"/>
      <c r="AI75" s="9" t="n"/>
      <c r="AJ75" s="8" t="n"/>
      <c r="AK75" s="9" t="n"/>
      <c r="AL75" s="9" t="n"/>
      <c r="AM75" s="9" t="n"/>
      <c r="AN75" s="9" t="n"/>
      <c r="AO75" s="9" t="n"/>
      <c r="AP75" s="9" t="n"/>
      <c r="AQ75" s="9" t="n"/>
      <c r="AR75" s="9" t="n"/>
      <c r="AS75" s="9" t="n"/>
      <c r="AT75" s="8" t="n"/>
      <c r="AU75" s="8" t="n"/>
      <c r="AV75" s="9" t="n"/>
      <c r="AW75" s="8" t="n"/>
      <c r="AX75" s="9" t="n"/>
      <c r="AY75" s="9" t="n"/>
      <c r="AZ75" s="9" t="n"/>
      <c r="BA75" s="9" t="n"/>
      <c r="BB75" s="9" t="n"/>
      <c r="BC75" s="9" t="n"/>
      <c r="BD75" s="9" t="n"/>
      <c r="BE75" s="9" t="n"/>
      <c r="BF75" s="9" t="n"/>
      <c r="BG75" s="9" t="n"/>
      <c r="BH75" s="9" t="n"/>
      <c r="BI75" s="9" t="n"/>
      <c r="BJ75" s="9" t="n"/>
      <c r="BK75" s="9" t="n"/>
      <c r="BL75" s="9" t="n"/>
      <c r="BM75" s="9" t="n"/>
      <c r="BN75" s="9" t="n"/>
      <c r="BO75" s="8" t="n"/>
      <c r="BP75" s="9" t="n"/>
      <c r="BQ75" s="9" t="n"/>
      <c r="BR75" s="12">
        <f>IF(AND(AI75="Y",AK75="Y",AL75="Y",AM75="Y",AY75="Y",AZ75="Y",BA75="Y",BB75="Y",BC75="Y",BE75&lt;&gt;"Y",AX75&lt;&gt;"Y",BL75&lt;&gt;"Y",IF(AS75="Y",AV75="Y",TRUE)),"Y","N")</f>
        <v/>
      </c>
      <c r="BS75" s="12">
        <f>IF(AND(BR75="Y",OR(AND(BJ75="Y",BM75="Y"),AND(BK75="Y",BN75="Y"),AND(BJ75&lt;&gt;"Y",BK75&lt;&gt;"Y",OR(BM75="Y",BN75="Y")))),"Y","N")</f>
        <v/>
      </c>
      <c r="BT75" s="10" t="n"/>
      <c r="BU75" s="13" t="n"/>
      <c r="BV75" s="13" t="n"/>
      <c r="BW75" s="13" t="n"/>
      <c r="BX75" s="13" t="n"/>
      <c r="BY75" s="13" t="n"/>
      <c r="BZ75" s="13" t="n"/>
      <c r="CA75" s="14" t="n"/>
      <c r="CB75" s="13" t="n"/>
      <c r="CC75" s="9" t="n"/>
      <c r="CD75" s="9" t="n"/>
      <c r="CE75" s="9" t="n"/>
      <c r="CF75" s="9" t="n"/>
      <c r="CG75" s="9" t="n"/>
      <c r="CH75" s="9" t="n"/>
    </row>
    <row r="76">
      <c r="A76" s="8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8" t="n"/>
      <c r="L76" s="9" t="n"/>
      <c r="M76" s="8" t="n"/>
      <c r="N76" s="8" t="n"/>
      <c r="O76" s="8" t="n"/>
      <c r="P76" s="8" t="n"/>
      <c r="Q76" s="8" t="n"/>
      <c r="R76" s="9" t="n"/>
      <c r="S76" s="9" t="n"/>
      <c r="T76" s="10" t="n"/>
      <c r="U76" s="10" t="n"/>
      <c r="V76" s="9" t="n"/>
      <c r="W76" s="9" t="n"/>
      <c r="X76" s="9" t="n"/>
      <c r="Y76" s="9" t="n"/>
      <c r="Z76" s="11" t="n"/>
      <c r="AA76" s="11" t="n"/>
      <c r="AB76" s="11" t="n"/>
      <c r="AC76" s="11" t="n"/>
      <c r="AD76" s="11" t="n"/>
      <c r="AE76" s="11" t="n"/>
      <c r="AF76" s="9" t="n"/>
      <c r="AG76" s="9" t="n"/>
      <c r="AH76" s="9" t="n"/>
      <c r="AI76" s="9" t="n"/>
      <c r="AJ76" s="8" t="n"/>
      <c r="AK76" s="9" t="n"/>
      <c r="AL76" s="9" t="n"/>
      <c r="AM76" s="9" t="n"/>
      <c r="AN76" s="9" t="n"/>
      <c r="AO76" s="9" t="n"/>
      <c r="AP76" s="9" t="n"/>
      <c r="AQ76" s="9" t="n"/>
      <c r="AR76" s="9" t="n"/>
      <c r="AS76" s="9" t="n"/>
      <c r="AT76" s="8" t="n"/>
      <c r="AU76" s="8" t="n"/>
      <c r="AV76" s="9" t="n"/>
      <c r="AW76" s="8" t="n"/>
      <c r="AX76" s="9" t="n"/>
      <c r="AY76" s="9" t="n"/>
      <c r="AZ76" s="9" t="n"/>
      <c r="BA76" s="9" t="n"/>
      <c r="BB76" s="9" t="n"/>
      <c r="BC76" s="9" t="n"/>
      <c r="BD76" s="9" t="n"/>
      <c r="BE76" s="9" t="n"/>
      <c r="BF76" s="9" t="n"/>
      <c r="BG76" s="9" t="n"/>
      <c r="BH76" s="9" t="n"/>
      <c r="BI76" s="9" t="n"/>
      <c r="BJ76" s="9" t="n"/>
      <c r="BK76" s="9" t="n"/>
      <c r="BL76" s="9" t="n"/>
      <c r="BM76" s="9" t="n"/>
      <c r="BN76" s="9" t="n"/>
      <c r="BO76" s="8" t="n"/>
      <c r="BP76" s="9" t="n"/>
      <c r="BQ76" s="9" t="n"/>
      <c r="BR76" s="12">
        <f>IF(AND(AI76="Y",AK76="Y",AL76="Y",AM76="Y",AY76="Y",AZ76="Y",BA76="Y",BB76="Y",BC76="Y",BE76&lt;&gt;"Y",AX76&lt;&gt;"Y",BL76&lt;&gt;"Y",IF(AS76="Y",AV76="Y",TRUE)),"Y","N")</f>
        <v/>
      </c>
      <c r="BS76" s="12">
        <f>IF(AND(BR76="Y",OR(AND(BJ76="Y",BM76="Y"),AND(BK76="Y",BN76="Y"),AND(BJ76&lt;&gt;"Y",BK76&lt;&gt;"Y",OR(BM76="Y",BN76="Y")))),"Y","N")</f>
        <v/>
      </c>
      <c r="BT76" s="10" t="n"/>
      <c r="BU76" s="13" t="n"/>
      <c r="BV76" s="13" t="n"/>
      <c r="BW76" s="13" t="n"/>
      <c r="BX76" s="13" t="n"/>
      <c r="BY76" s="13" t="n"/>
      <c r="BZ76" s="13" t="n"/>
      <c r="CA76" s="14" t="n"/>
      <c r="CB76" s="13" t="n"/>
      <c r="CC76" s="9" t="n"/>
      <c r="CD76" s="9" t="n"/>
      <c r="CE76" s="9" t="n"/>
      <c r="CF76" s="9" t="n"/>
      <c r="CG76" s="9" t="n"/>
      <c r="CH76" s="9" t="n"/>
    </row>
    <row r="77">
      <c r="A77" s="8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8" t="n"/>
      <c r="L77" s="9" t="n"/>
      <c r="M77" s="8" t="n"/>
      <c r="N77" s="8" t="n"/>
      <c r="O77" s="8" t="n"/>
      <c r="P77" s="8" t="n"/>
      <c r="Q77" s="8" t="n"/>
      <c r="R77" s="9" t="n"/>
      <c r="S77" s="9" t="n"/>
      <c r="T77" s="10" t="n"/>
      <c r="U77" s="10" t="n"/>
      <c r="V77" s="9" t="n"/>
      <c r="W77" s="9" t="n"/>
      <c r="X77" s="9" t="n"/>
      <c r="Y77" s="9" t="n"/>
      <c r="Z77" s="11" t="n"/>
      <c r="AA77" s="11" t="n"/>
      <c r="AB77" s="11" t="n"/>
      <c r="AC77" s="11" t="n"/>
      <c r="AD77" s="11" t="n"/>
      <c r="AE77" s="11" t="n"/>
      <c r="AF77" s="9" t="n"/>
      <c r="AG77" s="9" t="n"/>
      <c r="AH77" s="9" t="n"/>
      <c r="AI77" s="9" t="n"/>
      <c r="AJ77" s="8" t="n"/>
      <c r="AK77" s="9" t="n"/>
      <c r="AL77" s="9" t="n"/>
      <c r="AM77" s="9" t="n"/>
      <c r="AN77" s="9" t="n"/>
      <c r="AO77" s="9" t="n"/>
      <c r="AP77" s="9" t="n"/>
      <c r="AQ77" s="9" t="n"/>
      <c r="AR77" s="9" t="n"/>
      <c r="AS77" s="9" t="n"/>
      <c r="AT77" s="8" t="n"/>
      <c r="AU77" s="8" t="n"/>
      <c r="AV77" s="9" t="n"/>
      <c r="AW77" s="8" t="n"/>
      <c r="AX77" s="9" t="n"/>
      <c r="AY77" s="9" t="n"/>
      <c r="AZ77" s="9" t="n"/>
      <c r="BA77" s="9" t="n"/>
      <c r="BB77" s="9" t="n"/>
      <c r="BC77" s="9" t="n"/>
      <c r="BD77" s="9" t="n"/>
      <c r="BE77" s="9" t="n"/>
      <c r="BF77" s="9" t="n"/>
      <c r="BG77" s="9" t="n"/>
      <c r="BH77" s="9" t="n"/>
      <c r="BI77" s="9" t="n"/>
      <c r="BJ77" s="9" t="n"/>
      <c r="BK77" s="9" t="n"/>
      <c r="BL77" s="9" t="n"/>
      <c r="BM77" s="9" t="n"/>
      <c r="BN77" s="9" t="n"/>
      <c r="BO77" s="8" t="n"/>
      <c r="BP77" s="9" t="n"/>
      <c r="BQ77" s="9" t="n"/>
      <c r="BR77" s="12">
        <f>IF(AND(AI77="Y",AK77="Y",AL77="Y",AM77="Y",AY77="Y",AZ77="Y",BA77="Y",BB77="Y",BC77="Y",BE77&lt;&gt;"Y",AX77&lt;&gt;"Y",BL77&lt;&gt;"Y",IF(AS77="Y",AV77="Y",TRUE)),"Y","N")</f>
        <v/>
      </c>
      <c r="BS77" s="12">
        <f>IF(AND(BR77="Y",OR(AND(BJ77="Y",BM77="Y"),AND(BK77="Y",BN77="Y"),AND(BJ77&lt;&gt;"Y",BK77&lt;&gt;"Y",OR(BM77="Y",BN77="Y")))),"Y","N")</f>
        <v/>
      </c>
      <c r="BT77" s="10" t="n"/>
      <c r="BU77" s="13" t="n"/>
      <c r="BV77" s="13" t="n"/>
      <c r="BW77" s="13" t="n"/>
      <c r="BX77" s="13" t="n"/>
      <c r="BY77" s="13" t="n"/>
      <c r="BZ77" s="13" t="n"/>
      <c r="CA77" s="14" t="n"/>
      <c r="CB77" s="13" t="n"/>
      <c r="CC77" s="9" t="n"/>
      <c r="CD77" s="9" t="n"/>
      <c r="CE77" s="9" t="n"/>
      <c r="CF77" s="9" t="n"/>
      <c r="CG77" s="9" t="n"/>
      <c r="CH77" s="9" t="n"/>
    </row>
    <row r="78">
      <c r="A78" s="8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8" t="n"/>
      <c r="L78" s="9" t="n"/>
      <c r="M78" s="8" t="n"/>
      <c r="N78" s="8" t="n"/>
      <c r="O78" s="8" t="n"/>
      <c r="P78" s="8" t="n"/>
      <c r="Q78" s="8" t="n"/>
      <c r="R78" s="9" t="n"/>
      <c r="S78" s="9" t="n"/>
      <c r="T78" s="10" t="n"/>
      <c r="U78" s="10" t="n"/>
      <c r="V78" s="9" t="n"/>
      <c r="W78" s="9" t="n"/>
      <c r="X78" s="9" t="n"/>
      <c r="Y78" s="9" t="n"/>
      <c r="Z78" s="11" t="n"/>
      <c r="AA78" s="11" t="n"/>
      <c r="AB78" s="11" t="n"/>
      <c r="AC78" s="11" t="n"/>
      <c r="AD78" s="11" t="n"/>
      <c r="AE78" s="11" t="n"/>
      <c r="AF78" s="9" t="n"/>
      <c r="AG78" s="9" t="n"/>
      <c r="AH78" s="9" t="n"/>
      <c r="AI78" s="9" t="n"/>
      <c r="AJ78" s="8" t="n"/>
      <c r="AK78" s="9" t="n"/>
      <c r="AL78" s="9" t="n"/>
      <c r="AM78" s="9" t="n"/>
      <c r="AN78" s="9" t="n"/>
      <c r="AO78" s="9" t="n"/>
      <c r="AP78" s="9" t="n"/>
      <c r="AQ78" s="9" t="n"/>
      <c r="AR78" s="9" t="n"/>
      <c r="AS78" s="9" t="n"/>
      <c r="AT78" s="8" t="n"/>
      <c r="AU78" s="8" t="n"/>
      <c r="AV78" s="9" t="n"/>
      <c r="AW78" s="8" t="n"/>
      <c r="AX78" s="9" t="n"/>
      <c r="AY78" s="9" t="n"/>
      <c r="AZ78" s="9" t="n"/>
      <c r="BA78" s="9" t="n"/>
      <c r="BB78" s="9" t="n"/>
      <c r="BC78" s="9" t="n"/>
      <c r="BD78" s="9" t="n"/>
      <c r="BE78" s="9" t="n"/>
      <c r="BF78" s="9" t="n"/>
      <c r="BG78" s="9" t="n"/>
      <c r="BH78" s="9" t="n"/>
      <c r="BI78" s="9" t="n"/>
      <c r="BJ78" s="9" t="n"/>
      <c r="BK78" s="9" t="n"/>
      <c r="BL78" s="9" t="n"/>
      <c r="BM78" s="9" t="n"/>
      <c r="BN78" s="9" t="n"/>
      <c r="BO78" s="8" t="n"/>
      <c r="BP78" s="9" t="n"/>
      <c r="BQ78" s="9" t="n"/>
      <c r="BR78" s="12">
        <f>IF(AND(AI78="Y",AK78="Y",AL78="Y",AM78="Y",AY78="Y",AZ78="Y",BA78="Y",BB78="Y",BC78="Y",BE78&lt;&gt;"Y",AX78&lt;&gt;"Y",BL78&lt;&gt;"Y",IF(AS78="Y",AV78="Y",TRUE)),"Y","N")</f>
        <v/>
      </c>
      <c r="BS78" s="12">
        <f>IF(AND(BR78="Y",OR(AND(BJ78="Y",BM78="Y"),AND(BK78="Y",BN78="Y"),AND(BJ78&lt;&gt;"Y",BK78&lt;&gt;"Y",OR(BM78="Y",BN78="Y")))),"Y","N")</f>
        <v/>
      </c>
      <c r="BT78" s="10" t="n"/>
      <c r="BU78" s="13" t="n"/>
      <c r="BV78" s="13" t="n"/>
      <c r="BW78" s="13" t="n"/>
      <c r="BX78" s="13" t="n"/>
      <c r="BY78" s="13" t="n"/>
      <c r="BZ78" s="13" t="n"/>
      <c r="CA78" s="14" t="n"/>
      <c r="CB78" s="13" t="n"/>
      <c r="CC78" s="9" t="n"/>
      <c r="CD78" s="9" t="n"/>
      <c r="CE78" s="9" t="n"/>
      <c r="CF78" s="9" t="n"/>
      <c r="CG78" s="9" t="n"/>
      <c r="CH78" s="9" t="n"/>
    </row>
    <row r="79">
      <c r="A79" s="8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8" t="n"/>
      <c r="L79" s="9" t="n"/>
      <c r="M79" s="8" t="n"/>
      <c r="N79" s="8" t="n"/>
      <c r="O79" s="8" t="n"/>
      <c r="P79" s="8" t="n"/>
      <c r="Q79" s="8" t="n"/>
      <c r="R79" s="9" t="n"/>
      <c r="S79" s="9" t="n"/>
      <c r="T79" s="10" t="n"/>
      <c r="U79" s="10" t="n"/>
      <c r="V79" s="9" t="n"/>
      <c r="W79" s="9" t="n"/>
      <c r="X79" s="9" t="n"/>
      <c r="Y79" s="9" t="n"/>
      <c r="Z79" s="11" t="n"/>
      <c r="AA79" s="11" t="n"/>
      <c r="AB79" s="11" t="n"/>
      <c r="AC79" s="11" t="n"/>
      <c r="AD79" s="11" t="n"/>
      <c r="AE79" s="11" t="n"/>
      <c r="AF79" s="9" t="n"/>
      <c r="AG79" s="9" t="n"/>
      <c r="AH79" s="9" t="n"/>
      <c r="AI79" s="9" t="n"/>
      <c r="AJ79" s="8" t="n"/>
      <c r="AK79" s="9" t="n"/>
      <c r="AL79" s="9" t="n"/>
      <c r="AM79" s="9" t="n"/>
      <c r="AN79" s="9" t="n"/>
      <c r="AO79" s="9" t="n"/>
      <c r="AP79" s="9" t="n"/>
      <c r="AQ79" s="9" t="n"/>
      <c r="AR79" s="9" t="n"/>
      <c r="AS79" s="9" t="n"/>
      <c r="AT79" s="8" t="n"/>
      <c r="AU79" s="8" t="n"/>
      <c r="AV79" s="9" t="n"/>
      <c r="AW79" s="8" t="n"/>
      <c r="AX79" s="9" t="n"/>
      <c r="AY79" s="9" t="n"/>
      <c r="AZ79" s="9" t="n"/>
      <c r="BA79" s="9" t="n"/>
      <c r="BB79" s="9" t="n"/>
      <c r="BC79" s="9" t="n"/>
      <c r="BD79" s="9" t="n"/>
      <c r="BE79" s="9" t="n"/>
      <c r="BF79" s="9" t="n"/>
      <c r="BG79" s="9" t="n"/>
      <c r="BH79" s="9" t="n"/>
      <c r="BI79" s="9" t="n"/>
      <c r="BJ79" s="9" t="n"/>
      <c r="BK79" s="9" t="n"/>
      <c r="BL79" s="9" t="n"/>
      <c r="BM79" s="9" t="n"/>
      <c r="BN79" s="9" t="n"/>
      <c r="BO79" s="8" t="n"/>
      <c r="BP79" s="9" t="n"/>
      <c r="BQ79" s="9" t="n"/>
      <c r="BR79" s="12">
        <f>IF(AND(AI79="Y",AK79="Y",AL79="Y",AM79="Y",AY79="Y",AZ79="Y",BA79="Y",BB79="Y",BC79="Y",BE79&lt;&gt;"Y",AX79&lt;&gt;"Y",BL79&lt;&gt;"Y",IF(AS79="Y",AV79="Y",TRUE)),"Y","N")</f>
        <v/>
      </c>
      <c r="BS79" s="12">
        <f>IF(AND(BR79="Y",OR(AND(BJ79="Y",BM79="Y"),AND(BK79="Y",BN79="Y"),AND(BJ79&lt;&gt;"Y",BK79&lt;&gt;"Y",OR(BM79="Y",BN79="Y")))),"Y","N")</f>
        <v/>
      </c>
      <c r="BT79" s="10" t="n"/>
      <c r="BU79" s="13" t="n"/>
      <c r="BV79" s="13" t="n"/>
      <c r="BW79" s="13" t="n"/>
      <c r="BX79" s="13" t="n"/>
      <c r="BY79" s="13" t="n"/>
      <c r="BZ79" s="13" t="n"/>
      <c r="CA79" s="14" t="n"/>
      <c r="CB79" s="13" t="n"/>
      <c r="CC79" s="9" t="n"/>
      <c r="CD79" s="9" t="n"/>
      <c r="CE79" s="9" t="n"/>
      <c r="CF79" s="9" t="n"/>
      <c r="CG79" s="9" t="n"/>
      <c r="CH79" s="9" t="n"/>
    </row>
    <row r="80">
      <c r="A80" s="8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8" t="n"/>
      <c r="L80" s="9" t="n"/>
      <c r="M80" s="8" t="n"/>
      <c r="N80" s="8" t="n"/>
      <c r="O80" s="8" t="n"/>
      <c r="P80" s="8" t="n"/>
      <c r="Q80" s="8" t="n"/>
      <c r="R80" s="9" t="n"/>
      <c r="S80" s="9" t="n"/>
      <c r="T80" s="10" t="n"/>
      <c r="U80" s="10" t="n"/>
      <c r="V80" s="9" t="n"/>
      <c r="W80" s="9" t="n"/>
      <c r="X80" s="9" t="n"/>
      <c r="Y80" s="9" t="n"/>
      <c r="Z80" s="11" t="n"/>
      <c r="AA80" s="11" t="n"/>
      <c r="AB80" s="11" t="n"/>
      <c r="AC80" s="11" t="n"/>
      <c r="AD80" s="11" t="n"/>
      <c r="AE80" s="11" t="n"/>
      <c r="AF80" s="9" t="n"/>
      <c r="AG80" s="9" t="n"/>
      <c r="AH80" s="9" t="n"/>
      <c r="AI80" s="9" t="n"/>
      <c r="AJ80" s="8" t="n"/>
      <c r="AK80" s="9" t="n"/>
      <c r="AL80" s="9" t="n"/>
      <c r="AM80" s="9" t="n"/>
      <c r="AN80" s="9" t="n"/>
      <c r="AO80" s="9" t="n"/>
      <c r="AP80" s="9" t="n"/>
      <c r="AQ80" s="9" t="n"/>
      <c r="AR80" s="9" t="n"/>
      <c r="AS80" s="9" t="n"/>
      <c r="AT80" s="8" t="n"/>
      <c r="AU80" s="8" t="n"/>
      <c r="AV80" s="9" t="n"/>
      <c r="AW80" s="8" t="n"/>
      <c r="AX80" s="9" t="n"/>
      <c r="AY80" s="9" t="n"/>
      <c r="AZ80" s="9" t="n"/>
      <c r="BA80" s="9" t="n"/>
      <c r="BB80" s="9" t="n"/>
      <c r="BC80" s="9" t="n"/>
      <c r="BD80" s="9" t="n"/>
      <c r="BE80" s="9" t="n"/>
      <c r="BF80" s="9" t="n"/>
      <c r="BG80" s="9" t="n"/>
      <c r="BH80" s="9" t="n"/>
      <c r="BI80" s="9" t="n"/>
      <c r="BJ80" s="9" t="n"/>
      <c r="BK80" s="9" t="n"/>
      <c r="BL80" s="9" t="n"/>
      <c r="BM80" s="9" t="n"/>
      <c r="BN80" s="9" t="n"/>
      <c r="BO80" s="8" t="n"/>
      <c r="BP80" s="9" t="n"/>
      <c r="BQ80" s="9" t="n"/>
      <c r="BR80" s="12">
        <f>IF(AND(AI80="Y",AK80="Y",AL80="Y",AM80="Y",AY80="Y",AZ80="Y",BA80="Y",BB80="Y",BC80="Y",BE80&lt;&gt;"Y",AX80&lt;&gt;"Y",BL80&lt;&gt;"Y",IF(AS80="Y",AV80="Y",TRUE)),"Y","N")</f>
        <v/>
      </c>
      <c r="BS80" s="12">
        <f>IF(AND(BR80="Y",OR(AND(BJ80="Y",BM80="Y"),AND(BK80="Y",BN80="Y"),AND(BJ80&lt;&gt;"Y",BK80&lt;&gt;"Y",OR(BM80="Y",BN80="Y")))),"Y","N")</f>
        <v/>
      </c>
      <c r="BT80" s="10" t="n"/>
      <c r="BU80" s="13" t="n"/>
      <c r="BV80" s="13" t="n"/>
      <c r="BW80" s="13" t="n"/>
      <c r="BX80" s="13" t="n"/>
      <c r="BY80" s="13" t="n"/>
      <c r="BZ80" s="13" t="n"/>
      <c r="CA80" s="14" t="n"/>
      <c r="CB80" s="13" t="n"/>
      <c r="CC80" s="9" t="n"/>
      <c r="CD80" s="9" t="n"/>
      <c r="CE80" s="9" t="n"/>
      <c r="CF80" s="9" t="n"/>
      <c r="CG80" s="9" t="n"/>
      <c r="CH80" s="9" t="n"/>
    </row>
    <row r="81">
      <c r="A81" s="8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8" t="n"/>
      <c r="L81" s="9" t="n"/>
      <c r="M81" s="8" t="n"/>
      <c r="N81" s="8" t="n"/>
      <c r="O81" s="8" t="n"/>
      <c r="P81" s="8" t="n"/>
      <c r="Q81" s="8" t="n"/>
      <c r="R81" s="9" t="n"/>
      <c r="S81" s="9" t="n"/>
      <c r="T81" s="10" t="n"/>
      <c r="U81" s="10" t="n"/>
      <c r="V81" s="9" t="n"/>
      <c r="W81" s="9" t="n"/>
      <c r="X81" s="9" t="n"/>
      <c r="Y81" s="9" t="n"/>
      <c r="Z81" s="11" t="n"/>
      <c r="AA81" s="11" t="n"/>
      <c r="AB81" s="11" t="n"/>
      <c r="AC81" s="11" t="n"/>
      <c r="AD81" s="11" t="n"/>
      <c r="AE81" s="11" t="n"/>
      <c r="AF81" s="9" t="n"/>
      <c r="AG81" s="9" t="n"/>
      <c r="AH81" s="9" t="n"/>
      <c r="AI81" s="9" t="n"/>
      <c r="AJ81" s="8" t="n"/>
      <c r="AK81" s="9" t="n"/>
      <c r="AL81" s="9" t="n"/>
      <c r="AM81" s="9" t="n"/>
      <c r="AN81" s="9" t="n"/>
      <c r="AO81" s="9" t="n"/>
      <c r="AP81" s="9" t="n"/>
      <c r="AQ81" s="9" t="n"/>
      <c r="AR81" s="9" t="n"/>
      <c r="AS81" s="9" t="n"/>
      <c r="AT81" s="8" t="n"/>
      <c r="AU81" s="8" t="n"/>
      <c r="AV81" s="9" t="n"/>
      <c r="AW81" s="8" t="n"/>
      <c r="AX81" s="9" t="n"/>
      <c r="AY81" s="9" t="n"/>
      <c r="AZ81" s="9" t="n"/>
      <c r="BA81" s="9" t="n"/>
      <c r="BB81" s="9" t="n"/>
      <c r="BC81" s="9" t="n"/>
      <c r="BD81" s="9" t="n"/>
      <c r="BE81" s="9" t="n"/>
      <c r="BF81" s="9" t="n"/>
      <c r="BG81" s="9" t="n"/>
      <c r="BH81" s="9" t="n"/>
      <c r="BI81" s="9" t="n"/>
      <c r="BJ81" s="9" t="n"/>
      <c r="BK81" s="9" t="n"/>
      <c r="BL81" s="9" t="n"/>
      <c r="BM81" s="9" t="n"/>
      <c r="BN81" s="9" t="n"/>
      <c r="BO81" s="8" t="n"/>
      <c r="BP81" s="9" t="n"/>
      <c r="BQ81" s="9" t="n"/>
      <c r="BR81" s="12">
        <f>IF(AND(AI81="Y",AK81="Y",AL81="Y",AM81="Y",AY81="Y",AZ81="Y",BA81="Y",BB81="Y",BC81="Y",BE81&lt;&gt;"Y",AX81&lt;&gt;"Y",BL81&lt;&gt;"Y",IF(AS81="Y",AV81="Y",TRUE)),"Y","N")</f>
        <v/>
      </c>
      <c r="BS81" s="12">
        <f>IF(AND(BR81="Y",OR(AND(BJ81="Y",BM81="Y"),AND(BK81="Y",BN81="Y"),AND(BJ81&lt;&gt;"Y",BK81&lt;&gt;"Y",OR(BM81="Y",BN81="Y")))),"Y","N")</f>
        <v/>
      </c>
      <c r="BT81" s="10" t="n"/>
      <c r="BU81" s="13" t="n"/>
      <c r="BV81" s="13" t="n"/>
      <c r="BW81" s="13" t="n"/>
      <c r="BX81" s="13" t="n"/>
      <c r="BY81" s="13" t="n"/>
      <c r="BZ81" s="13" t="n"/>
      <c r="CA81" s="14" t="n"/>
      <c r="CB81" s="13" t="n"/>
      <c r="CC81" s="9" t="n"/>
      <c r="CD81" s="9" t="n"/>
      <c r="CE81" s="9" t="n"/>
      <c r="CF81" s="9" t="n"/>
      <c r="CG81" s="9" t="n"/>
      <c r="CH81" s="9" t="n"/>
    </row>
    <row r="82">
      <c r="A82" s="8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8" t="n"/>
      <c r="L82" s="9" t="n"/>
      <c r="M82" s="8" t="n"/>
      <c r="N82" s="8" t="n"/>
      <c r="O82" s="8" t="n"/>
      <c r="P82" s="8" t="n"/>
      <c r="Q82" s="8" t="n"/>
      <c r="R82" s="9" t="n"/>
      <c r="S82" s="9" t="n"/>
      <c r="T82" s="10" t="n"/>
      <c r="U82" s="10" t="n"/>
      <c r="V82" s="9" t="n"/>
      <c r="W82" s="9" t="n"/>
      <c r="X82" s="9" t="n"/>
      <c r="Y82" s="9" t="n"/>
      <c r="Z82" s="11" t="n"/>
      <c r="AA82" s="11" t="n"/>
      <c r="AB82" s="11" t="n"/>
      <c r="AC82" s="11" t="n"/>
      <c r="AD82" s="11" t="n"/>
      <c r="AE82" s="11" t="n"/>
      <c r="AF82" s="9" t="n"/>
      <c r="AG82" s="9" t="n"/>
      <c r="AH82" s="9" t="n"/>
      <c r="AI82" s="9" t="n"/>
      <c r="AJ82" s="8" t="n"/>
      <c r="AK82" s="9" t="n"/>
      <c r="AL82" s="9" t="n"/>
      <c r="AM82" s="9" t="n"/>
      <c r="AN82" s="9" t="n"/>
      <c r="AO82" s="9" t="n"/>
      <c r="AP82" s="9" t="n"/>
      <c r="AQ82" s="9" t="n"/>
      <c r="AR82" s="9" t="n"/>
      <c r="AS82" s="9" t="n"/>
      <c r="AT82" s="8" t="n"/>
      <c r="AU82" s="8" t="n"/>
      <c r="AV82" s="9" t="n"/>
      <c r="AW82" s="8" t="n"/>
      <c r="AX82" s="9" t="n"/>
      <c r="AY82" s="9" t="n"/>
      <c r="AZ82" s="9" t="n"/>
      <c r="BA82" s="9" t="n"/>
      <c r="BB82" s="9" t="n"/>
      <c r="BC82" s="9" t="n"/>
      <c r="BD82" s="9" t="n"/>
      <c r="BE82" s="9" t="n"/>
      <c r="BF82" s="9" t="n"/>
      <c r="BG82" s="9" t="n"/>
      <c r="BH82" s="9" t="n"/>
      <c r="BI82" s="9" t="n"/>
      <c r="BJ82" s="9" t="n"/>
      <c r="BK82" s="9" t="n"/>
      <c r="BL82" s="9" t="n"/>
      <c r="BM82" s="9" t="n"/>
      <c r="BN82" s="9" t="n"/>
      <c r="BO82" s="8" t="n"/>
      <c r="BP82" s="9" t="n"/>
      <c r="BQ82" s="9" t="n"/>
      <c r="BR82" s="12">
        <f>IF(AND(AI82="Y",AK82="Y",AL82="Y",AM82="Y",AY82="Y",AZ82="Y",BA82="Y",BB82="Y",BC82="Y",BE82&lt;&gt;"Y",AX82&lt;&gt;"Y",BL82&lt;&gt;"Y",IF(AS82="Y",AV82="Y",TRUE)),"Y","N")</f>
        <v/>
      </c>
      <c r="BS82" s="12">
        <f>IF(AND(BR82="Y",OR(AND(BJ82="Y",BM82="Y"),AND(BK82="Y",BN82="Y"),AND(BJ82&lt;&gt;"Y",BK82&lt;&gt;"Y",OR(BM82="Y",BN82="Y")))),"Y","N")</f>
        <v/>
      </c>
      <c r="BT82" s="10" t="n"/>
      <c r="BU82" s="13" t="n"/>
      <c r="BV82" s="13" t="n"/>
      <c r="BW82" s="13" t="n"/>
      <c r="BX82" s="13" t="n"/>
      <c r="BY82" s="13" t="n"/>
      <c r="BZ82" s="13" t="n"/>
      <c r="CA82" s="14" t="n"/>
      <c r="CB82" s="13" t="n"/>
      <c r="CC82" s="9" t="n"/>
      <c r="CD82" s="9" t="n"/>
      <c r="CE82" s="9" t="n"/>
      <c r="CF82" s="9" t="n"/>
      <c r="CG82" s="9" t="n"/>
      <c r="CH82" s="9" t="n"/>
    </row>
    <row r="83">
      <c r="A83" s="8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8" t="n"/>
      <c r="L83" s="9" t="n"/>
      <c r="M83" s="8" t="n"/>
      <c r="N83" s="8" t="n"/>
      <c r="O83" s="8" t="n"/>
      <c r="P83" s="8" t="n"/>
      <c r="Q83" s="8" t="n"/>
      <c r="R83" s="9" t="n"/>
      <c r="S83" s="9" t="n"/>
      <c r="T83" s="10" t="n"/>
      <c r="U83" s="10" t="n"/>
      <c r="V83" s="9" t="n"/>
      <c r="W83" s="9" t="n"/>
      <c r="X83" s="9" t="n"/>
      <c r="Y83" s="9" t="n"/>
      <c r="Z83" s="11" t="n"/>
      <c r="AA83" s="11" t="n"/>
      <c r="AB83" s="11" t="n"/>
      <c r="AC83" s="11" t="n"/>
      <c r="AD83" s="11" t="n"/>
      <c r="AE83" s="11" t="n"/>
      <c r="AF83" s="9" t="n"/>
      <c r="AG83" s="9" t="n"/>
      <c r="AH83" s="9" t="n"/>
      <c r="AI83" s="9" t="n"/>
      <c r="AJ83" s="8" t="n"/>
      <c r="AK83" s="9" t="n"/>
      <c r="AL83" s="9" t="n"/>
      <c r="AM83" s="9" t="n"/>
      <c r="AN83" s="9" t="n"/>
      <c r="AO83" s="9" t="n"/>
      <c r="AP83" s="9" t="n"/>
      <c r="AQ83" s="9" t="n"/>
      <c r="AR83" s="9" t="n"/>
      <c r="AS83" s="9" t="n"/>
      <c r="AT83" s="8" t="n"/>
      <c r="AU83" s="8" t="n"/>
      <c r="AV83" s="9" t="n"/>
      <c r="AW83" s="8" t="n"/>
      <c r="AX83" s="9" t="n"/>
      <c r="AY83" s="9" t="n"/>
      <c r="AZ83" s="9" t="n"/>
      <c r="BA83" s="9" t="n"/>
      <c r="BB83" s="9" t="n"/>
      <c r="BC83" s="9" t="n"/>
      <c r="BD83" s="9" t="n"/>
      <c r="BE83" s="9" t="n"/>
      <c r="BF83" s="9" t="n"/>
      <c r="BG83" s="9" t="n"/>
      <c r="BH83" s="9" t="n"/>
      <c r="BI83" s="9" t="n"/>
      <c r="BJ83" s="9" t="n"/>
      <c r="BK83" s="9" t="n"/>
      <c r="BL83" s="9" t="n"/>
      <c r="BM83" s="9" t="n"/>
      <c r="BN83" s="9" t="n"/>
      <c r="BO83" s="8" t="n"/>
      <c r="BP83" s="9" t="n"/>
      <c r="BQ83" s="9" t="n"/>
      <c r="BR83" s="12">
        <f>IF(AND(AI83="Y",AK83="Y",AL83="Y",AM83="Y",AY83="Y",AZ83="Y",BA83="Y",BB83="Y",BC83="Y",BE83&lt;&gt;"Y",AX83&lt;&gt;"Y",BL83&lt;&gt;"Y",IF(AS83="Y",AV83="Y",TRUE)),"Y","N")</f>
        <v/>
      </c>
      <c r="BS83" s="12">
        <f>IF(AND(BR83="Y",OR(AND(BJ83="Y",BM83="Y"),AND(BK83="Y",BN83="Y"),AND(BJ83&lt;&gt;"Y",BK83&lt;&gt;"Y",OR(BM83="Y",BN83="Y")))),"Y","N")</f>
        <v/>
      </c>
      <c r="BT83" s="10" t="n"/>
      <c r="BU83" s="13" t="n"/>
      <c r="BV83" s="13" t="n"/>
      <c r="BW83" s="13" t="n"/>
      <c r="BX83" s="13" t="n"/>
      <c r="BY83" s="13" t="n"/>
      <c r="BZ83" s="13" t="n"/>
      <c r="CA83" s="14" t="n"/>
      <c r="CB83" s="13" t="n"/>
      <c r="CC83" s="9" t="n"/>
      <c r="CD83" s="9" t="n"/>
      <c r="CE83" s="9" t="n"/>
      <c r="CF83" s="9" t="n"/>
      <c r="CG83" s="9" t="n"/>
      <c r="CH83" s="9" t="n"/>
    </row>
    <row r="84">
      <c r="A84" s="8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8" t="n"/>
      <c r="L84" s="9" t="n"/>
      <c r="M84" s="8" t="n"/>
      <c r="N84" s="8" t="n"/>
      <c r="O84" s="8" t="n"/>
      <c r="P84" s="8" t="n"/>
      <c r="Q84" s="8" t="n"/>
      <c r="R84" s="9" t="n"/>
      <c r="S84" s="9" t="n"/>
      <c r="T84" s="10" t="n"/>
      <c r="U84" s="10" t="n"/>
      <c r="V84" s="9" t="n"/>
      <c r="W84" s="9" t="n"/>
      <c r="X84" s="9" t="n"/>
      <c r="Y84" s="9" t="n"/>
      <c r="Z84" s="11" t="n"/>
      <c r="AA84" s="11" t="n"/>
      <c r="AB84" s="11" t="n"/>
      <c r="AC84" s="11" t="n"/>
      <c r="AD84" s="11" t="n"/>
      <c r="AE84" s="11" t="n"/>
      <c r="AF84" s="9" t="n"/>
      <c r="AG84" s="9" t="n"/>
      <c r="AH84" s="9" t="n"/>
      <c r="AI84" s="9" t="n"/>
      <c r="AJ84" s="8" t="n"/>
      <c r="AK84" s="9" t="n"/>
      <c r="AL84" s="9" t="n"/>
      <c r="AM84" s="9" t="n"/>
      <c r="AN84" s="9" t="n"/>
      <c r="AO84" s="9" t="n"/>
      <c r="AP84" s="9" t="n"/>
      <c r="AQ84" s="9" t="n"/>
      <c r="AR84" s="9" t="n"/>
      <c r="AS84" s="9" t="n"/>
      <c r="AT84" s="8" t="n"/>
      <c r="AU84" s="8" t="n"/>
      <c r="AV84" s="9" t="n"/>
      <c r="AW84" s="8" t="n"/>
      <c r="AX84" s="9" t="n"/>
      <c r="AY84" s="9" t="n"/>
      <c r="AZ84" s="9" t="n"/>
      <c r="BA84" s="9" t="n"/>
      <c r="BB84" s="9" t="n"/>
      <c r="BC84" s="9" t="n"/>
      <c r="BD84" s="9" t="n"/>
      <c r="BE84" s="9" t="n"/>
      <c r="BF84" s="9" t="n"/>
      <c r="BG84" s="9" t="n"/>
      <c r="BH84" s="9" t="n"/>
      <c r="BI84" s="9" t="n"/>
      <c r="BJ84" s="9" t="n"/>
      <c r="BK84" s="9" t="n"/>
      <c r="BL84" s="9" t="n"/>
      <c r="BM84" s="9" t="n"/>
      <c r="BN84" s="9" t="n"/>
      <c r="BO84" s="8" t="n"/>
      <c r="BP84" s="9" t="n"/>
      <c r="BQ84" s="9" t="n"/>
      <c r="BR84" s="12">
        <f>IF(AND(AI84="Y",AK84="Y",AL84="Y",AM84="Y",AY84="Y",AZ84="Y",BA84="Y",BB84="Y",BC84="Y",BE84&lt;&gt;"Y",AX84&lt;&gt;"Y",BL84&lt;&gt;"Y",IF(AS84="Y",AV84="Y",TRUE)),"Y","N")</f>
        <v/>
      </c>
      <c r="BS84" s="12">
        <f>IF(AND(BR84="Y",OR(AND(BJ84="Y",BM84="Y"),AND(BK84="Y",BN84="Y"),AND(BJ84&lt;&gt;"Y",BK84&lt;&gt;"Y",OR(BM84="Y",BN84="Y")))),"Y","N")</f>
        <v/>
      </c>
      <c r="BT84" s="10" t="n"/>
      <c r="BU84" s="13" t="n"/>
      <c r="BV84" s="13" t="n"/>
      <c r="BW84" s="13" t="n"/>
      <c r="BX84" s="13" t="n"/>
      <c r="BY84" s="13" t="n"/>
      <c r="BZ84" s="13" t="n"/>
      <c r="CA84" s="14" t="n"/>
      <c r="CB84" s="13" t="n"/>
      <c r="CC84" s="9" t="n"/>
      <c r="CD84" s="9" t="n"/>
      <c r="CE84" s="9" t="n"/>
      <c r="CF84" s="9" t="n"/>
      <c r="CG84" s="9" t="n"/>
      <c r="CH84" s="9" t="n"/>
    </row>
    <row r="85">
      <c r="A85" s="8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8" t="n"/>
      <c r="L85" s="9" t="n"/>
      <c r="M85" s="8" t="n"/>
      <c r="N85" s="8" t="n"/>
      <c r="O85" s="8" t="n"/>
      <c r="P85" s="8" t="n"/>
      <c r="Q85" s="8" t="n"/>
      <c r="R85" s="9" t="n"/>
      <c r="S85" s="9" t="n"/>
      <c r="T85" s="10" t="n"/>
      <c r="U85" s="10" t="n"/>
      <c r="V85" s="9" t="n"/>
      <c r="W85" s="9" t="n"/>
      <c r="X85" s="9" t="n"/>
      <c r="Y85" s="9" t="n"/>
      <c r="Z85" s="11" t="n"/>
      <c r="AA85" s="11" t="n"/>
      <c r="AB85" s="11" t="n"/>
      <c r="AC85" s="11" t="n"/>
      <c r="AD85" s="11" t="n"/>
      <c r="AE85" s="11" t="n"/>
      <c r="AF85" s="9" t="n"/>
      <c r="AG85" s="9" t="n"/>
      <c r="AH85" s="9" t="n"/>
      <c r="AI85" s="9" t="n"/>
      <c r="AJ85" s="8" t="n"/>
      <c r="AK85" s="9" t="n"/>
      <c r="AL85" s="9" t="n"/>
      <c r="AM85" s="9" t="n"/>
      <c r="AN85" s="9" t="n"/>
      <c r="AO85" s="9" t="n"/>
      <c r="AP85" s="9" t="n"/>
      <c r="AQ85" s="9" t="n"/>
      <c r="AR85" s="9" t="n"/>
      <c r="AS85" s="9" t="n"/>
      <c r="AT85" s="8" t="n"/>
      <c r="AU85" s="8" t="n"/>
      <c r="AV85" s="9" t="n"/>
      <c r="AW85" s="8" t="n"/>
      <c r="AX85" s="9" t="n"/>
      <c r="AY85" s="9" t="n"/>
      <c r="AZ85" s="9" t="n"/>
      <c r="BA85" s="9" t="n"/>
      <c r="BB85" s="9" t="n"/>
      <c r="BC85" s="9" t="n"/>
      <c r="BD85" s="9" t="n"/>
      <c r="BE85" s="9" t="n"/>
      <c r="BF85" s="9" t="n"/>
      <c r="BG85" s="9" t="n"/>
      <c r="BH85" s="9" t="n"/>
      <c r="BI85" s="9" t="n"/>
      <c r="BJ85" s="9" t="n"/>
      <c r="BK85" s="9" t="n"/>
      <c r="BL85" s="9" t="n"/>
      <c r="BM85" s="9" t="n"/>
      <c r="BN85" s="9" t="n"/>
      <c r="BO85" s="8" t="n"/>
      <c r="BP85" s="9" t="n"/>
      <c r="BQ85" s="9" t="n"/>
      <c r="BR85" s="12">
        <f>IF(AND(AI85="Y",AK85="Y",AL85="Y",AM85="Y",AY85="Y",AZ85="Y",BA85="Y",BB85="Y",BC85="Y",BE85&lt;&gt;"Y",AX85&lt;&gt;"Y",BL85&lt;&gt;"Y",IF(AS85="Y",AV85="Y",TRUE)),"Y","N")</f>
        <v/>
      </c>
      <c r="BS85" s="12">
        <f>IF(AND(BR85="Y",OR(AND(BJ85="Y",BM85="Y"),AND(BK85="Y",BN85="Y"),AND(BJ85&lt;&gt;"Y",BK85&lt;&gt;"Y",OR(BM85="Y",BN85="Y")))),"Y","N")</f>
        <v/>
      </c>
      <c r="BT85" s="10" t="n"/>
      <c r="BU85" s="13" t="n"/>
      <c r="BV85" s="13" t="n"/>
      <c r="BW85" s="13" t="n"/>
      <c r="BX85" s="13" t="n"/>
      <c r="BY85" s="13" t="n"/>
      <c r="BZ85" s="13" t="n"/>
      <c r="CA85" s="14" t="n"/>
      <c r="CB85" s="13" t="n"/>
      <c r="CC85" s="9" t="n"/>
      <c r="CD85" s="9" t="n"/>
      <c r="CE85" s="9" t="n"/>
      <c r="CF85" s="9" t="n"/>
      <c r="CG85" s="9" t="n"/>
      <c r="CH85" s="9" t="n"/>
    </row>
    <row r="86">
      <c r="A86" s="8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8" t="n"/>
      <c r="L86" s="9" t="n"/>
      <c r="M86" s="8" t="n"/>
      <c r="N86" s="8" t="n"/>
      <c r="O86" s="8" t="n"/>
      <c r="P86" s="8" t="n"/>
      <c r="Q86" s="8" t="n"/>
      <c r="R86" s="9" t="n"/>
      <c r="S86" s="9" t="n"/>
      <c r="T86" s="10" t="n"/>
      <c r="U86" s="10" t="n"/>
      <c r="V86" s="9" t="n"/>
      <c r="W86" s="9" t="n"/>
      <c r="X86" s="9" t="n"/>
      <c r="Y86" s="9" t="n"/>
      <c r="Z86" s="11" t="n"/>
      <c r="AA86" s="11" t="n"/>
      <c r="AB86" s="11" t="n"/>
      <c r="AC86" s="11" t="n"/>
      <c r="AD86" s="11" t="n"/>
      <c r="AE86" s="11" t="n"/>
      <c r="AF86" s="9" t="n"/>
      <c r="AG86" s="9" t="n"/>
      <c r="AH86" s="9" t="n"/>
      <c r="AI86" s="9" t="n"/>
      <c r="AJ86" s="8" t="n"/>
      <c r="AK86" s="9" t="n"/>
      <c r="AL86" s="9" t="n"/>
      <c r="AM86" s="9" t="n"/>
      <c r="AN86" s="9" t="n"/>
      <c r="AO86" s="9" t="n"/>
      <c r="AP86" s="9" t="n"/>
      <c r="AQ86" s="9" t="n"/>
      <c r="AR86" s="9" t="n"/>
      <c r="AS86" s="9" t="n"/>
      <c r="AT86" s="8" t="n"/>
      <c r="AU86" s="8" t="n"/>
      <c r="AV86" s="9" t="n"/>
      <c r="AW86" s="8" t="n"/>
      <c r="AX86" s="9" t="n"/>
      <c r="AY86" s="9" t="n"/>
      <c r="AZ86" s="9" t="n"/>
      <c r="BA86" s="9" t="n"/>
      <c r="BB86" s="9" t="n"/>
      <c r="BC86" s="9" t="n"/>
      <c r="BD86" s="9" t="n"/>
      <c r="BE86" s="9" t="n"/>
      <c r="BF86" s="9" t="n"/>
      <c r="BG86" s="9" t="n"/>
      <c r="BH86" s="9" t="n"/>
      <c r="BI86" s="9" t="n"/>
      <c r="BJ86" s="9" t="n"/>
      <c r="BK86" s="9" t="n"/>
      <c r="BL86" s="9" t="n"/>
      <c r="BM86" s="9" t="n"/>
      <c r="BN86" s="9" t="n"/>
      <c r="BO86" s="8" t="n"/>
      <c r="BP86" s="9" t="n"/>
      <c r="BQ86" s="9" t="n"/>
      <c r="BR86" s="12">
        <f>IF(AND(AI86="Y",AK86="Y",AL86="Y",AM86="Y",AY86="Y",AZ86="Y",BA86="Y",BB86="Y",BC86="Y",BE86&lt;&gt;"Y",AX86&lt;&gt;"Y",BL86&lt;&gt;"Y",IF(AS86="Y",AV86="Y",TRUE)),"Y","N")</f>
        <v/>
      </c>
      <c r="BS86" s="12">
        <f>IF(AND(BR86="Y",OR(AND(BJ86="Y",BM86="Y"),AND(BK86="Y",BN86="Y"),AND(BJ86&lt;&gt;"Y",BK86&lt;&gt;"Y",OR(BM86="Y",BN86="Y")))),"Y","N")</f>
        <v/>
      </c>
      <c r="BT86" s="10" t="n"/>
      <c r="BU86" s="13" t="n"/>
      <c r="BV86" s="13" t="n"/>
      <c r="BW86" s="13" t="n"/>
      <c r="BX86" s="13" t="n"/>
      <c r="BY86" s="13" t="n"/>
      <c r="BZ86" s="13" t="n"/>
      <c r="CA86" s="14" t="n"/>
      <c r="CB86" s="13" t="n"/>
      <c r="CC86" s="9" t="n"/>
      <c r="CD86" s="9" t="n"/>
      <c r="CE86" s="9" t="n"/>
      <c r="CF86" s="9" t="n"/>
      <c r="CG86" s="9" t="n"/>
      <c r="CH86" s="9" t="n"/>
    </row>
    <row r="87">
      <c r="A87" s="8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8" t="n"/>
      <c r="L87" s="9" t="n"/>
      <c r="M87" s="8" t="n"/>
      <c r="N87" s="8" t="n"/>
      <c r="O87" s="8" t="n"/>
      <c r="P87" s="8" t="n"/>
      <c r="Q87" s="8" t="n"/>
      <c r="R87" s="9" t="n"/>
      <c r="S87" s="9" t="n"/>
      <c r="T87" s="10" t="n"/>
      <c r="U87" s="10" t="n"/>
      <c r="V87" s="9" t="n"/>
      <c r="W87" s="9" t="n"/>
      <c r="X87" s="9" t="n"/>
      <c r="Y87" s="9" t="n"/>
      <c r="Z87" s="11" t="n"/>
      <c r="AA87" s="11" t="n"/>
      <c r="AB87" s="11" t="n"/>
      <c r="AC87" s="11" t="n"/>
      <c r="AD87" s="11" t="n"/>
      <c r="AE87" s="11" t="n"/>
      <c r="AF87" s="9" t="n"/>
      <c r="AG87" s="9" t="n"/>
      <c r="AH87" s="9" t="n"/>
      <c r="AI87" s="9" t="n"/>
      <c r="AJ87" s="8" t="n"/>
      <c r="AK87" s="9" t="n"/>
      <c r="AL87" s="9" t="n"/>
      <c r="AM87" s="9" t="n"/>
      <c r="AN87" s="9" t="n"/>
      <c r="AO87" s="9" t="n"/>
      <c r="AP87" s="9" t="n"/>
      <c r="AQ87" s="9" t="n"/>
      <c r="AR87" s="9" t="n"/>
      <c r="AS87" s="9" t="n"/>
      <c r="AT87" s="8" t="n"/>
      <c r="AU87" s="8" t="n"/>
      <c r="AV87" s="9" t="n"/>
      <c r="AW87" s="8" t="n"/>
      <c r="AX87" s="9" t="n"/>
      <c r="AY87" s="9" t="n"/>
      <c r="AZ87" s="9" t="n"/>
      <c r="BA87" s="9" t="n"/>
      <c r="BB87" s="9" t="n"/>
      <c r="BC87" s="9" t="n"/>
      <c r="BD87" s="9" t="n"/>
      <c r="BE87" s="9" t="n"/>
      <c r="BF87" s="9" t="n"/>
      <c r="BG87" s="9" t="n"/>
      <c r="BH87" s="9" t="n"/>
      <c r="BI87" s="9" t="n"/>
      <c r="BJ87" s="9" t="n"/>
      <c r="BK87" s="9" t="n"/>
      <c r="BL87" s="9" t="n"/>
      <c r="BM87" s="9" t="n"/>
      <c r="BN87" s="9" t="n"/>
      <c r="BO87" s="8" t="n"/>
      <c r="BP87" s="9" t="n"/>
      <c r="BQ87" s="9" t="n"/>
      <c r="BR87" s="12">
        <f>IF(AND(AI87="Y",AK87="Y",AL87="Y",AM87="Y",AY87="Y",AZ87="Y",BA87="Y",BB87="Y",BC87="Y",BE87&lt;&gt;"Y",AX87&lt;&gt;"Y",BL87&lt;&gt;"Y",IF(AS87="Y",AV87="Y",TRUE)),"Y","N")</f>
        <v/>
      </c>
      <c r="BS87" s="12">
        <f>IF(AND(BR87="Y",OR(AND(BJ87="Y",BM87="Y"),AND(BK87="Y",BN87="Y"),AND(BJ87&lt;&gt;"Y",BK87&lt;&gt;"Y",OR(BM87="Y",BN87="Y")))),"Y","N")</f>
        <v/>
      </c>
      <c r="BT87" s="10" t="n"/>
      <c r="BU87" s="13" t="n"/>
      <c r="BV87" s="13" t="n"/>
      <c r="BW87" s="13" t="n"/>
      <c r="BX87" s="13" t="n"/>
      <c r="BY87" s="13" t="n"/>
      <c r="BZ87" s="13" t="n"/>
      <c r="CA87" s="14" t="n"/>
      <c r="CB87" s="13" t="n"/>
      <c r="CC87" s="9" t="n"/>
      <c r="CD87" s="9" t="n"/>
      <c r="CE87" s="9" t="n"/>
      <c r="CF87" s="9" t="n"/>
      <c r="CG87" s="9" t="n"/>
      <c r="CH87" s="9" t="n"/>
    </row>
    <row r="88">
      <c r="A88" s="8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8" t="n"/>
      <c r="L88" s="9" t="n"/>
      <c r="M88" s="8" t="n"/>
      <c r="N88" s="8" t="n"/>
      <c r="O88" s="8" t="n"/>
      <c r="P88" s="8" t="n"/>
      <c r="Q88" s="8" t="n"/>
      <c r="R88" s="9" t="n"/>
      <c r="S88" s="9" t="n"/>
      <c r="T88" s="10" t="n"/>
      <c r="U88" s="10" t="n"/>
      <c r="V88" s="9" t="n"/>
      <c r="W88" s="9" t="n"/>
      <c r="X88" s="9" t="n"/>
      <c r="Y88" s="9" t="n"/>
      <c r="Z88" s="11" t="n"/>
      <c r="AA88" s="11" t="n"/>
      <c r="AB88" s="11" t="n"/>
      <c r="AC88" s="11" t="n"/>
      <c r="AD88" s="11" t="n"/>
      <c r="AE88" s="11" t="n"/>
      <c r="AF88" s="9" t="n"/>
      <c r="AG88" s="9" t="n"/>
      <c r="AH88" s="9" t="n"/>
      <c r="AI88" s="9" t="n"/>
      <c r="AJ88" s="8" t="n"/>
      <c r="AK88" s="9" t="n"/>
      <c r="AL88" s="9" t="n"/>
      <c r="AM88" s="9" t="n"/>
      <c r="AN88" s="9" t="n"/>
      <c r="AO88" s="9" t="n"/>
      <c r="AP88" s="9" t="n"/>
      <c r="AQ88" s="9" t="n"/>
      <c r="AR88" s="9" t="n"/>
      <c r="AS88" s="9" t="n"/>
      <c r="AT88" s="8" t="n"/>
      <c r="AU88" s="8" t="n"/>
      <c r="AV88" s="9" t="n"/>
      <c r="AW88" s="8" t="n"/>
      <c r="AX88" s="9" t="n"/>
      <c r="AY88" s="9" t="n"/>
      <c r="AZ88" s="9" t="n"/>
      <c r="BA88" s="9" t="n"/>
      <c r="BB88" s="9" t="n"/>
      <c r="BC88" s="9" t="n"/>
      <c r="BD88" s="9" t="n"/>
      <c r="BE88" s="9" t="n"/>
      <c r="BF88" s="9" t="n"/>
      <c r="BG88" s="9" t="n"/>
      <c r="BH88" s="9" t="n"/>
      <c r="BI88" s="9" t="n"/>
      <c r="BJ88" s="9" t="n"/>
      <c r="BK88" s="9" t="n"/>
      <c r="BL88" s="9" t="n"/>
      <c r="BM88" s="9" t="n"/>
      <c r="BN88" s="9" t="n"/>
      <c r="BO88" s="8" t="n"/>
      <c r="BP88" s="9" t="n"/>
      <c r="BQ88" s="9" t="n"/>
      <c r="BR88" s="12">
        <f>IF(AND(AI88="Y",AK88="Y",AL88="Y",AM88="Y",AY88="Y",AZ88="Y",BA88="Y",BB88="Y",BC88="Y",BE88&lt;&gt;"Y",AX88&lt;&gt;"Y",BL88&lt;&gt;"Y",IF(AS88="Y",AV88="Y",TRUE)),"Y","N")</f>
        <v/>
      </c>
      <c r="BS88" s="12">
        <f>IF(AND(BR88="Y",OR(AND(BJ88="Y",BM88="Y"),AND(BK88="Y",BN88="Y"),AND(BJ88&lt;&gt;"Y",BK88&lt;&gt;"Y",OR(BM88="Y",BN88="Y")))),"Y","N")</f>
        <v/>
      </c>
      <c r="BT88" s="10" t="n"/>
      <c r="BU88" s="13" t="n"/>
      <c r="BV88" s="13" t="n"/>
      <c r="BW88" s="13" t="n"/>
      <c r="BX88" s="13" t="n"/>
      <c r="BY88" s="13" t="n"/>
      <c r="BZ88" s="13" t="n"/>
      <c r="CA88" s="14" t="n"/>
      <c r="CB88" s="13" t="n"/>
      <c r="CC88" s="9" t="n"/>
      <c r="CD88" s="9" t="n"/>
      <c r="CE88" s="9" t="n"/>
      <c r="CF88" s="9" t="n"/>
      <c r="CG88" s="9" t="n"/>
      <c r="CH88" s="9" t="n"/>
    </row>
    <row r="89">
      <c r="A89" s="8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8" t="n"/>
      <c r="L89" s="9" t="n"/>
      <c r="M89" s="8" t="n"/>
      <c r="N89" s="8" t="n"/>
      <c r="O89" s="8" t="n"/>
      <c r="P89" s="8" t="n"/>
      <c r="Q89" s="8" t="n"/>
      <c r="R89" s="9" t="n"/>
      <c r="S89" s="9" t="n"/>
      <c r="T89" s="10" t="n"/>
      <c r="U89" s="10" t="n"/>
      <c r="V89" s="9" t="n"/>
      <c r="W89" s="9" t="n"/>
      <c r="X89" s="9" t="n"/>
      <c r="Y89" s="9" t="n"/>
      <c r="Z89" s="11" t="n"/>
      <c r="AA89" s="11" t="n"/>
      <c r="AB89" s="11" t="n"/>
      <c r="AC89" s="11" t="n"/>
      <c r="AD89" s="11" t="n"/>
      <c r="AE89" s="11" t="n"/>
      <c r="AF89" s="9" t="n"/>
      <c r="AG89" s="9" t="n"/>
      <c r="AH89" s="9" t="n"/>
      <c r="AI89" s="9" t="n"/>
      <c r="AJ89" s="8" t="n"/>
      <c r="AK89" s="9" t="n"/>
      <c r="AL89" s="9" t="n"/>
      <c r="AM89" s="9" t="n"/>
      <c r="AN89" s="9" t="n"/>
      <c r="AO89" s="9" t="n"/>
      <c r="AP89" s="9" t="n"/>
      <c r="AQ89" s="9" t="n"/>
      <c r="AR89" s="9" t="n"/>
      <c r="AS89" s="9" t="n"/>
      <c r="AT89" s="8" t="n"/>
      <c r="AU89" s="8" t="n"/>
      <c r="AV89" s="9" t="n"/>
      <c r="AW89" s="8" t="n"/>
      <c r="AX89" s="9" t="n"/>
      <c r="AY89" s="9" t="n"/>
      <c r="AZ89" s="9" t="n"/>
      <c r="BA89" s="9" t="n"/>
      <c r="BB89" s="9" t="n"/>
      <c r="BC89" s="9" t="n"/>
      <c r="BD89" s="9" t="n"/>
      <c r="BE89" s="9" t="n"/>
      <c r="BF89" s="9" t="n"/>
      <c r="BG89" s="9" t="n"/>
      <c r="BH89" s="9" t="n"/>
      <c r="BI89" s="9" t="n"/>
      <c r="BJ89" s="9" t="n"/>
      <c r="BK89" s="9" t="n"/>
      <c r="BL89" s="9" t="n"/>
      <c r="BM89" s="9" t="n"/>
      <c r="BN89" s="9" t="n"/>
      <c r="BO89" s="8" t="n"/>
      <c r="BP89" s="9" t="n"/>
      <c r="BQ89" s="9" t="n"/>
      <c r="BR89" s="12">
        <f>IF(AND(AI89="Y",AK89="Y",AL89="Y",AM89="Y",AY89="Y",AZ89="Y",BA89="Y",BB89="Y",BC89="Y",BE89&lt;&gt;"Y",AX89&lt;&gt;"Y",BL89&lt;&gt;"Y",IF(AS89="Y",AV89="Y",TRUE)),"Y","N")</f>
        <v/>
      </c>
      <c r="BS89" s="12">
        <f>IF(AND(BR89="Y",OR(AND(BJ89="Y",BM89="Y"),AND(BK89="Y",BN89="Y"),AND(BJ89&lt;&gt;"Y",BK89&lt;&gt;"Y",OR(BM89="Y",BN89="Y")))),"Y","N")</f>
        <v/>
      </c>
      <c r="BT89" s="10" t="n"/>
      <c r="BU89" s="13" t="n"/>
      <c r="BV89" s="13" t="n"/>
      <c r="BW89" s="13" t="n"/>
      <c r="BX89" s="13" t="n"/>
      <c r="BY89" s="13" t="n"/>
      <c r="BZ89" s="13" t="n"/>
      <c r="CA89" s="14" t="n"/>
      <c r="CB89" s="13" t="n"/>
      <c r="CC89" s="9" t="n"/>
      <c r="CD89" s="9" t="n"/>
      <c r="CE89" s="9" t="n"/>
      <c r="CF89" s="9" t="n"/>
      <c r="CG89" s="9" t="n"/>
      <c r="CH89" s="9" t="n"/>
    </row>
    <row r="90">
      <c r="A90" s="8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8" t="n"/>
      <c r="L90" s="9" t="n"/>
      <c r="M90" s="8" t="n"/>
      <c r="N90" s="8" t="n"/>
      <c r="O90" s="8" t="n"/>
      <c r="P90" s="8" t="n"/>
      <c r="Q90" s="8" t="n"/>
      <c r="R90" s="9" t="n"/>
      <c r="S90" s="9" t="n"/>
      <c r="T90" s="10" t="n"/>
      <c r="U90" s="10" t="n"/>
      <c r="V90" s="9" t="n"/>
      <c r="W90" s="9" t="n"/>
      <c r="X90" s="9" t="n"/>
      <c r="Y90" s="9" t="n"/>
      <c r="Z90" s="11" t="n"/>
      <c r="AA90" s="11" t="n"/>
      <c r="AB90" s="11" t="n"/>
      <c r="AC90" s="11" t="n"/>
      <c r="AD90" s="11" t="n"/>
      <c r="AE90" s="11" t="n"/>
      <c r="AF90" s="9" t="n"/>
      <c r="AG90" s="9" t="n"/>
      <c r="AH90" s="9" t="n"/>
      <c r="AI90" s="9" t="n"/>
      <c r="AJ90" s="8" t="n"/>
      <c r="AK90" s="9" t="n"/>
      <c r="AL90" s="9" t="n"/>
      <c r="AM90" s="9" t="n"/>
      <c r="AN90" s="9" t="n"/>
      <c r="AO90" s="9" t="n"/>
      <c r="AP90" s="9" t="n"/>
      <c r="AQ90" s="9" t="n"/>
      <c r="AR90" s="9" t="n"/>
      <c r="AS90" s="9" t="n"/>
      <c r="AT90" s="8" t="n"/>
      <c r="AU90" s="8" t="n"/>
      <c r="AV90" s="9" t="n"/>
      <c r="AW90" s="8" t="n"/>
      <c r="AX90" s="9" t="n"/>
      <c r="AY90" s="9" t="n"/>
      <c r="AZ90" s="9" t="n"/>
      <c r="BA90" s="9" t="n"/>
      <c r="BB90" s="9" t="n"/>
      <c r="BC90" s="9" t="n"/>
      <c r="BD90" s="9" t="n"/>
      <c r="BE90" s="9" t="n"/>
      <c r="BF90" s="9" t="n"/>
      <c r="BG90" s="9" t="n"/>
      <c r="BH90" s="9" t="n"/>
      <c r="BI90" s="9" t="n"/>
      <c r="BJ90" s="9" t="n"/>
      <c r="BK90" s="9" t="n"/>
      <c r="BL90" s="9" t="n"/>
      <c r="BM90" s="9" t="n"/>
      <c r="BN90" s="9" t="n"/>
      <c r="BO90" s="8" t="n"/>
      <c r="BP90" s="9" t="n"/>
      <c r="BQ90" s="9" t="n"/>
      <c r="BR90" s="12">
        <f>IF(AND(AI90="Y",AK90="Y",AL90="Y",AM90="Y",AY90="Y",AZ90="Y",BA90="Y",BB90="Y",BC90="Y",BE90&lt;&gt;"Y",AX90&lt;&gt;"Y",BL90&lt;&gt;"Y",IF(AS90="Y",AV90="Y",TRUE)),"Y","N")</f>
        <v/>
      </c>
      <c r="BS90" s="12">
        <f>IF(AND(BR90="Y",OR(AND(BJ90="Y",BM90="Y"),AND(BK90="Y",BN90="Y"),AND(BJ90&lt;&gt;"Y",BK90&lt;&gt;"Y",OR(BM90="Y",BN90="Y")))),"Y","N")</f>
        <v/>
      </c>
      <c r="BT90" s="10" t="n"/>
      <c r="BU90" s="13" t="n"/>
      <c r="BV90" s="13" t="n"/>
      <c r="BW90" s="13" t="n"/>
      <c r="BX90" s="13" t="n"/>
      <c r="BY90" s="13" t="n"/>
      <c r="BZ90" s="13" t="n"/>
      <c r="CA90" s="14" t="n"/>
      <c r="CB90" s="13" t="n"/>
      <c r="CC90" s="9" t="n"/>
      <c r="CD90" s="9" t="n"/>
      <c r="CE90" s="9" t="n"/>
      <c r="CF90" s="9" t="n"/>
      <c r="CG90" s="9" t="n"/>
      <c r="CH90" s="9" t="n"/>
    </row>
    <row r="91">
      <c r="A91" s="8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8" t="n"/>
      <c r="L91" s="9" t="n"/>
      <c r="M91" s="8" t="n"/>
      <c r="N91" s="8" t="n"/>
      <c r="O91" s="8" t="n"/>
      <c r="P91" s="8" t="n"/>
      <c r="Q91" s="8" t="n"/>
      <c r="R91" s="9" t="n"/>
      <c r="S91" s="9" t="n"/>
      <c r="T91" s="10" t="n"/>
      <c r="U91" s="10" t="n"/>
      <c r="V91" s="9" t="n"/>
      <c r="W91" s="9" t="n"/>
      <c r="X91" s="9" t="n"/>
      <c r="Y91" s="9" t="n"/>
      <c r="Z91" s="11" t="n"/>
      <c r="AA91" s="11" t="n"/>
      <c r="AB91" s="11" t="n"/>
      <c r="AC91" s="11" t="n"/>
      <c r="AD91" s="11" t="n"/>
      <c r="AE91" s="11" t="n"/>
      <c r="AF91" s="9" t="n"/>
      <c r="AG91" s="9" t="n"/>
      <c r="AH91" s="9" t="n"/>
      <c r="AI91" s="9" t="n"/>
      <c r="AJ91" s="8" t="n"/>
      <c r="AK91" s="9" t="n"/>
      <c r="AL91" s="9" t="n"/>
      <c r="AM91" s="9" t="n"/>
      <c r="AN91" s="9" t="n"/>
      <c r="AO91" s="9" t="n"/>
      <c r="AP91" s="9" t="n"/>
      <c r="AQ91" s="9" t="n"/>
      <c r="AR91" s="9" t="n"/>
      <c r="AS91" s="9" t="n"/>
      <c r="AT91" s="8" t="n"/>
      <c r="AU91" s="8" t="n"/>
      <c r="AV91" s="9" t="n"/>
      <c r="AW91" s="8" t="n"/>
      <c r="AX91" s="9" t="n"/>
      <c r="AY91" s="9" t="n"/>
      <c r="AZ91" s="9" t="n"/>
      <c r="BA91" s="9" t="n"/>
      <c r="BB91" s="9" t="n"/>
      <c r="BC91" s="9" t="n"/>
      <c r="BD91" s="9" t="n"/>
      <c r="BE91" s="9" t="n"/>
      <c r="BF91" s="9" t="n"/>
      <c r="BG91" s="9" t="n"/>
      <c r="BH91" s="9" t="n"/>
      <c r="BI91" s="9" t="n"/>
      <c r="BJ91" s="9" t="n"/>
      <c r="BK91" s="9" t="n"/>
      <c r="BL91" s="9" t="n"/>
      <c r="BM91" s="9" t="n"/>
      <c r="BN91" s="9" t="n"/>
      <c r="BO91" s="8" t="n"/>
      <c r="BP91" s="9" t="n"/>
      <c r="BQ91" s="9" t="n"/>
      <c r="BR91" s="12">
        <f>IF(AND(AI91="Y",AK91="Y",AL91="Y",AM91="Y",AY91="Y",AZ91="Y",BA91="Y",BB91="Y",BC91="Y",BE91&lt;&gt;"Y",AX91&lt;&gt;"Y",BL91&lt;&gt;"Y",IF(AS91="Y",AV91="Y",TRUE)),"Y","N")</f>
        <v/>
      </c>
      <c r="BS91" s="12">
        <f>IF(AND(BR91="Y",OR(AND(BJ91="Y",BM91="Y"),AND(BK91="Y",BN91="Y"),AND(BJ91&lt;&gt;"Y",BK91&lt;&gt;"Y",OR(BM91="Y",BN91="Y")))),"Y","N")</f>
        <v/>
      </c>
      <c r="BT91" s="10" t="n"/>
      <c r="BU91" s="13" t="n"/>
      <c r="BV91" s="13" t="n"/>
      <c r="BW91" s="13" t="n"/>
      <c r="BX91" s="13" t="n"/>
      <c r="BY91" s="13" t="n"/>
      <c r="BZ91" s="13" t="n"/>
      <c r="CA91" s="14" t="n"/>
      <c r="CB91" s="13" t="n"/>
      <c r="CC91" s="9" t="n"/>
      <c r="CD91" s="9" t="n"/>
      <c r="CE91" s="9" t="n"/>
      <c r="CF91" s="9" t="n"/>
      <c r="CG91" s="9" t="n"/>
      <c r="CH91" s="9" t="n"/>
    </row>
    <row r="92">
      <c r="A92" s="8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8" t="n"/>
      <c r="L92" s="9" t="n"/>
      <c r="M92" s="8" t="n"/>
      <c r="N92" s="8" t="n"/>
      <c r="O92" s="8" t="n"/>
      <c r="P92" s="8" t="n"/>
      <c r="Q92" s="8" t="n"/>
      <c r="R92" s="9" t="n"/>
      <c r="S92" s="9" t="n"/>
      <c r="T92" s="10" t="n"/>
      <c r="U92" s="10" t="n"/>
      <c r="V92" s="9" t="n"/>
      <c r="W92" s="9" t="n"/>
      <c r="X92" s="9" t="n"/>
      <c r="Y92" s="9" t="n"/>
      <c r="Z92" s="11" t="n"/>
      <c r="AA92" s="11" t="n"/>
      <c r="AB92" s="11" t="n"/>
      <c r="AC92" s="11" t="n"/>
      <c r="AD92" s="11" t="n"/>
      <c r="AE92" s="11" t="n"/>
      <c r="AF92" s="9" t="n"/>
      <c r="AG92" s="9" t="n"/>
      <c r="AH92" s="9" t="n"/>
      <c r="AI92" s="9" t="n"/>
      <c r="AJ92" s="8" t="n"/>
      <c r="AK92" s="9" t="n"/>
      <c r="AL92" s="9" t="n"/>
      <c r="AM92" s="9" t="n"/>
      <c r="AN92" s="9" t="n"/>
      <c r="AO92" s="9" t="n"/>
      <c r="AP92" s="9" t="n"/>
      <c r="AQ92" s="9" t="n"/>
      <c r="AR92" s="9" t="n"/>
      <c r="AS92" s="9" t="n"/>
      <c r="AT92" s="8" t="n"/>
      <c r="AU92" s="8" t="n"/>
      <c r="AV92" s="9" t="n"/>
      <c r="AW92" s="8" t="n"/>
      <c r="AX92" s="9" t="n"/>
      <c r="AY92" s="9" t="n"/>
      <c r="AZ92" s="9" t="n"/>
      <c r="BA92" s="9" t="n"/>
      <c r="BB92" s="9" t="n"/>
      <c r="BC92" s="9" t="n"/>
      <c r="BD92" s="9" t="n"/>
      <c r="BE92" s="9" t="n"/>
      <c r="BF92" s="9" t="n"/>
      <c r="BG92" s="9" t="n"/>
      <c r="BH92" s="9" t="n"/>
      <c r="BI92" s="9" t="n"/>
      <c r="BJ92" s="9" t="n"/>
      <c r="BK92" s="9" t="n"/>
      <c r="BL92" s="9" t="n"/>
      <c r="BM92" s="9" t="n"/>
      <c r="BN92" s="9" t="n"/>
      <c r="BO92" s="8" t="n"/>
      <c r="BP92" s="9" t="n"/>
      <c r="BQ92" s="9" t="n"/>
      <c r="BR92" s="12">
        <f>IF(AND(AI92="Y",AK92="Y",AL92="Y",AM92="Y",AY92="Y",AZ92="Y",BA92="Y",BB92="Y",BC92="Y",BE92&lt;&gt;"Y",AX92&lt;&gt;"Y",BL92&lt;&gt;"Y",IF(AS92="Y",AV92="Y",TRUE)),"Y","N")</f>
        <v/>
      </c>
      <c r="BS92" s="12">
        <f>IF(AND(BR92="Y",OR(AND(BJ92="Y",BM92="Y"),AND(BK92="Y",BN92="Y"),AND(BJ92&lt;&gt;"Y",BK92&lt;&gt;"Y",OR(BM92="Y",BN92="Y")))),"Y","N")</f>
        <v/>
      </c>
      <c r="BT92" s="10" t="n"/>
      <c r="BU92" s="13" t="n"/>
      <c r="BV92" s="13" t="n"/>
      <c r="BW92" s="13" t="n"/>
      <c r="BX92" s="13" t="n"/>
      <c r="BY92" s="13" t="n"/>
      <c r="BZ92" s="13" t="n"/>
      <c r="CA92" s="14" t="n"/>
      <c r="CB92" s="13" t="n"/>
      <c r="CC92" s="9" t="n"/>
      <c r="CD92" s="9" t="n"/>
      <c r="CE92" s="9" t="n"/>
      <c r="CF92" s="9" t="n"/>
      <c r="CG92" s="9" t="n"/>
      <c r="CH92" s="9" t="n"/>
    </row>
    <row r="93">
      <c r="A93" s="8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8" t="n"/>
      <c r="L93" s="9" t="n"/>
      <c r="M93" s="8" t="n"/>
      <c r="N93" s="8" t="n"/>
      <c r="O93" s="8" t="n"/>
      <c r="P93" s="8" t="n"/>
      <c r="Q93" s="8" t="n"/>
      <c r="R93" s="9" t="n"/>
      <c r="S93" s="9" t="n"/>
      <c r="T93" s="10" t="n"/>
      <c r="U93" s="10" t="n"/>
      <c r="V93" s="9" t="n"/>
      <c r="W93" s="9" t="n"/>
      <c r="X93" s="9" t="n"/>
      <c r="Y93" s="9" t="n"/>
      <c r="Z93" s="11" t="n"/>
      <c r="AA93" s="11" t="n"/>
      <c r="AB93" s="11" t="n"/>
      <c r="AC93" s="11" t="n"/>
      <c r="AD93" s="11" t="n"/>
      <c r="AE93" s="11" t="n"/>
      <c r="AF93" s="9" t="n"/>
      <c r="AG93" s="9" t="n"/>
      <c r="AH93" s="9" t="n"/>
      <c r="AI93" s="9" t="n"/>
      <c r="AJ93" s="8" t="n"/>
      <c r="AK93" s="9" t="n"/>
      <c r="AL93" s="9" t="n"/>
      <c r="AM93" s="9" t="n"/>
      <c r="AN93" s="9" t="n"/>
      <c r="AO93" s="9" t="n"/>
      <c r="AP93" s="9" t="n"/>
      <c r="AQ93" s="9" t="n"/>
      <c r="AR93" s="9" t="n"/>
      <c r="AS93" s="9" t="n"/>
      <c r="AT93" s="8" t="n"/>
      <c r="AU93" s="8" t="n"/>
      <c r="AV93" s="9" t="n"/>
      <c r="AW93" s="8" t="n"/>
      <c r="AX93" s="9" t="n"/>
      <c r="AY93" s="9" t="n"/>
      <c r="AZ93" s="9" t="n"/>
      <c r="BA93" s="9" t="n"/>
      <c r="BB93" s="9" t="n"/>
      <c r="BC93" s="9" t="n"/>
      <c r="BD93" s="9" t="n"/>
      <c r="BE93" s="9" t="n"/>
      <c r="BF93" s="9" t="n"/>
      <c r="BG93" s="9" t="n"/>
      <c r="BH93" s="9" t="n"/>
      <c r="BI93" s="9" t="n"/>
      <c r="BJ93" s="9" t="n"/>
      <c r="BK93" s="9" t="n"/>
      <c r="BL93" s="9" t="n"/>
      <c r="BM93" s="9" t="n"/>
      <c r="BN93" s="9" t="n"/>
      <c r="BO93" s="8" t="n"/>
      <c r="BP93" s="9" t="n"/>
      <c r="BQ93" s="9" t="n"/>
      <c r="BR93" s="12">
        <f>IF(AND(AI93="Y",AK93="Y",AL93="Y",AM93="Y",AY93="Y",AZ93="Y",BA93="Y",BB93="Y",BC93="Y",BE93&lt;&gt;"Y",AX93&lt;&gt;"Y",BL93&lt;&gt;"Y",IF(AS93="Y",AV93="Y",TRUE)),"Y","N")</f>
        <v/>
      </c>
      <c r="BS93" s="12">
        <f>IF(AND(BR93="Y",OR(AND(BJ93="Y",BM93="Y"),AND(BK93="Y",BN93="Y"),AND(BJ93&lt;&gt;"Y",BK93&lt;&gt;"Y",OR(BM93="Y",BN93="Y")))),"Y","N")</f>
        <v/>
      </c>
      <c r="BT93" s="10" t="n"/>
      <c r="BU93" s="13" t="n"/>
      <c r="BV93" s="13" t="n"/>
      <c r="BW93" s="13" t="n"/>
      <c r="BX93" s="13" t="n"/>
      <c r="BY93" s="13" t="n"/>
      <c r="BZ93" s="13" t="n"/>
      <c r="CA93" s="14" t="n"/>
      <c r="CB93" s="13" t="n"/>
      <c r="CC93" s="9" t="n"/>
      <c r="CD93" s="9" t="n"/>
      <c r="CE93" s="9" t="n"/>
      <c r="CF93" s="9" t="n"/>
      <c r="CG93" s="9" t="n"/>
      <c r="CH93" s="9" t="n"/>
    </row>
    <row r="94">
      <c r="A94" s="8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8" t="n"/>
      <c r="L94" s="9" t="n"/>
      <c r="M94" s="8" t="n"/>
      <c r="N94" s="8" t="n"/>
      <c r="O94" s="8" t="n"/>
      <c r="P94" s="8" t="n"/>
      <c r="Q94" s="8" t="n"/>
      <c r="R94" s="9" t="n"/>
      <c r="S94" s="9" t="n"/>
      <c r="T94" s="10" t="n"/>
      <c r="U94" s="10" t="n"/>
      <c r="V94" s="9" t="n"/>
      <c r="W94" s="9" t="n"/>
      <c r="X94" s="9" t="n"/>
      <c r="Y94" s="9" t="n"/>
      <c r="Z94" s="11" t="n"/>
      <c r="AA94" s="11" t="n"/>
      <c r="AB94" s="11" t="n"/>
      <c r="AC94" s="11" t="n"/>
      <c r="AD94" s="11" t="n"/>
      <c r="AE94" s="11" t="n"/>
      <c r="AF94" s="9" t="n"/>
      <c r="AG94" s="9" t="n"/>
      <c r="AH94" s="9" t="n"/>
      <c r="AI94" s="9" t="n"/>
      <c r="AJ94" s="8" t="n"/>
      <c r="AK94" s="9" t="n"/>
      <c r="AL94" s="9" t="n"/>
      <c r="AM94" s="9" t="n"/>
      <c r="AN94" s="9" t="n"/>
      <c r="AO94" s="9" t="n"/>
      <c r="AP94" s="9" t="n"/>
      <c r="AQ94" s="9" t="n"/>
      <c r="AR94" s="9" t="n"/>
      <c r="AS94" s="9" t="n"/>
      <c r="AT94" s="8" t="n"/>
      <c r="AU94" s="8" t="n"/>
      <c r="AV94" s="9" t="n"/>
      <c r="AW94" s="8" t="n"/>
      <c r="AX94" s="9" t="n"/>
      <c r="AY94" s="9" t="n"/>
      <c r="AZ94" s="9" t="n"/>
      <c r="BA94" s="9" t="n"/>
      <c r="BB94" s="9" t="n"/>
      <c r="BC94" s="9" t="n"/>
      <c r="BD94" s="9" t="n"/>
      <c r="BE94" s="9" t="n"/>
      <c r="BF94" s="9" t="n"/>
      <c r="BG94" s="9" t="n"/>
      <c r="BH94" s="9" t="n"/>
      <c r="BI94" s="9" t="n"/>
      <c r="BJ94" s="9" t="n"/>
      <c r="BK94" s="9" t="n"/>
      <c r="BL94" s="9" t="n"/>
      <c r="BM94" s="9" t="n"/>
      <c r="BN94" s="9" t="n"/>
      <c r="BO94" s="8" t="n"/>
      <c r="BP94" s="9" t="n"/>
      <c r="BQ94" s="9" t="n"/>
      <c r="BR94" s="12">
        <f>IF(AND(AI94="Y",AK94="Y",AL94="Y",AM94="Y",AY94="Y",AZ94="Y",BA94="Y",BB94="Y",BC94="Y",BE94&lt;&gt;"Y",AX94&lt;&gt;"Y",BL94&lt;&gt;"Y",IF(AS94="Y",AV94="Y",TRUE)),"Y","N")</f>
        <v/>
      </c>
      <c r="BS94" s="12">
        <f>IF(AND(BR94="Y",OR(AND(BJ94="Y",BM94="Y"),AND(BK94="Y",BN94="Y"),AND(BJ94&lt;&gt;"Y",BK94&lt;&gt;"Y",OR(BM94="Y",BN94="Y")))),"Y","N")</f>
        <v/>
      </c>
      <c r="BT94" s="10" t="n"/>
      <c r="BU94" s="13" t="n"/>
      <c r="BV94" s="13" t="n"/>
      <c r="BW94" s="13" t="n"/>
      <c r="BX94" s="13" t="n"/>
      <c r="BY94" s="13" t="n"/>
      <c r="BZ94" s="13" t="n"/>
      <c r="CA94" s="14" t="n"/>
      <c r="CB94" s="13" t="n"/>
      <c r="CC94" s="9" t="n"/>
      <c r="CD94" s="9" t="n"/>
      <c r="CE94" s="9" t="n"/>
      <c r="CF94" s="9" t="n"/>
      <c r="CG94" s="9" t="n"/>
      <c r="CH94" s="9" t="n"/>
    </row>
    <row r="95">
      <c r="A95" s="8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8" t="n"/>
      <c r="L95" s="9" t="n"/>
      <c r="M95" s="8" t="n"/>
      <c r="N95" s="8" t="n"/>
      <c r="O95" s="8" t="n"/>
      <c r="P95" s="8" t="n"/>
      <c r="Q95" s="8" t="n"/>
      <c r="R95" s="9" t="n"/>
      <c r="S95" s="9" t="n"/>
      <c r="T95" s="10" t="n"/>
      <c r="U95" s="10" t="n"/>
      <c r="V95" s="9" t="n"/>
      <c r="W95" s="9" t="n"/>
      <c r="X95" s="9" t="n"/>
      <c r="Y95" s="9" t="n"/>
      <c r="Z95" s="11" t="n"/>
      <c r="AA95" s="11" t="n"/>
      <c r="AB95" s="11" t="n"/>
      <c r="AC95" s="11" t="n"/>
      <c r="AD95" s="11" t="n"/>
      <c r="AE95" s="11" t="n"/>
      <c r="AF95" s="9" t="n"/>
      <c r="AG95" s="9" t="n"/>
      <c r="AH95" s="9" t="n"/>
      <c r="AI95" s="9" t="n"/>
      <c r="AJ95" s="8" t="n"/>
      <c r="AK95" s="9" t="n"/>
      <c r="AL95" s="9" t="n"/>
      <c r="AM95" s="9" t="n"/>
      <c r="AN95" s="9" t="n"/>
      <c r="AO95" s="9" t="n"/>
      <c r="AP95" s="9" t="n"/>
      <c r="AQ95" s="9" t="n"/>
      <c r="AR95" s="9" t="n"/>
      <c r="AS95" s="9" t="n"/>
      <c r="AT95" s="8" t="n"/>
      <c r="AU95" s="8" t="n"/>
      <c r="AV95" s="9" t="n"/>
      <c r="AW95" s="8" t="n"/>
      <c r="AX95" s="9" t="n"/>
      <c r="AY95" s="9" t="n"/>
      <c r="AZ95" s="9" t="n"/>
      <c r="BA95" s="9" t="n"/>
      <c r="BB95" s="9" t="n"/>
      <c r="BC95" s="9" t="n"/>
      <c r="BD95" s="9" t="n"/>
      <c r="BE95" s="9" t="n"/>
      <c r="BF95" s="9" t="n"/>
      <c r="BG95" s="9" t="n"/>
      <c r="BH95" s="9" t="n"/>
      <c r="BI95" s="9" t="n"/>
      <c r="BJ95" s="9" t="n"/>
      <c r="BK95" s="9" t="n"/>
      <c r="BL95" s="9" t="n"/>
      <c r="BM95" s="9" t="n"/>
      <c r="BN95" s="9" t="n"/>
      <c r="BO95" s="8" t="n"/>
      <c r="BP95" s="9" t="n"/>
      <c r="BQ95" s="9" t="n"/>
      <c r="BR95" s="12">
        <f>IF(AND(AI95="Y",AK95="Y",AL95="Y",AM95="Y",AY95="Y",AZ95="Y",BA95="Y",BB95="Y",BC95="Y",BE95&lt;&gt;"Y",AX95&lt;&gt;"Y",BL95&lt;&gt;"Y",IF(AS95="Y",AV95="Y",TRUE)),"Y","N")</f>
        <v/>
      </c>
      <c r="BS95" s="12">
        <f>IF(AND(BR95="Y",OR(AND(BJ95="Y",BM95="Y"),AND(BK95="Y",BN95="Y"),AND(BJ95&lt;&gt;"Y",BK95&lt;&gt;"Y",OR(BM95="Y",BN95="Y")))),"Y","N")</f>
        <v/>
      </c>
      <c r="BT95" s="10" t="n"/>
      <c r="BU95" s="13" t="n"/>
      <c r="BV95" s="13" t="n"/>
      <c r="BW95" s="13" t="n"/>
      <c r="BX95" s="13" t="n"/>
      <c r="BY95" s="13" t="n"/>
      <c r="BZ95" s="13" t="n"/>
      <c r="CA95" s="14" t="n"/>
      <c r="CB95" s="13" t="n"/>
      <c r="CC95" s="9" t="n"/>
      <c r="CD95" s="9" t="n"/>
      <c r="CE95" s="9" t="n"/>
      <c r="CF95" s="9" t="n"/>
      <c r="CG95" s="9" t="n"/>
      <c r="CH95" s="9" t="n"/>
    </row>
    <row r="96">
      <c r="A96" s="8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8" t="n"/>
      <c r="L96" s="9" t="n"/>
      <c r="M96" s="8" t="n"/>
      <c r="N96" s="8" t="n"/>
      <c r="O96" s="8" t="n"/>
      <c r="P96" s="8" t="n"/>
      <c r="Q96" s="8" t="n"/>
      <c r="R96" s="9" t="n"/>
      <c r="S96" s="9" t="n"/>
      <c r="T96" s="10" t="n"/>
      <c r="U96" s="10" t="n"/>
      <c r="V96" s="9" t="n"/>
      <c r="W96" s="9" t="n"/>
      <c r="X96" s="9" t="n"/>
      <c r="Y96" s="9" t="n"/>
      <c r="Z96" s="11" t="n"/>
      <c r="AA96" s="11" t="n"/>
      <c r="AB96" s="11" t="n"/>
      <c r="AC96" s="11" t="n"/>
      <c r="AD96" s="11" t="n"/>
      <c r="AE96" s="11" t="n"/>
      <c r="AF96" s="9" t="n"/>
      <c r="AG96" s="9" t="n"/>
      <c r="AH96" s="9" t="n"/>
      <c r="AI96" s="9" t="n"/>
      <c r="AJ96" s="8" t="n"/>
      <c r="AK96" s="9" t="n"/>
      <c r="AL96" s="9" t="n"/>
      <c r="AM96" s="9" t="n"/>
      <c r="AN96" s="9" t="n"/>
      <c r="AO96" s="9" t="n"/>
      <c r="AP96" s="9" t="n"/>
      <c r="AQ96" s="9" t="n"/>
      <c r="AR96" s="9" t="n"/>
      <c r="AS96" s="9" t="n"/>
      <c r="AT96" s="8" t="n"/>
      <c r="AU96" s="8" t="n"/>
      <c r="AV96" s="9" t="n"/>
      <c r="AW96" s="8" t="n"/>
      <c r="AX96" s="9" t="n"/>
      <c r="AY96" s="9" t="n"/>
      <c r="AZ96" s="9" t="n"/>
      <c r="BA96" s="9" t="n"/>
      <c r="BB96" s="9" t="n"/>
      <c r="BC96" s="9" t="n"/>
      <c r="BD96" s="9" t="n"/>
      <c r="BE96" s="9" t="n"/>
      <c r="BF96" s="9" t="n"/>
      <c r="BG96" s="9" t="n"/>
      <c r="BH96" s="9" t="n"/>
      <c r="BI96" s="9" t="n"/>
      <c r="BJ96" s="9" t="n"/>
      <c r="BK96" s="9" t="n"/>
      <c r="BL96" s="9" t="n"/>
      <c r="BM96" s="9" t="n"/>
      <c r="BN96" s="9" t="n"/>
      <c r="BO96" s="8" t="n"/>
      <c r="BP96" s="9" t="n"/>
      <c r="BQ96" s="9" t="n"/>
      <c r="BR96" s="12">
        <f>IF(AND(AI96="Y",AK96="Y",AL96="Y",AM96="Y",AY96="Y",AZ96="Y",BA96="Y",BB96="Y",BC96="Y",BE96&lt;&gt;"Y",AX96&lt;&gt;"Y",BL96&lt;&gt;"Y",IF(AS96="Y",AV96="Y",TRUE)),"Y","N")</f>
        <v/>
      </c>
      <c r="BS96" s="12">
        <f>IF(AND(BR96="Y",OR(AND(BJ96="Y",BM96="Y"),AND(BK96="Y",BN96="Y"),AND(BJ96&lt;&gt;"Y",BK96&lt;&gt;"Y",OR(BM96="Y",BN96="Y")))),"Y","N")</f>
        <v/>
      </c>
      <c r="BT96" s="10" t="n"/>
      <c r="BU96" s="13" t="n"/>
      <c r="BV96" s="13" t="n"/>
      <c r="BW96" s="13" t="n"/>
      <c r="BX96" s="13" t="n"/>
      <c r="BY96" s="13" t="n"/>
      <c r="BZ96" s="13" t="n"/>
      <c r="CA96" s="14" t="n"/>
      <c r="CB96" s="13" t="n"/>
      <c r="CC96" s="9" t="n"/>
      <c r="CD96" s="9" t="n"/>
      <c r="CE96" s="9" t="n"/>
      <c r="CF96" s="9" t="n"/>
      <c r="CG96" s="9" t="n"/>
      <c r="CH96" s="9" t="n"/>
    </row>
    <row r="97">
      <c r="A97" s="8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8" t="n"/>
      <c r="L97" s="9" t="n"/>
      <c r="M97" s="8" t="n"/>
      <c r="N97" s="8" t="n"/>
      <c r="O97" s="8" t="n"/>
      <c r="P97" s="8" t="n"/>
      <c r="Q97" s="8" t="n"/>
      <c r="R97" s="9" t="n"/>
      <c r="S97" s="9" t="n"/>
      <c r="T97" s="10" t="n"/>
      <c r="U97" s="10" t="n"/>
      <c r="V97" s="9" t="n"/>
      <c r="W97" s="9" t="n"/>
      <c r="X97" s="9" t="n"/>
      <c r="Y97" s="9" t="n"/>
      <c r="Z97" s="11" t="n"/>
      <c r="AA97" s="11" t="n"/>
      <c r="AB97" s="11" t="n"/>
      <c r="AC97" s="11" t="n"/>
      <c r="AD97" s="11" t="n"/>
      <c r="AE97" s="11" t="n"/>
      <c r="AF97" s="9" t="n"/>
      <c r="AG97" s="9" t="n"/>
      <c r="AH97" s="9" t="n"/>
      <c r="AI97" s="9" t="n"/>
      <c r="AJ97" s="8" t="n"/>
      <c r="AK97" s="9" t="n"/>
      <c r="AL97" s="9" t="n"/>
      <c r="AM97" s="9" t="n"/>
      <c r="AN97" s="9" t="n"/>
      <c r="AO97" s="9" t="n"/>
      <c r="AP97" s="9" t="n"/>
      <c r="AQ97" s="9" t="n"/>
      <c r="AR97" s="9" t="n"/>
      <c r="AS97" s="9" t="n"/>
      <c r="AT97" s="8" t="n"/>
      <c r="AU97" s="8" t="n"/>
      <c r="AV97" s="9" t="n"/>
      <c r="AW97" s="8" t="n"/>
      <c r="AX97" s="9" t="n"/>
      <c r="AY97" s="9" t="n"/>
      <c r="AZ97" s="9" t="n"/>
      <c r="BA97" s="9" t="n"/>
      <c r="BB97" s="9" t="n"/>
      <c r="BC97" s="9" t="n"/>
      <c r="BD97" s="9" t="n"/>
      <c r="BE97" s="9" t="n"/>
      <c r="BF97" s="9" t="n"/>
      <c r="BG97" s="9" t="n"/>
      <c r="BH97" s="9" t="n"/>
      <c r="BI97" s="9" t="n"/>
      <c r="BJ97" s="9" t="n"/>
      <c r="BK97" s="9" t="n"/>
      <c r="BL97" s="9" t="n"/>
      <c r="BM97" s="9" t="n"/>
      <c r="BN97" s="9" t="n"/>
      <c r="BO97" s="8" t="n"/>
      <c r="BP97" s="9" t="n"/>
      <c r="BQ97" s="9" t="n"/>
      <c r="BR97" s="12">
        <f>IF(AND(AI97="Y",AK97="Y",AL97="Y",AM97="Y",AY97="Y",AZ97="Y",BA97="Y",BB97="Y",BC97="Y",BE97&lt;&gt;"Y",AX97&lt;&gt;"Y",BL97&lt;&gt;"Y",IF(AS97="Y",AV97="Y",TRUE)),"Y","N")</f>
        <v/>
      </c>
      <c r="BS97" s="12">
        <f>IF(AND(BR97="Y",OR(AND(BJ97="Y",BM97="Y"),AND(BK97="Y",BN97="Y"),AND(BJ97&lt;&gt;"Y",BK97&lt;&gt;"Y",OR(BM97="Y",BN97="Y")))),"Y","N")</f>
        <v/>
      </c>
      <c r="BT97" s="10" t="n"/>
      <c r="BU97" s="13" t="n"/>
      <c r="BV97" s="13" t="n"/>
      <c r="BW97" s="13" t="n"/>
      <c r="BX97" s="13" t="n"/>
      <c r="BY97" s="13" t="n"/>
      <c r="BZ97" s="13" t="n"/>
      <c r="CA97" s="14" t="n"/>
      <c r="CB97" s="13" t="n"/>
      <c r="CC97" s="9" t="n"/>
      <c r="CD97" s="9" t="n"/>
      <c r="CE97" s="9" t="n"/>
      <c r="CF97" s="9" t="n"/>
      <c r="CG97" s="9" t="n"/>
      <c r="CH97" s="9" t="n"/>
    </row>
    <row r="98">
      <c r="A98" s="8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8" t="n"/>
      <c r="L98" s="9" t="n"/>
      <c r="M98" s="8" t="n"/>
      <c r="N98" s="8" t="n"/>
      <c r="O98" s="8" t="n"/>
      <c r="P98" s="8" t="n"/>
      <c r="Q98" s="8" t="n"/>
      <c r="R98" s="9" t="n"/>
      <c r="S98" s="9" t="n"/>
      <c r="T98" s="10" t="n"/>
      <c r="U98" s="10" t="n"/>
      <c r="V98" s="9" t="n"/>
      <c r="W98" s="9" t="n"/>
      <c r="X98" s="9" t="n"/>
      <c r="Y98" s="9" t="n"/>
      <c r="Z98" s="11" t="n"/>
      <c r="AA98" s="11" t="n"/>
      <c r="AB98" s="11" t="n"/>
      <c r="AC98" s="11" t="n"/>
      <c r="AD98" s="11" t="n"/>
      <c r="AE98" s="11" t="n"/>
      <c r="AF98" s="9" t="n"/>
      <c r="AG98" s="9" t="n"/>
      <c r="AH98" s="9" t="n"/>
      <c r="AI98" s="9" t="n"/>
      <c r="AJ98" s="8" t="n"/>
      <c r="AK98" s="9" t="n"/>
      <c r="AL98" s="9" t="n"/>
      <c r="AM98" s="9" t="n"/>
      <c r="AN98" s="9" t="n"/>
      <c r="AO98" s="9" t="n"/>
      <c r="AP98" s="9" t="n"/>
      <c r="AQ98" s="9" t="n"/>
      <c r="AR98" s="9" t="n"/>
      <c r="AS98" s="9" t="n"/>
      <c r="AT98" s="8" t="n"/>
      <c r="AU98" s="8" t="n"/>
      <c r="AV98" s="9" t="n"/>
      <c r="AW98" s="8" t="n"/>
      <c r="AX98" s="9" t="n"/>
      <c r="AY98" s="9" t="n"/>
      <c r="AZ98" s="9" t="n"/>
      <c r="BA98" s="9" t="n"/>
      <c r="BB98" s="9" t="n"/>
      <c r="BC98" s="9" t="n"/>
      <c r="BD98" s="9" t="n"/>
      <c r="BE98" s="9" t="n"/>
      <c r="BF98" s="9" t="n"/>
      <c r="BG98" s="9" t="n"/>
      <c r="BH98" s="9" t="n"/>
      <c r="BI98" s="9" t="n"/>
      <c r="BJ98" s="9" t="n"/>
      <c r="BK98" s="9" t="n"/>
      <c r="BL98" s="9" t="n"/>
      <c r="BM98" s="9" t="n"/>
      <c r="BN98" s="9" t="n"/>
      <c r="BO98" s="8" t="n"/>
      <c r="BP98" s="9" t="n"/>
      <c r="BQ98" s="9" t="n"/>
      <c r="BR98" s="12">
        <f>IF(AND(AI98="Y",AK98="Y",AL98="Y",AM98="Y",AY98="Y",AZ98="Y",BA98="Y",BB98="Y",BC98="Y",BE98&lt;&gt;"Y",AX98&lt;&gt;"Y",BL98&lt;&gt;"Y",IF(AS98="Y",AV98="Y",TRUE)),"Y","N")</f>
        <v/>
      </c>
      <c r="BS98" s="12">
        <f>IF(AND(BR98="Y",OR(AND(BJ98="Y",BM98="Y"),AND(BK98="Y",BN98="Y"),AND(BJ98&lt;&gt;"Y",BK98&lt;&gt;"Y",OR(BM98="Y",BN98="Y")))),"Y","N")</f>
        <v/>
      </c>
      <c r="BT98" s="10" t="n"/>
      <c r="BU98" s="13" t="n"/>
      <c r="BV98" s="13" t="n"/>
      <c r="BW98" s="13" t="n"/>
      <c r="BX98" s="13" t="n"/>
      <c r="BY98" s="13" t="n"/>
      <c r="BZ98" s="13" t="n"/>
      <c r="CA98" s="14" t="n"/>
      <c r="CB98" s="13" t="n"/>
      <c r="CC98" s="9" t="n"/>
      <c r="CD98" s="9" t="n"/>
      <c r="CE98" s="9" t="n"/>
      <c r="CF98" s="9" t="n"/>
      <c r="CG98" s="9" t="n"/>
      <c r="CH98" s="9" t="n"/>
    </row>
    <row r="99">
      <c r="A99" s="8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8" t="n"/>
      <c r="L99" s="9" t="n"/>
      <c r="M99" s="8" t="n"/>
      <c r="N99" s="8" t="n"/>
      <c r="O99" s="8" t="n"/>
      <c r="P99" s="8" t="n"/>
      <c r="Q99" s="8" t="n"/>
      <c r="R99" s="9" t="n"/>
      <c r="S99" s="9" t="n"/>
      <c r="T99" s="10" t="n"/>
      <c r="U99" s="10" t="n"/>
      <c r="V99" s="9" t="n"/>
      <c r="W99" s="9" t="n"/>
      <c r="X99" s="9" t="n"/>
      <c r="Y99" s="9" t="n"/>
      <c r="Z99" s="11" t="n"/>
      <c r="AA99" s="11" t="n"/>
      <c r="AB99" s="11" t="n"/>
      <c r="AC99" s="11" t="n"/>
      <c r="AD99" s="11" t="n"/>
      <c r="AE99" s="11" t="n"/>
      <c r="AF99" s="9" t="n"/>
      <c r="AG99" s="9" t="n"/>
      <c r="AH99" s="9" t="n"/>
      <c r="AI99" s="9" t="n"/>
      <c r="AJ99" s="8" t="n"/>
      <c r="AK99" s="9" t="n"/>
      <c r="AL99" s="9" t="n"/>
      <c r="AM99" s="9" t="n"/>
      <c r="AN99" s="9" t="n"/>
      <c r="AO99" s="9" t="n"/>
      <c r="AP99" s="9" t="n"/>
      <c r="AQ99" s="9" t="n"/>
      <c r="AR99" s="9" t="n"/>
      <c r="AS99" s="9" t="n"/>
      <c r="AT99" s="8" t="n"/>
      <c r="AU99" s="8" t="n"/>
      <c r="AV99" s="9" t="n"/>
      <c r="AW99" s="8" t="n"/>
      <c r="AX99" s="9" t="n"/>
      <c r="AY99" s="9" t="n"/>
      <c r="AZ99" s="9" t="n"/>
      <c r="BA99" s="9" t="n"/>
      <c r="BB99" s="9" t="n"/>
      <c r="BC99" s="9" t="n"/>
      <c r="BD99" s="9" t="n"/>
      <c r="BE99" s="9" t="n"/>
      <c r="BF99" s="9" t="n"/>
      <c r="BG99" s="9" t="n"/>
      <c r="BH99" s="9" t="n"/>
      <c r="BI99" s="9" t="n"/>
      <c r="BJ99" s="9" t="n"/>
      <c r="BK99" s="9" t="n"/>
      <c r="BL99" s="9" t="n"/>
      <c r="BM99" s="9" t="n"/>
      <c r="BN99" s="9" t="n"/>
      <c r="BO99" s="8" t="n"/>
      <c r="BP99" s="9" t="n"/>
      <c r="BQ99" s="9" t="n"/>
      <c r="BR99" s="12">
        <f>IF(AND(AI99="Y",AK99="Y",AL99="Y",AM99="Y",AY99="Y",AZ99="Y",BA99="Y",BB99="Y",BC99="Y",BE99&lt;&gt;"Y",AX99&lt;&gt;"Y",BL99&lt;&gt;"Y",IF(AS99="Y",AV99="Y",TRUE)),"Y","N")</f>
        <v/>
      </c>
      <c r="BS99" s="12">
        <f>IF(AND(BR99="Y",OR(AND(BJ99="Y",BM99="Y"),AND(BK99="Y",BN99="Y"),AND(BJ99&lt;&gt;"Y",BK99&lt;&gt;"Y",OR(BM99="Y",BN99="Y")))),"Y","N")</f>
        <v/>
      </c>
      <c r="BT99" s="10" t="n"/>
      <c r="BU99" s="13" t="n"/>
      <c r="BV99" s="13" t="n"/>
      <c r="BW99" s="13" t="n"/>
      <c r="BX99" s="13" t="n"/>
      <c r="BY99" s="13" t="n"/>
      <c r="BZ99" s="13" t="n"/>
      <c r="CA99" s="14" t="n"/>
      <c r="CB99" s="13" t="n"/>
      <c r="CC99" s="9" t="n"/>
      <c r="CD99" s="9" t="n"/>
      <c r="CE99" s="9" t="n"/>
      <c r="CF99" s="9" t="n"/>
      <c r="CG99" s="9" t="n"/>
      <c r="CH99" s="9" t="n"/>
    </row>
    <row r="100">
      <c r="A100" s="8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8" t="n"/>
      <c r="L100" s="9" t="n"/>
      <c r="M100" s="8" t="n"/>
      <c r="N100" s="8" t="n"/>
      <c r="O100" s="8" t="n"/>
      <c r="P100" s="8" t="n"/>
      <c r="Q100" s="8" t="n"/>
      <c r="R100" s="9" t="n"/>
      <c r="S100" s="9" t="n"/>
      <c r="T100" s="10" t="n"/>
      <c r="U100" s="10" t="n"/>
      <c r="V100" s="9" t="n"/>
      <c r="W100" s="9" t="n"/>
      <c r="X100" s="9" t="n"/>
      <c r="Y100" s="9" t="n"/>
      <c r="Z100" s="11" t="n"/>
      <c r="AA100" s="11" t="n"/>
      <c r="AB100" s="11" t="n"/>
      <c r="AC100" s="11" t="n"/>
      <c r="AD100" s="11" t="n"/>
      <c r="AE100" s="11" t="n"/>
      <c r="AF100" s="9" t="n"/>
      <c r="AG100" s="9" t="n"/>
      <c r="AH100" s="9" t="n"/>
      <c r="AI100" s="9" t="n"/>
      <c r="AJ100" s="8" t="n"/>
      <c r="AK100" s="9" t="n"/>
      <c r="AL100" s="9" t="n"/>
      <c r="AM100" s="9" t="n"/>
      <c r="AN100" s="9" t="n"/>
      <c r="AO100" s="9" t="n"/>
      <c r="AP100" s="9" t="n"/>
      <c r="AQ100" s="9" t="n"/>
      <c r="AR100" s="9" t="n"/>
      <c r="AS100" s="9" t="n"/>
      <c r="AT100" s="8" t="n"/>
      <c r="AU100" s="8" t="n"/>
      <c r="AV100" s="9" t="n"/>
      <c r="AW100" s="8" t="n"/>
      <c r="AX100" s="9" t="n"/>
      <c r="AY100" s="9" t="n"/>
      <c r="AZ100" s="9" t="n"/>
      <c r="BA100" s="9" t="n"/>
      <c r="BB100" s="9" t="n"/>
      <c r="BC100" s="9" t="n"/>
      <c r="BD100" s="9" t="n"/>
      <c r="BE100" s="9" t="n"/>
      <c r="BF100" s="9" t="n"/>
      <c r="BG100" s="9" t="n"/>
      <c r="BH100" s="9" t="n"/>
      <c r="BI100" s="9" t="n"/>
      <c r="BJ100" s="9" t="n"/>
      <c r="BK100" s="9" t="n"/>
      <c r="BL100" s="9" t="n"/>
      <c r="BM100" s="9" t="n"/>
      <c r="BN100" s="9" t="n"/>
      <c r="BO100" s="8" t="n"/>
      <c r="BP100" s="9" t="n"/>
      <c r="BQ100" s="9" t="n"/>
      <c r="BR100" s="12">
        <f>IF(AND(AI100="Y",AK100="Y",AL100="Y",AM100="Y",AY100="Y",AZ100="Y",BA100="Y",BB100="Y",BC100="Y",BE100&lt;&gt;"Y",AX100&lt;&gt;"Y",BL100&lt;&gt;"Y",IF(AS100="Y",AV100="Y",TRUE)),"Y","N")</f>
        <v/>
      </c>
      <c r="BS100" s="12">
        <f>IF(AND(BR100="Y",OR(AND(BJ100="Y",BM100="Y"),AND(BK100="Y",BN100="Y"),AND(BJ100&lt;&gt;"Y",BK100&lt;&gt;"Y",OR(BM100="Y",BN100="Y")))),"Y","N")</f>
        <v/>
      </c>
      <c r="BT100" s="10" t="n"/>
      <c r="BU100" s="13" t="n"/>
      <c r="BV100" s="13" t="n"/>
      <c r="BW100" s="13" t="n"/>
      <c r="BX100" s="13" t="n"/>
      <c r="BY100" s="13" t="n"/>
      <c r="BZ100" s="13" t="n"/>
      <c r="CA100" s="14" t="n"/>
      <c r="CB100" s="13" t="n"/>
      <c r="CC100" s="9" t="n"/>
      <c r="CD100" s="9" t="n"/>
      <c r="CE100" s="9" t="n"/>
      <c r="CF100" s="9" t="n"/>
      <c r="CG100" s="9" t="n"/>
      <c r="CH100" s="9" t="n"/>
    </row>
    <row r="101">
      <c r="A101" s="8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8" t="n"/>
      <c r="L101" s="9" t="n"/>
      <c r="M101" s="8" t="n"/>
      <c r="N101" s="8" t="n"/>
      <c r="O101" s="8" t="n"/>
      <c r="P101" s="8" t="n"/>
      <c r="Q101" s="8" t="n"/>
      <c r="R101" s="9" t="n"/>
      <c r="S101" s="9" t="n"/>
      <c r="T101" s="10" t="n"/>
      <c r="U101" s="10" t="n"/>
      <c r="V101" s="9" t="n"/>
      <c r="W101" s="9" t="n"/>
      <c r="X101" s="9" t="n"/>
      <c r="Y101" s="9" t="n"/>
      <c r="Z101" s="11" t="n"/>
      <c r="AA101" s="11" t="n"/>
      <c r="AB101" s="11" t="n"/>
      <c r="AC101" s="11" t="n"/>
      <c r="AD101" s="11" t="n"/>
      <c r="AE101" s="11" t="n"/>
      <c r="AF101" s="9" t="n"/>
      <c r="AG101" s="9" t="n"/>
      <c r="AH101" s="9" t="n"/>
      <c r="AI101" s="9" t="n"/>
      <c r="AJ101" s="8" t="n"/>
      <c r="AK101" s="9" t="n"/>
      <c r="AL101" s="9" t="n"/>
      <c r="AM101" s="9" t="n"/>
      <c r="AN101" s="9" t="n"/>
      <c r="AO101" s="9" t="n"/>
      <c r="AP101" s="9" t="n"/>
      <c r="AQ101" s="9" t="n"/>
      <c r="AR101" s="9" t="n"/>
      <c r="AS101" s="9" t="n"/>
      <c r="AT101" s="8" t="n"/>
      <c r="AU101" s="8" t="n"/>
      <c r="AV101" s="9" t="n"/>
      <c r="AW101" s="8" t="n"/>
      <c r="AX101" s="9" t="n"/>
      <c r="AY101" s="9" t="n"/>
      <c r="AZ101" s="9" t="n"/>
      <c r="BA101" s="9" t="n"/>
      <c r="BB101" s="9" t="n"/>
      <c r="BC101" s="9" t="n"/>
      <c r="BD101" s="9" t="n"/>
      <c r="BE101" s="9" t="n"/>
      <c r="BF101" s="9" t="n"/>
      <c r="BG101" s="9" t="n"/>
      <c r="BH101" s="9" t="n"/>
      <c r="BI101" s="9" t="n"/>
      <c r="BJ101" s="9" t="n"/>
      <c r="BK101" s="9" t="n"/>
      <c r="BL101" s="9" t="n"/>
      <c r="BM101" s="9" t="n"/>
      <c r="BN101" s="9" t="n"/>
      <c r="BO101" s="8" t="n"/>
      <c r="BP101" s="9" t="n"/>
      <c r="BQ101" s="9" t="n"/>
      <c r="BR101" s="12">
        <f>IF(AND(AI101="Y",AK101="Y",AL101="Y",AM101="Y",AY101="Y",AZ101="Y",BA101="Y",BB101="Y",BC101="Y",BE101&lt;&gt;"Y",AX101&lt;&gt;"Y",BL101&lt;&gt;"Y",IF(AS101="Y",AV101="Y",TRUE)),"Y","N")</f>
        <v/>
      </c>
      <c r="BS101" s="12">
        <f>IF(AND(BR101="Y",OR(AND(BJ101="Y",BM101="Y"),AND(BK101="Y",BN101="Y"),AND(BJ101&lt;&gt;"Y",BK101&lt;&gt;"Y",OR(BM101="Y",BN101="Y")))),"Y","N")</f>
        <v/>
      </c>
      <c r="BT101" s="10" t="n"/>
      <c r="BU101" s="13" t="n"/>
      <c r="BV101" s="13" t="n"/>
      <c r="BW101" s="13" t="n"/>
      <c r="BX101" s="13" t="n"/>
      <c r="BY101" s="13" t="n"/>
      <c r="BZ101" s="13" t="n"/>
      <c r="CA101" s="14" t="n"/>
      <c r="CB101" s="13" t="n"/>
      <c r="CC101" s="9" t="n"/>
      <c r="CD101" s="9" t="n"/>
      <c r="CE101" s="9" t="n"/>
      <c r="CF101" s="9" t="n"/>
      <c r="CG101" s="9" t="n"/>
      <c r="CH101" s="9" t="n"/>
    </row>
    <row r="102">
      <c r="A102" s="8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8" t="n"/>
      <c r="L102" s="9" t="n"/>
      <c r="M102" s="8" t="n"/>
      <c r="N102" s="8" t="n"/>
      <c r="O102" s="8" t="n"/>
      <c r="P102" s="8" t="n"/>
      <c r="Q102" s="8" t="n"/>
      <c r="R102" s="9" t="n"/>
      <c r="S102" s="9" t="n"/>
      <c r="T102" s="10" t="n"/>
      <c r="U102" s="10" t="n"/>
      <c r="V102" s="9" t="n"/>
      <c r="W102" s="9" t="n"/>
      <c r="X102" s="9" t="n"/>
      <c r="Y102" s="9" t="n"/>
      <c r="Z102" s="11" t="n"/>
      <c r="AA102" s="11" t="n"/>
      <c r="AB102" s="11" t="n"/>
      <c r="AC102" s="11" t="n"/>
      <c r="AD102" s="11" t="n"/>
      <c r="AE102" s="11" t="n"/>
      <c r="AF102" s="9" t="n"/>
      <c r="AG102" s="9" t="n"/>
      <c r="AH102" s="9" t="n"/>
      <c r="AI102" s="9" t="n"/>
      <c r="AJ102" s="8" t="n"/>
      <c r="AK102" s="9" t="n"/>
      <c r="AL102" s="9" t="n"/>
      <c r="AM102" s="9" t="n"/>
      <c r="AN102" s="9" t="n"/>
      <c r="AO102" s="9" t="n"/>
      <c r="AP102" s="9" t="n"/>
      <c r="AQ102" s="9" t="n"/>
      <c r="AR102" s="9" t="n"/>
      <c r="AS102" s="9" t="n"/>
      <c r="AT102" s="8" t="n"/>
      <c r="AU102" s="8" t="n"/>
      <c r="AV102" s="9" t="n"/>
      <c r="AW102" s="8" t="n"/>
      <c r="AX102" s="9" t="n"/>
      <c r="AY102" s="9" t="n"/>
      <c r="AZ102" s="9" t="n"/>
      <c r="BA102" s="9" t="n"/>
      <c r="BB102" s="9" t="n"/>
      <c r="BC102" s="9" t="n"/>
      <c r="BD102" s="9" t="n"/>
      <c r="BE102" s="9" t="n"/>
      <c r="BF102" s="9" t="n"/>
      <c r="BG102" s="9" t="n"/>
      <c r="BH102" s="9" t="n"/>
      <c r="BI102" s="9" t="n"/>
      <c r="BJ102" s="9" t="n"/>
      <c r="BK102" s="9" t="n"/>
      <c r="BL102" s="9" t="n"/>
      <c r="BM102" s="9" t="n"/>
      <c r="BN102" s="9" t="n"/>
      <c r="BO102" s="8" t="n"/>
      <c r="BP102" s="9" t="n"/>
      <c r="BQ102" s="9" t="n"/>
      <c r="BR102" s="12">
        <f>IF(AND(AI102="Y",AK102="Y",AL102="Y",AM102="Y",AY102="Y",AZ102="Y",BA102="Y",BB102="Y",BC102="Y",BE102&lt;&gt;"Y",AX102&lt;&gt;"Y",BL102&lt;&gt;"Y",IF(AS102="Y",AV102="Y",TRUE)),"Y","N")</f>
        <v/>
      </c>
      <c r="BS102" s="12">
        <f>IF(AND(BR102="Y",OR(AND(BJ102="Y",BM102="Y"),AND(BK102="Y",BN102="Y"),AND(BJ102&lt;&gt;"Y",BK102&lt;&gt;"Y",OR(BM102="Y",BN102="Y")))),"Y","N")</f>
        <v/>
      </c>
      <c r="BT102" s="10" t="n"/>
      <c r="BU102" s="13" t="n"/>
      <c r="BV102" s="13" t="n"/>
      <c r="BW102" s="13" t="n"/>
      <c r="BX102" s="13" t="n"/>
      <c r="BY102" s="13" t="n"/>
      <c r="BZ102" s="13" t="n"/>
      <c r="CA102" s="14" t="n"/>
      <c r="CB102" s="13" t="n"/>
      <c r="CC102" s="9" t="n"/>
      <c r="CD102" s="9" t="n"/>
      <c r="CE102" s="9" t="n"/>
      <c r="CF102" s="9" t="n"/>
      <c r="CG102" s="9" t="n"/>
      <c r="CH102" s="9" t="n"/>
    </row>
    <row r="103">
      <c r="A103" s="8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8" t="n"/>
      <c r="L103" s="9" t="n"/>
      <c r="M103" s="8" t="n"/>
      <c r="N103" s="8" t="n"/>
      <c r="O103" s="8" t="n"/>
      <c r="P103" s="8" t="n"/>
      <c r="Q103" s="8" t="n"/>
      <c r="R103" s="9" t="n"/>
      <c r="S103" s="9" t="n"/>
      <c r="T103" s="10" t="n"/>
      <c r="U103" s="10" t="n"/>
      <c r="V103" s="9" t="n"/>
      <c r="W103" s="9" t="n"/>
      <c r="X103" s="9" t="n"/>
      <c r="Y103" s="9" t="n"/>
      <c r="Z103" s="11" t="n"/>
      <c r="AA103" s="11" t="n"/>
      <c r="AB103" s="11" t="n"/>
      <c r="AC103" s="11" t="n"/>
      <c r="AD103" s="11" t="n"/>
      <c r="AE103" s="11" t="n"/>
      <c r="AF103" s="9" t="n"/>
      <c r="AG103" s="9" t="n"/>
      <c r="AH103" s="9" t="n"/>
      <c r="AI103" s="9" t="n"/>
      <c r="AJ103" s="8" t="n"/>
      <c r="AK103" s="9" t="n"/>
      <c r="AL103" s="9" t="n"/>
      <c r="AM103" s="9" t="n"/>
      <c r="AN103" s="9" t="n"/>
      <c r="AO103" s="9" t="n"/>
      <c r="AP103" s="9" t="n"/>
      <c r="AQ103" s="9" t="n"/>
      <c r="AR103" s="9" t="n"/>
      <c r="AS103" s="9" t="n"/>
      <c r="AT103" s="8" t="n"/>
      <c r="AU103" s="8" t="n"/>
      <c r="AV103" s="9" t="n"/>
      <c r="AW103" s="8" t="n"/>
      <c r="AX103" s="9" t="n"/>
      <c r="AY103" s="9" t="n"/>
      <c r="AZ103" s="9" t="n"/>
      <c r="BA103" s="9" t="n"/>
      <c r="BB103" s="9" t="n"/>
      <c r="BC103" s="9" t="n"/>
      <c r="BD103" s="9" t="n"/>
      <c r="BE103" s="9" t="n"/>
      <c r="BF103" s="9" t="n"/>
      <c r="BG103" s="9" t="n"/>
      <c r="BH103" s="9" t="n"/>
      <c r="BI103" s="9" t="n"/>
      <c r="BJ103" s="9" t="n"/>
      <c r="BK103" s="9" t="n"/>
      <c r="BL103" s="9" t="n"/>
      <c r="BM103" s="9" t="n"/>
      <c r="BN103" s="9" t="n"/>
      <c r="BO103" s="8" t="n"/>
      <c r="BP103" s="9" t="n"/>
      <c r="BQ103" s="9" t="n"/>
      <c r="BR103" s="12">
        <f>IF(AND(AI103="Y",AK103="Y",AL103="Y",AM103="Y",AY103="Y",AZ103="Y",BA103="Y",BB103="Y",BC103="Y",BE103&lt;&gt;"Y",AX103&lt;&gt;"Y",BL103&lt;&gt;"Y",IF(AS103="Y",AV103="Y",TRUE)),"Y","N")</f>
        <v/>
      </c>
      <c r="BS103" s="12">
        <f>IF(AND(BR103="Y",OR(AND(BJ103="Y",BM103="Y"),AND(BK103="Y",BN103="Y"),AND(BJ103&lt;&gt;"Y",BK103&lt;&gt;"Y",OR(BM103="Y",BN103="Y")))),"Y","N")</f>
        <v/>
      </c>
      <c r="BT103" s="10" t="n"/>
      <c r="BU103" s="13" t="n"/>
      <c r="BV103" s="13" t="n"/>
      <c r="BW103" s="13" t="n"/>
      <c r="BX103" s="13" t="n"/>
      <c r="BY103" s="13" t="n"/>
      <c r="BZ103" s="13" t="n"/>
      <c r="CA103" s="14" t="n"/>
      <c r="CB103" s="13" t="n"/>
      <c r="CC103" s="9" t="n"/>
      <c r="CD103" s="9" t="n"/>
      <c r="CE103" s="9" t="n"/>
      <c r="CF103" s="9" t="n"/>
      <c r="CG103" s="9" t="n"/>
      <c r="CH103" s="9" t="n"/>
    </row>
    <row r="104">
      <c r="A104" s="8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8" t="n"/>
      <c r="L104" s="9" t="n"/>
      <c r="M104" s="8" t="n"/>
      <c r="N104" s="8" t="n"/>
      <c r="O104" s="8" t="n"/>
      <c r="P104" s="8" t="n"/>
      <c r="Q104" s="8" t="n"/>
      <c r="R104" s="9" t="n"/>
      <c r="S104" s="9" t="n"/>
      <c r="T104" s="10" t="n"/>
      <c r="U104" s="10" t="n"/>
      <c r="V104" s="9" t="n"/>
      <c r="W104" s="9" t="n"/>
      <c r="X104" s="9" t="n"/>
      <c r="Y104" s="9" t="n"/>
      <c r="Z104" s="11" t="n"/>
      <c r="AA104" s="11" t="n"/>
      <c r="AB104" s="11" t="n"/>
      <c r="AC104" s="11" t="n"/>
      <c r="AD104" s="11" t="n"/>
      <c r="AE104" s="11" t="n"/>
      <c r="AF104" s="9" t="n"/>
      <c r="AG104" s="9" t="n"/>
      <c r="AH104" s="9" t="n"/>
      <c r="AI104" s="9" t="n"/>
      <c r="AJ104" s="8" t="n"/>
      <c r="AK104" s="9" t="n"/>
      <c r="AL104" s="9" t="n"/>
      <c r="AM104" s="9" t="n"/>
      <c r="AN104" s="9" t="n"/>
      <c r="AO104" s="9" t="n"/>
      <c r="AP104" s="9" t="n"/>
      <c r="AQ104" s="9" t="n"/>
      <c r="AR104" s="9" t="n"/>
      <c r="AS104" s="9" t="n"/>
      <c r="AT104" s="8" t="n"/>
      <c r="AU104" s="8" t="n"/>
      <c r="AV104" s="9" t="n"/>
      <c r="AW104" s="8" t="n"/>
      <c r="AX104" s="9" t="n"/>
      <c r="AY104" s="9" t="n"/>
      <c r="AZ104" s="9" t="n"/>
      <c r="BA104" s="9" t="n"/>
      <c r="BB104" s="9" t="n"/>
      <c r="BC104" s="9" t="n"/>
      <c r="BD104" s="9" t="n"/>
      <c r="BE104" s="9" t="n"/>
      <c r="BF104" s="9" t="n"/>
      <c r="BG104" s="9" t="n"/>
      <c r="BH104" s="9" t="n"/>
      <c r="BI104" s="9" t="n"/>
      <c r="BJ104" s="9" t="n"/>
      <c r="BK104" s="9" t="n"/>
      <c r="BL104" s="9" t="n"/>
      <c r="BM104" s="9" t="n"/>
      <c r="BN104" s="9" t="n"/>
      <c r="BO104" s="8" t="n"/>
      <c r="BP104" s="9" t="n"/>
      <c r="BQ104" s="9" t="n"/>
      <c r="BR104" s="12">
        <f>IF(AND(AI104="Y",AK104="Y",AL104="Y",AM104="Y",AY104="Y",AZ104="Y",BA104="Y",BB104="Y",BC104="Y",BE104&lt;&gt;"Y",AX104&lt;&gt;"Y",BL104&lt;&gt;"Y",IF(AS104="Y",AV104="Y",TRUE)),"Y","N")</f>
        <v/>
      </c>
      <c r="BS104" s="12">
        <f>IF(AND(BR104="Y",OR(AND(BJ104="Y",BM104="Y"),AND(BK104="Y",BN104="Y"),AND(BJ104&lt;&gt;"Y",BK104&lt;&gt;"Y",OR(BM104="Y",BN104="Y")))),"Y","N")</f>
        <v/>
      </c>
      <c r="BT104" s="10" t="n"/>
      <c r="BU104" s="13" t="n"/>
      <c r="BV104" s="13" t="n"/>
      <c r="BW104" s="13" t="n"/>
      <c r="BX104" s="13" t="n"/>
      <c r="BY104" s="13" t="n"/>
      <c r="BZ104" s="13" t="n"/>
      <c r="CA104" s="14" t="n"/>
      <c r="CB104" s="13" t="n"/>
      <c r="CC104" s="9" t="n"/>
      <c r="CD104" s="9" t="n"/>
      <c r="CE104" s="9" t="n"/>
      <c r="CF104" s="9" t="n"/>
      <c r="CG104" s="9" t="n"/>
      <c r="CH104" s="9" t="n"/>
    </row>
    <row r="105">
      <c r="A105" s="8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8" t="n"/>
      <c r="L105" s="9" t="n"/>
      <c r="M105" s="8" t="n"/>
      <c r="N105" s="8" t="n"/>
      <c r="O105" s="8" t="n"/>
      <c r="P105" s="8" t="n"/>
      <c r="Q105" s="8" t="n"/>
      <c r="R105" s="9" t="n"/>
      <c r="S105" s="9" t="n"/>
      <c r="T105" s="10" t="n"/>
      <c r="U105" s="10" t="n"/>
      <c r="V105" s="9" t="n"/>
      <c r="W105" s="9" t="n"/>
      <c r="X105" s="9" t="n"/>
      <c r="Y105" s="9" t="n"/>
      <c r="Z105" s="11" t="n"/>
      <c r="AA105" s="11" t="n"/>
      <c r="AB105" s="11" t="n"/>
      <c r="AC105" s="11" t="n"/>
      <c r="AD105" s="11" t="n"/>
      <c r="AE105" s="11" t="n"/>
      <c r="AF105" s="9" t="n"/>
      <c r="AG105" s="9" t="n"/>
      <c r="AH105" s="9" t="n"/>
      <c r="AI105" s="9" t="n"/>
      <c r="AJ105" s="8" t="n"/>
      <c r="AK105" s="9" t="n"/>
      <c r="AL105" s="9" t="n"/>
      <c r="AM105" s="9" t="n"/>
      <c r="AN105" s="9" t="n"/>
      <c r="AO105" s="9" t="n"/>
      <c r="AP105" s="9" t="n"/>
      <c r="AQ105" s="9" t="n"/>
      <c r="AR105" s="9" t="n"/>
      <c r="AS105" s="9" t="n"/>
      <c r="AT105" s="8" t="n"/>
      <c r="AU105" s="8" t="n"/>
      <c r="AV105" s="9" t="n"/>
      <c r="AW105" s="8" t="n"/>
      <c r="AX105" s="9" t="n"/>
      <c r="AY105" s="9" t="n"/>
      <c r="AZ105" s="9" t="n"/>
      <c r="BA105" s="9" t="n"/>
      <c r="BB105" s="9" t="n"/>
      <c r="BC105" s="9" t="n"/>
      <c r="BD105" s="9" t="n"/>
      <c r="BE105" s="9" t="n"/>
      <c r="BF105" s="9" t="n"/>
      <c r="BG105" s="9" t="n"/>
      <c r="BH105" s="9" t="n"/>
      <c r="BI105" s="9" t="n"/>
      <c r="BJ105" s="9" t="n"/>
      <c r="BK105" s="9" t="n"/>
      <c r="BL105" s="9" t="n"/>
      <c r="BM105" s="9" t="n"/>
      <c r="BN105" s="9" t="n"/>
      <c r="BO105" s="8" t="n"/>
      <c r="BP105" s="9" t="n"/>
      <c r="BQ105" s="9" t="n"/>
      <c r="BR105" s="12">
        <f>IF(AND(AI105="Y",AK105="Y",AL105="Y",AM105="Y",AY105="Y",AZ105="Y",BA105="Y",BB105="Y",BC105="Y",BE105&lt;&gt;"Y",AX105&lt;&gt;"Y",BL105&lt;&gt;"Y",IF(AS105="Y",AV105="Y",TRUE)),"Y","N")</f>
        <v/>
      </c>
      <c r="BS105" s="12">
        <f>IF(AND(BR105="Y",OR(AND(BJ105="Y",BM105="Y"),AND(BK105="Y",BN105="Y"),AND(BJ105&lt;&gt;"Y",BK105&lt;&gt;"Y",OR(BM105="Y",BN105="Y")))),"Y","N")</f>
        <v/>
      </c>
      <c r="BT105" s="10" t="n"/>
      <c r="BU105" s="13" t="n"/>
      <c r="BV105" s="13" t="n"/>
      <c r="BW105" s="13" t="n"/>
      <c r="BX105" s="13" t="n"/>
      <c r="BY105" s="13" t="n"/>
      <c r="BZ105" s="13" t="n"/>
      <c r="CA105" s="14" t="n"/>
      <c r="CB105" s="13" t="n"/>
      <c r="CC105" s="9" t="n"/>
      <c r="CD105" s="9" t="n"/>
      <c r="CE105" s="9" t="n"/>
      <c r="CF105" s="9" t="n"/>
      <c r="CG105" s="9" t="n"/>
      <c r="CH105" s="9" t="n"/>
    </row>
    <row r="106">
      <c r="A106" s="8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8" t="n"/>
      <c r="L106" s="9" t="n"/>
      <c r="M106" s="8" t="n"/>
      <c r="N106" s="8" t="n"/>
      <c r="O106" s="8" t="n"/>
      <c r="P106" s="8" t="n"/>
      <c r="Q106" s="8" t="n"/>
      <c r="R106" s="9" t="n"/>
      <c r="S106" s="9" t="n"/>
      <c r="T106" s="10" t="n"/>
      <c r="U106" s="10" t="n"/>
      <c r="V106" s="9" t="n"/>
      <c r="W106" s="9" t="n"/>
      <c r="X106" s="9" t="n"/>
      <c r="Y106" s="9" t="n"/>
      <c r="Z106" s="11" t="n"/>
      <c r="AA106" s="11" t="n"/>
      <c r="AB106" s="11" t="n"/>
      <c r="AC106" s="11" t="n"/>
      <c r="AD106" s="11" t="n"/>
      <c r="AE106" s="11" t="n"/>
      <c r="AF106" s="9" t="n"/>
      <c r="AG106" s="9" t="n"/>
      <c r="AH106" s="9" t="n"/>
      <c r="AI106" s="9" t="n"/>
      <c r="AJ106" s="8" t="n"/>
      <c r="AK106" s="9" t="n"/>
      <c r="AL106" s="9" t="n"/>
      <c r="AM106" s="9" t="n"/>
      <c r="AN106" s="9" t="n"/>
      <c r="AO106" s="9" t="n"/>
      <c r="AP106" s="9" t="n"/>
      <c r="AQ106" s="9" t="n"/>
      <c r="AR106" s="9" t="n"/>
      <c r="AS106" s="9" t="n"/>
      <c r="AT106" s="8" t="n"/>
      <c r="AU106" s="8" t="n"/>
      <c r="AV106" s="9" t="n"/>
      <c r="AW106" s="8" t="n"/>
      <c r="AX106" s="9" t="n"/>
      <c r="AY106" s="9" t="n"/>
      <c r="AZ106" s="9" t="n"/>
      <c r="BA106" s="9" t="n"/>
      <c r="BB106" s="9" t="n"/>
      <c r="BC106" s="9" t="n"/>
      <c r="BD106" s="9" t="n"/>
      <c r="BE106" s="9" t="n"/>
      <c r="BF106" s="9" t="n"/>
      <c r="BG106" s="9" t="n"/>
      <c r="BH106" s="9" t="n"/>
      <c r="BI106" s="9" t="n"/>
      <c r="BJ106" s="9" t="n"/>
      <c r="BK106" s="9" t="n"/>
      <c r="BL106" s="9" t="n"/>
      <c r="BM106" s="9" t="n"/>
      <c r="BN106" s="9" t="n"/>
      <c r="BO106" s="8" t="n"/>
      <c r="BP106" s="9" t="n"/>
      <c r="BQ106" s="9" t="n"/>
      <c r="BR106" s="12">
        <f>IF(AND(AI106="Y",AK106="Y",AL106="Y",AM106="Y",AY106="Y",AZ106="Y",BA106="Y",BB106="Y",BC106="Y",BE106&lt;&gt;"Y",AX106&lt;&gt;"Y",BL106&lt;&gt;"Y",IF(AS106="Y",AV106="Y",TRUE)),"Y","N")</f>
        <v/>
      </c>
      <c r="BS106" s="12">
        <f>IF(AND(BR106="Y",OR(AND(BJ106="Y",BM106="Y"),AND(BK106="Y",BN106="Y"),AND(BJ106&lt;&gt;"Y",BK106&lt;&gt;"Y",OR(BM106="Y",BN106="Y")))),"Y","N")</f>
        <v/>
      </c>
      <c r="BT106" s="10" t="n"/>
      <c r="BU106" s="13" t="n"/>
      <c r="BV106" s="13" t="n"/>
      <c r="BW106" s="13" t="n"/>
      <c r="BX106" s="13" t="n"/>
      <c r="BY106" s="13" t="n"/>
      <c r="BZ106" s="13" t="n"/>
      <c r="CA106" s="14" t="n"/>
      <c r="CB106" s="13" t="n"/>
      <c r="CC106" s="9" t="n"/>
      <c r="CD106" s="9" t="n"/>
      <c r="CE106" s="9" t="n"/>
      <c r="CF106" s="9" t="n"/>
      <c r="CG106" s="9" t="n"/>
      <c r="CH106" s="9" t="n"/>
    </row>
    <row r="107">
      <c r="A107" s="8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8" t="n"/>
      <c r="L107" s="9" t="n"/>
      <c r="M107" s="8" t="n"/>
      <c r="N107" s="8" t="n"/>
      <c r="O107" s="8" t="n"/>
      <c r="P107" s="8" t="n"/>
      <c r="Q107" s="8" t="n"/>
      <c r="R107" s="9" t="n"/>
      <c r="S107" s="9" t="n"/>
      <c r="T107" s="10" t="n"/>
      <c r="U107" s="10" t="n"/>
      <c r="V107" s="9" t="n"/>
      <c r="W107" s="9" t="n"/>
      <c r="X107" s="9" t="n"/>
      <c r="Y107" s="9" t="n"/>
      <c r="Z107" s="11" t="n"/>
      <c r="AA107" s="11" t="n"/>
      <c r="AB107" s="11" t="n"/>
      <c r="AC107" s="11" t="n"/>
      <c r="AD107" s="11" t="n"/>
      <c r="AE107" s="11" t="n"/>
      <c r="AF107" s="9" t="n"/>
      <c r="AG107" s="9" t="n"/>
      <c r="AH107" s="9" t="n"/>
      <c r="AI107" s="9" t="n"/>
      <c r="AJ107" s="8" t="n"/>
      <c r="AK107" s="9" t="n"/>
      <c r="AL107" s="9" t="n"/>
      <c r="AM107" s="9" t="n"/>
      <c r="AN107" s="9" t="n"/>
      <c r="AO107" s="9" t="n"/>
      <c r="AP107" s="9" t="n"/>
      <c r="AQ107" s="9" t="n"/>
      <c r="AR107" s="9" t="n"/>
      <c r="AS107" s="9" t="n"/>
      <c r="AT107" s="8" t="n"/>
      <c r="AU107" s="8" t="n"/>
      <c r="AV107" s="9" t="n"/>
      <c r="AW107" s="8" t="n"/>
      <c r="AX107" s="9" t="n"/>
      <c r="AY107" s="9" t="n"/>
      <c r="AZ107" s="9" t="n"/>
      <c r="BA107" s="9" t="n"/>
      <c r="BB107" s="9" t="n"/>
      <c r="BC107" s="9" t="n"/>
      <c r="BD107" s="9" t="n"/>
      <c r="BE107" s="9" t="n"/>
      <c r="BF107" s="9" t="n"/>
      <c r="BG107" s="9" t="n"/>
      <c r="BH107" s="9" t="n"/>
      <c r="BI107" s="9" t="n"/>
      <c r="BJ107" s="9" t="n"/>
      <c r="BK107" s="9" t="n"/>
      <c r="BL107" s="9" t="n"/>
      <c r="BM107" s="9" t="n"/>
      <c r="BN107" s="9" t="n"/>
      <c r="BO107" s="8" t="n"/>
      <c r="BP107" s="9" t="n"/>
      <c r="BQ107" s="9" t="n"/>
      <c r="BR107" s="12">
        <f>IF(AND(AI107="Y",AK107="Y",AL107="Y",AM107="Y",AY107="Y",AZ107="Y",BA107="Y",BB107="Y",BC107="Y",BE107&lt;&gt;"Y",AX107&lt;&gt;"Y",BL107&lt;&gt;"Y",IF(AS107="Y",AV107="Y",TRUE)),"Y","N")</f>
        <v/>
      </c>
      <c r="BS107" s="12">
        <f>IF(AND(BR107="Y",OR(AND(BJ107="Y",BM107="Y"),AND(BK107="Y",BN107="Y"),AND(BJ107&lt;&gt;"Y",BK107&lt;&gt;"Y",OR(BM107="Y",BN107="Y")))),"Y","N")</f>
        <v/>
      </c>
      <c r="BT107" s="10" t="n"/>
      <c r="BU107" s="13" t="n"/>
      <c r="BV107" s="13" t="n"/>
      <c r="BW107" s="13" t="n"/>
      <c r="BX107" s="13" t="n"/>
      <c r="BY107" s="13" t="n"/>
      <c r="BZ107" s="13" t="n"/>
      <c r="CA107" s="14" t="n"/>
      <c r="CB107" s="13" t="n"/>
      <c r="CC107" s="9" t="n"/>
      <c r="CD107" s="9" t="n"/>
      <c r="CE107" s="9" t="n"/>
      <c r="CF107" s="9" t="n"/>
      <c r="CG107" s="9" t="n"/>
      <c r="CH107" s="9" t="n"/>
    </row>
    <row r="108">
      <c r="A108" s="8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8" t="n"/>
      <c r="L108" s="9" t="n"/>
      <c r="M108" s="8" t="n"/>
      <c r="N108" s="8" t="n"/>
      <c r="O108" s="8" t="n"/>
      <c r="P108" s="8" t="n"/>
      <c r="Q108" s="8" t="n"/>
      <c r="R108" s="9" t="n"/>
      <c r="S108" s="9" t="n"/>
      <c r="T108" s="10" t="n"/>
      <c r="U108" s="10" t="n"/>
      <c r="V108" s="9" t="n"/>
      <c r="W108" s="9" t="n"/>
      <c r="X108" s="9" t="n"/>
      <c r="Y108" s="9" t="n"/>
      <c r="Z108" s="11" t="n"/>
      <c r="AA108" s="11" t="n"/>
      <c r="AB108" s="11" t="n"/>
      <c r="AC108" s="11" t="n"/>
      <c r="AD108" s="11" t="n"/>
      <c r="AE108" s="11" t="n"/>
      <c r="AF108" s="9" t="n"/>
      <c r="AG108" s="9" t="n"/>
      <c r="AH108" s="9" t="n"/>
      <c r="AI108" s="9" t="n"/>
      <c r="AJ108" s="8" t="n"/>
      <c r="AK108" s="9" t="n"/>
      <c r="AL108" s="9" t="n"/>
      <c r="AM108" s="9" t="n"/>
      <c r="AN108" s="9" t="n"/>
      <c r="AO108" s="9" t="n"/>
      <c r="AP108" s="9" t="n"/>
      <c r="AQ108" s="9" t="n"/>
      <c r="AR108" s="9" t="n"/>
      <c r="AS108" s="9" t="n"/>
      <c r="AT108" s="8" t="n"/>
      <c r="AU108" s="8" t="n"/>
      <c r="AV108" s="9" t="n"/>
      <c r="AW108" s="8" t="n"/>
      <c r="AX108" s="9" t="n"/>
      <c r="AY108" s="9" t="n"/>
      <c r="AZ108" s="9" t="n"/>
      <c r="BA108" s="9" t="n"/>
      <c r="BB108" s="9" t="n"/>
      <c r="BC108" s="9" t="n"/>
      <c r="BD108" s="9" t="n"/>
      <c r="BE108" s="9" t="n"/>
      <c r="BF108" s="9" t="n"/>
      <c r="BG108" s="9" t="n"/>
      <c r="BH108" s="9" t="n"/>
      <c r="BI108" s="9" t="n"/>
      <c r="BJ108" s="9" t="n"/>
      <c r="BK108" s="9" t="n"/>
      <c r="BL108" s="9" t="n"/>
      <c r="BM108" s="9" t="n"/>
      <c r="BN108" s="9" t="n"/>
      <c r="BO108" s="8" t="n"/>
      <c r="BP108" s="9" t="n"/>
      <c r="BQ108" s="9" t="n"/>
      <c r="BR108" s="12">
        <f>IF(AND(AI108="Y",AK108="Y",AL108="Y",AM108="Y",AY108="Y",AZ108="Y",BA108="Y",BB108="Y",BC108="Y",BE108&lt;&gt;"Y",AX108&lt;&gt;"Y",BL108&lt;&gt;"Y",IF(AS108="Y",AV108="Y",TRUE)),"Y","N")</f>
        <v/>
      </c>
      <c r="BS108" s="12">
        <f>IF(AND(BR108="Y",OR(AND(BJ108="Y",BM108="Y"),AND(BK108="Y",BN108="Y"),AND(BJ108&lt;&gt;"Y",BK108&lt;&gt;"Y",OR(BM108="Y",BN108="Y")))),"Y","N")</f>
        <v/>
      </c>
      <c r="BT108" s="10" t="n"/>
      <c r="BU108" s="13" t="n"/>
      <c r="BV108" s="13" t="n"/>
      <c r="BW108" s="13" t="n"/>
      <c r="BX108" s="13" t="n"/>
      <c r="BY108" s="13" t="n"/>
      <c r="BZ108" s="13" t="n"/>
      <c r="CA108" s="14" t="n"/>
      <c r="CB108" s="13" t="n"/>
      <c r="CC108" s="9" t="n"/>
      <c r="CD108" s="9" t="n"/>
      <c r="CE108" s="9" t="n"/>
      <c r="CF108" s="9" t="n"/>
      <c r="CG108" s="9" t="n"/>
      <c r="CH108" s="9" t="n"/>
    </row>
    <row r="109">
      <c r="A109" s="8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8" t="n"/>
      <c r="L109" s="9" t="n"/>
      <c r="M109" s="8" t="n"/>
      <c r="N109" s="8" t="n"/>
      <c r="O109" s="8" t="n"/>
      <c r="P109" s="8" t="n"/>
      <c r="Q109" s="8" t="n"/>
      <c r="R109" s="9" t="n"/>
      <c r="S109" s="9" t="n"/>
      <c r="T109" s="10" t="n"/>
      <c r="U109" s="10" t="n"/>
      <c r="V109" s="9" t="n"/>
      <c r="W109" s="9" t="n"/>
      <c r="X109" s="9" t="n"/>
      <c r="Y109" s="9" t="n"/>
      <c r="Z109" s="11" t="n"/>
      <c r="AA109" s="11" t="n"/>
      <c r="AB109" s="11" t="n"/>
      <c r="AC109" s="11" t="n"/>
      <c r="AD109" s="11" t="n"/>
      <c r="AE109" s="11" t="n"/>
      <c r="AF109" s="9" t="n"/>
      <c r="AG109" s="9" t="n"/>
      <c r="AH109" s="9" t="n"/>
      <c r="AI109" s="9" t="n"/>
      <c r="AJ109" s="8" t="n"/>
      <c r="AK109" s="9" t="n"/>
      <c r="AL109" s="9" t="n"/>
      <c r="AM109" s="9" t="n"/>
      <c r="AN109" s="9" t="n"/>
      <c r="AO109" s="9" t="n"/>
      <c r="AP109" s="9" t="n"/>
      <c r="AQ109" s="9" t="n"/>
      <c r="AR109" s="9" t="n"/>
      <c r="AS109" s="9" t="n"/>
      <c r="AT109" s="8" t="n"/>
      <c r="AU109" s="8" t="n"/>
      <c r="AV109" s="9" t="n"/>
      <c r="AW109" s="8" t="n"/>
      <c r="AX109" s="9" t="n"/>
      <c r="AY109" s="9" t="n"/>
      <c r="AZ109" s="9" t="n"/>
      <c r="BA109" s="9" t="n"/>
      <c r="BB109" s="9" t="n"/>
      <c r="BC109" s="9" t="n"/>
      <c r="BD109" s="9" t="n"/>
      <c r="BE109" s="9" t="n"/>
      <c r="BF109" s="9" t="n"/>
      <c r="BG109" s="9" t="n"/>
      <c r="BH109" s="9" t="n"/>
      <c r="BI109" s="9" t="n"/>
      <c r="BJ109" s="9" t="n"/>
      <c r="BK109" s="9" t="n"/>
      <c r="BL109" s="9" t="n"/>
      <c r="BM109" s="9" t="n"/>
      <c r="BN109" s="9" t="n"/>
      <c r="BO109" s="8" t="n"/>
      <c r="BP109" s="9" t="n"/>
      <c r="BQ109" s="9" t="n"/>
      <c r="BR109" s="12">
        <f>IF(AND(AI109="Y",AK109="Y",AL109="Y",AM109="Y",AY109="Y",AZ109="Y",BA109="Y",BB109="Y",BC109="Y",BE109&lt;&gt;"Y",AX109&lt;&gt;"Y",BL109&lt;&gt;"Y",IF(AS109="Y",AV109="Y",TRUE)),"Y","N")</f>
        <v/>
      </c>
      <c r="BS109" s="12">
        <f>IF(AND(BR109="Y",OR(AND(BJ109="Y",BM109="Y"),AND(BK109="Y",BN109="Y"),AND(BJ109&lt;&gt;"Y",BK109&lt;&gt;"Y",OR(BM109="Y",BN109="Y")))),"Y","N")</f>
        <v/>
      </c>
      <c r="BT109" s="10" t="n"/>
      <c r="BU109" s="13" t="n"/>
      <c r="BV109" s="13" t="n"/>
      <c r="BW109" s="13" t="n"/>
      <c r="BX109" s="13" t="n"/>
      <c r="BY109" s="13" t="n"/>
      <c r="BZ109" s="13" t="n"/>
      <c r="CA109" s="14" t="n"/>
      <c r="CB109" s="13" t="n"/>
      <c r="CC109" s="9" t="n"/>
      <c r="CD109" s="9" t="n"/>
      <c r="CE109" s="9" t="n"/>
      <c r="CF109" s="9" t="n"/>
      <c r="CG109" s="9" t="n"/>
      <c r="CH109" s="9" t="n"/>
    </row>
    <row r="110">
      <c r="A110" s="8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8" t="n"/>
      <c r="L110" s="9" t="n"/>
      <c r="M110" s="8" t="n"/>
      <c r="N110" s="8" t="n"/>
      <c r="O110" s="8" t="n"/>
      <c r="P110" s="8" t="n"/>
      <c r="Q110" s="8" t="n"/>
      <c r="R110" s="9" t="n"/>
      <c r="S110" s="9" t="n"/>
      <c r="T110" s="10" t="n"/>
      <c r="U110" s="10" t="n"/>
      <c r="V110" s="9" t="n"/>
      <c r="W110" s="9" t="n"/>
      <c r="X110" s="9" t="n"/>
      <c r="Y110" s="9" t="n"/>
      <c r="Z110" s="11" t="n"/>
      <c r="AA110" s="11" t="n"/>
      <c r="AB110" s="11" t="n"/>
      <c r="AC110" s="11" t="n"/>
      <c r="AD110" s="11" t="n"/>
      <c r="AE110" s="11" t="n"/>
      <c r="AF110" s="9" t="n"/>
      <c r="AG110" s="9" t="n"/>
      <c r="AH110" s="9" t="n"/>
      <c r="AI110" s="9" t="n"/>
      <c r="AJ110" s="8" t="n"/>
      <c r="AK110" s="9" t="n"/>
      <c r="AL110" s="9" t="n"/>
      <c r="AM110" s="9" t="n"/>
      <c r="AN110" s="9" t="n"/>
      <c r="AO110" s="9" t="n"/>
      <c r="AP110" s="9" t="n"/>
      <c r="AQ110" s="9" t="n"/>
      <c r="AR110" s="9" t="n"/>
      <c r="AS110" s="9" t="n"/>
      <c r="AT110" s="8" t="n"/>
      <c r="AU110" s="8" t="n"/>
      <c r="AV110" s="9" t="n"/>
      <c r="AW110" s="8" t="n"/>
      <c r="AX110" s="9" t="n"/>
      <c r="AY110" s="9" t="n"/>
      <c r="AZ110" s="9" t="n"/>
      <c r="BA110" s="9" t="n"/>
      <c r="BB110" s="9" t="n"/>
      <c r="BC110" s="9" t="n"/>
      <c r="BD110" s="9" t="n"/>
      <c r="BE110" s="9" t="n"/>
      <c r="BF110" s="9" t="n"/>
      <c r="BG110" s="9" t="n"/>
      <c r="BH110" s="9" t="n"/>
      <c r="BI110" s="9" t="n"/>
      <c r="BJ110" s="9" t="n"/>
      <c r="BK110" s="9" t="n"/>
      <c r="BL110" s="9" t="n"/>
      <c r="BM110" s="9" t="n"/>
      <c r="BN110" s="9" t="n"/>
      <c r="BO110" s="8" t="n"/>
      <c r="BP110" s="9" t="n"/>
      <c r="BQ110" s="9" t="n"/>
      <c r="BR110" s="12">
        <f>IF(AND(AI110="Y",AK110="Y",AL110="Y",AM110="Y",AY110="Y",AZ110="Y",BA110="Y",BB110="Y",BC110="Y",BE110&lt;&gt;"Y",AX110&lt;&gt;"Y",BL110&lt;&gt;"Y",IF(AS110="Y",AV110="Y",TRUE)),"Y","N")</f>
        <v/>
      </c>
      <c r="BS110" s="12">
        <f>IF(AND(BR110="Y",OR(AND(BJ110="Y",BM110="Y"),AND(BK110="Y",BN110="Y"),AND(BJ110&lt;&gt;"Y",BK110&lt;&gt;"Y",OR(BM110="Y",BN110="Y")))),"Y","N")</f>
        <v/>
      </c>
      <c r="BT110" s="10" t="n"/>
      <c r="BU110" s="13" t="n"/>
      <c r="BV110" s="13" t="n"/>
      <c r="BW110" s="13" t="n"/>
      <c r="BX110" s="13" t="n"/>
      <c r="BY110" s="13" t="n"/>
      <c r="BZ110" s="13" t="n"/>
      <c r="CA110" s="14" t="n"/>
      <c r="CB110" s="13" t="n"/>
      <c r="CC110" s="9" t="n"/>
      <c r="CD110" s="9" t="n"/>
      <c r="CE110" s="9" t="n"/>
      <c r="CF110" s="9" t="n"/>
      <c r="CG110" s="9" t="n"/>
      <c r="CH110" s="9" t="n"/>
    </row>
    <row r="111">
      <c r="A111" s="8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8" t="n"/>
      <c r="L111" s="9" t="n"/>
      <c r="M111" s="8" t="n"/>
      <c r="N111" s="8" t="n"/>
      <c r="O111" s="8" t="n"/>
      <c r="P111" s="8" t="n"/>
      <c r="Q111" s="8" t="n"/>
      <c r="R111" s="9" t="n"/>
      <c r="S111" s="9" t="n"/>
      <c r="T111" s="10" t="n"/>
      <c r="U111" s="10" t="n"/>
      <c r="V111" s="9" t="n"/>
      <c r="W111" s="9" t="n"/>
      <c r="X111" s="9" t="n"/>
      <c r="Y111" s="9" t="n"/>
      <c r="Z111" s="11" t="n"/>
      <c r="AA111" s="11" t="n"/>
      <c r="AB111" s="11" t="n"/>
      <c r="AC111" s="11" t="n"/>
      <c r="AD111" s="11" t="n"/>
      <c r="AE111" s="11" t="n"/>
      <c r="AF111" s="9" t="n"/>
      <c r="AG111" s="9" t="n"/>
      <c r="AH111" s="9" t="n"/>
      <c r="AI111" s="9" t="n"/>
      <c r="AJ111" s="8" t="n"/>
      <c r="AK111" s="9" t="n"/>
      <c r="AL111" s="9" t="n"/>
      <c r="AM111" s="9" t="n"/>
      <c r="AN111" s="9" t="n"/>
      <c r="AO111" s="9" t="n"/>
      <c r="AP111" s="9" t="n"/>
      <c r="AQ111" s="9" t="n"/>
      <c r="AR111" s="9" t="n"/>
      <c r="AS111" s="9" t="n"/>
      <c r="AT111" s="8" t="n"/>
      <c r="AU111" s="8" t="n"/>
      <c r="AV111" s="9" t="n"/>
      <c r="AW111" s="8" t="n"/>
      <c r="AX111" s="9" t="n"/>
      <c r="AY111" s="9" t="n"/>
      <c r="AZ111" s="9" t="n"/>
      <c r="BA111" s="9" t="n"/>
      <c r="BB111" s="9" t="n"/>
      <c r="BC111" s="9" t="n"/>
      <c r="BD111" s="9" t="n"/>
      <c r="BE111" s="9" t="n"/>
      <c r="BF111" s="9" t="n"/>
      <c r="BG111" s="9" t="n"/>
      <c r="BH111" s="9" t="n"/>
      <c r="BI111" s="9" t="n"/>
      <c r="BJ111" s="9" t="n"/>
      <c r="BK111" s="9" t="n"/>
      <c r="BL111" s="9" t="n"/>
      <c r="BM111" s="9" t="n"/>
      <c r="BN111" s="9" t="n"/>
      <c r="BO111" s="8" t="n"/>
      <c r="BP111" s="9" t="n"/>
      <c r="BQ111" s="9" t="n"/>
      <c r="BR111" s="12">
        <f>IF(AND(AI111="Y",AK111="Y",AL111="Y",AM111="Y",AY111="Y",AZ111="Y",BA111="Y",BB111="Y",BC111="Y",BE111&lt;&gt;"Y",AX111&lt;&gt;"Y",BL111&lt;&gt;"Y",IF(AS111="Y",AV111="Y",TRUE)),"Y","N")</f>
        <v/>
      </c>
      <c r="BS111" s="12">
        <f>IF(AND(BR111="Y",OR(AND(BJ111="Y",BM111="Y"),AND(BK111="Y",BN111="Y"),AND(BJ111&lt;&gt;"Y",BK111&lt;&gt;"Y",OR(BM111="Y",BN111="Y")))),"Y","N")</f>
        <v/>
      </c>
      <c r="BT111" s="10" t="n"/>
      <c r="BU111" s="13" t="n"/>
      <c r="BV111" s="13" t="n"/>
      <c r="BW111" s="13" t="n"/>
      <c r="BX111" s="13" t="n"/>
      <c r="BY111" s="13" t="n"/>
      <c r="BZ111" s="13" t="n"/>
      <c r="CA111" s="14" t="n"/>
      <c r="CB111" s="13" t="n"/>
      <c r="CC111" s="9" t="n"/>
      <c r="CD111" s="9" t="n"/>
      <c r="CE111" s="9" t="n"/>
      <c r="CF111" s="9" t="n"/>
      <c r="CG111" s="9" t="n"/>
      <c r="CH111" s="9" t="n"/>
    </row>
    <row r="112">
      <c r="A112" s="8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8" t="n"/>
      <c r="L112" s="9" t="n"/>
      <c r="M112" s="8" t="n"/>
      <c r="N112" s="8" t="n"/>
      <c r="O112" s="8" t="n"/>
      <c r="P112" s="8" t="n"/>
      <c r="Q112" s="8" t="n"/>
      <c r="R112" s="9" t="n"/>
      <c r="S112" s="9" t="n"/>
      <c r="T112" s="10" t="n"/>
      <c r="U112" s="10" t="n"/>
      <c r="V112" s="9" t="n"/>
      <c r="W112" s="9" t="n"/>
      <c r="X112" s="9" t="n"/>
      <c r="Y112" s="9" t="n"/>
      <c r="Z112" s="11" t="n"/>
      <c r="AA112" s="11" t="n"/>
      <c r="AB112" s="11" t="n"/>
      <c r="AC112" s="11" t="n"/>
      <c r="AD112" s="11" t="n"/>
      <c r="AE112" s="11" t="n"/>
      <c r="AF112" s="9" t="n"/>
      <c r="AG112" s="9" t="n"/>
      <c r="AH112" s="9" t="n"/>
      <c r="AI112" s="9" t="n"/>
      <c r="AJ112" s="8" t="n"/>
      <c r="AK112" s="9" t="n"/>
      <c r="AL112" s="9" t="n"/>
      <c r="AM112" s="9" t="n"/>
      <c r="AN112" s="9" t="n"/>
      <c r="AO112" s="9" t="n"/>
      <c r="AP112" s="9" t="n"/>
      <c r="AQ112" s="9" t="n"/>
      <c r="AR112" s="9" t="n"/>
      <c r="AS112" s="9" t="n"/>
      <c r="AT112" s="8" t="n"/>
      <c r="AU112" s="8" t="n"/>
      <c r="AV112" s="9" t="n"/>
      <c r="AW112" s="8" t="n"/>
      <c r="AX112" s="9" t="n"/>
      <c r="AY112" s="9" t="n"/>
      <c r="AZ112" s="9" t="n"/>
      <c r="BA112" s="9" t="n"/>
      <c r="BB112" s="9" t="n"/>
      <c r="BC112" s="9" t="n"/>
      <c r="BD112" s="9" t="n"/>
      <c r="BE112" s="9" t="n"/>
      <c r="BF112" s="9" t="n"/>
      <c r="BG112" s="9" t="n"/>
      <c r="BH112" s="9" t="n"/>
      <c r="BI112" s="9" t="n"/>
      <c r="BJ112" s="9" t="n"/>
      <c r="BK112" s="9" t="n"/>
      <c r="BL112" s="9" t="n"/>
      <c r="BM112" s="9" t="n"/>
      <c r="BN112" s="9" t="n"/>
      <c r="BO112" s="8" t="n"/>
      <c r="BP112" s="9" t="n"/>
      <c r="BQ112" s="9" t="n"/>
      <c r="BR112" s="12">
        <f>IF(AND(AI112="Y",AK112="Y",AL112="Y",AM112="Y",AY112="Y",AZ112="Y",BA112="Y",BB112="Y",BC112="Y",BE112&lt;&gt;"Y",AX112&lt;&gt;"Y",BL112&lt;&gt;"Y",IF(AS112="Y",AV112="Y",TRUE)),"Y","N")</f>
        <v/>
      </c>
      <c r="BS112" s="12">
        <f>IF(AND(BR112="Y",OR(AND(BJ112="Y",BM112="Y"),AND(BK112="Y",BN112="Y"),AND(BJ112&lt;&gt;"Y",BK112&lt;&gt;"Y",OR(BM112="Y",BN112="Y")))),"Y","N")</f>
        <v/>
      </c>
      <c r="BT112" s="10" t="n"/>
      <c r="BU112" s="13" t="n"/>
      <c r="BV112" s="13" t="n"/>
      <c r="BW112" s="13" t="n"/>
      <c r="BX112" s="13" t="n"/>
      <c r="BY112" s="13" t="n"/>
      <c r="BZ112" s="13" t="n"/>
      <c r="CA112" s="14" t="n"/>
      <c r="CB112" s="13" t="n"/>
      <c r="CC112" s="9" t="n"/>
      <c r="CD112" s="9" t="n"/>
      <c r="CE112" s="9" t="n"/>
      <c r="CF112" s="9" t="n"/>
      <c r="CG112" s="9" t="n"/>
      <c r="CH112" s="9" t="n"/>
    </row>
    <row r="113">
      <c r="A113" s="8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8" t="n"/>
      <c r="L113" s="9" t="n"/>
      <c r="M113" s="8" t="n"/>
      <c r="N113" s="8" t="n"/>
      <c r="O113" s="8" t="n"/>
      <c r="P113" s="8" t="n"/>
      <c r="Q113" s="8" t="n"/>
      <c r="R113" s="9" t="n"/>
      <c r="S113" s="9" t="n"/>
      <c r="T113" s="10" t="n"/>
      <c r="U113" s="10" t="n"/>
      <c r="V113" s="9" t="n"/>
      <c r="W113" s="9" t="n"/>
      <c r="X113" s="9" t="n"/>
      <c r="Y113" s="9" t="n"/>
      <c r="Z113" s="11" t="n"/>
      <c r="AA113" s="11" t="n"/>
      <c r="AB113" s="11" t="n"/>
      <c r="AC113" s="11" t="n"/>
      <c r="AD113" s="11" t="n"/>
      <c r="AE113" s="11" t="n"/>
      <c r="AF113" s="9" t="n"/>
      <c r="AG113" s="9" t="n"/>
      <c r="AH113" s="9" t="n"/>
      <c r="AI113" s="9" t="n"/>
      <c r="AJ113" s="8" t="n"/>
      <c r="AK113" s="9" t="n"/>
      <c r="AL113" s="9" t="n"/>
      <c r="AM113" s="9" t="n"/>
      <c r="AN113" s="9" t="n"/>
      <c r="AO113" s="9" t="n"/>
      <c r="AP113" s="9" t="n"/>
      <c r="AQ113" s="9" t="n"/>
      <c r="AR113" s="9" t="n"/>
      <c r="AS113" s="9" t="n"/>
      <c r="AT113" s="8" t="n"/>
      <c r="AU113" s="8" t="n"/>
      <c r="AV113" s="9" t="n"/>
      <c r="AW113" s="8" t="n"/>
      <c r="AX113" s="9" t="n"/>
      <c r="AY113" s="9" t="n"/>
      <c r="AZ113" s="9" t="n"/>
      <c r="BA113" s="9" t="n"/>
      <c r="BB113" s="9" t="n"/>
      <c r="BC113" s="9" t="n"/>
      <c r="BD113" s="9" t="n"/>
      <c r="BE113" s="9" t="n"/>
      <c r="BF113" s="9" t="n"/>
      <c r="BG113" s="9" t="n"/>
      <c r="BH113" s="9" t="n"/>
      <c r="BI113" s="9" t="n"/>
      <c r="BJ113" s="9" t="n"/>
      <c r="BK113" s="9" t="n"/>
      <c r="BL113" s="9" t="n"/>
      <c r="BM113" s="9" t="n"/>
      <c r="BN113" s="9" t="n"/>
      <c r="BO113" s="8" t="n"/>
      <c r="BP113" s="9" t="n"/>
      <c r="BQ113" s="9" t="n"/>
      <c r="BR113" s="12">
        <f>IF(AND(AI113="Y",AK113="Y",AL113="Y",AM113="Y",AY113="Y",AZ113="Y",BA113="Y",BB113="Y",BC113="Y",BE113&lt;&gt;"Y",AX113&lt;&gt;"Y",BL113&lt;&gt;"Y",IF(AS113="Y",AV113="Y",TRUE)),"Y","N")</f>
        <v/>
      </c>
      <c r="BS113" s="12">
        <f>IF(AND(BR113="Y",OR(AND(BJ113="Y",BM113="Y"),AND(BK113="Y",BN113="Y"),AND(BJ113&lt;&gt;"Y",BK113&lt;&gt;"Y",OR(BM113="Y",BN113="Y")))),"Y","N")</f>
        <v/>
      </c>
      <c r="BT113" s="10" t="n"/>
      <c r="BU113" s="13" t="n"/>
      <c r="BV113" s="13" t="n"/>
      <c r="BW113" s="13" t="n"/>
      <c r="BX113" s="13" t="n"/>
      <c r="BY113" s="13" t="n"/>
      <c r="BZ113" s="13" t="n"/>
      <c r="CA113" s="14" t="n"/>
      <c r="CB113" s="13" t="n"/>
      <c r="CC113" s="9" t="n"/>
      <c r="CD113" s="9" t="n"/>
      <c r="CE113" s="9" t="n"/>
      <c r="CF113" s="9" t="n"/>
      <c r="CG113" s="9" t="n"/>
      <c r="CH113" s="9" t="n"/>
    </row>
    <row r="114">
      <c r="A114" s="8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8" t="n"/>
      <c r="L114" s="9" t="n"/>
      <c r="M114" s="8" t="n"/>
      <c r="N114" s="8" t="n"/>
      <c r="O114" s="8" t="n"/>
      <c r="P114" s="8" t="n"/>
      <c r="Q114" s="8" t="n"/>
      <c r="R114" s="9" t="n"/>
      <c r="S114" s="9" t="n"/>
      <c r="T114" s="10" t="n"/>
      <c r="U114" s="10" t="n"/>
      <c r="V114" s="9" t="n"/>
      <c r="W114" s="9" t="n"/>
      <c r="X114" s="9" t="n"/>
      <c r="Y114" s="9" t="n"/>
      <c r="Z114" s="11" t="n"/>
      <c r="AA114" s="11" t="n"/>
      <c r="AB114" s="11" t="n"/>
      <c r="AC114" s="11" t="n"/>
      <c r="AD114" s="11" t="n"/>
      <c r="AE114" s="11" t="n"/>
      <c r="AF114" s="9" t="n"/>
      <c r="AG114" s="9" t="n"/>
      <c r="AH114" s="9" t="n"/>
      <c r="AI114" s="9" t="n"/>
      <c r="AJ114" s="8" t="n"/>
      <c r="AK114" s="9" t="n"/>
      <c r="AL114" s="9" t="n"/>
      <c r="AM114" s="9" t="n"/>
      <c r="AN114" s="9" t="n"/>
      <c r="AO114" s="9" t="n"/>
      <c r="AP114" s="9" t="n"/>
      <c r="AQ114" s="9" t="n"/>
      <c r="AR114" s="9" t="n"/>
      <c r="AS114" s="9" t="n"/>
      <c r="AT114" s="8" t="n"/>
      <c r="AU114" s="8" t="n"/>
      <c r="AV114" s="9" t="n"/>
      <c r="AW114" s="8" t="n"/>
      <c r="AX114" s="9" t="n"/>
      <c r="AY114" s="9" t="n"/>
      <c r="AZ114" s="9" t="n"/>
      <c r="BA114" s="9" t="n"/>
      <c r="BB114" s="9" t="n"/>
      <c r="BC114" s="9" t="n"/>
      <c r="BD114" s="9" t="n"/>
      <c r="BE114" s="9" t="n"/>
      <c r="BF114" s="9" t="n"/>
      <c r="BG114" s="9" t="n"/>
      <c r="BH114" s="9" t="n"/>
      <c r="BI114" s="9" t="n"/>
      <c r="BJ114" s="9" t="n"/>
      <c r="BK114" s="9" t="n"/>
      <c r="BL114" s="9" t="n"/>
      <c r="BM114" s="9" t="n"/>
      <c r="BN114" s="9" t="n"/>
      <c r="BO114" s="8" t="n"/>
      <c r="BP114" s="9" t="n"/>
      <c r="BQ114" s="9" t="n"/>
      <c r="BR114" s="12">
        <f>IF(AND(AI114="Y",AK114="Y",AL114="Y",AM114="Y",AY114="Y",AZ114="Y",BA114="Y",BB114="Y",BC114="Y",BE114&lt;&gt;"Y",AX114&lt;&gt;"Y",BL114&lt;&gt;"Y",IF(AS114="Y",AV114="Y",TRUE)),"Y","N")</f>
        <v/>
      </c>
      <c r="BS114" s="12">
        <f>IF(AND(BR114="Y",OR(AND(BJ114="Y",BM114="Y"),AND(BK114="Y",BN114="Y"),AND(BJ114&lt;&gt;"Y",BK114&lt;&gt;"Y",OR(BM114="Y",BN114="Y")))),"Y","N")</f>
        <v/>
      </c>
      <c r="BT114" s="10" t="n"/>
      <c r="BU114" s="13" t="n"/>
      <c r="BV114" s="13" t="n"/>
      <c r="BW114" s="13" t="n"/>
      <c r="BX114" s="13" t="n"/>
      <c r="BY114" s="13" t="n"/>
      <c r="BZ114" s="13" t="n"/>
      <c r="CA114" s="14" t="n"/>
      <c r="CB114" s="13" t="n"/>
      <c r="CC114" s="9" t="n"/>
      <c r="CD114" s="9" t="n"/>
      <c r="CE114" s="9" t="n"/>
      <c r="CF114" s="9" t="n"/>
      <c r="CG114" s="9" t="n"/>
      <c r="CH114" s="9" t="n"/>
    </row>
    <row r="115">
      <c r="A115" s="8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8" t="n"/>
      <c r="L115" s="9" t="n"/>
      <c r="M115" s="8" t="n"/>
      <c r="N115" s="8" t="n"/>
      <c r="O115" s="8" t="n"/>
      <c r="P115" s="8" t="n"/>
      <c r="Q115" s="8" t="n"/>
      <c r="R115" s="9" t="n"/>
      <c r="S115" s="9" t="n"/>
      <c r="T115" s="10" t="n"/>
      <c r="U115" s="10" t="n"/>
      <c r="V115" s="9" t="n"/>
      <c r="W115" s="9" t="n"/>
      <c r="X115" s="9" t="n"/>
      <c r="Y115" s="9" t="n"/>
      <c r="Z115" s="11" t="n"/>
      <c r="AA115" s="11" t="n"/>
      <c r="AB115" s="11" t="n"/>
      <c r="AC115" s="11" t="n"/>
      <c r="AD115" s="11" t="n"/>
      <c r="AE115" s="11" t="n"/>
      <c r="AF115" s="9" t="n"/>
      <c r="AG115" s="9" t="n"/>
      <c r="AH115" s="9" t="n"/>
      <c r="AI115" s="9" t="n"/>
      <c r="AJ115" s="8" t="n"/>
      <c r="AK115" s="9" t="n"/>
      <c r="AL115" s="9" t="n"/>
      <c r="AM115" s="9" t="n"/>
      <c r="AN115" s="9" t="n"/>
      <c r="AO115" s="9" t="n"/>
      <c r="AP115" s="9" t="n"/>
      <c r="AQ115" s="9" t="n"/>
      <c r="AR115" s="9" t="n"/>
      <c r="AS115" s="9" t="n"/>
      <c r="AT115" s="8" t="n"/>
      <c r="AU115" s="8" t="n"/>
      <c r="AV115" s="9" t="n"/>
      <c r="AW115" s="8" t="n"/>
      <c r="AX115" s="9" t="n"/>
      <c r="AY115" s="9" t="n"/>
      <c r="AZ115" s="9" t="n"/>
      <c r="BA115" s="9" t="n"/>
      <c r="BB115" s="9" t="n"/>
      <c r="BC115" s="9" t="n"/>
      <c r="BD115" s="9" t="n"/>
      <c r="BE115" s="9" t="n"/>
      <c r="BF115" s="9" t="n"/>
      <c r="BG115" s="9" t="n"/>
      <c r="BH115" s="9" t="n"/>
      <c r="BI115" s="9" t="n"/>
      <c r="BJ115" s="9" t="n"/>
      <c r="BK115" s="9" t="n"/>
      <c r="BL115" s="9" t="n"/>
      <c r="BM115" s="9" t="n"/>
      <c r="BN115" s="9" t="n"/>
      <c r="BO115" s="8" t="n"/>
      <c r="BP115" s="9" t="n"/>
      <c r="BQ115" s="9" t="n"/>
      <c r="BR115" s="12">
        <f>IF(AND(AI115="Y",AK115="Y",AL115="Y",AM115="Y",AY115="Y",AZ115="Y",BA115="Y",BB115="Y",BC115="Y",BE115&lt;&gt;"Y",AX115&lt;&gt;"Y",BL115&lt;&gt;"Y",IF(AS115="Y",AV115="Y",TRUE)),"Y","N")</f>
        <v/>
      </c>
      <c r="BS115" s="12">
        <f>IF(AND(BR115="Y",OR(AND(BJ115="Y",BM115="Y"),AND(BK115="Y",BN115="Y"),AND(BJ115&lt;&gt;"Y",BK115&lt;&gt;"Y",OR(BM115="Y",BN115="Y")))),"Y","N")</f>
        <v/>
      </c>
      <c r="BT115" s="10" t="n"/>
      <c r="BU115" s="13" t="n"/>
      <c r="BV115" s="13" t="n"/>
      <c r="BW115" s="13" t="n"/>
      <c r="BX115" s="13" t="n"/>
      <c r="BY115" s="13" t="n"/>
      <c r="BZ115" s="13" t="n"/>
      <c r="CA115" s="14" t="n"/>
      <c r="CB115" s="13" t="n"/>
      <c r="CC115" s="9" t="n"/>
      <c r="CD115" s="9" t="n"/>
      <c r="CE115" s="9" t="n"/>
      <c r="CF115" s="9" t="n"/>
      <c r="CG115" s="9" t="n"/>
      <c r="CH115" s="9" t="n"/>
    </row>
    <row r="116">
      <c r="A116" s="8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8" t="n"/>
      <c r="L116" s="9" t="n"/>
      <c r="M116" s="8" t="n"/>
      <c r="N116" s="8" t="n"/>
      <c r="O116" s="8" t="n"/>
      <c r="P116" s="8" t="n"/>
      <c r="Q116" s="8" t="n"/>
      <c r="R116" s="9" t="n"/>
      <c r="S116" s="9" t="n"/>
      <c r="T116" s="10" t="n"/>
      <c r="U116" s="10" t="n"/>
      <c r="V116" s="9" t="n"/>
      <c r="W116" s="9" t="n"/>
      <c r="X116" s="9" t="n"/>
      <c r="Y116" s="9" t="n"/>
      <c r="Z116" s="11" t="n"/>
      <c r="AA116" s="11" t="n"/>
      <c r="AB116" s="11" t="n"/>
      <c r="AC116" s="11" t="n"/>
      <c r="AD116" s="11" t="n"/>
      <c r="AE116" s="11" t="n"/>
      <c r="AF116" s="9" t="n"/>
      <c r="AG116" s="9" t="n"/>
      <c r="AH116" s="9" t="n"/>
      <c r="AI116" s="9" t="n"/>
      <c r="AJ116" s="8" t="n"/>
      <c r="AK116" s="9" t="n"/>
      <c r="AL116" s="9" t="n"/>
      <c r="AM116" s="9" t="n"/>
      <c r="AN116" s="9" t="n"/>
      <c r="AO116" s="9" t="n"/>
      <c r="AP116" s="9" t="n"/>
      <c r="AQ116" s="9" t="n"/>
      <c r="AR116" s="9" t="n"/>
      <c r="AS116" s="9" t="n"/>
      <c r="AT116" s="8" t="n"/>
      <c r="AU116" s="8" t="n"/>
      <c r="AV116" s="9" t="n"/>
      <c r="AW116" s="8" t="n"/>
      <c r="AX116" s="9" t="n"/>
      <c r="AY116" s="9" t="n"/>
      <c r="AZ116" s="9" t="n"/>
      <c r="BA116" s="9" t="n"/>
      <c r="BB116" s="9" t="n"/>
      <c r="BC116" s="9" t="n"/>
      <c r="BD116" s="9" t="n"/>
      <c r="BE116" s="9" t="n"/>
      <c r="BF116" s="9" t="n"/>
      <c r="BG116" s="9" t="n"/>
      <c r="BH116" s="9" t="n"/>
      <c r="BI116" s="9" t="n"/>
      <c r="BJ116" s="9" t="n"/>
      <c r="BK116" s="9" t="n"/>
      <c r="BL116" s="9" t="n"/>
      <c r="BM116" s="9" t="n"/>
      <c r="BN116" s="9" t="n"/>
      <c r="BO116" s="8" t="n"/>
      <c r="BP116" s="9" t="n"/>
      <c r="BQ116" s="9" t="n"/>
      <c r="BR116" s="12">
        <f>IF(AND(AI116="Y",AK116="Y",AL116="Y",AM116="Y",AY116="Y",AZ116="Y",BA116="Y",BB116="Y",BC116="Y",BE116&lt;&gt;"Y",AX116&lt;&gt;"Y",BL116&lt;&gt;"Y",IF(AS116="Y",AV116="Y",TRUE)),"Y","N")</f>
        <v/>
      </c>
      <c r="BS116" s="12">
        <f>IF(AND(BR116="Y",OR(AND(BJ116="Y",BM116="Y"),AND(BK116="Y",BN116="Y"),AND(BJ116&lt;&gt;"Y",BK116&lt;&gt;"Y",OR(BM116="Y",BN116="Y")))),"Y","N")</f>
        <v/>
      </c>
      <c r="BT116" s="10" t="n"/>
      <c r="BU116" s="13" t="n"/>
      <c r="BV116" s="13" t="n"/>
      <c r="BW116" s="13" t="n"/>
      <c r="BX116" s="13" t="n"/>
      <c r="BY116" s="13" t="n"/>
      <c r="BZ116" s="13" t="n"/>
      <c r="CA116" s="14" t="n"/>
      <c r="CB116" s="13" t="n"/>
      <c r="CC116" s="9" t="n"/>
      <c r="CD116" s="9" t="n"/>
      <c r="CE116" s="9" t="n"/>
      <c r="CF116" s="9" t="n"/>
      <c r="CG116" s="9" t="n"/>
      <c r="CH116" s="9" t="n"/>
    </row>
    <row r="117">
      <c r="A117" s="8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8" t="n"/>
      <c r="L117" s="9" t="n"/>
      <c r="M117" s="8" t="n"/>
      <c r="N117" s="8" t="n"/>
      <c r="O117" s="8" t="n"/>
      <c r="P117" s="8" t="n"/>
      <c r="Q117" s="8" t="n"/>
      <c r="R117" s="9" t="n"/>
      <c r="S117" s="9" t="n"/>
      <c r="T117" s="10" t="n"/>
      <c r="U117" s="10" t="n"/>
      <c r="V117" s="9" t="n"/>
      <c r="W117" s="9" t="n"/>
      <c r="X117" s="9" t="n"/>
      <c r="Y117" s="9" t="n"/>
      <c r="Z117" s="11" t="n"/>
      <c r="AA117" s="11" t="n"/>
      <c r="AB117" s="11" t="n"/>
      <c r="AC117" s="11" t="n"/>
      <c r="AD117" s="11" t="n"/>
      <c r="AE117" s="11" t="n"/>
      <c r="AF117" s="9" t="n"/>
      <c r="AG117" s="9" t="n"/>
      <c r="AH117" s="9" t="n"/>
      <c r="AI117" s="9" t="n"/>
      <c r="AJ117" s="8" t="n"/>
      <c r="AK117" s="9" t="n"/>
      <c r="AL117" s="9" t="n"/>
      <c r="AM117" s="9" t="n"/>
      <c r="AN117" s="9" t="n"/>
      <c r="AO117" s="9" t="n"/>
      <c r="AP117" s="9" t="n"/>
      <c r="AQ117" s="9" t="n"/>
      <c r="AR117" s="9" t="n"/>
      <c r="AS117" s="9" t="n"/>
      <c r="AT117" s="8" t="n"/>
      <c r="AU117" s="8" t="n"/>
      <c r="AV117" s="9" t="n"/>
      <c r="AW117" s="8" t="n"/>
      <c r="AX117" s="9" t="n"/>
      <c r="AY117" s="9" t="n"/>
      <c r="AZ117" s="9" t="n"/>
      <c r="BA117" s="9" t="n"/>
      <c r="BB117" s="9" t="n"/>
      <c r="BC117" s="9" t="n"/>
      <c r="BD117" s="9" t="n"/>
      <c r="BE117" s="9" t="n"/>
      <c r="BF117" s="9" t="n"/>
      <c r="BG117" s="9" t="n"/>
      <c r="BH117" s="9" t="n"/>
      <c r="BI117" s="9" t="n"/>
      <c r="BJ117" s="9" t="n"/>
      <c r="BK117" s="9" t="n"/>
      <c r="BL117" s="9" t="n"/>
      <c r="BM117" s="9" t="n"/>
      <c r="BN117" s="9" t="n"/>
      <c r="BO117" s="8" t="n"/>
      <c r="BP117" s="9" t="n"/>
      <c r="BQ117" s="9" t="n"/>
      <c r="BR117" s="12">
        <f>IF(AND(AI117="Y",AK117="Y",AL117="Y",AM117="Y",AY117="Y",AZ117="Y",BA117="Y",BB117="Y",BC117="Y",BE117&lt;&gt;"Y",AX117&lt;&gt;"Y",BL117&lt;&gt;"Y",IF(AS117="Y",AV117="Y",TRUE)),"Y","N")</f>
        <v/>
      </c>
      <c r="BS117" s="12">
        <f>IF(AND(BR117="Y",OR(AND(BJ117="Y",BM117="Y"),AND(BK117="Y",BN117="Y"),AND(BJ117&lt;&gt;"Y",BK117&lt;&gt;"Y",OR(BM117="Y",BN117="Y")))),"Y","N")</f>
        <v/>
      </c>
      <c r="BT117" s="10" t="n"/>
      <c r="BU117" s="13" t="n"/>
      <c r="BV117" s="13" t="n"/>
      <c r="BW117" s="13" t="n"/>
      <c r="BX117" s="13" t="n"/>
      <c r="BY117" s="13" t="n"/>
      <c r="BZ117" s="13" t="n"/>
      <c r="CA117" s="14" t="n"/>
      <c r="CB117" s="13" t="n"/>
      <c r="CC117" s="9" t="n"/>
      <c r="CD117" s="9" t="n"/>
      <c r="CE117" s="9" t="n"/>
      <c r="CF117" s="9" t="n"/>
      <c r="CG117" s="9" t="n"/>
      <c r="CH117" s="9" t="n"/>
    </row>
    <row r="118">
      <c r="A118" s="8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8" t="n"/>
      <c r="L118" s="9" t="n"/>
      <c r="M118" s="8" t="n"/>
      <c r="N118" s="8" t="n"/>
      <c r="O118" s="8" t="n"/>
      <c r="P118" s="8" t="n"/>
      <c r="Q118" s="8" t="n"/>
      <c r="R118" s="9" t="n"/>
      <c r="S118" s="9" t="n"/>
      <c r="T118" s="10" t="n"/>
      <c r="U118" s="10" t="n"/>
      <c r="V118" s="9" t="n"/>
      <c r="W118" s="9" t="n"/>
      <c r="X118" s="9" t="n"/>
      <c r="Y118" s="9" t="n"/>
      <c r="Z118" s="11" t="n"/>
      <c r="AA118" s="11" t="n"/>
      <c r="AB118" s="11" t="n"/>
      <c r="AC118" s="11" t="n"/>
      <c r="AD118" s="11" t="n"/>
      <c r="AE118" s="11" t="n"/>
      <c r="AF118" s="9" t="n"/>
      <c r="AG118" s="9" t="n"/>
      <c r="AH118" s="9" t="n"/>
      <c r="AI118" s="9" t="n"/>
      <c r="AJ118" s="8" t="n"/>
      <c r="AK118" s="9" t="n"/>
      <c r="AL118" s="9" t="n"/>
      <c r="AM118" s="9" t="n"/>
      <c r="AN118" s="9" t="n"/>
      <c r="AO118" s="9" t="n"/>
      <c r="AP118" s="9" t="n"/>
      <c r="AQ118" s="9" t="n"/>
      <c r="AR118" s="9" t="n"/>
      <c r="AS118" s="9" t="n"/>
      <c r="AT118" s="8" t="n"/>
      <c r="AU118" s="8" t="n"/>
      <c r="AV118" s="9" t="n"/>
      <c r="AW118" s="8" t="n"/>
      <c r="AX118" s="9" t="n"/>
      <c r="AY118" s="9" t="n"/>
      <c r="AZ118" s="9" t="n"/>
      <c r="BA118" s="9" t="n"/>
      <c r="BB118" s="9" t="n"/>
      <c r="BC118" s="9" t="n"/>
      <c r="BD118" s="9" t="n"/>
      <c r="BE118" s="9" t="n"/>
      <c r="BF118" s="9" t="n"/>
      <c r="BG118" s="9" t="n"/>
      <c r="BH118" s="9" t="n"/>
      <c r="BI118" s="9" t="n"/>
      <c r="BJ118" s="9" t="n"/>
      <c r="BK118" s="9" t="n"/>
      <c r="BL118" s="9" t="n"/>
      <c r="BM118" s="9" t="n"/>
      <c r="BN118" s="9" t="n"/>
      <c r="BO118" s="8" t="n"/>
      <c r="BP118" s="9" t="n"/>
      <c r="BQ118" s="9" t="n"/>
      <c r="BR118" s="12">
        <f>IF(AND(AI118="Y",AK118="Y",AL118="Y",AM118="Y",AY118="Y",AZ118="Y",BA118="Y",BB118="Y",BC118="Y",BE118&lt;&gt;"Y",AX118&lt;&gt;"Y",BL118&lt;&gt;"Y",IF(AS118="Y",AV118="Y",TRUE)),"Y","N")</f>
        <v/>
      </c>
      <c r="BS118" s="12">
        <f>IF(AND(BR118="Y",OR(AND(BJ118="Y",BM118="Y"),AND(BK118="Y",BN118="Y"),AND(BJ118&lt;&gt;"Y",BK118&lt;&gt;"Y",OR(BM118="Y",BN118="Y")))),"Y","N")</f>
        <v/>
      </c>
      <c r="BT118" s="10" t="n"/>
      <c r="BU118" s="13" t="n"/>
      <c r="BV118" s="13" t="n"/>
      <c r="BW118" s="13" t="n"/>
      <c r="BX118" s="13" t="n"/>
      <c r="BY118" s="13" t="n"/>
      <c r="BZ118" s="13" t="n"/>
      <c r="CA118" s="14" t="n"/>
      <c r="CB118" s="13" t="n"/>
      <c r="CC118" s="9" t="n"/>
      <c r="CD118" s="9" t="n"/>
      <c r="CE118" s="9" t="n"/>
      <c r="CF118" s="9" t="n"/>
      <c r="CG118" s="9" t="n"/>
      <c r="CH118" s="9" t="n"/>
    </row>
    <row r="119">
      <c r="A119" s="8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8" t="n"/>
      <c r="L119" s="9" t="n"/>
      <c r="M119" s="8" t="n"/>
      <c r="N119" s="8" t="n"/>
      <c r="O119" s="8" t="n"/>
      <c r="P119" s="8" t="n"/>
      <c r="Q119" s="8" t="n"/>
      <c r="R119" s="9" t="n"/>
      <c r="S119" s="9" t="n"/>
      <c r="T119" s="10" t="n"/>
      <c r="U119" s="10" t="n"/>
      <c r="V119" s="9" t="n"/>
      <c r="W119" s="9" t="n"/>
      <c r="X119" s="9" t="n"/>
      <c r="Y119" s="9" t="n"/>
      <c r="Z119" s="11" t="n"/>
      <c r="AA119" s="11" t="n"/>
      <c r="AB119" s="11" t="n"/>
      <c r="AC119" s="11" t="n"/>
      <c r="AD119" s="11" t="n"/>
      <c r="AE119" s="11" t="n"/>
      <c r="AF119" s="9" t="n"/>
      <c r="AG119" s="9" t="n"/>
      <c r="AH119" s="9" t="n"/>
      <c r="AI119" s="9" t="n"/>
      <c r="AJ119" s="8" t="n"/>
      <c r="AK119" s="9" t="n"/>
      <c r="AL119" s="9" t="n"/>
      <c r="AM119" s="9" t="n"/>
      <c r="AN119" s="9" t="n"/>
      <c r="AO119" s="9" t="n"/>
      <c r="AP119" s="9" t="n"/>
      <c r="AQ119" s="9" t="n"/>
      <c r="AR119" s="9" t="n"/>
      <c r="AS119" s="9" t="n"/>
      <c r="AT119" s="8" t="n"/>
      <c r="AU119" s="8" t="n"/>
      <c r="AV119" s="9" t="n"/>
      <c r="AW119" s="8" t="n"/>
      <c r="AX119" s="9" t="n"/>
      <c r="AY119" s="9" t="n"/>
      <c r="AZ119" s="9" t="n"/>
      <c r="BA119" s="9" t="n"/>
      <c r="BB119" s="9" t="n"/>
      <c r="BC119" s="9" t="n"/>
      <c r="BD119" s="9" t="n"/>
      <c r="BE119" s="9" t="n"/>
      <c r="BF119" s="9" t="n"/>
      <c r="BG119" s="9" t="n"/>
      <c r="BH119" s="9" t="n"/>
      <c r="BI119" s="9" t="n"/>
      <c r="BJ119" s="9" t="n"/>
      <c r="BK119" s="9" t="n"/>
      <c r="BL119" s="9" t="n"/>
      <c r="BM119" s="9" t="n"/>
      <c r="BN119" s="9" t="n"/>
      <c r="BO119" s="8" t="n"/>
      <c r="BP119" s="9" t="n"/>
      <c r="BQ119" s="9" t="n"/>
      <c r="BR119" s="12">
        <f>IF(AND(AI119="Y",AK119="Y",AL119="Y",AM119="Y",AY119="Y",AZ119="Y",BA119="Y",BB119="Y",BC119="Y",BE119&lt;&gt;"Y",AX119&lt;&gt;"Y",BL119&lt;&gt;"Y",IF(AS119="Y",AV119="Y",TRUE)),"Y","N")</f>
        <v/>
      </c>
      <c r="BS119" s="12">
        <f>IF(AND(BR119="Y",OR(AND(BJ119="Y",BM119="Y"),AND(BK119="Y",BN119="Y"),AND(BJ119&lt;&gt;"Y",BK119&lt;&gt;"Y",OR(BM119="Y",BN119="Y")))),"Y","N")</f>
        <v/>
      </c>
      <c r="BT119" s="10" t="n"/>
      <c r="BU119" s="13" t="n"/>
      <c r="BV119" s="13" t="n"/>
      <c r="BW119" s="13" t="n"/>
      <c r="BX119" s="13" t="n"/>
      <c r="BY119" s="13" t="n"/>
      <c r="BZ119" s="13" t="n"/>
      <c r="CA119" s="14" t="n"/>
      <c r="CB119" s="13" t="n"/>
      <c r="CC119" s="9" t="n"/>
      <c r="CD119" s="9" t="n"/>
      <c r="CE119" s="9" t="n"/>
      <c r="CF119" s="9" t="n"/>
      <c r="CG119" s="9" t="n"/>
      <c r="CH119" s="9" t="n"/>
    </row>
    <row r="120">
      <c r="A120" s="8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8" t="n"/>
      <c r="L120" s="9" t="n"/>
      <c r="M120" s="8" t="n"/>
      <c r="N120" s="8" t="n"/>
      <c r="O120" s="8" t="n"/>
      <c r="P120" s="8" t="n"/>
      <c r="Q120" s="8" t="n"/>
      <c r="R120" s="9" t="n"/>
      <c r="S120" s="9" t="n"/>
      <c r="T120" s="10" t="n"/>
      <c r="U120" s="10" t="n"/>
      <c r="V120" s="9" t="n"/>
      <c r="W120" s="9" t="n"/>
      <c r="X120" s="9" t="n"/>
      <c r="Y120" s="9" t="n"/>
      <c r="Z120" s="11" t="n"/>
      <c r="AA120" s="11" t="n"/>
      <c r="AB120" s="11" t="n"/>
      <c r="AC120" s="11" t="n"/>
      <c r="AD120" s="11" t="n"/>
      <c r="AE120" s="11" t="n"/>
      <c r="AF120" s="9" t="n"/>
      <c r="AG120" s="9" t="n"/>
      <c r="AH120" s="9" t="n"/>
      <c r="AI120" s="9" t="n"/>
      <c r="AJ120" s="8" t="n"/>
      <c r="AK120" s="9" t="n"/>
      <c r="AL120" s="9" t="n"/>
      <c r="AM120" s="9" t="n"/>
      <c r="AN120" s="9" t="n"/>
      <c r="AO120" s="9" t="n"/>
      <c r="AP120" s="9" t="n"/>
      <c r="AQ120" s="9" t="n"/>
      <c r="AR120" s="9" t="n"/>
      <c r="AS120" s="9" t="n"/>
      <c r="AT120" s="8" t="n"/>
      <c r="AU120" s="8" t="n"/>
      <c r="AV120" s="9" t="n"/>
      <c r="AW120" s="8" t="n"/>
      <c r="AX120" s="9" t="n"/>
      <c r="AY120" s="9" t="n"/>
      <c r="AZ120" s="9" t="n"/>
      <c r="BA120" s="9" t="n"/>
      <c r="BB120" s="9" t="n"/>
      <c r="BC120" s="9" t="n"/>
      <c r="BD120" s="9" t="n"/>
      <c r="BE120" s="9" t="n"/>
      <c r="BF120" s="9" t="n"/>
      <c r="BG120" s="9" t="n"/>
      <c r="BH120" s="9" t="n"/>
      <c r="BI120" s="9" t="n"/>
      <c r="BJ120" s="9" t="n"/>
      <c r="BK120" s="9" t="n"/>
      <c r="BL120" s="9" t="n"/>
      <c r="BM120" s="9" t="n"/>
      <c r="BN120" s="9" t="n"/>
      <c r="BO120" s="8" t="n"/>
      <c r="BP120" s="9" t="n"/>
      <c r="BQ120" s="9" t="n"/>
      <c r="BR120" s="12">
        <f>IF(AND(AI120="Y",AK120="Y",AL120="Y",AM120="Y",AY120="Y",AZ120="Y",BA120="Y",BB120="Y",BC120="Y",BE120&lt;&gt;"Y",AX120&lt;&gt;"Y",BL120&lt;&gt;"Y",IF(AS120="Y",AV120="Y",TRUE)),"Y","N")</f>
        <v/>
      </c>
      <c r="BS120" s="12">
        <f>IF(AND(BR120="Y",OR(AND(BJ120="Y",BM120="Y"),AND(BK120="Y",BN120="Y"),AND(BJ120&lt;&gt;"Y",BK120&lt;&gt;"Y",OR(BM120="Y",BN120="Y")))),"Y","N")</f>
        <v/>
      </c>
      <c r="BT120" s="10" t="n"/>
      <c r="BU120" s="13" t="n"/>
      <c r="BV120" s="13" t="n"/>
      <c r="BW120" s="13" t="n"/>
      <c r="BX120" s="13" t="n"/>
      <c r="BY120" s="13" t="n"/>
      <c r="BZ120" s="13" t="n"/>
      <c r="CA120" s="14" t="n"/>
      <c r="CB120" s="13" t="n"/>
      <c r="CC120" s="9" t="n"/>
      <c r="CD120" s="9" t="n"/>
      <c r="CE120" s="9" t="n"/>
      <c r="CF120" s="9" t="n"/>
      <c r="CG120" s="9" t="n"/>
      <c r="CH120" s="9" t="n"/>
    </row>
    <row r="121">
      <c r="A121" s="8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8" t="n"/>
      <c r="L121" s="9" t="n"/>
      <c r="M121" s="8" t="n"/>
      <c r="N121" s="8" t="n"/>
      <c r="O121" s="8" t="n"/>
      <c r="P121" s="8" t="n"/>
      <c r="Q121" s="8" t="n"/>
      <c r="R121" s="9" t="n"/>
      <c r="S121" s="9" t="n"/>
      <c r="T121" s="10" t="n"/>
      <c r="U121" s="10" t="n"/>
      <c r="V121" s="9" t="n"/>
      <c r="W121" s="9" t="n"/>
      <c r="X121" s="9" t="n"/>
      <c r="Y121" s="9" t="n"/>
      <c r="Z121" s="11" t="n"/>
      <c r="AA121" s="11" t="n"/>
      <c r="AB121" s="11" t="n"/>
      <c r="AC121" s="11" t="n"/>
      <c r="AD121" s="11" t="n"/>
      <c r="AE121" s="11" t="n"/>
      <c r="AF121" s="9" t="n"/>
      <c r="AG121" s="9" t="n"/>
      <c r="AH121" s="9" t="n"/>
      <c r="AI121" s="9" t="n"/>
      <c r="AJ121" s="8" t="n"/>
      <c r="AK121" s="9" t="n"/>
      <c r="AL121" s="9" t="n"/>
      <c r="AM121" s="9" t="n"/>
      <c r="AN121" s="9" t="n"/>
      <c r="AO121" s="9" t="n"/>
      <c r="AP121" s="9" t="n"/>
      <c r="AQ121" s="9" t="n"/>
      <c r="AR121" s="9" t="n"/>
      <c r="AS121" s="9" t="n"/>
      <c r="AT121" s="8" t="n"/>
      <c r="AU121" s="8" t="n"/>
      <c r="AV121" s="9" t="n"/>
      <c r="AW121" s="8" t="n"/>
      <c r="AX121" s="9" t="n"/>
      <c r="AY121" s="9" t="n"/>
      <c r="AZ121" s="9" t="n"/>
      <c r="BA121" s="9" t="n"/>
      <c r="BB121" s="9" t="n"/>
      <c r="BC121" s="9" t="n"/>
      <c r="BD121" s="9" t="n"/>
      <c r="BE121" s="9" t="n"/>
      <c r="BF121" s="9" t="n"/>
      <c r="BG121" s="9" t="n"/>
      <c r="BH121" s="9" t="n"/>
      <c r="BI121" s="9" t="n"/>
      <c r="BJ121" s="9" t="n"/>
      <c r="BK121" s="9" t="n"/>
      <c r="BL121" s="9" t="n"/>
      <c r="BM121" s="9" t="n"/>
      <c r="BN121" s="9" t="n"/>
      <c r="BO121" s="8" t="n"/>
      <c r="BP121" s="9" t="n"/>
      <c r="BQ121" s="9" t="n"/>
      <c r="BR121" s="12">
        <f>IF(AND(AI121="Y",AK121="Y",AL121="Y",AM121="Y",AY121="Y",AZ121="Y",BA121="Y",BB121="Y",BC121="Y",BE121&lt;&gt;"Y",AX121&lt;&gt;"Y",BL121&lt;&gt;"Y",IF(AS121="Y",AV121="Y",TRUE)),"Y","N")</f>
        <v/>
      </c>
      <c r="BS121" s="12">
        <f>IF(AND(BR121="Y",OR(AND(BJ121="Y",BM121="Y"),AND(BK121="Y",BN121="Y"),AND(BJ121&lt;&gt;"Y",BK121&lt;&gt;"Y",OR(BM121="Y",BN121="Y")))),"Y","N")</f>
        <v/>
      </c>
      <c r="BT121" s="10" t="n"/>
      <c r="BU121" s="13" t="n"/>
      <c r="BV121" s="13" t="n"/>
      <c r="BW121" s="13" t="n"/>
      <c r="BX121" s="13" t="n"/>
      <c r="BY121" s="13" t="n"/>
      <c r="BZ121" s="13" t="n"/>
      <c r="CA121" s="14" t="n"/>
      <c r="CB121" s="13" t="n"/>
      <c r="CC121" s="9" t="n"/>
      <c r="CD121" s="9" t="n"/>
      <c r="CE121" s="9" t="n"/>
      <c r="CF121" s="9" t="n"/>
      <c r="CG121" s="9" t="n"/>
      <c r="CH121" s="9" t="n"/>
    </row>
    <row r="122">
      <c r="A122" s="8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8" t="n"/>
      <c r="L122" s="9" t="n"/>
      <c r="M122" s="8" t="n"/>
      <c r="N122" s="8" t="n"/>
      <c r="O122" s="8" t="n"/>
      <c r="P122" s="8" t="n"/>
      <c r="Q122" s="8" t="n"/>
      <c r="R122" s="9" t="n"/>
      <c r="S122" s="9" t="n"/>
      <c r="T122" s="10" t="n"/>
      <c r="U122" s="10" t="n"/>
      <c r="V122" s="9" t="n"/>
      <c r="W122" s="9" t="n"/>
      <c r="X122" s="9" t="n"/>
      <c r="Y122" s="9" t="n"/>
      <c r="Z122" s="11" t="n"/>
      <c r="AA122" s="11" t="n"/>
      <c r="AB122" s="11" t="n"/>
      <c r="AC122" s="11" t="n"/>
      <c r="AD122" s="11" t="n"/>
      <c r="AE122" s="11" t="n"/>
      <c r="AF122" s="9" t="n"/>
      <c r="AG122" s="9" t="n"/>
      <c r="AH122" s="9" t="n"/>
      <c r="AI122" s="9" t="n"/>
      <c r="AJ122" s="8" t="n"/>
      <c r="AK122" s="9" t="n"/>
      <c r="AL122" s="9" t="n"/>
      <c r="AM122" s="9" t="n"/>
      <c r="AN122" s="9" t="n"/>
      <c r="AO122" s="9" t="n"/>
      <c r="AP122" s="9" t="n"/>
      <c r="AQ122" s="9" t="n"/>
      <c r="AR122" s="9" t="n"/>
      <c r="AS122" s="9" t="n"/>
      <c r="AT122" s="8" t="n"/>
      <c r="AU122" s="8" t="n"/>
      <c r="AV122" s="9" t="n"/>
      <c r="AW122" s="8" t="n"/>
      <c r="AX122" s="9" t="n"/>
      <c r="AY122" s="9" t="n"/>
      <c r="AZ122" s="9" t="n"/>
      <c r="BA122" s="9" t="n"/>
      <c r="BB122" s="9" t="n"/>
      <c r="BC122" s="9" t="n"/>
      <c r="BD122" s="9" t="n"/>
      <c r="BE122" s="9" t="n"/>
      <c r="BF122" s="9" t="n"/>
      <c r="BG122" s="9" t="n"/>
      <c r="BH122" s="9" t="n"/>
      <c r="BI122" s="9" t="n"/>
      <c r="BJ122" s="9" t="n"/>
      <c r="BK122" s="9" t="n"/>
      <c r="BL122" s="9" t="n"/>
      <c r="BM122" s="9" t="n"/>
      <c r="BN122" s="9" t="n"/>
      <c r="BO122" s="8" t="n"/>
      <c r="BP122" s="9" t="n"/>
      <c r="BQ122" s="9" t="n"/>
      <c r="BR122" s="12">
        <f>IF(AND(AI122="Y",AK122="Y",AL122="Y",AM122="Y",AY122="Y",AZ122="Y",BA122="Y",BB122="Y",BC122="Y",BE122&lt;&gt;"Y",AX122&lt;&gt;"Y",BL122&lt;&gt;"Y",IF(AS122="Y",AV122="Y",TRUE)),"Y","N")</f>
        <v/>
      </c>
      <c r="BS122" s="12">
        <f>IF(AND(BR122="Y",OR(AND(BJ122="Y",BM122="Y"),AND(BK122="Y",BN122="Y"),AND(BJ122&lt;&gt;"Y",BK122&lt;&gt;"Y",OR(BM122="Y",BN122="Y")))),"Y","N")</f>
        <v/>
      </c>
      <c r="BT122" s="10" t="n"/>
      <c r="BU122" s="13" t="n"/>
      <c r="BV122" s="13" t="n"/>
      <c r="BW122" s="13" t="n"/>
      <c r="BX122" s="13" t="n"/>
      <c r="BY122" s="13" t="n"/>
      <c r="BZ122" s="13" t="n"/>
      <c r="CA122" s="14" t="n"/>
      <c r="CB122" s="13" t="n"/>
      <c r="CC122" s="9" t="n"/>
      <c r="CD122" s="9" t="n"/>
      <c r="CE122" s="9" t="n"/>
      <c r="CF122" s="9" t="n"/>
      <c r="CG122" s="9" t="n"/>
      <c r="CH122" s="9" t="n"/>
    </row>
    <row r="123">
      <c r="A123" s="8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8" t="n"/>
      <c r="L123" s="9" t="n"/>
      <c r="M123" s="8" t="n"/>
      <c r="N123" s="8" t="n"/>
      <c r="O123" s="8" t="n"/>
      <c r="P123" s="8" t="n"/>
      <c r="Q123" s="8" t="n"/>
      <c r="R123" s="9" t="n"/>
      <c r="S123" s="9" t="n"/>
      <c r="T123" s="10" t="n"/>
      <c r="U123" s="10" t="n"/>
      <c r="V123" s="9" t="n"/>
      <c r="W123" s="9" t="n"/>
      <c r="X123" s="9" t="n"/>
      <c r="Y123" s="9" t="n"/>
      <c r="Z123" s="11" t="n"/>
      <c r="AA123" s="11" t="n"/>
      <c r="AB123" s="11" t="n"/>
      <c r="AC123" s="11" t="n"/>
      <c r="AD123" s="11" t="n"/>
      <c r="AE123" s="11" t="n"/>
      <c r="AF123" s="9" t="n"/>
      <c r="AG123" s="9" t="n"/>
      <c r="AH123" s="9" t="n"/>
      <c r="AI123" s="9" t="n"/>
      <c r="AJ123" s="8" t="n"/>
      <c r="AK123" s="9" t="n"/>
      <c r="AL123" s="9" t="n"/>
      <c r="AM123" s="9" t="n"/>
      <c r="AN123" s="9" t="n"/>
      <c r="AO123" s="9" t="n"/>
      <c r="AP123" s="9" t="n"/>
      <c r="AQ123" s="9" t="n"/>
      <c r="AR123" s="9" t="n"/>
      <c r="AS123" s="9" t="n"/>
      <c r="AT123" s="8" t="n"/>
      <c r="AU123" s="8" t="n"/>
      <c r="AV123" s="9" t="n"/>
      <c r="AW123" s="8" t="n"/>
      <c r="AX123" s="9" t="n"/>
      <c r="AY123" s="9" t="n"/>
      <c r="AZ123" s="9" t="n"/>
      <c r="BA123" s="9" t="n"/>
      <c r="BB123" s="9" t="n"/>
      <c r="BC123" s="9" t="n"/>
      <c r="BD123" s="9" t="n"/>
      <c r="BE123" s="9" t="n"/>
      <c r="BF123" s="9" t="n"/>
      <c r="BG123" s="9" t="n"/>
      <c r="BH123" s="9" t="n"/>
      <c r="BI123" s="9" t="n"/>
      <c r="BJ123" s="9" t="n"/>
      <c r="BK123" s="9" t="n"/>
      <c r="BL123" s="9" t="n"/>
      <c r="BM123" s="9" t="n"/>
      <c r="BN123" s="9" t="n"/>
      <c r="BO123" s="8" t="n"/>
      <c r="BP123" s="9" t="n"/>
      <c r="BQ123" s="9" t="n"/>
      <c r="BR123" s="12">
        <f>IF(AND(AI123="Y",AK123="Y",AL123="Y",AM123="Y",AY123="Y",AZ123="Y",BA123="Y",BB123="Y",BC123="Y",BE123&lt;&gt;"Y",AX123&lt;&gt;"Y",BL123&lt;&gt;"Y",IF(AS123="Y",AV123="Y",TRUE)),"Y","N")</f>
        <v/>
      </c>
      <c r="BS123" s="12">
        <f>IF(AND(BR123="Y",OR(AND(BJ123="Y",BM123="Y"),AND(BK123="Y",BN123="Y"),AND(BJ123&lt;&gt;"Y",BK123&lt;&gt;"Y",OR(BM123="Y",BN123="Y")))),"Y","N")</f>
        <v/>
      </c>
      <c r="BT123" s="10" t="n"/>
      <c r="BU123" s="13" t="n"/>
      <c r="BV123" s="13" t="n"/>
      <c r="BW123" s="13" t="n"/>
      <c r="BX123" s="13" t="n"/>
      <c r="BY123" s="13" t="n"/>
      <c r="BZ123" s="13" t="n"/>
      <c r="CA123" s="14" t="n"/>
      <c r="CB123" s="13" t="n"/>
      <c r="CC123" s="9" t="n"/>
      <c r="CD123" s="9" t="n"/>
      <c r="CE123" s="9" t="n"/>
      <c r="CF123" s="9" t="n"/>
      <c r="CG123" s="9" t="n"/>
      <c r="CH123" s="9" t="n"/>
    </row>
    <row r="124">
      <c r="A124" s="8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8" t="n"/>
      <c r="L124" s="9" t="n"/>
      <c r="M124" s="8" t="n"/>
      <c r="N124" s="8" t="n"/>
      <c r="O124" s="8" t="n"/>
      <c r="P124" s="8" t="n"/>
      <c r="Q124" s="8" t="n"/>
      <c r="R124" s="9" t="n"/>
      <c r="S124" s="9" t="n"/>
      <c r="T124" s="10" t="n"/>
      <c r="U124" s="10" t="n"/>
      <c r="V124" s="9" t="n"/>
      <c r="W124" s="9" t="n"/>
      <c r="X124" s="9" t="n"/>
      <c r="Y124" s="9" t="n"/>
      <c r="Z124" s="11" t="n"/>
      <c r="AA124" s="11" t="n"/>
      <c r="AB124" s="11" t="n"/>
      <c r="AC124" s="11" t="n"/>
      <c r="AD124" s="11" t="n"/>
      <c r="AE124" s="11" t="n"/>
      <c r="AF124" s="9" t="n"/>
      <c r="AG124" s="9" t="n"/>
      <c r="AH124" s="9" t="n"/>
      <c r="AI124" s="9" t="n"/>
      <c r="AJ124" s="8" t="n"/>
      <c r="AK124" s="9" t="n"/>
      <c r="AL124" s="9" t="n"/>
      <c r="AM124" s="9" t="n"/>
      <c r="AN124" s="9" t="n"/>
      <c r="AO124" s="9" t="n"/>
      <c r="AP124" s="9" t="n"/>
      <c r="AQ124" s="9" t="n"/>
      <c r="AR124" s="9" t="n"/>
      <c r="AS124" s="9" t="n"/>
      <c r="AT124" s="8" t="n"/>
      <c r="AU124" s="8" t="n"/>
      <c r="AV124" s="9" t="n"/>
      <c r="AW124" s="8" t="n"/>
      <c r="AX124" s="9" t="n"/>
      <c r="AY124" s="9" t="n"/>
      <c r="AZ124" s="9" t="n"/>
      <c r="BA124" s="9" t="n"/>
      <c r="BB124" s="9" t="n"/>
      <c r="BC124" s="9" t="n"/>
      <c r="BD124" s="9" t="n"/>
      <c r="BE124" s="9" t="n"/>
      <c r="BF124" s="9" t="n"/>
      <c r="BG124" s="9" t="n"/>
      <c r="BH124" s="9" t="n"/>
      <c r="BI124" s="9" t="n"/>
      <c r="BJ124" s="9" t="n"/>
      <c r="BK124" s="9" t="n"/>
      <c r="BL124" s="9" t="n"/>
      <c r="BM124" s="9" t="n"/>
      <c r="BN124" s="9" t="n"/>
      <c r="BO124" s="8" t="n"/>
      <c r="BP124" s="9" t="n"/>
      <c r="BQ124" s="9" t="n"/>
      <c r="BR124" s="12">
        <f>IF(AND(AI124="Y",AK124="Y",AL124="Y",AM124="Y",AY124="Y",AZ124="Y",BA124="Y",BB124="Y",BC124="Y",BE124&lt;&gt;"Y",AX124&lt;&gt;"Y",BL124&lt;&gt;"Y",IF(AS124="Y",AV124="Y",TRUE)),"Y","N")</f>
        <v/>
      </c>
      <c r="BS124" s="12">
        <f>IF(AND(BR124="Y",OR(AND(BJ124="Y",BM124="Y"),AND(BK124="Y",BN124="Y"),AND(BJ124&lt;&gt;"Y",BK124&lt;&gt;"Y",OR(BM124="Y",BN124="Y")))),"Y","N")</f>
        <v/>
      </c>
      <c r="BT124" s="10" t="n"/>
      <c r="BU124" s="13" t="n"/>
      <c r="BV124" s="13" t="n"/>
      <c r="BW124" s="13" t="n"/>
      <c r="BX124" s="13" t="n"/>
      <c r="BY124" s="13" t="n"/>
      <c r="BZ124" s="13" t="n"/>
      <c r="CA124" s="14" t="n"/>
      <c r="CB124" s="13" t="n"/>
      <c r="CC124" s="9" t="n"/>
      <c r="CD124" s="9" t="n"/>
      <c r="CE124" s="9" t="n"/>
      <c r="CF124" s="9" t="n"/>
      <c r="CG124" s="9" t="n"/>
      <c r="CH124" s="9" t="n"/>
    </row>
    <row r="125">
      <c r="A125" s="8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8" t="n"/>
      <c r="L125" s="9" t="n"/>
      <c r="M125" s="8" t="n"/>
      <c r="N125" s="8" t="n"/>
      <c r="O125" s="8" t="n"/>
      <c r="P125" s="8" t="n"/>
      <c r="Q125" s="8" t="n"/>
      <c r="R125" s="9" t="n"/>
      <c r="S125" s="9" t="n"/>
      <c r="T125" s="10" t="n"/>
      <c r="U125" s="10" t="n"/>
      <c r="V125" s="9" t="n"/>
      <c r="W125" s="9" t="n"/>
      <c r="X125" s="9" t="n"/>
      <c r="Y125" s="9" t="n"/>
      <c r="Z125" s="11" t="n"/>
      <c r="AA125" s="11" t="n"/>
      <c r="AB125" s="11" t="n"/>
      <c r="AC125" s="11" t="n"/>
      <c r="AD125" s="11" t="n"/>
      <c r="AE125" s="11" t="n"/>
      <c r="AF125" s="9" t="n"/>
      <c r="AG125" s="9" t="n"/>
      <c r="AH125" s="9" t="n"/>
      <c r="AI125" s="9" t="n"/>
      <c r="AJ125" s="8" t="n"/>
      <c r="AK125" s="9" t="n"/>
      <c r="AL125" s="9" t="n"/>
      <c r="AM125" s="9" t="n"/>
      <c r="AN125" s="9" t="n"/>
      <c r="AO125" s="9" t="n"/>
      <c r="AP125" s="9" t="n"/>
      <c r="AQ125" s="9" t="n"/>
      <c r="AR125" s="9" t="n"/>
      <c r="AS125" s="9" t="n"/>
      <c r="AT125" s="8" t="n"/>
      <c r="AU125" s="8" t="n"/>
      <c r="AV125" s="9" t="n"/>
      <c r="AW125" s="8" t="n"/>
      <c r="AX125" s="9" t="n"/>
      <c r="AY125" s="9" t="n"/>
      <c r="AZ125" s="9" t="n"/>
      <c r="BA125" s="9" t="n"/>
      <c r="BB125" s="9" t="n"/>
      <c r="BC125" s="9" t="n"/>
      <c r="BD125" s="9" t="n"/>
      <c r="BE125" s="9" t="n"/>
      <c r="BF125" s="9" t="n"/>
      <c r="BG125" s="9" t="n"/>
      <c r="BH125" s="9" t="n"/>
      <c r="BI125" s="9" t="n"/>
      <c r="BJ125" s="9" t="n"/>
      <c r="BK125" s="9" t="n"/>
      <c r="BL125" s="9" t="n"/>
      <c r="BM125" s="9" t="n"/>
      <c r="BN125" s="9" t="n"/>
      <c r="BO125" s="8" t="n"/>
      <c r="BP125" s="9" t="n"/>
      <c r="BQ125" s="9" t="n"/>
      <c r="BR125" s="12">
        <f>IF(AND(AI125="Y",AK125="Y",AL125="Y",AM125="Y",AY125="Y",AZ125="Y",BA125="Y",BB125="Y",BC125="Y",BE125&lt;&gt;"Y",AX125&lt;&gt;"Y",BL125&lt;&gt;"Y",IF(AS125="Y",AV125="Y",TRUE)),"Y","N")</f>
        <v/>
      </c>
      <c r="BS125" s="12">
        <f>IF(AND(BR125="Y",OR(AND(BJ125="Y",BM125="Y"),AND(BK125="Y",BN125="Y"),AND(BJ125&lt;&gt;"Y",BK125&lt;&gt;"Y",OR(BM125="Y",BN125="Y")))),"Y","N")</f>
        <v/>
      </c>
      <c r="BT125" s="10" t="n"/>
      <c r="BU125" s="13" t="n"/>
      <c r="BV125" s="13" t="n"/>
      <c r="BW125" s="13" t="n"/>
      <c r="BX125" s="13" t="n"/>
      <c r="BY125" s="13" t="n"/>
      <c r="BZ125" s="13" t="n"/>
      <c r="CA125" s="14" t="n"/>
      <c r="CB125" s="13" t="n"/>
      <c r="CC125" s="9" t="n"/>
      <c r="CD125" s="9" t="n"/>
      <c r="CE125" s="9" t="n"/>
      <c r="CF125" s="9" t="n"/>
      <c r="CG125" s="9" t="n"/>
      <c r="CH125" s="9" t="n"/>
    </row>
    <row r="126">
      <c r="A126" s="8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8" t="n"/>
      <c r="L126" s="9" t="n"/>
      <c r="M126" s="8" t="n"/>
      <c r="N126" s="8" t="n"/>
      <c r="O126" s="8" t="n"/>
      <c r="P126" s="8" t="n"/>
      <c r="Q126" s="8" t="n"/>
      <c r="R126" s="9" t="n"/>
      <c r="S126" s="9" t="n"/>
      <c r="T126" s="10" t="n"/>
      <c r="U126" s="10" t="n"/>
      <c r="V126" s="9" t="n"/>
      <c r="W126" s="9" t="n"/>
      <c r="X126" s="9" t="n"/>
      <c r="Y126" s="9" t="n"/>
      <c r="Z126" s="11" t="n"/>
      <c r="AA126" s="11" t="n"/>
      <c r="AB126" s="11" t="n"/>
      <c r="AC126" s="11" t="n"/>
      <c r="AD126" s="11" t="n"/>
      <c r="AE126" s="11" t="n"/>
      <c r="AF126" s="9" t="n"/>
      <c r="AG126" s="9" t="n"/>
      <c r="AH126" s="9" t="n"/>
      <c r="AI126" s="9" t="n"/>
      <c r="AJ126" s="8" t="n"/>
      <c r="AK126" s="9" t="n"/>
      <c r="AL126" s="9" t="n"/>
      <c r="AM126" s="9" t="n"/>
      <c r="AN126" s="9" t="n"/>
      <c r="AO126" s="9" t="n"/>
      <c r="AP126" s="9" t="n"/>
      <c r="AQ126" s="9" t="n"/>
      <c r="AR126" s="9" t="n"/>
      <c r="AS126" s="9" t="n"/>
      <c r="AT126" s="8" t="n"/>
      <c r="AU126" s="8" t="n"/>
      <c r="AV126" s="9" t="n"/>
      <c r="AW126" s="8" t="n"/>
      <c r="AX126" s="9" t="n"/>
      <c r="AY126" s="9" t="n"/>
      <c r="AZ126" s="9" t="n"/>
      <c r="BA126" s="9" t="n"/>
      <c r="BB126" s="9" t="n"/>
      <c r="BC126" s="9" t="n"/>
      <c r="BD126" s="9" t="n"/>
      <c r="BE126" s="9" t="n"/>
      <c r="BF126" s="9" t="n"/>
      <c r="BG126" s="9" t="n"/>
      <c r="BH126" s="9" t="n"/>
      <c r="BI126" s="9" t="n"/>
      <c r="BJ126" s="9" t="n"/>
      <c r="BK126" s="9" t="n"/>
      <c r="BL126" s="9" t="n"/>
      <c r="BM126" s="9" t="n"/>
      <c r="BN126" s="9" t="n"/>
      <c r="BO126" s="8" t="n"/>
      <c r="BP126" s="9" t="n"/>
      <c r="BQ126" s="9" t="n"/>
      <c r="BR126" s="12">
        <f>IF(AND(AI126="Y",AK126="Y",AL126="Y",AM126="Y",AY126="Y",AZ126="Y",BA126="Y",BB126="Y",BC126="Y",BE126&lt;&gt;"Y",AX126&lt;&gt;"Y",BL126&lt;&gt;"Y",IF(AS126="Y",AV126="Y",TRUE)),"Y","N")</f>
        <v/>
      </c>
      <c r="BS126" s="12">
        <f>IF(AND(BR126="Y",OR(AND(BJ126="Y",BM126="Y"),AND(BK126="Y",BN126="Y"),AND(BJ126&lt;&gt;"Y",BK126&lt;&gt;"Y",OR(BM126="Y",BN126="Y")))),"Y","N")</f>
        <v/>
      </c>
      <c r="BT126" s="10" t="n"/>
      <c r="BU126" s="13" t="n"/>
      <c r="BV126" s="13" t="n"/>
      <c r="BW126" s="13" t="n"/>
      <c r="BX126" s="13" t="n"/>
      <c r="BY126" s="13" t="n"/>
      <c r="BZ126" s="13" t="n"/>
      <c r="CA126" s="14" t="n"/>
      <c r="CB126" s="13" t="n"/>
      <c r="CC126" s="9" t="n"/>
      <c r="CD126" s="9" t="n"/>
      <c r="CE126" s="9" t="n"/>
      <c r="CF126" s="9" t="n"/>
      <c r="CG126" s="9" t="n"/>
      <c r="CH126" s="9" t="n"/>
    </row>
    <row r="127">
      <c r="A127" s="8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8" t="n"/>
      <c r="L127" s="9" t="n"/>
      <c r="M127" s="8" t="n"/>
      <c r="N127" s="8" t="n"/>
      <c r="O127" s="8" t="n"/>
      <c r="P127" s="8" t="n"/>
      <c r="Q127" s="8" t="n"/>
      <c r="R127" s="9" t="n"/>
      <c r="S127" s="9" t="n"/>
      <c r="T127" s="10" t="n"/>
      <c r="U127" s="10" t="n"/>
      <c r="V127" s="9" t="n"/>
      <c r="W127" s="9" t="n"/>
      <c r="X127" s="9" t="n"/>
      <c r="Y127" s="9" t="n"/>
      <c r="Z127" s="11" t="n"/>
      <c r="AA127" s="11" t="n"/>
      <c r="AB127" s="11" t="n"/>
      <c r="AC127" s="11" t="n"/>
      <c r="AD127" s="11" t="n"/>
      <c r="AE127" s="11" t="n"/>
      <c r="AF127" s="9" t="n"/>
      <c r="AG127" s="9" t="n"/>
      <c r="AH127" s="9" t="n"/>
      <c r="AI127" s="9" t="n"/>
      <c r="AJ127" s="8" t="n"/>
      <c r="AK127" s="9" t="n"/>
      <c r="AL127" s="9" t="n"/>
      <c r="AM127" s="9" t="n"/>
      <c r="AN127" s="9" t="n"/>
      <c r="AO127" s="9" t="n"/>
      <c r="AP127" s="9" t="n"/>
      <c r="AQ127" s="9" t="n"/>
      <c r="AR127" s="9" t="n"/>
      <c r="AS127" s="9" t="n"/>
      <c r="AT127" s="8" t="n"/>
      <c r="AU127" s="8" t="n"/>
      <c r="AV127" s="9" t="n"/>
      <c r="AW127" s="8" t="n"/>
      <c r="AX127" s="9" t="n"/>
      <c r="AY127" s="9" t="n"/>
      <c r="AZ127" s="9" t="n"/>
      <c r="BA127" s="9" t="n"/>
      <c r="BB127" s="9" t="n"/>
      <c r="BC127" s="9" t="n"/>
      <c r="BD127" s="9" t="n"/>
      <c r="BE127" s="9" t="n"/>
      <c r="BF127" s="9" t="n"/>
      <c r="BG127" s="9" t="n"/>
      <c r="BH127" s="9" t="n"/>
      <c r="BI127" s="9" t="n"/>
      <c r="BJ127" s="9" t="n"/>
      <c r="BK127" s="9" t="n"/>
      <c r="BL127" s="9" t="n"/>
      <c r="BM127" s="9" t="n"/>
      <c r="BN127" s="9" t="n"/>
      <c r="BO127" s="8" t="n"/>
      <c r="BP127" s="9" t="n"/>
      <c r="BQ127" s="9" t="n"/>
      <c r="BR127" s="12">
        <f>IF(AND(AI127="Y",AK127="Y",AL127="Y",AM127="Y",AY127="Y",AZ127="Y",BA127="Y",BB127="Y",BC127="Y",BE127&lt;&gt;"Y",AX127&lt;&gt;"Y",BL127&lt;&gt;"Y",IF(AS127="Y",AV127="Y",TRUE)),"Y","N")</f>
        <v/>
      </c>
      <c r="BS127" s="12">
        <f>IF(AND(BR127="Y",OR(AND(BJ127="Y",BM127="Y"),AND(BK127="Y",BN127="Y"),AND(BJ127&lt;&gt;"Y",BK127&lt;&gt;"Y",OR(BM127="Y",BN127="Y")))),"Y","N")</f>
        <v/>
      </c>
      <c r="BT127" s="10" t="n"/>
      <c r="BU127" s="13" t="n"/>
      <c r="BV127" s="13" t="n"/>
      <c r="BW127" s="13" t="n"/>
      <c r="BX127" s="13" t="n"/>
      <c r="BY127" s="13" t="n"/>
      <c r="BZ127" s="13" t="n"/>
      <c r="CA127" s="14" t="n"/>
      <c r="CB127" s="13" t="n"/>
      <c r="CC127" s="9" t="n"/>
      <c r="CD127" s="9" t="n"/>
      <c r="CE127" s="9" t="n"/>
      <c r="CF127" s="9" t="n"/>
      <c r="CG127" s="9" t="n"/>
      <c r="CH127" s="9" t="n"/>
    </row>
    <row r="128">
      <c r="A128" s="8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8" t="n"/>
      <c r="L128" s="9" t="n"/>
      <c r="M128" s="8" t="n"/>
      <c r="N128" s="8" t="n"/>
      <c r="O128" s="8" t="n"/>
      <c r="P128" s="8" t="n"/>
      <c r="Q128" s="8" t="n"/>
      <c r="R128" s="9" t="n"/>
      <c r="S128" s="9" t="n"/>
      <c r="T128" s="10" t="n"/>
      <c r="U128" s="10" t="n"/>
      <c r="V128" s="9" t="n"/>
      <c r="W128" s="9" t="n"/>
      <c r="X128" s="9" t="n"/>
      <c r="Y128" s="9" t="n"/>
      <c r="Z128" s="11" t="n"/>
      <c r="AA128" s="11" t="n"/>
      <c r="AB128" s="11" t="n"/>
      <c r="AC128" s="11" t="n"/>
      <c r="AD128" s="11" t="n"/>
      <c r="AE128" s="11" t="n"/>
      <c r="AF128" s="9" t="n"/>
      <c r="AG128" s="9" t="n"/>
      <c r="AH128" s="9" t="n"/>
      <c r="AI128" s="9" t="n"/>
      <c r="AJ128" s="8" t="n"/>
      <c r="AK128" s="9" t="n"/>
      <c r="AL128" s="9" t="n"/>
      <c r="AM128" s="9" t="n"/>
      <c r="AN128" s="9" t="n"/>
      <c r="AO128" s="9" t="n"/>
      <c r="AP128" s="9" t="n"/>
      <c r="AQ128" s="9" t="n"/>
      <c r="AR128" s="9" t="n"/>
      <c r="AS128" s="9" t="n"/>
      <c r="AT128" s="8" t="n"/>
      <c r="AU128" s="8" t="n"/>
      <c r="AV128" s="9" t="n"/>
      <c r="AW128" s="8" t="n"/>
      <c r="AX128" s="9" t="n"/>
      <c r="AY128" s="9" t="n"/>
      <c r="AZ128" s="9" t="n"/>
      <c r="BA128" s="9" t="n"/>
      <c r="BB128" s="9" t="n"/>
      <c r="BC128" s="9" t="n"/>
      <c r="BD128" s="9" t="n"/>
      <c r="BE128" s="9" t="n"/>
      <c r="BF128" s="9" t="n"/>
      <c r="BG128" s="9" t="n"/>
      <c r="BH128" s="9" t="n"/>
      <c r="BI128" s="9" t="n"/>
      <c r="BJ128" s="9" t="n"/>
      <c r="BK128" s="9" t="n"/>
      <c r="BL128" s="9" t="n"/>
      <c r="BM128" s="9" t="n"/>
      <c r="BN128" s="9" t="n"/>
      <c r="BO128" s="8" t="n"/>
      <c r="BP128" s="9" t="n"/>
      <c r="BQ128" s="9" t="n"/>
      <c r="BR128" s="12">
        <f>IF(AND(AI128="Y",AK128="Y",AL128="Y",AM128="Y",AY128="Y",AZ128="Y",BA128="Y",BB128="Y",BC128="Y",BE128&lt;&gt;"Y",AX128&lt;&gt;"Y",BL128&lt;&gt;"Y",IF(AS128="Y",AV128="Y",TRUE)),"Y","N")</f>
        <v/>
      </c>
      <c r="BS128" s="12">
        <f>IF(AND(BR128="Y",OR(AND(BJ128="Y",BM128="Y"),AND(BK128="Y",BN128="Y"),AND(BJ128&lt;&gt;"Y",BK128&lt;&gt;"Y",OR(BM128="Y",BN128="Y")))),"Y","N")</f>
        <v/>
      </c>
      <c r="BT128" s="10" t="n"/>
      <c r="BU128" s="13" t="n"/>
      <c r="BV128" s="13" t="n"/>
      <c r="BW128" s="13" t="n"/>
      <c r="BX128" s="13" t="n"/>
      <c r="BY128" s="13" t="n"/>
      <c r="BZ128" s="13" t="n"/>
      <c r="CA128" s="14" t="n"/>
      <c r="CB128" s="13" t="n"/>
      <c r="CC128" s="9" t="n"/>
      <c r="CD128" s="9" t="n"/>
      <c r="CE128" s="9" t="n"/>
      <c r="CF128" s="9" t="n"/>
      <c r="CG128" s="9" t="n"/>
      <c r="CH128" s="9" t="n"/>
    </row>
    <row r="129">
      <c r="A129" s="8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8" t="n"/>
      <c r="L129" s="9" t="n"/>
      <c r="M129" s="8" t="n"/>
      <c r="N129" s="8" t="n"/>
      <c r="O129" s="8" t="n"/>
      <c r="P129" s="8" t="n"/>
      <c r="Q129" s="8" t="n"/>
      <c r="R129" s="9" t="n"/>
      <c r="S129" s="9" t="n"/>
      <c r="T129" s="10" t="n"/>
      <c r="U129" s="10" t="n"/>
      <c r="V129" s="9" t="n"/>
      <c r="W129" s="9" t="n"/>
      <c r="X129" s="9" t="n"/>
      <c r="Y129" s="9" t="n"/>
      <c r="Z129" s="11" t="n"/>
      <c r="AA129" s="11" t="n"/>
      <c r="AB129" s="11" t="n"/>
      <c r="AC129" s="11" t="n"/>
      <c r="AD129" s="11" t="n"/>
      <c r="AE129" s="11" t="n"/>
      <c r="AF129" s="9" t="n"/>
      <c r="AG129" s="9" t="n"/>
      <c r="AH129" s="9" t="n"/>
      <c r="AI129" s="9" t="n"/>
      <c r="AJ129" s="8" t="n"/>
      <c r="AK129" s="9" t="n"/>
      <c r="AL129" s="9" t="n"/>
      <c r="AM129" s="9" t="n"/>
      <c r="AN129" s="9" t="n"/>
      <c r="AO129" s="9" t="n"/>
      <c r="AP129" s="9" t="n"/>
      <c r="AQ129" s="9" t="n"/>
      <c r="AR129" s="9" t="n"/>
      <c r="AS129" s="9" t="n"/>
      <c r="AT129" s="8" t="n"/>
      <c r="AU129" s="8" t="n"/>
      <c r="AV129" s="9" t="n"/>
      <c r="AW129" s="8" t="n"/>
      <c r="AX129" s="9" t="n"/>
      <c r="AY129" s="9" t="n"/>
      <c r="AZ129" s="9" t="n"/>
      <c r="BA129" s="9" t="n"/>
      <c r="BB129" s="9" t="n"/>
      <c r="BC129" s="9" t="n"/>
      <c r="BD129" s="9" t="n"/>
      <c r="BE129" s="9" t="n"/>
      <c r="BF129" s="9" t="n"/>
      <c r="BG129" s="9" t="n"/>
      <c r="BH129" s="9" t="n"/>
      <c r="BI129" s="9" t="n"/>
      <c r="BJ129" s="9" t="n"/>
      <c r="BK129" s="9" t="n"/>
      <c r="BL129" s="9" t="n"/>
      <c r="BM129" s="9" t="n"/>
      <c r="BN129" s="9" t="n"/>
      <c r="BO129" s="8" t="n"/>
      <c r="BP129" s="9" t="n"/>
      <c r="BQ129" s="9" t="n"/>
      <c r="BR129" s="12">
        <f>IF(AND(AI129="Y",AK129="Y",AL129="Y",AM129="Y",AY129="Y",AZ129="Y",BA129="Y",BB129="Y",BC129="Y",BE129&lt;&gt;"Y",AX129&lt;&gt;"Y",BL129&lt;&gt;"Y",IF(AS129="Y",AV129="Y",TRUE)),"Y","N")</f>
        <v/>
      </c>
      <c r="BS129" s="12">
        <f>IF(AND(BR129="Y",OR(AND(BJ129="Y",BM129="Y"),AND(BK129="Y",BN129="Y"),AND(BJ129&lt;&gt;"Y",BK129&lt;&gt;"Y",OR(BM129="Y",BN129="Y")))),"Y","N")</f>
        <v/>
      </c>
      <c r="BT129" s="10" t="n"/>
      <c r="BU129" s="13" t="n"/>
      <c r="BV129" s="13" t="n"/>
      <c r="BW129" s="13" t="n"/>
      <c r="BX129" s="13" t="n"/>
      <c r="BY129" s="13" t="n"/>
      <c r="BZ129" s="13" t="n"/>
      <c r="CA129" s="14" t="n"/>
      <c r="CB129" s="13" t="n"/>
      <c r="CC129" s="9" t="n"/>
      <c r="CD129" s="9" t="n"/>
      <c r="CE129" s="9" t="n"/>
      <c r="CF129" s="9" t="n"/>
      <c r="CG129" s="9" t="n"/>
      <c r="CH129" s="9" t="n"/>
    </row>
    <row r="130">
      <c r="A130" s="8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8" t="n"/>
      <c r="L130" s="9" t="n"/>
      <c r="M130" s="8" t="n"/>
      <c r="N130" s="8" t="n"/>
      <c r="O130" s="8" t="n"/>
      <c r="P130" s="8" t="n"/>
      <c r="Q130" s="8" t="n"/>
      <c r="R130" s="9" t="n"/>
      <c r="S130" s="9" t="n"/>
      <c r="T130" s="10" t="n"/>
      <c r="U130" s="10" t="n"/>
      <c r="V130" s="9" t="n"/>
      <c r="W130" s="9" t="n"/>
      <c r="X130" s="9" t="n"/>
      <c r="Y130" s="9" t="n"/>
      <c r="Z130" s="11" t="n"/>
      <c r="AA130" s="11" t="n"/>
      <c r="AB130" s="11" t="n"/>
      <c r="AC130" s="11" t="n"/>
      <c r="AD130" s="11" t="n"/>
      <c r="AE130" s="11" t="n"/>
      <c r="AF130" s="9" t="n"/>
      <c r="AG130" s="9" t="n"/>
      <c r="AH130" s="9" t="n"/>
      <c r="AI130" s="9" t="n"/>
      <c r="AJ130" s="8" t="n"/>
      <c r="AK130" s="9" t="n"/>
      <c r="AL130" s="9" t="n"/>
      <c r="AM130" s="9" t="n"/>
      <c r="AN130" s="9" t="n"/>
      <c r="AO130" s="9" t="n"/>
      <c r="AP130" s="9" t="n"/>
      <c r="AQ130" s="9" t="n"/>
      <c r="AR130" s="9" t="n"/>
      <c r="AS130" s="9" t="n"/>
      <c r="AT130" s="8" t="n"/>
      <c r="AU130" s="8" t="n"/>
      <c r="AV130" s="9" t="n"/>
      <c r="AW130" s="8" t="n"/>
      <c r="AX130" s="9" t="n"/>
      <c r="AY130" s="9" t="n"/>
      <c r="AZ130" s="9" t="n"/>
      <c r="BA130" s="9" t="n"/>
      <c r="BB130" s="9" t="n"/>
      <c r="BC130" s="9" t="n"/>
      <c r="BD130" s="9" t="n"/>
      <c r="BE130" s="9" t="n"/>
      <c r="BF130" s="9" t="n"/>
      <c r="BG130" s="9" t="n"/>
      <c r="BH130" s="9" t="n"/>
      <c r="BI130" s="9" t="n"/>
      <c r="BJ130" s="9" t="n"/>
      <c r="BK130" s="9" t="n"/>
      <c r="BL130" s="9" t="n"/>
      <c r="BM130" s="9" t="n"/>
      <c r="BN130" s="9" t="n"/>
      <c r="BO130" s="8" t="n"/>
      <c r="BP130" s="9" t="n"/>
      <c r="BQ130" s="9" t="n"/>
      <c r="BR130" s="12">
        <f>IF(AND(AI130="Y",AK130="Y",AL130="Y",AM130="Y",AY130="Y",AZ130="Y",BA130="Y",BB130="Y",BC130="Y",BE130&lt;&gt;"Y",AX130&lt;&gt;"Y",BL130&lt;&gt;"Y",IF(AS130="Y",AV130="Y",TRUE)),"Y","N")</f>
        <v/>
      </c>
      <c r="BS130" s="12">
        <f>IF(AND(BR130="Y",OR(AND(BJ130="Y",BM130="Y"),AND(BK130="Y",BN130="Y"),AND(BJ130&lt;&gt;"Y",BK130&lt;&gt;"Y",OR(BM130="Y",BN130="Y")))),"Y","N")</f>
        <v/>
      </c>
      <c r="BT130" s="10" t="n"/>
      <c r="BU130" s="13" t="n"/>
      <c r="BV130" s="13" t="n"/>
      <c r="BW130" s="13" t="n"/>
      <c r="BX130" s="13" t="n"/>
      <c r="BY130" s="13" t="n"/>
      <c r="BZ130" s="13" t="n"/>
      <c r="CA130" s="14" t="n"/>
      <c r="CB130" s="13" t="n"/>
      <c r="CC130" s="9" t="n"/>
      <c r="CD130" s="9" t="n"/>
      <c r="CE130" s="9" t="n"/>
      <c r="CF130" s="9" t="n"/>
      <c r="CG130" s="9" t="n"/>
      <c r="CH130" s="9" t="n"/>
    </row>
    <row r="131">
      <c r="A131" s="8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8" t="n"/>
      <c r="L131" s="9" t="n"/>
      <c r="M131" s="8" t="n"/>
      <c r="N131" s="8" t="n"/>
      <c r="O131" s="8" t="n"/>
      <c r="P131" s="8" t="n"/>
      <c r="Q131" s="8" t="n"/>
      <c r="R131" s="9" t="n"/>
      <c r="S131" s="9" t="n"/>
      <c r="T131" s="10" t="n"/>
      <c r="U131" s="10" t="n"/>
      <c r="V131" s="9" t="n"/>
      <c r="W131" s="9" t="n"/>
      <c r="X131" s="9" t="n"/>
      <c r="Y131" s="9" t="n"/>
      <c r="Z131" s="11" t="n"/>
      <c r="AA131" s="11" t="n"/>
      <c r="AB131" s="11" t="n"/>
      <c r="AC131" s="11" t="n"/>
      <c r="AD131" s="11" t="n"/>
      <c r="AE131" s="11" t="n"/>
      <c r="AF131" s="9" t="n"/>
      <c r="AG131" s="9" t="n"/>
      <c r="AH131" s="9" t="n"/>
      <c r="AI131" s="9" t="n"/>
      <c r="AJ131" s="8" t="n"/>
      <c r="AK131" s="9" t="n"/>
      <c r="AL131" s="9" t="n"/>
      <c r="AM131" s="9" t="n"/>
      <c r="AN131" s="9" t="n"/>
      <c r="AO131" s="9" t="n"/>
      <c r="AP131" s="9" t="n"/>
      <c r="AQ131" s="9" t="n"/>
      <c r="AR131" s="9" t="n"/>
      <c r="AS131" s="9" t="n"/>
      <c r="AT131" s="8" t="n"/>
      <c r="AU131" s="8" t="n"/>
      <c r="AV131" s="9" t="n"/>
      <c r="AW131" s="8" t="n"/>
      <c r="AX131" s="9" t="n"/>
      <c r="AY131" s="9" t="n"/>
      <c r="AZ131" s="9" t="n"/>
      <c r="BA131" s="9" t="n"/>
      <c r="BB131" s="9" t="n"/>
      <c r="BC131" s="9" t="n"/>
      <c r="BD131" s="9" t="n"/>
      <c r="BE131" s="9" t="n"/>
      <c r="BF131" s="9" t="n"/>
      <c r="BG131" s="9" t="n"/>
      <c r="BH131" s="9" t="n"/>
      <c r="BI131" s="9" t="n"/>
      <c r="BJ131" s="9" t="n"/>
      <c r="BK131" s="9" t="n"/>
      <c r="BL131" s="9" t="n"/>
      <c r="BM131" s="9" t="n"/>
      <c r="BN131" s="9" t="n"/>
      <c r="BO131" s="8" t="n"/>
      <c r="BP131" s="9" t="n"/>
      <c r="BQ131" s="9" t="n"/>
      <c r="BR131" s="12">
        <f>IF(AND(AI131="Y",AK131="Y",AL131="Y",AM131="Y",AY131="Y",AZ131="Y",BA131="Y",BB131="Y",BC131="Y",BE131&lt;&gt;"Y",AX131&lt;&gt;"Y",BL131&lt;&gt;"Y",IF(AS131="Y",AV131="Y",TRUE)),"Y","N")</f>
        <v/>
      </c>
      <c r="BS131" s="12">
        <f>IF(AND(BR131="Y",OR(AND(BJ131="Y",BM131="Y"),AND(BK131="Y",BN131="Y"),AND(BJ131&lt;&gt;"Y",BK131&lt;&gt;"Y",OR(BM131="Y",BN131="Y")))),"Y","N")</f>
        <v/>
      </c>
      <c r="BT131" s="10" t="n"/>
      <c r="BU131" s="13" t="n"/>
      <c r="BV131" s="13" t="n"/>
      <c r="BW131" s="13" t="n"/>
      <c r="BX131" s="13" t="n"/>
      <c r="BY131" s="13" t="n"/>
      <c r="BZ131" s="13" t="n"/>
      <c r="CA131" s="14" t="n"/>
      <c r="CB131" s="13" t="n"/>
      <c r="CC131" s="9" t="n"/>
      <c r="CD131" s="9" t="n"/>
      <c r="CE131" s="9" t="n"/>
      <c r="CF131" s="9" t="n"/>
      <c r="CG131" s="9" t="n"/>
      <c r="CH131" s="9" t="n"/>
    </row>
    <row r="132">
      <c r="A132" s="8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8" t="n"/>
      <c r="L132" s="9" t="n"/>
      <c r="M132" s="8" t="n"/>
      <c r="N132" s="8" t="n"/>
      <c r="O132" s="8" t="n"/>
      <c r="P132" s="8" t="n"/>
      <c r="Q132" s="8" t="n"/>
      <c r="R132" s="9" t="n"/>
      <c r="S132" s="9" t="n"/>
      <c r="T132" s="10" t="n"/>
      <c r="U132" s="10" t="n"/>
      <c r="V132" s="9" t="n"/>
      <c r="W132" s="9" t="n"/>
      <c r="X132" s="9" t="n"/>
      <c r="Y132" s="9" t="n"/>
      <c r="Z132" s="11" t="n"/>
      <c r="AA132" s="11" t="n"/>
      <c r="AB132" s="11" t="n"/>
      <c r="AC132" s="11" t="n"/>
      <c r="AD132" s="11" t="n"/>
      <c r="AE132" s="11" t="n"/>
      <c r="AF132" s="9" t="n"/>
      <c r="AG132" s="9" t="n"/>
      <c r="AH132" s="9" t="n"/>
      <c r="AI132" s="9" t="n"/>
      <c r="AJ132" s="8" t="n"/>
      <c r="AK132" s="9" t="n"/>
      <c r="AL132" s="9" t="n"/>
      <c r="AM132" s="9" t="n"/>
      <c r="AN132" s="9" t="n"/>
      <c r="AO132" s="9" t="n"/>
      <c r="AP132" s="9" t="n"/>
      <c r="AQ132" s="9" t="n"/>
      <c r="AR132" s="9" t="n"/>
      <c r="AS132" s="9" t="n"/>
      <c r="AT132" s="8" t="n"/>
      <c r="AU132" s="8" t="n"/>
      <c r="AV132" s="9" t="n"/>
      <c r="AW132" s="8" t="n"/>
      <c r="AX132" s="9" t="n"/>
      <c r="AY132" s="9" t="n"/>
      <c r="AZ132" s="9" t="n"/>
      <c r="BA132" s="9" t="n"/>
      <c r="BB132" s="9" t="n"/>
      <c r="BC132" s="9" t="n"/>
      <c r="BD132" s="9" t="n"/>
      <c r="BE132" s="9" t="n"/>
      <c r="BF132" s="9" t="n"/>
      <c r="BG132" s="9" t="n"/>
      <c r="BH132" s="9" t="n"/>
      <c r="BI132" s="9" t="n"/>
      <c r="BJ132" s="9" t="n"/>
      <c r="BK132" s="9" t="n"/>
      <c r="BL132" s="9" t="n"/>
      <c r="BM132" s="9" t="n"/>
      <c r="BN132" s="9" t="n"/>
      <c r="BO132" s="8" t="n"/>
      <c r="BP132" s="9" t="n"/>
      <c r="BQ132" s="9" t="n"/>
      <c r="BR132" s="12">
        <f>IF(AND(AI132="Y",AK132="Y",AL132="Y",AM132="Y",AY132="Y",AZ132="Y",BA132="Y",BB132="Y",BC132="Y",BE132&lt;&gt;"Y",AX132&lt;&gt;"Y",BL132&lt;&gt;"Y",IF(AS132="Y",AV132="Y",TRUE)),"Y","N")</f>
        <v/>
      </c>
      <c r="BS132" s="12">
        <f>IF(AND(BR132="Y",OR(AND(BJ132="Y",BM132="Y"),AND(BK132="Y",BN132="Y"),AND(BJ132&lt;&gt;"Y",BK132&lt;&gt;"Y",OR(BM132="Y",BN132="Y")))),"Y","N")</f>
        <v/>
      </c>
      <c r="BT132" s="10" t="n"/>
      <c r="BU132" s="13" t="n"/>
      <c r="BV132" s="13" t="n"/>
      <c r="BW132" s="13" t="n"/>
      <c r="BX132" s="13" t="n"/>
      <c r="BY132" s="13" t="n"/>
      <c r="BZ132" s="13" t="n"/>
      <c r="CA132" s="14" t="n"/>
      <c r="CB132" s="13" t="n"/>
      <c r="CC132" s="9" t="n"/>
      <c r="CD132" s="9" t="n"/>
      <c r="CE132" s="9" t="n"/>
      <c r="CF132" s="9" t="n"/>
      <c r="CG132" s="9" t="n"/>
      <c r="CH132" s="9" t="n"/>
    </row>
    <row r="133">
      <c r="A133" s="8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8" t="n"/>
      <c r="L133" s="9" t="n"/>
      <c r="M133" s="8" t="n"/>
      <c r="N133" s="8" t="n"/>
      <c r="O133" s="8" t="n"/>
      <c r="P133" s="8" t="n"/>
      <c r="Q133" s="8" t="n"/>
      <c r="R133" s="9" t="n"/>
      <c r="S133" s="9" t="n"/>
      <c r="T133" s="10" t="n"/>
      <c r="U133" s="10" t="n"/>
      <c r="V133" s="9" t="n"/>
      <c r="W133" s="9" t="n"/>
      <c r="X133" s="9" t="n"/>
      <c r="Y133" s="9" t="n"/>
      <c r="Z133" s="11" t="n"/>
      <c r="AA133" s="11" t="n"/>
      <c r="AB133" s="11" t="n"/>
      <c r="AC133" s="11" t="n"/>
      <c r="AD133" s="11" t="n"/>
      <c r="AE133" s="11" t="n"/>
      <c r="AF133" s="9" t="n"/>
      <c r="AG133" s="9" t="n"/>
      <c r="AH133" s="9" t="n"/>
      <c r="AI133" s="9" t="n"/>
      <c r="AJ133" s="8" t="n"/>
      <c r="AK133" s="9" t="n"/>
      <c r="AL133" s="9" t="n"/>
      <c r="AM133" s="9" t="n"/>
      <c r="AN133" s="9" t="n"/>
      <c r="AO133" s="9" t="n"/>
      <c r="AP133" s="9" t="n"/>
      <c r="AQ133" s="9" t="n"/>
      <c r="AR133" s="9" t="n"/>
      <c r="AS133" s="9" t="n"/>
      <c r="AT133" s="8" t="n"/>
      <c r="AU133" s="8" t="n"/>
      <c r="AV133" s="9" t="n"/>
      <c r="AW133" s="8" t="n"/>
      <c r="AX133" s="9" t="n"/>
      <c r="AY133" s="9" t="n"/>
      <c r="AZ133" s="9" t="n"/>
      <c r="BA133" s="9" t="n"/>
      <c r="BB133" s="9" t="n"/>
      <c r="BC133" s="9" t="n"/>
      <c r="BD133" s="9" t="n"/>
      <c r="BE133" s="9" t="n"/>
      <c r="BF133" s="9" t="n"/>
      <c r="BG133" s="9" t="n"/>
      <c r="BH133" s="9" t="n"/>
      <c r="BI133" s="9" t="n"/>
      <c r="BJ133" s="9" t="n"/>
      <c r="BK133" s="9" t="n"/>
      <c r="BL133" s="9" t="n"/>
      <c r="BM133" s="9" t="n"/>
      <c r="BN133" s="9" t="n"/>
      <c r="BO133" s="8" t="n"/>
      <c r="BP133" s="9" t="n"/>
      <c r="BQ133" s="9" t="n"/>
      <c r="BR133" s="12">
        <f>IF(AND(AI133="Y",AK133="Y",AL133="Y",AM133="Y",AY133="Y",AZ133="Y",BA133="Y",BB133="Y",BC133="Y",BE133&lt;&gt;"Y",AX133&lt;&gt;"Y",BL133&lt;&gt;"Y",IF(AS133="Y",AV133="Y",TRUE)),"Y","N")</f>
        <v/>
      </c>
      <c r="BS133" s="12">
        <f>IF(AND(BR133="Y",OR(AND(BJ133="Y",BM133="Y"),AND(BK133="Y",BN133="Y"),AND(BJ133&lt;&gt;"Y",BK133&lt;&gt;"Y",OR(BM133="Y",BN133="Y")))),"Y","N")</f>
        <v/>
      </c>
      <c r="BT133" s="10" t="n"/>
      <c r="BU133" s="13" t="n"/>
      <c r="BV133" s="13" t="n"/>
      <c r="BW133" s="13" t="n"/>
      <c r="BX133" s="13" t="n"/>
      <c r="BY133" s="13" t="n"/>
      <c r="BZ133" s="13" t="n"/>
      <c r="CA133" s="14" t="n"/>
      <c r="CB133" s="13" t="n"/>
      <c r="CC133" s="9" t="n"/>
      <c r="CD133" s="9" t="n"/>
      <c r="CE133" s="9" t="n"/>
      <c r="CF133" s="9" t="n"/>
      <c r="CG133" s="9" t="n"/>
      <c r="CH133" s="9" t="n"/>
    </row>
    <row r="134">
      <c r="A134" s="8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8" t="n"/>
      <c r="L134" s="9" t="n"/>
      <c r="M134" s="8" t="n"/>
      <c r="N134" s="8" t="n"/>
      <c r="O134" s="8" t="n"/>
      <c r="P134" s="8" t="n"/>
      <c r="Q134" s="8" t="n"/>
      <c r="R134" s="9" t="n"/>
      <c r="S134" s="9" t="n"/>
      <c r="T134" s="10" t="n"/>
      <c r="U134" s="10" t="n"/>
      <c r="V134" s="9" t="n"/>
      <c r="W134" s="9" t="n"/>
      <c r="X134" s="9" t="n"/>
      <c r="Y134" s="9" t="n"/>
      <c r="Z134" s="11" t="n"/>
      <c r="AA134" s="11" t="n"/>
      <c r="AB134" s="11" t="n"/>
      <c r="AC134" s="11" t="n"/>
      <c r="AD134" s="11" t="n"/>
      <c r="AE134" s="11" t="n"/>
      <c r="AF134" s="9" t="n"/>
      <c r="AG134" s="9" t="n"/>
      <c r="AH134" s="9" t="n"/>
      <c r="AI134" s="9" t="n"/>
      <c r="AJ134" s="8" t="n"/>
      <c r="AK134" s="9" t="n"/>
      <c r="AL134" s="9" t="n"/>
      <c r="AM134" s="9" t="n"/>
      <c r="AN134" s="9" t="n"/>
      <c r="AO134" s="9" t="n"/>
      <c r="AP134" s="9" t="n"/>
      <c r="AQ134" s="9" t="n"/>
      <c r="AR134" s="9" t="n"/>
      <c r="AS134" s="9" t="n"/>
      <c r="AT134" s="8" t="n"/>
      <c r="AU134" s="8" t="n"/>
      <c r="AV134" s="9" t="n"/>
      <c r="AW134" s="8" t="n"/>
      <c r="AX134" s="9" t="n"/>
      <c r="AY134" s="9" t="n"/>
      <c r="AZ134" s="9" t="n"/>
      <c r="BA134" s="9" t="n"/>
      <c r="BB134" s="9" t="n"/>
      <c r="BC134" s="9" t="n"/>
      <c r="BD134" s="9" t="n"/>
      <c r="BE134" s="9" t="n"/>
      <c r="BF134" s="9" t="n"/>
      <c r="BG134" s="9" t="n"/>
      <c r="BH134" s="9" t="n"/>
      <c r="BI134" s="9" t="n"/>
      <c r="BJ134" s="9" t="n"/>
      <c r="BK134" s="9" t="n"/>
      <c r="BL134" s="9" t="n"/>
      <c r="BM134" s="9" t="n"/>
      <c r="BN134" s="9" t="n"/>
      <c r="BO134" s="8" t="n"/>
      <c r="BP134" s="9" t="n"/>
      <c r="BQ134" s="9" t="n"/>
      <c r="BR134" s="12">
        <f>IF(AND(AI134="Y",AK134="Y",AL134="Y",AM134="Y",AY134="Y",AZ134="Y",BA134="Y",BB134="Y",BC134="Y",BE134&lt;&gt;"Y",AX134&lt;&gt;"Y",BL134&lt;&gt;"Y",IF(AS134="Y",AV134="Y",TRUE)),"Y","N")</f>
        <v/>
      </c>
      <c r="BS134" s="12">
        <f>IF(AND(BR134="Y",OR(AND(BJ134="Y",BM134="Y"),AND(BK134="Y",BN134="Y"),AND(BJ134&lt;&gt;"Y",BK134&lt;&gt;"Y",OR(BM134="Y",BN134="Y")))),"Y","N")</f>
        <v/>
      </c>
      <c r="BT134" s="10" t="n"/>
      <c r="BU134" s="13" t="n"/>
      <c r="BV134" s="13" t="n"/>
      <c r="BW134" s="13" t="n"/>
      <c r="BX134" s="13" t="n"/>
      <c r="BY134" s="13" t="n"/>
      <c r="BZ134" s="13" t="n"/>
      <c r="CA134" s="14" t="n"/>
      <c r="CB134" s="13" t="n"/>
      <c r="CC134" s="9" t="n"/>
      <c r="CD134" s="9" t="n"/>
      <c r="CE134" s="9" t="n"/>
      <c r="CF134" s="9" t="n"/>
      <c r="CG134" s="9" t="n"/>
      <c r="CH134" s="9" t="n"/>
    </row>
    <row r="135">
      <c r="A135" s="8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8" t="n"/>
      <c r="L135" s="9" t="n"/>
      <c r="M135" s="8" t="n"/>
      <c r="N135" s="8" t="n"/>
      <c r="O135" s="8" t="n"/>
      <c r="P135" s="8" t="n"/>
      <c r="Q135" s="8" t="n"/>
      <c r="R135" s="9" t="n"/>
      <c r="S135" s="9" t="n"/>
      <c r="T135" s="10" t="n"/>
      <c r="U135" s="10" t="n"/>
      <c r="V135" s="9" t="n"/>
      <c r="W135" s="9" t="n"/>
      <c r="X135" s="9" t="n"/>
      <c r="Y135" s="9" t="n"/>
      <c r="Z135" s="11" t="n"/>
      <c r="AA135" s="11" t="n"/>
      <c r="AB135" s="11" t="n"/>
      <c r="AC135" s="11" t="n"/>
      <c r="AD135" s="11" t="n"/>
      <c r="AE135" s="11" t="n"/>
      <c r="AF135" s="9" t="n"/>
      <c r="AG135" s="9" t="n"/>
      <c r="AH135" s="9" t="n"/>
      <c r="AI135" s="9" t="n"/>
      <c r="AJ135" s="8" t="n"/>
      <c r="AK135" s="9" t="n"/>
      <c r="AL135" s="9" t="n"/>
      <c r="AM135" s="9" t="n"/>
      <c r="AN135" s="9" t="n"/>
      <c r="AO135" s="9" t="n"/>
      <c r="AP135" s="9" t="n"/>
      <c r="AQ135" s="9" t="n"/>
      <c r="AR135" s="9" t="n"/>
      <c r="AS135" s="9" t="n"/>
      <c r="AT135" s="8" t="n"/>
      <c r="AU135" s="8" t="n"/>
      <c r="AV135" s="9" t="n"/>
      <c r="AW135" s="8" t="n"/>
      <c r="AX135" s="9" t="n"/>
      <c r="AY135" s="9" t="n"/>
      <c r="AZ135" s="9" t="n"/>
      <c r="BA135" s="9" t="n"/>
      <c r="BB135" s="9" t="n"/>
      <c r="BC135" s="9" t="n"/>
      <c r="BD135" s="9" t="n"/>
      <c r="BE135" s="9" t="n"/>
      <c r="BF135" s="9" t="n"/>
      <c r="BG135" s="9" t="n"/>
      <c r="BH135" s="9" t="n"/>
      <c r="BI135" s="9" t="n"/>
      <c r="BJ135" s="9" t="n"/>
      <c r="BK135" s="9" t="n"/>
      <c r="BL135" s="9" t="n"/>
      <c r="BM135" s="9" t="n"/>
      <c r="BN135" s="9" t="n"/>
      <c r="BO135" s="8" t="n"/>
      <c r="BP135" s="9" t="n"/>
      <c r="BQ135" s="9" t="n"/>
      <c r="BR135" s="12">
        <f>IF(AND(AI135="Y",AK135="Y",AL135="Y",AM135="Y",AY135="Y",AZ135="Y",BA135="Y",BB135="Y",BC135="Y",BE135&lt;&gt;"Y",AX135&lt;&gt;"Y",BL135&lt;&gt;"Y",IF(AS135="Y",AV135="Y",TRUE)),"Y","N")</f>
        <v/>
      </c>
      <c r="BS135" s="12">
        <f>IF(AND(BR135="Y",OR(AND(BJ135="Y",BM135="Y"),AND(BK135="Y",BN135="Y"),AND(BJ135&lt;&gt;"Y",BK135&lt;&gt;"Y",OR(BM135="Y",BN135="Y")))),"Y","N")</f>
        <v/>
      </c>
      <c r="BT135" s="10" t="n"/>
      <c r="BU135" s="13" t="n"/>
      <c r="BV135" s="13" t="n"/>
      <c r="BW135" s="13" t="n"/>
      <c r="BX135" s="13" t="n"/>
      <c r="BY135" s="13" t="n"/>
      <c r="BZ135" s="13" t="n"/>
      <c r="CA135" s="14" t="n"/>
      <c r="CB135" s="13" t="n"/>
      <c r="CC135" s="9" t="n"/>
      <c r="CD135" s="9" t="n"/>
      <c r="CE135" s="9" t="n"/>
      <c r="CF135" s="9" t="n"/>
      <c r="CG135" s="9" t="n"/>
      <c r="CH135" s="9" t="n"/>
    </row>
    <row r="136">
      <c r="A136" s="8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8" t="n"/>
      <c r="L136" s="9" t="n"/>
      <c r="M136" s="8" t="n"/>
      <c r="N136" s="8" t="n"/>
      <c r="O136" s="8" t="n"/>
      <c r="P136" s="8" t="n"/>
      <c r="Q136" s="8" t="n"/>
      <c r="R136" s="9" t="n"/>
      <c r="S136" s="9" t="n"/>
      <c r="T136" s="10" t="n"/>
      <c r="U136" s="10" t="n"/>
      <c r="V136" s="9" t="n"/>
      <c r="W136" s="9" t="n"/>
      <c r="X136" s="9" t="n"/>
      <c r="Y136" s="9" t="n"/>
      <c r="Z136" s="11" t="n"/>
      <c r="AA136" s="11" t="n"/>
      <c r="AB136" s="11" t="n"/>
      <c r="AC136" s="11" t="n"/>
      <c r="AD136" s="11" t="n"/>
      <c r="AE136" s="11" t="n"/>
      <c r="AF136" s="9" t="n"/>
      <c r="AG136" s="9" t="n"/>
      <c r="AH136" s="9" t="n"/>
      <c r="AI136" s="9" t="n"/>
      <c r="AJ136" s="8" t="n"/>
      <c r="AK136" s="9" t="n"/>
      <c r="AL136" s="9" t="n"/>
      <c r="AM136" s="9" t="n"/>
      <c r="AN136" s="9" t="n"/>
      <c r="AO136" s="9" t="n"/>
      <c r="AP136" s="9" t="n"/>
      <c r="AQ136" s="9" t="n"/>
      <c r="AR136" s="9" t="n"/>
      <c r="AS136" s="9" t="n"/>
      <c r="AT136" s="8" t="n"/>
      <c r="AU136" s="8" t="n"/>
      <c r="AV136" s="9" t="n"/>
      <c r="AW136" s="8" t="n"/>
      <c r="AX136" s="9" t="n"/>
      <c r="AY136" s="9" t="n"/>
      <c r="AZ136" s="9" t="n"/>
      <c r="BA136" s="9" t="n"/>
      <c r="BB136" s="9" t="n"/>
      <c r="BC136" s="9" t="n"/>
      <c r="BD136" s="9" t="n"/>
      <c r="BE136" s="9" t="n"/>
      <c r="BF136" s="9" t="n"/>
      <c r="BG136" s="9" t="n"/>
      <c r="BH136" s="9" t="n"/>
      <c r="BI136" s="9" t="n"/>
      <c r="BJ136" s="9" t="n"/>
      <c r="BK136" s="9" t="n"/>
      <c r="BL136" s="9" t="n"/>
      <c r="BM136" s="9" t="n"/>
      <c r="BN136" s="9" t="n"/>
      <c r="BO136" s="8" t="n"/>
      <c r="BP136" s="9" t="n"/>
      <c r="BQ136" s="9" t="n"/>
      <c r="BR136" s="12">
        <f>IF(AND(AI136="Y",AK136="Y",AL136="Y",AM136="Y",AY136="Y",AZ136="Y",BA136="Y",BB136="Y",BC136="Y",BE136&lt;&gt;"Y",AX136&lt;&gt;"Y",BL136&lt;&gt;"Y",IF(AS136="Y",AV136="Y",TRUE)),"Y","N")</f>
        <v/>
      </c>
      <c r="BS136" s="12">
        <f>IF(AND(BR136="Y",OR(AND(BJ136="Y",BM136="Y"),AND(BK136="Y",BN136="Y"),AND(BJ136&lt;&gt;"Y",BK136&lt;&gt;"Y",OR(BM136="Y",BN136="Y")))),"Y","N")</f>
        <v/>
      </c>
      <c r="BT136" s="10" t="n"/>
      <c r="BU136" s="13" t="n"/>
      <c r="BV136" s="13" t="n"/>
      <c r="BW136" s="13" t="n"/>
      <c r="BX136" s="13" t="n"/>
      <c r="BY136" s="13" t="n"/>
      <c r="BZ136" s="13" t="n"/>
      <c r="CA136" s="14" t="n"/>
      <c r="CB136" s="13" t="n"/>
      <c r="CC136" s="9" t="n"/>
      <c r="CD136" s="9" t="n"/>
      <c r="CE136" s="9" t="n"/>
      <c r="CF136" s="9" t="n"/>
      <c r="CG136" s="9" t="n"/>
      <c r="CH136" s="9" t="n"/>
    </row>
    <row r="137">
      <c r="A137" s="8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8" t="n"/>
      <c r="L137" s="9" t="n"/>
      <c r="M137" s="8" t="n"/>
      <c r="N137" s="8" t="n"/>
      <c r="O137" s="8" t="n"/>
      <c r="P137" s="8" t="n"/>
      <c r="Q137" s="8" t="n"/>
      <c r="R137" s="9" t="n"/>
      <c r="S137" s="9" t="n"/>
      <c r="T137" s="10" t="n"/>
      <c r="U137" s="10" t="n"/>
      <c r="V137" s="9" t="n"/>
      <c r="W137" s="9" t="n"/>
      <c r="X137" s="9" t="n"/>
      <c r="Y137" s="9" t="n"/>
      <c r="Z137" s="11" t="n"/>
      <c r="AA137" s="11" t="n"/>
      <c r="AB137" s="11" t="n"/>
      <c r="AC137" s="11" t="n"/>
      <c r="AD137" s="11" t="n"/>
      <c r="AE137" s="11" t="n"/>
      <c r="AF137" s="9" t="n"/>
      <c r="AG137" s="9" t="n"/>
      <c r="AH137" s="9" t="n"/>
      <c r="AI137" s="9" t="n"/>
      <c r="AJ137" s="8" t="n"/>
      <c r="AK137" s="9" t="n"/>
      <c r="AL137" s="9" t="n"/>
      <c r="AM137" s="9" t="n"/>
      <c r="AN137" s="9" t="n"/>
      <c r="AO137" s="9" t="n"/>
      <c r="AP137" s="9" t="n"/>
      <c r="AQ137" s="9" t="n"/>
      <c r="AR137" s="9" t="n"/>
      <c r="AS137" s="9" t="n"/>
      <c r="AT137" s="8" t="n"/>
      <c r="AU137" s="8" t="n"/>
      <c r="AV137" s="9" t="n"/>
      <c r="AW137" s="8" t="n"/>
      <c r="AX137" s="9" t="n"/>
      <c r="AY137" s="9" t="n"/>
      <c r="AZ137" s="9" t="n"/>
      <c r="BA137" s="9" t="n"/>
      <c r="BB137" s="9" t="n"/>
      <c r="BC137" s="9" t="n"/>
      <c r="BD137" s="9" t="n"/>
      <c r="BE137" s="9" t="n"/>
      <c r="BF137" s="9" t="n"/>
      <c r="BG137" s="9" t="n"/>
      <c r="BH137" s="9" t="n"/>
      <c r="BI137" s="9" t="n"/>
      <c r="BJ137" s="9" t="n"/>
      <c r="BK137" s="9" t="n"/>
      <c r="BL137" s="9" t="n"/>
      <c r="BM137" s="9" t="n"/>
      <c r="BN137" s="9" t="n"/>
      <c r="BO137" s="8" t="n"/>
      <c r="BP137" s="9" t="n"/>
      <c r="BQ137" s="9" t="n"/>
      <c r="BR137" s="12">
        <f>IF(AND(AI137="Y",AK137="Y",AL137="Y",AM137="Y",AY137="Y",AZ137="Y",BA137="Y",BB137="Y",BC137="Y",BE137&lt;&gt;"Y",AX137&lt;&gt;"Y",BL137&lt;&gt;"Y",IF(AS137="Y",AV137="Y",TRUE)),"Y","N")</f>
        <v/>
      </c>
      <c r="BS137" s="12">
        <f>IF(AND(BR137="Y",OR(AND(BJ137="Y",BM137="Y"),AND(BK137="Y",BN137="Y"),AND(BJ137&lt;&gt;"Y",BK137&lt;&gt;"Y",OR(BM137="Y",BN137="Y")))),"Y","N")</f>
        <v/>
      </c>
      <c r="BT137" s="10" t="n"/>
      <c r="BU137" s="13" t="n"/>
      <c r="BV137" s="13" t="n"/>
      <c r="BW137" s="13" t="n"/>
      <c r="BX137" s="13" t="n"/>
      <c r="BY137" s="13" t="n"/>
      <c r="BZ137" s="13" t="n"/>
      <c r="CA137" s="14" t="n"/>
      <c r="CB137" s="13" t="n"/>
      <c r="CC137" s="9" t="n"/>
      <c r="CD137" s="9" t="n"/>
      <c r="CE137" s="9" t="n"/>
      <c r="CF137" s="9" t="n"/>
      <c r="CG137" s="9" t="n"/>
      <c r="CH137" s="9" t="n"/>
    </row>
    <row r="138">
      <c r="A138" s="8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8" t="n"/>
      <c r="L138" s="9" t="n"/>
      <c r="M138" s="8" t="n"/>
      <c r="N138" s="8" t="n"/>
      <c r="O138" s="8" t="n"/>
      <c r="P138" s="8" t="n"/>
      <c r="Q138" s="8" t="n"/>
      <c r="R138" s="9" t="n"/>
      <c r="S138" s="9" t="n"/>
      <c r="T138" s="10" t="n"/>
      <c r="U138" s="10" t="n"/>
      <c r="V138" s="9" t="n"/>
      <c r="W138" s="9" t="n"/>
      <c r="X138" s="9" t="n"/>
      <c r="Y138" s="9" t="n"/>
      <c r="Z138" s="11" t="n"/>
      <c r="AA138" s="11" t="n"/>
      <c r="AB138" s="11" t="n"/>
      <c r="AC138" s="11" t="n"/>
      <c r="AD138" s="11" t="n"/>
      <c r="AE138" s="11" t="n"/>
      <c r="AF138" s="9" t="n"/>
      <c r="AG138" s="9" t="n"/>
      <c r="AH138" s="9" t="n"/>
      <c r="AI138" s="9" t="n"/>
      <c r="AJ138" s="8" t="n"/>
      <c r="AK138" s="9" t="n"/>
      <c r="AL138" s="9" t="n"/>
      <c r="AM138" s="9" t="n"/>
      <c r="AN138" s="9" t="n"/>
      <c r="AO138" s="9" t="n"/>
      <c r="AP138" s="9" t="n"/>
      <c r="AQ138" s="9" t="n"/>
      <c r="AR138" s="9" t="n"/>
      <c r="AS138" s="9" t="n"/>
      <c r="AT138" s="8" t="n"/>
      <c r="AU138" s="8" t="n"/>
      <c r="AV138" s="9" t="n"/>
      <c r="AW138" s="8" t="n"/>
      <c r="AX138" s="9" t="n"/>
      <c r="AY138" s="9" t="n"/>
      <c r="AZ138" s="9" t="n"/>
      <c r="BA138" s="9" t="n"/>
      <c r="BB138" s="9" t="n"/>
      <c r="BC138" s="9" t="n"/>
      <c r="BD138" s="9" t="n"/>
      <c r="BE138" s="9" t="n"/>
      <c r="BF138" s="9" t="n"/>
      <c r="BG138" s="9" t="n"/>
      <c r="BH138" s="9" t="n"/>
      <c r="BI138" s="9" t="n"/>
      <c r="BJ138" s="9" t="n"/>
      <c r="BK138" s="9" t="n"/>
      <c r="BL138" s="9" t="n"/>
      <c r="BM138" s="9" t="n"/>
      <c r="BN138" s="9" t="n"/>
      <c r="BO138" s="8" t="n"/>
      <c r="BP138" s="9" t="n"/>
      <c r="BQ138" s="9" t="n"/>
      <c r="BR138" s="12">
        <f>IF(AND(AI138="Y",AK138="Y",AL138="Y",AM138="Y",AY138="Y",AZ138="Y",BA138="Y",BB138="Y",BC138="Y",BE138&lt;&gt;"Y",AX138&lt;&gt;"Y",BL138&lt;&gt;"Y",IF(AS138="Y",AV138="Y",TRUE)),"Y","N")</f>
        <v/>
      </c>
      <c r="BS138" s="12">
        <f>IF(AND(BR138="Y",OR(AND(BJ138="Y",BM138="Y"),AND(BK138="Y",BN138="Y"),AND(BJ138&lt;&gt;"Y",BK138&lt;&gt;"Y",OR(BM138="Y",BN138="Y")))),"Y","N")</f>
        <v/>
      </c>
      <c r="BT138" s="10" t="n"/>
      <c r="BU138" s="13" t="n"/>
      <c r="BV138" s="13" t="n"/>
      <c r="BW138" s="13" t="n"/>
      <c r="BX138" s="13" t="n"/>
      <c r="BY138" s="13" t="n"/>
      <c r="BZ138" s="13" t="n"/>
      <c r="CA138" s="14" t="n"/>
      <c r="CB138" s="13" t="n"/>
      <c r="CC138" s="9" t="n"/>
      <c r="CD138" s="9" t="n"/>
      <c r="CE138" s="9" t="n"/>
      <c r="CF138" s="9" t="n"/>
      <c r="CG138" s="9" t="n"/>
      <c r="CH138" s="9" t="n"/>
    </row>
    <row r="139">
      <c r="A139" s="8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8" t="n"/>
      <c r="L139" s="9" t="n"/>
      <c r="M139" s="8" t="n"/>
      <c r="N139" s="8" t="n"/>
      <c r="O139" s="8" t="n"/>
      <c r="P139" s="8" t="n"/>
      <c r="Q139" s="8" t="n"/>
      <c r="R139" s="9" t="n"/>
      <c r="S139" s="9" t="n"/>
      <c r="T139" s="10" t="n"/>
      <c r="U139" s="10" t="n"/>
      <c r="V139" s="9" t="n"/>
      <c r="W139" s="9" t="n"/>
      <c r="X139" s="9" t="n"/>
      <c r="Y139" s="9" t="n"/>
      <c r="Z139" s="11" t="n"/>
      <c r="AA139" s="11" t="n"/>
      <c r="AB139" s="11" t="n"/>
      <c r="AC139" s="11" t="n"/>
      <c r="AD139" s="11" t="n"/>
      <c r="AE139" s="11" t="n"/>
      <c r="AF139" s="9" t="n"/>
      <c r="AG139" s="9" t="n"/>
      <c r="AH139" s="9" t="n"/>
      <c r="AI139" s="9" t="n"/>
      <c r="AJ139" s="8" t="n"/>
      <c r="AK139" s="9" t="n"/>
      <c r="AL139" s="9" t="n"/>
      <c r="AM139" s="9" t="n"/>
      <c r="AN139" s="9" t="n"/>
      <c r="AO139" s="9" t="n"/>
      <c r="AP139" s="9" t="n"/>
      <c r="AQ139" s="9" t="n"/>
      <c r="AR139" s="9" t="n"/>
      <c r="AS139" s="9" t="n"/>
      <c r="AT139" s="8" t="n"/>
      <c r="AU139" s="8" t="n"/>
      <c r="AV139" s="9" t="n"/>
      <c r="AW139" s="8" t="n"/>
      <c r="AX139" s="9" t="n"/>
      <c r="AY139" s="9" t="n"/>
      <c r="AZ139" s="9" t="n"/>
      <c r="BA139" s="9" t="n"/>
      <c r="BB139" s="9" t="n"/>
      <c r="BC139" s="9" t="n"/>
      <c r="BD139" s="9" t="n"/>
      <c r="BE139" s="9" t="n"/>
      <c r="BF139" s="9" t="n"/>
      <c r="BG139" s="9" t="n"/>
      <c r="BH139" s="9" t="n"/>
      <c r="BI139" s="9" t="n"/>
      <c r="BJ139" s="9" t="n"/>
      <c r="BK139" s="9" t="n"/>
      <c r="BL139" s="9" t="n"/>
      <c r="BM139" s="9" t="n"/>
      <c r="BN139" s="9" t="n"/>
      <c r="BO139" s="8" t="n"/>
      <c r="BP139" s="9" t="n"/>
      <c r="BQ139" s="9" t="n"/>
      <c r="BR139" s="12">
        <f>IF(AND(AI139="Y",AK139="Y",AL139="Y",AM139="Y",AY139="Y",AZ139="Y",BA139="Y",BB139="Y",BC139="Y",BE139&lt;&gt;"Y",AX139&lt;&gt;"Y",BL139&lt;&gt;"Y",IF(AS139="Y",AV139="Y",TRUE)),"Y","N")</f>
        <v/>
      </c>
      <c r="BS139" s="12">
        <f>IF(AND(BR139="Y",OR(AND(BJ139="Y",BM139="Y"),AND(BK139="Y",BN139="Y"),AND(BJ139&lt;&gt;"Y",BK139&lt;&gt;"Y",OR(BM139="Y",BN139="Y")))),"Y","N")</f>
        <v/>
      </c>
      <c r="BT139" s="10" t="n"/>
      <c r="BU139" s="13" t="n"/>
      <c r="BV139" s="13" t="n"/>
      <c r="BW139" s="13" t="n"/>
      <c r="BX139" s="13" t="n"/>
      <c r="BY139" s="13" t="n"/>
      <c r="BZ139" s="13" t="n"/>
      <c r="CA139" s="14" t="n"/>
      <c r="CB139" s="13" t="n"/>
      <c r="CC139" s="9" t="n"/>
      <c r="CD139" s="9" t="n"/>
      <c r="CE139" s="9" t="n"/>
      <c r="CF139" s="9" t="n"/>
      <c r="CG139" s="9" t="n"/>
      <c r="CH139" s="9" t="n"/>
    </row>
    <row r="140">
      <c r="A140" s="8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8" t="n"/>
      <c r="L140" s="9" t="n"/>
      <c r="M140" s="8" t="n"/>
      <c r="N140" s="8" t="n"/>
      <c r="O140" s="8" t="n"/>
      <c r="P140" s="8" t="n"/>
      <c r="Q140" s="8" t="n"/>
      <c r="R140" s="9" t="n"/>
      <c r="S140" s="9" t="n"/>
      <c r="T140" s="10" t="n"/>
      <c r="U140" s="10" t="n"/>
      <c r="V140" s="9" t="n"/>
      <c r="W140" s="9" t="n"/>
      <c r="X140" s="9" t="n"/>
      <c r="Y140" s="9" t="n"/>
      <c r="Z140" s="11" t="n"/>
      <c r="AA140" s="11" t="n"/>
      <c r="AB140" s="11" t="n"/>
      <c r="AC140" s="11" t="n"/>
      <c r="AD140" s="11" t="n"/>
      <c r="AE140" s="11" t="n"/>
      <c r="AF140" s="9" t="n"/>
      <c r="AG140" s="9" t="n"/>
      <c r="AH140" s="9" t="n"/>
      <c r="AI140" s="9" t="n"/>
      <c r="AJ140" s="8" t="n"/>
      <c r="AK140" s="9" t="n"/>
      <c r="AL140" s="9" t="n"/>
      <c r="AM140" s="9" t="n"/>
      <c r="AN140" s="9" t="n"/>
      <c r="AO140" s="9" t="n"/>
      <c r="AP140" s="9" t="n"/>
      <c r="AQ140" s="9" t="n"/>
      <c r="AR140" s="9" t="n"/>
      <c r="AS140" s="9" t="n"/>
      <c r="AT140" s="8" t="n"/>
      <c r="AU140" s="8" t="n"/>
      <c r="AV140" s="9" t="n"/>
      <c r="AW140" s="8" t="n"/>
      <c r="AX140" s="9" t="n"/>
      <c r="AY140" s="9" t="n"/>
      <c r="AZ140" s="9" t="n"/>
      <c r="BA140" s="9" t="n"/>
      <c r="BB140" s="9" t="n"/>
      <c r="BC140" s="9" t="n"/>
      <c r="BD140" s="9" t="n"/>
      <c r="BE140" s="9" t="n"/>
      <c r="BF140" s="9" t="n"/>
      <c r="BG140" s="9" t="n"/>
      <c r="BH140" s="9" t="n"/>
      <c r="BI140" s="9" t="n"/>
      <c r="BJ140" s="9" t="n"/>
      <c r="BK140" s="9" t="n"/>
      <c r="BL140" s="9" t="n"/>
      <c r="BM140" s="9" t="n"/>
      <c r="BN140" s="9" t="n"/>
      <c r="BO140" s="8" t="n"/>
      <c r="BP140" s="9" t="n"/>
      <c r="BQ140" s="9" t="n"/>
      <c r="BR140" s="12">
        <f>IF(AND(AI140="Y",AK140="Y",AL140="Y",AM140="Y",AY140="Y",AZ140="Y",BA140="Y",BB140="Y",BC140="Y",BE140&lt;&gt;"Y",AX140&lt;&gt;"Y",BL140&lt;&gt;"Y",IF(AS140="Y",AV140="Y",TRUE)),"Y","N")</f>
        <v/>
      </c>
      <c r="BS140" s="12">
        <f>IF(AND(BR140="Y",OR(AND(BJ140="Y",BM140="Y"),AND(BK140="Y",BN140="Y"),AND(BJ140&lt;&gt;"Y",BK140&lt;&gt;"Y",OR(BM140="Y",BN140="Y")))),"Y","N")</f>
        <v/>
      </c>
      <c r="BT140" s="10" t="n"/>
      <c r="BU140" s="13" t="n"/>
      <c r="BV140" s="13" t="n"/>
      <c r="BW140" s="13" t="n"/>
      <c r="BX140" s="13" t="n"/>
      <c r="BY140" s="13" t="n"/>
      <c r="BZ140" s="13" t="n"/>
      <c r="CA140" s="14" t="n"/>
      <c r="CB140" s="13" t="n"/>
      <c r="CC140" s="9" t="n"/>
      <c r="CD140" s="9" t="n"/>
      <c r="CE140" s="9" t="n"/>
      <c r="CF140" s="9" t="n"/>
      <c r="CG140" s="9" t="n"/>
      <c r="CH140" s="9" t="n"/>
    </row>
    <row r="141">
      <c r="A141" s="8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8" t="n"/>
      <c r="L141" s="9" t="n"/>
      <c r="M141" s="8" t="n"/>
      <c r="N141" s="8" t="n"/>
      <c r="O141" s="8" t="n"/>
      <c r="P141" s="8" t="n"/>
      <c r="Q141" s="8" t="n"/>
      <c r="R141" s="9" t="n"/>
      <c r="S141" s="9" t="n"/>
      <c r="T141" s="10" t="n"/>
      <c r="U141" s="10" t="n"/>
      <c r="V141" s="9" t="n"/>
      <c r="W141" s="9" t="n"/>
      <c r="X141" s="9" t="n"/>
      <c r="Y141" s="9" t="n"/>
      <c r="Z141" s="11" t="n"/>
      <c r="AA141" s="11" t="n"/>
      <c r="AB141" s="11" t="n"/>
      <c r="AC141" s="11" t="n"/>
      <c r="AD141" s="11" t="n"/>
      <c r="AE141" s="11" t="n"/>
      <c r="AF141" s="9" t="n"/>
      <c r="AG141" s="9" t="n"/>
      <c r="AH141" s="9" t="n"/>
      <c r="AI141" s="9" t="n"/>
      <c r="AJ141" s="8" t="n"/>
      <c r="AK141" s="9" t="n"/>
      <c r="AL141" s="9" t="n"/>
      <c r="AM141" s="9" t="n"/>
      <c r="AN141" s="9" t="n"/>
      <c r="AO141" s="9" t="n"/>
      <c r="AP141" s="9" t="n"/>
      <c r="AQ141" s="9" t="n"/>
      <c r="AR141" s="9" t="n"/>
      <c r="AS141" s="9" t="n"/>
      <c r="AT141" s="8" t="n"/>
      <c r="AU141" s="8" t="n"/>
      <c r="AV141" s="9" t="n"/>
      <c r="AW141" s="8" t="n"/>
      <c r="AX141" s="9" t="n"/>
      <c r="AY141" s="9" t="n"/>
      <c r="AZ141" s="9" t="n"/>
      <c r="BA141" s="9" t="n"/>
      <c r="BB141" s="9" t="n"/>
      <c r="BC141" s="9" t="n"/>
      <c r="BD141" s="9" t="n"/>
      <c r="BE141" s="9" t="n"/>
      <c r="BF141" s="9" t="n"/>
      <c r="BG141" s="9" t="n"/>
      <c r="BH141" s="9" t="n"/>
      <c r="BI141" s="9" t="n"/>
      <c r="BJ141" s="9" t="n"/>
      <c r="BK141" s="9" t="n"/>
      <c r="BL141" s="9" t="n"/>
      <c r="BM141" s="9" t="n"/>
      <c r="BN141" s="9" t="n"/>
      <c r="BO141" s="8" t="n"/>
      <c r="BP141" s="9" t="n"/>
      <c r="BQ141" s="9" t="n"/>
      <c r="BR141" s="12">
        <f>IF(AND(AI141="Y",AK141="Y",AL141="Y",AM141="Y",AY141="Y",AZ141="Y",BA141="Y",BB141="Y",BC141="Y",BE141&lt;&gt;"Y",AX141&lt;&gt;"Y",BL141&lt;&gt;"Y",IF(AS141="Y",AV141="Y",TRUE)),"Y","N")</f>
        <v/>
      </c>
      <c r="BS141" s="12">
        <f>IF(AND(BR141="Y",OR(AND(BJ141="Y",BM141="Y"),AND(BK141="Y",BN141="Y"),AND(BJ141&lt;&gt;"Y",BK141&lt;&gt;"Y",OR(BM141="Y",BN141="Y")))),"Y","N")</f>
        <v/>
      </c>
      <c r="BT141" s="10" t="n"/>
      <c r="BU141" s="13" t="n"/>
      <c r="BV141" s="13" t="n"/>
      <c r="BW141" s="13" t="n"/>
      <c r="BX141" s="13" t="n"/>
      <c r="BY141" s="13" t="n"/>
      <c r="BZ141" s="13" t="n"/>
      <c r="CA141" s="14" t="n"/>
      <c r="CB141" s="13" t="n"/>
      <c r="CC141" s="9" t="n"/>
      <c r="CD141" s="9" t="n"/>
      <c r="CE141" s="9" t="n"/>
      <c r="CF141" s="9" t="n"/>
      <c r="CG141" s="9" t="n"/>
      <c r="CH141" s="9" t="n"/>
    </row>
    <row r="142">
      <c r="A142" s="8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8" t="n"/>
      <c r="L142" s="9" t="n"/>
      <c r="M142" s="8" t="n"/>
      <c r="N142" s="8" t="n"/>
      <c r="O142" s="8" t="n"/>
      <c r="P142" s="8" t="n"/>
      <c r="Q142" s="8" t="n"/>
      <c r="R142" s="9" t="n"/>
      <c r="S142" s="9" t="n"/>
      <c r="T142" s="10" t="n"/>
      <c r="U142" s="10" t="n"/>
      <c r="V142" s="9" t="n"/>
      <c r="W142" s="9" t="n"/>
      <c r="X142" s="9" t="n"/>
      <c r="Y142" s="9" t="n"/>
      <c r="Z142" s="11" t="n"/>
      <c r="AA142" s="11" t="n"/>
      <c r="AB142" s="11" t="n"/>
      <c r="AC142" s="11" t="n"/>
      <c r="AD142" s="11" t="n"/>
      <c r="AE142" s="11" t="n"/>
      <c r="AF142" s="9" t="n"/>
      <c r="AG142" s="9" t="n"/>
      <c r="AH142" s="9" t="n"/>
      <c r="AI142" s="9" t="n"/>
      <c r="AJ142" s="8" t="n"/>
      <c r="AK142" s="9" t="n"/>
      <c r="AL142" s="9" t="n"/>
      <c r="AM142" s="9" t="n"/>
      <c r="AN142" s="9" t="n"/>
      <c r="AO142" s="9" t="n"/>
      <c r="AP142" s="9" t="n"/>
      <c r="AQ142" s="9" t="n"/>
      <c r="AR142" s="9" t="n"/>
      <c r="AS142" s="9" t="n"/>
      <c r="AT142" s="8" t="n"/>
      <c r="AU142" s="8" t="n"/>
      <c r="AV142" s="9" t="n"/>
      <c r="AW142" s="8" t="n"/>
      <c r="AX142" s="9" t="n"/>
      <c r="AY142" s="9" t="n"/>
      <c r="AZ142" s="9" t="n"/>
      <c r="BA142" s="9" t="n"/>
      <c r="BB142" s="9" t="n"/>
      <c r="BC142" s="9" t="n"/>
      <c r="BD142" s="9" t="n"/>
      <c r="BE142" s="9" t="n"/>
      <c r="BF142" s="9" t="n"/>
      <c r="BG142" s="9" t="n"/>
      <c r="BH142" s="9" t="n"/>
      <c r="BI142" s="9" t="n"/>
      <c r="BJ142" s="9" t="n"/>
      <c r="BK142" s="9" t="n"/>
      <c r="BL142" s="9" t="n"/>
      <c r="BM142" s="9" t="n"/>
      <c r="BN142" s="9" t="n"/>
      <c r="BO142" s="8" t="n"/>
      <c r="BP142" s="9" t="n"/>
      <c r="BQ142" s="9" t="n"/>
      <c r="BR142" s="12">
        <f>IF(AND(AI142="Y",AK142="Y",AL142="Y",AM142="Y",AY142="Y",AZ142="Y",BA142="Y",BB142="Y",BC142="Y",BE142&lt;&gt;"Y",AX142&lt;&gt;"Y",BL142&lt;&gt;"Y",IF(AS142="Y",AV142="Y",TRUE)),"Y","N")</f>
        <v/>
      </c>
      <c r="BS142" s="12">
        <f>IF(AND(BR142="Y",OR(AND(BJ142="Y",BM142="Y"),AND(BK142="Y",BN142="Y"),AND(BJ142&lt;&gt;"Y",BK142&lt;&gt;"Y",OR(BM142="Y",BN142="Y")))),"Y","N")</f>
        <v/>
      </c>
      <c r="BT142" s="10" t="n"/>
      <c r="BU142" s="13" t="n"/>
      <c r="BV142" s="13" t="n"/>
      <c r="BW142" s="13" t="n"/>
      <c r="BX142" s="13" t="n"/>
      <c r="BY142" s="13" t="n"/>
      <c r="BZ142" s="13" t="n"/>
      <c r="CA142" s="14" t="n"/>
      <c r="CB142" s="13" t="n"/>
      <c r="CC142" s="9" t="n"/>
      <c r="CD142" s="9" t="n"/>
      <c r="CE142" s="9" t="n"/>
      <c r="CF142" s="9" t="n"/>
      <c r="CG142" s="9" t="n"/>
      <c r="CH142" s="9" t="n"/>
    </row>
    <row r="143">
      <c r="A143" s="8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8" t="n"/>
      <c r="L143" s="9" t="n"/>
      <c r="M143" s="8" t="n"/>
      <c r="N143" s="8" t="n"/>
      <c r="O143" s="8" t="n"/>
      <c r="P143" s="8" t="n"/>
      <c r="Q143" s="8" t="n"/>
      <c r="R143" s="9" t="n"/>
      <c r="S143" s="9" t="n"/>
      <c r="T143" s="10" t="n"/>
      <c r="U143" s="10" t="n"/>
      <c r="V143" s="9" t="n"/>
      <c r="W143" s="9" t="n"/>
      <c r="X143" s="9" t="n"/>
      <c r="Y143" s="9" t="n"/>
      <c r="Z143" s="11" t="n"/>
      <c r="AA143" s="11" t="n"/>
      <c r="AB143" s="11" t="n"/>
      <c r="AC143" s="11" t="n"/>
      <c r="AD143" s="11" t="n"/>
      <c r="AE143" s="11" t="n"/>
      <c r="AF143" s="9" t="n"/>
      <c r="AG143" s="9" t="n"/>
      <c r="AH143" s="9" t="n"/>
      <c r="AI143" s="9" t="n"/>
      <c r="AJ143" s="8" t="n"/>
      <c r="AK143" s="9" t="n"/>
      <c r="AL143" s="9" t="n"/>
      <c r="AM143" s="9" t="n"/>
      <c r="AN143" s="9" t="n"/>
      <c r="AO143" s="9" t="n"/>
      <c r="AP143" s="9" t="n"/>
      <c r="AQ143" s="9" t="n"/>
      <c r="AR143" s="9" t="n"/>
      <c r="AS143" s="9" t="n"/>
      <c r="AT143" s="8" t="n"/>
      <c r="AU143" s="8" t="n"/>
      <c r="AV143" s="9" t="n"/>
      <c r="AW143" s="8" t="n"/>
      <c r="AX143" s="9" t="n"/>
      <c r="AY143" s="9" t="n"/>
      <c r="AZ143" s="9" t="n"/>
      <c r="BA143" s="9" t="n"/>
      <c r="BB143" s="9" t="n"/>
      <c r="BC143" s="9" t="n"/>
      <c r="BD143" s="9" t="n"/>
      <c r="BE143" s="9" t="n"/>
      <c r="BF143" s="9" t="n"/>
      <c r="BG143" s="9" t="n"/>
      <c r="BH143" s="9" t="n"/>
      <c r="BI143" s="9" t="n"/>
      <c r="BJ143" s="9" t="n"/>
      <c r="BK143" s="9" t="n"/>
      <c r="BL143" s="9" t="n"/>
      <c r="BM143" s="9" t="n"/>
      <c r="BN143" s="9" t="n"/>
      <c r="BO143" s="8" t="n"/>
      <c r="BP143" s="9" t="n"/>
      <c r="BQ143" s="9" t="n"/>
      <c r="BR143" s="12">
        <f>IF(AND(AI143="Y",AK143="Y",AL143="Y",AM143="Y",AY143="Y",AZ143="Y",BA143="Y",BB143="Y",BC143="Y",BE143&lt;&gt;"Y",AX143&lt;&gt;"Y",BL143&lt;&gt;"Y",IF(AS143="Y",AV143="Y",TRUE)),"Y","N")</f>
        <v/>
      </c>
      <c r="BS143" s="12">
        <f>IF(AND(BR143="Y",OR(AND(BJ143="Y",BM143="Y"),AND(BK143="Y",BN143="Y"),AND(BJ143&lt;&gt;"Y",BK143&lt;&gt;"Y",OR(BM143="Y",BN143="Y")))),"Y","N")</f>
        <v/>
      </c>
      <c r="BT143" s="10" t="n"/>
      <c r="BU143" s="13" t="n"/>
      <c r="BV143" s="13" t="n"/>
      <c r="BW143" s="13" t="n"/>
      <c r="BX143" s="13" t="n"/>
      <c r="BY143" s="13" t="n"/>
      <c r="BZ143" s="13" t="n"/>
      <c r="CA143" s="14" t="n"/>
      <c r="CB143" s="13" t="n"/>
      <c r="CC143" s="9" t="n"/>
      <c r="CD143" s="9" t="n"/>
      <c r="CE143" s="9" t="n"/>
      <c r="CF143" s="9" t="n"/>
      <c r="CG143" s="9" t="n"/>
      <c r="CH143" s="9" t="n"/>
    </row>
    <row r="144">
      <c r="A144" s="8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8" t="n"/>
      <c r="L144" s="9" t="n"/>
      <c r="M144" s="8" t="n"/>
      <c r="N144" s="8" t="n"/>
      <c r="O144" s="8" t="n"/>
      <c r="P144" s="8" t="n"/>
      <c r="Q144" s="8" t="n"/>
      <c r="R144" s="9" t="n"/>
      <c r="S144" s="9" t="n"/>
      <c r="T144" s="10" t="n"/>
      <c r="U144" s="10" t="n"/>
      <c r="V144" s="9" t="n"/>
      <c r="W144" s="9" t="n"/>
      <c r="X144" s="9" t="n"/>
      <c r="Y144" s="9" t="n"/>
      <c r="Z144" s="11" t="n"/>
      <c r="AA144" s="11" t="n"/>
      <c r="AB144" s="11" t="n"/>
      <c r="AC144" s="11" t="n"/>
      <c r="AD144" s="11" t="n"/>
      <c r="AE144" s="11" t="n"/>
      <c r="AF144" s="9" t="n"/>
      <c r="AG144" s="9" t="n"/>
      <c r="AH144" s="9" t="n"/>
      <c r="AI144" s="9" t="n"/>
      <c r="AJ144" s="8" t="n"/>
      <c r="AK144" s="9" t="n"/>
      <c r="AL144" s="9" t="n"/>
      <c r="AM144" s="9" t="n"/>
      <c r="AN144" s="9" t="n"/>
      <c r="AO144" s="9" t="n"/>
      <c r="AP144" s="9" t="n"/>
      <c r="AQ144" s="9" t="n"/>
      <c r="AR144" s="9" t="n"/>
      <c r="AS144" s="9" t="n"/>
      <c r="AT144" s="8" t="n"/>
      <c r="AU144" s="8" t="n"/>
      <c r="AV144" s="9" t="n"/>
      <c r="AW144" s="8" t="n"/>
      <c r="AX144" s="9" t="n"/>
      <c r="AY144" s="9" t="n"/>
      <c r="AZ144" s="9" t="n"/>
      <c r="BA144" s="9" t="n"/>
      <c r="BB144" s="9" t="n"/>
      <c r="BC144" s="9" t="n"/>
      <c r="BD144" s="9" t="n"/>
      <c r="BE144" s="9" t="n"/>
      <c r="BF144" s="9" t="n"/>
      <c r="BG144" s="9" t="n"/>
      <c r="BH144" s="9" t="n"/>
      <c r="BI144" s="9" t="n"/>
      <c r="BJ144" s="9" t="n"/>
      <c r="BK144" s="9" t="n"/>
      <c r="BL144" s="9" t="n"/>
      <c r="BM144" s="9" t="n"/>
      <c r="BN144" s="9" t="n"/>
      <c r="BO144" s="8" t="n"/>
      <c r="BP144" s="9" t="n"/>
      <c r="BQ144" s="9" t="n"/>
      <c r="BR144" s="12">
        <f>IF(AND(AI144="Y",AK144="Y",AL144="Y",AM144="Y",AY144="Y",AZ144="Y",BA144="Y",BB144="Y",BC144="Y",BE144&lt;&gt;"Y",AX144&lt;&gt;"Y",BL144&lt;&gt;"Y",IF(AS144="Y",AV144="Y",TRUE)),"Y","N")</f>
        <v/>
      </c>
      <c r="BS144" s="12">
        <f>IF(AND(BR144="Y",OR(AND(BJ144="Y",BM144="Y"),AND(BK144="Y",BN144="Y"),AND(BJ144&lt;&gt;"Y",BK144&lt;&gt;"Y",OR(BM144="Y",BN144="Y")))),"Y","N")</f>
        <v/>
      </c>
      <c r="BT144" s="10" t="n"/>
      <c r="BU144" s="13" t="n"/>
      <c r="BV144" s="13" t="n"/>
      <c r="BW144" s="13" t="n"/>
      <c r="BX144" s="13" t="n"/>
      <c r="BY144" s="13" t="n"/>
      <c r="BZ144" s="13" t="n"/>
      <c r="CA144" s="14" t="n"/>
      <c r="CB144" s="13" t="n"/>
      <c r="CC144" s="9" t="n"/>
      <c r="CD144" s="9" t="n"/>
      <c r="CE144" s="9" t="n"/>
      <c r="CF144" s="9" t="n"/>
      <c r="CG144" s="9" t="n"/>
      <c r="CH144" s="9" t="n"/>
    </row>
    <row r="145">
      <c r="A145" s="8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8" t="n"/>
      <c r="L145" s="9" t="n"/>
      <c r="M145" s="8" t="n"/>
      <c r="N145" s="8" t="n"/>
      <c r="O145" s="8" t="n"/>
      <c r="P145" s="8" t="n"/>
      <c r="Q145" s="8" t="n"/>
      <c r="R145" s="9" t="n"/>
      <c r="S145" s="9" t="n"/>
      <c r="T145" s="10" t="n"/>
      <c r="U145" s="10" t="n"/>
      <c r="V145" s="9" t="n"/>
      <c r="W145" s="9" t="n"/>
      <c r="X145" s="9" t="n"/>
      <c r="Y145" s="9" t="n"/>
      <c r="Z145" s="11" t="n"/>
      <c r="AA145" s="11" t="n"/>
      <c r="AB145" s="11" t="n"/>
      <c r="AC145" s="11" t="n"/>
      <c r="AD145" s="11" t="n"/>
      <c r="AE145" s="11" t="n"/>
      <c r="AF145" s="9" t="n"/>
      <c r="AG145" s="9" t="n"/>
      <c r="AH145" s="9" t="n"/>
      <c r="AI145" s="9" t="n"/>
      <c r="AJ145" s="8" t="n"/>
      <c r="AK145" s="9" t="n"/>
      <c r="AL145" s="9" t="n"/>
      <c r="AM145" s="9" t="n"/>
      <c r="AN145" s="9" t="n"/>
      <c r="AO145" s="9" t="n"/>
      <c r="AP145" s="9" t="n"/>
      <c r="AQ145" s="9" t="n"/>
      <c r="AR145" s="9" t="n"/>
      <c r="AS145" s="9" t="n"/>
      <c r="AT145" s="8" t="n"/>
      <c r="AU145" s="8" t="n"/>
      <c r="AV145" s="9" t="n"/>
      <c r="AW145" s="8" t="n"/>
      <c r="AX145" s="9" t="n"/>
      <c r="AY145" s="9" t="n"/>
      <c r="AZ145" s="9" t="n"/>
      <c r="BA145" s="9" t="n"/>
      <c r="BB145" s="9" t="n"/>
      <c r="BC145" s="9" t="n"/>
      <c r="BD145" s="9" t="n"/>
      <c r="BE145" s="9" t="n"/>
      <c r="BF145" s="9" t="n"/>
      <c r="BG145" s="9" t="n"/>
      <c r="BH145" s="9" t="n"/>
      <c r="BI145" s="9" t="n"/>
      <c r="BJ145" s="9" t="n"/>
      <c r="BK145" s="9" t="n"/>
      <c r="BL145" s="9" t="n"/>
      <c r="BM145" s="9" t="n"/>
      <c r="BN145" s="9" t="n"/>
      <c r="BO145" s="8" t="n"/>
      <c r="BP145" s="9" t="n"/>
      <c r="BQ145" s="9" t="n"/>
      <c r="BR145" s="12">
        <f>IF(AND(AI145="Y",AK145="Y",AL145="Y",AM145="Y",AY145="Y",AZ145="Y",BA145="Y",BB145="Y",BC145="Y",BE145&lt;&gt;"Y",AX145&lt;&gt;"Y",BL145&lt;&gt;"Y",IF(AS145="Y",AV145="Y",TRUE)),"Y","N")</f>
        <v/>
      </c>
      <c r="BS145" s="12">
        <f>IF(AND(BR145="Y",OR(AND(BJ145="Y",BM145="Y"),AND(BK145="Y",BN145="Y"),AND(BJ145&lt;&gt;"Y",BK145&lt;&gt;"Y",OR(BM145="Y",BN145="Y")))),"Y","N")</f>
        <v/>
      </c>
      <c r="BT145" s="10" t="n"/>
      <c r="BU145" s="13" t="n"/>
      <c r="BV145" s="13" t="n"/>
      <c r="BW145" s="13" t="n"/>
      <c r="BX145" s="13" t="n"/>
      <c r="BY145" s="13" t="n"/>
      <c r="BZ145" s="13" t="n"/>
      <c r="CA145" s="14" t="n"/>
      <c r="CB145" s="13" t="n"/>
      <c r="CC145" s="9" t="n"/>
      <c r="CD145" s="9" t="n"/>
      <c r="CE145" s="9" t="n"/>
      <c r="CF145" s="9" t="n"/>
      <c r="CG145" s="9" t="n"/>
      <c r="CH145" s="9" t="n"/>
    </row>
    <row r="146">
      <c r="A146" s="8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8" t="n"/>
      <c r="L146" s="9" t="n"/>
      <c r="M146" s="8" t="n"/>
      <c r="N146" s="8" t="n"/>
      <c r="O146" s="8" t="n"/>
      <c r="P146" s="8" t="n"/>
      <c r="Q146" s="8" t="n"/>
      <c r="R146" s="9" t="n"/>
      <c r="S146" s="9" t="n"/>
      <c r="T146" s="10" t="n"/>
      <c r="U146" s="10" t="n"/>
      <c r="V146" s="9" t="n"/>
      <c r="W146" s="9" t="n"/>
      <c r="X146" s="9" t="n"/>
      <c r="Y146" s="9" t="n"/>
      <c r="Z146" s="11" t="n"/>
      <c r="AA146" s="11" t="n"/>
      <c r="AB146" s="11" t="n"/>
      <c r="AC146" s="11" t="n"/>
      <c r="AD146" s="11" t="n"/>
      <c r="AE146" s="11" t="n"/>
      <c r="AF146" s="9" t="n"/>
      <c r="AG146" s="9" t="n"/>
      <c r="AH146" s="9" t="n"/>
      <c r="AI146" s="9" t="n"/>
      <c r="AJ146" s="8" t="n"/>
      <c r="AK146" s="9" t="n"/>
      <c r="AL146" s="9" t="n"/>
      <c r="AM146" s="9" t="n"/>
      <c r="AN146" s="9" t="n"/>
      <c r="AO146" s="9" t="n"/>
      <c r="AP146" s="9" t="n"/>
      <c r="AQ146" s="9" t="n"/>
      <c r="AR146" s="9" t="n"/>
      <c r="AS146" s="9" t="n"/>
      <c r="AT146" s="8" t="n"/>
      <c r="AU146" s="8" t="n"/>
      <c r="AV146" s="9" t="n"/>
      <c r="AW146" s="8" t="n"/>
      <c r="AX146" s="9" t="n"/>
      <c r="AY146" s="9" t="n"/>
      <c r="AZ146" s="9" t="n"/>
      <c r="BA146" s="9" t="n"/>
      <c r="BB146" s="9" t="n"/>
      <c r="BC146" s="9" t="n"/>
      <c r="BD146" s="9" t="n"/>
      <c r="BE146" s="9" t="n"/>
      <c r="BF146" s="9" t="n"/>
      <c r="BG146" s="9" t="n"/>
      <c r="BH146" s="9" t="n"/>
      <c r="BI146" s="9" t="n"/>
      <c r="BJ146" s="9" t="n"/>
      <c r="BK146" s="9" t="n"/>
      <c r="BL146" s="9" t="n"/>
      <c r="BM146" s="9" t="n"/>
      <c r="BN146" s="9" t="n"/>
      <c r="BO146" s="8" t="n"/>
      <c r="BP146" s="9" t="n"/>
      <c r="BQ146" s="9" t="n"/>
      <c r="BR146" s="12">
        <f>IF(AND(AI146="Y",AK146="Y",AL146="Y",AM146="Y",AY146="Y",AZ146="Y",BA146="Y",BB146="Y",BC146="Y",BE146&lt;&gt;"Y",AX146&lt;&gt;"Y",BL146&lt;&gt;"Y",IF(AS146="Y",AV146="Y",TRUE)),"Y","N")</f>
        <v/>
      </c>
      <c r="BS146" s="12">
        <f>IF(AND(BR146="Y",OR(AND(BJ146="Y",BM146="Y"),AND(BK146="Y",BN146="Y"),AND(BJ146&lt;&gt;"Y",BK146&lt;&gt;"Y",OR(BM146="Y",BN146="Y")))),"Y","N")</f>
        <v/>
      </c>
      <c r="BT146" s="10" t="n"/>
      <c r="BU146" s="13" t="n"/>
      <c r="BV146" s="13" t="n"/>
      <c r="BW146" s="13" t="n"/>
      <c r="BX146" s="13" t="n"/>
      <c r="BY146" s="13" t="n"/>
      <c r="BZ146" s="13" t="n"/>
      <c r="CA146" s="14" t="n"/>
      <c r="CB146" s="13" t="n"/>
      <c r="CC146" s="9" t="n"/>
      <c r="CD146" s="9" t="n"/>
      <c r="CE146" s="9" t="n"/>
      <c r="CF146" s="9" t="n"/>
      <c r="CG146" s="9" t="n"/>
      <c r="CH146" s="9" t="n"/>
    </row>
    <row r="147">
      <c r="A147" s="8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8" t="n"/>
      <c r="L147" s="9" t="n"/>
      <c r="M147" s="8" t="n"/>
      <c r="N147" s="8" t="n"/>
      <c r="O147" s="8" t="n"/>
      <c r="P147" s="8" t="n"/>
      <c r="Q147" s="8" t="n"/>
      <c r="R147" s="9" t="n"/>
      <c r="S147" s="9" t="n"/>
      <c r="T147" s="10" t="n"/>
      <c r="U147" s="10" t="n"/>
      <c r="V147" s="9" t="n"/>
      <c r="W147" s="9" t="n"/>
      <c r="X147" s="9" t="n"/>
      <c r="Y147" s="9" t="n"/>
      <c r="Z147" s="11" t="n"/>
      <c r="AA147" s="11" t="n"/>
      <c r="AB147" s="11" t="n"/>
      <c r="AC147" s="11" t="n"/>
      <c r="AD147" s="11" t="n"/>
      <c r="AE147" s="11" t="n"/>
      <c r="AF147" s="9" t="n"/>
      <c r="AG147" s="9" t="n"/>
      <c r="AH147" s="9" t="n"/>
      <c r="AI147" s="9" t="n"/>
      <c r="AJ147" s="8" t="n"/>
      <c r="AK147" s="9" t="n"/>
      <c r="AL147" s="9" t="n"/>
      <c r="AM147" s="9" t="n"/>
      <c r="AN147" s="9" t="n"/>
      <c r="AO147" s="9" t="n"/>
      <c r="AP147" s="9" t="n"/>
      <c r="AQ147" s="9" t="n"/>
      <c r="AR147" s="9" t="n"/>
      <c r="AS147" s="9" t="n"/>
      <c r="AT147" s="8" t="n"/>
      <c r="AU147" s="8" t="n"/>
      <c r="AV147" s="9" t="n"/>
      <c r="AW147" s="8" t="n"/>
      <c r="AX147" s="9" t="n"/>
      <c r="AY147" s="9" t="n"/>
      <c r="AZ147" s="9" t="n"/>
      <c r="BA147" s="9" t="n"/>
      <c r="BB147" s="9" t="n"/>
      <c r="BC147" s="9" t="n"/>
      <c r="BD147" s="9" t="n"/>
      <c r="BE147" s="9" t="n"/>
      <c r="BF147" s="9" t="n"/>
      <c r="BG147" s="9" t="n"/>
      <c r="BH147" s="9" t="n"/>
      <c r="BI147" s="9" t="n"/>
      <c r="BJ147" s="9" t="n"/>
      <c r="BK147" s="9" t="n"/>
      <c r="BL147" s="9" t="n"/>
      <c r="BM147" s="9" t="n"/>
      <c r="BN147" s="9" t="n"/>
      <c r="BO147" s="8" t="n"/>
      <c r="BP147" s="9" t="n"/>
      <c r="BQ147" s="9" t="n"/>
      <c r="BR147" s="12">
        <f>IF(AND(AI147="Y",AK147="Y",AL147="Y",AM147="Y",AY147="Y",AZ147="Y",BA147="Y",BB147="Y",BC147="Y",BE147&lt;&gt;"Y",AX147&lt;&gt;"Y",BL147&lt;&gt;"Y",IF(AS147="Y",AV147="Y",TRUE)),"Y","N")</f>
        <v/>
      </c>
      <c r="BS147" s="12">
        <f>IF(AND(BR147="Y",OR(AND(BJ147="Y",BM147="Y"),AND(BK147="Y",BN147="Y"),AND(BJ147&lt;&gt;"Y",BK147&lt;&gt;"Y",OR(BM147="Y",BN147="Y")))),"Y","N")</f>
        <v/>
      </c>
      <c r="BT147" s="10" t="n"/>
      <c r="BU147" s="13" t="n"/>
      <c r="BV147" s="13" t="n"/>
      <c r="BW147" s="13" t="n"/>
      <c r="BX147" s="13" t="n"/>
      <c r="BY147" s="13" t="n"/>
      <c r="BZ147" s="13" t="n"/>
      <c r="CA147" s="14" t="n"/>
      <c r="CB147" s="13" t="n"/>
      <c r="CC147" s="9" t="n"/>
      <c r="CD147" s="9" t="n"/>
      <c r="CE147" s="9" t="n"/>
      <c r="CF147" s="9" t="n"/>
      <c r="CG147" s="9" t="n"/>
      <c r="CH147" s="9" t="n"/>
    </row>
    <row r="148">
      <c r="A148" s="8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8" t="n"/>
      <c r="L148" s="9" t="n"/>
      <c r="M148" s="8" t="n"/>
      <c r="N148" s="8" t="n"/>
      <c r="O148" s="8" t="n"/>
      <c r="P148" s="8" t="n"/>
      <c r="Q148" s="8" t="n"/>
      <c r="R148" s="9" t="n"/>
      <c r="S148" s="9" t="n"/>
      <c r="T148" s="10" t="n"/>
      <c r="U148" s="10" t="n"/>
      <c r="V148" s="9" t="n"/>
      <c r="W148" s="9" t="n"/>
      <c r="X148" s="9" t="n"/>
      <c r="Y148" s="9" t="n"/>
      <c r="Z148" s="11" t="n"/>
      <c r="AA148" s="11" t="n"/>
      <c r="AB148" s="11" t="n"/>
      <c r="AC148" s="11" t="n"/>
      <c r="AD148" s="11" t="n"/>
      <c r="AE148" s="11" t="n"/>
      <c r="AF148" s="9" t="n"/>
      <c r="AG148" s="9" t="n"/>
      <c r="AH148" s="9" t="n"/>
      <c r="AI148" s="9" t="n"/>
      <c r="AJ148" s="8" t="n"/>
      <c r="AK148" s="9" t="n"/>
      <c r="AL148" s="9" t="n"/>
      <c r="AM148" s="9" t="n"/>
      <c r="AN148" s="9" t="n"/>
      <c r="AO148" s="9" t="n"/>
      <c r="AP148" s="9" t="n"/>
      <c r="AQ148" s="9" t="n"/>
      <c r="AR148" s="9" t="n"/>
      <c r="AS148" s="9" t="n"/>
      <c r="AT148" s="8" t="n"/>
      <c r="AU148" s="8" t="n"/>
      <c r="AV148" s="9" t="n"/>
      <c r="AW148" s="8" t="n"/>
      <c r="AX148" s="9" t="n"/>
      <c r="AY148" s="9" t="n"/>
      <c r="AZ148" s="9" t="n"/>
      <c r="BA148" s="9" t="n"/>
      <c r="BB148" s="9" t="n"/>
      <c r="BC148" s="9" t="n"/>
      <c r="BD148" s="9" t="n"/>
      <c r="BE148" s="9" t="n"/>
      <c r="BF148" s="9" t="n"/>
      <c r="BG148" s="9" t="n"/>
      <c r="BH148" s="9" t="n"/>
      <c r="BI148" s="9" t="n"/>
      <c r="BJ148" s="9" t="n"/>
      <c r="BK148" s="9" t="n"/>
      <c r="BL148" s="9" t="n"/>
      <c r="BM148" s="9" t="n"/>
      <c r="BN148" s="9" t="n"/>
      <c r="BO148" s="8" t="n"/>
      <c r="BP148" s="9" t="n"/>
      <c r="BQ148" s="9" t="n"/>
      <c r="BR148" s="12">
        <f>IF(AND(AI148="Y",AK148="Y",AL148="Y",AM148="Y",AY148="Y",AZ148="Y",BA148="Y",BB148="Y",BC148="Y",BE148&lt;&gt;"Y",AX148&lt;&gt;"Y",BL148&lt;&gt;"Y",IF(AS148="Y",AV148="Y",TRUE)),"Y","N")</f>
        <v/>
      </c>
      <c r="BS148" s="12">
        <f>IF(AND(BR148="Y",OR(AND(BJ148="Y",BM148="Y"),AND(BK148="Y",BN148="Y"),AND(BJ148&lt;&gt;"Y",BK148&lt;&gt;"Y",OR(BM148="Y",BN148="Y")))),"Y","N")</f>
        <v/>
      </c>
      <c r="BT148" s="10" t="n"/>
      <c r="BU148" s="13" t="n"/>
      <c r="BV148" s="13" t="n"/>
      <c r="BW148" s="13" t="n"/>
      <c r="BX148" s="13" t="n"/>
      <c r="BY148" s="13" t="n"/>
      <c r="BZ148" s="13" t="n"/>
      <c r="CA148" s="14" t="n"/>
      <c r="CB148" s="13" t="n"/>
      <c r="CC148" s="9" t="n"/>
      <c r="CD148" s="9" t="n"/>
      <c r="CE148" s="9" t="n"/>
      <c r="CF148" s="9" t="n"/>
      <c r="CG148" s="9" t="n"/>
      <c r="CH148" s="9" t="n"/>
    </row>
    <row r="149">
      <c r="A149" s="8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8" t="n"/>
      <c r="L149" s="9" t="n"/>
      <c r="M149" s="8" t="n"/>
      <c r="N149" s="8" t="n"/>
      <c r="O149" s="8" t="n"/>
      <c r="P149" s="8" t="n"/>
      <c r="Q149" s="8" t="n"/>
      <c r="R149" s="9" t="n"/>
      <c r="S149" s="9" t="n"/>
      <c r="T149" s="10" t="n"/>
      <c r="U149" s="10" t="n"/>
      <c r="V149" s="9" t="n"/>
      <c r="W149" s="9" t="n"/>
      <c r="X149" s="9" t="n"/>
      <c r="Y149" s="9" t="n"/>
      <c r="Z149" s="11" t="n"/>
      <c r="AA149" s="11" t="n"/>
      <c r="AB149" s="11" t="n"/>
      <c r="AC149" s="11" t="n"/>
      <c r="AD149" s="11" t="n"/>
      <c r="AE149" s="11" t="n"/>
      <c r="AF149" s="9" t="n"/>
      <c r="AG149" s="9" t="n"/>
      <c r="AH149" s="9" t="n"/>
      <c r="AI149" s="9" t="n"/>
      <c r="AJ149" s="8" t="n"/>
      <c r="AK149" s="9" t="n"/>
      <c r="AL149" s="9" t="n"/>
      <c r="AM149" s="9" t="n"/>
      <c r="AN149" s="9" t="n"/>
      <c r="AO149" s="9" t="n"/>
      <c r="AP149" s="9" t="n"/>
      <c r="AQ149" s="9" t="n"/>
      <c r="AR149" s="9" t="n"/>
      <c r="AS149" s="9" t="n"/>
      <c r="AT149" s="8" t="n"/>
      <c r="AU149" s="8" t="n"/>
      <c r="AV149" s="9" t="n"/>
      <c r="AW149" s="8" t="n"/>
      <c r="AX149" s="9" t="n"/>
      <c r="AY149" s="9" t="n"/>
      <c r="AZ149" s="9" t="n"/>
      <c r="BA149" s="9" t="n"/>
      <c r="BB149" s="9" t="n"/>
      <c r="BC149" s="9" t="n"/>
      <c r="BD149" s="9" t="n"/>
      <c r="BE149" s="9" t="n"/>
      <c r="BF149" s="9" t="n"/>
      <c r="BG149" s="9" t="n"/>
      <c r="BH149" s="9" t="n"/>
      <c r="BI149" s="9" t="n"/>
      <c r="BJ149" s="9" t="n"/>
      <c r="BK149" s="9" t="n"/>
      <c r="BL149" s="9" t="n"/>
      <c r="BM149" s="9" t="n"/>
      <c r="BN149" s="9" t="n"/>
      <c r="BO149" s="8" t="n"/>
      <c r="BP149" s="9" t="n"/>
      <c r="BQ149" s="9" t="n"/>
      <c r="BR149" s="12">
        <f>IF(AND(AI149="Y",AK149="Y",AL149="Y",AM149="Y",AY149="Y",AZ149="Y",BA149="Y",BB149="Y",BC149="Y",BE149&lt;&gt;"Y",AX149&lt;&gt;"Y",BL149&lt;&gt;"Y",IF(AS149="Y",AV149="Y",TRUE)),"Y","N")</f>
        <v/>
      </c>
      <c r="BS149" s="12">
        <f>IF(AND(BR149="Y",OR(AND(BJ149="Y",BM149="Y"),AND(BK149="Y",BN149="Y"),AND(BJ149&lt;&gt;"Y",BK149&lt;&gt;"Y",OR(BM149="Y",BN149="Y")))),"Y","N")</f>
        <v/>
      </c>
      <c r="BT149" s="10" t="n"/>
      <c r="BU149" s="13" t="n"/>
      <c r="BV149" s="13" t="n"/>
      <c r="BW149" s="13" t="n"/>
      <c r="BX149" s="13" t="n"/>
      <c r="BY149" s="13" t="n"/>
      <c r="BZ149" s="13" t="n"/>
      <c r="CA149" s="14" t="n"/>
      <c r="CB149" s="13" t="n"/>
      <c r="CC149" s="9" t="n"/>
      <c r="CD149" s="9" t="n"/>
      <c r="CE149" s="9" t="n"/>
      <c r="CF149" s="9" t="n"/>
      <c r="CG149" s="9" t="n"/>
      <c r="CH149" s="9" t="n"/>
    </row>
    <row r="150">
      <c r="A150" s="8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8" t="n"/>
      <c r="L150" s="9" t="n"/>
      <c r="M150" s="8" t="n"/>
      <c r="N150" s="8" t="n"/>
      <c r="O150" s="8" t="n"/>
      <c r="P150" s="8" t="n"/>
      <c r="Q150" s="8" t="n"/>
      <c r="R150" s="9" t="n"/>
      <c r="S150" s="9" t="n"/>
      <c r="T150" s="10" t="n"/>
      <c r="U150" s="10" t="n"/>
      <c r="V150" s="9" t="n"/>
      <c r="W150" s="9" t="n"/>
      <c r="X150" s="9" t="n"/>
      <c r="Y150" s="9" t="n"/>
      <c r="Z150" s="11" t="n"/>
      <c r="AA150" s="11" t="n"/>
      <c r="AB150" s="11" t="n"/>
      <c r="AC150" s="11" t="n"/>
      <c r="AD150" s="11" t="n"/>
      <c r="AE150" s="11" t="n"/>
      <c r="AF150" s="9" t="n"/>
      <c r="AG150" s="9" t="n"/>
      <c r="AH150" s="9" t="n"/>
      <c r="AI150" s="9" t="n"/>
      <c r="AJ150" s="8" t="n"/>
      <c r="AK150" s="9" t="n"/>
      <c r="AL150" s="9" t="n"/>
      <c r="AM150" s="9" t="n"/>
      <c r="AN150" s="9" t="n"/>
      <c r="AO150" s="9" t="n"/>
      <c r="AP150" s="9" t="n"/>
      <c r="AQ150" s="9" t="n"/>
      <c r="AR150" s="9" t="n"/>
      <c r="AS150" s="9" t="n"/>
      <c r="AT150" s="8" t="n"/>
      <c r="AU150" s="8" t="n"/>
      <c r="AV150" s="9" t="n"/>
      <c r="AW150" s="8" t="n"/>
      <c r="AX150" s="9" t="n"/>
      <c r="AY150" s="9" t="n"/>
      <c r="AZ150" s="9" t="n"/>
      <c r="BA150" s="9" t="n"/>
      <c r="BB150" s="9" t="n"/>
      <c r="BC150" s="9" t="n"/>
      <c r="BD150" s="9" t="n"/>
      <c r="BE150" s="9" t="n"/>
      <c r="BF150" s="9" t="n"/>
      <c r="BG150" s="9" t="n"/>
      <c r="BH150" s="9" t="n"/>
      <c r="BI150" s="9" t="n"/>
      <c r="BJ150" s="9" t="n"/>
      <c r="BK150" s="9" t="n"/>
      <c r="BL150" s="9" t="n"/>
      <c r="BM150" s="9" t="n"/>
      <c r="BN150" s="9" t="n"/>
      <c r="BO150" s="8" t="n"/>
      <c r="BP150" s="9" t="n"/>
      <c r="BQ150" s="9" t="n"/>
      <c r="BR150" s="12">
        <f>IF(AND(AI150="Y",AK150="Y",AL150="Y",AM150="Y",AY150="Y",AZ150="Y",BA150="Y",BB150="Y",BC150="Y",BE150&lt;&gt;"Y",AX150&lt;&gt;"Y",BL150&lt;&gt;"Y",IF(AS150="Y",AV150="Y",TRUE)),"Y","N")</f>
        <v/>
      </c>
      <c r="BS150" s="12">
        <f>IF(AND(BR150="Y",OR(AND(BJ150="Y",BM150="Y"),AND(BK150="Y",BN150="Y"),AND(BJ150&lt;&gt;"Y",BK150&lt;&gt;"Y",OR(BM150="Y",BN150="Y")))),"Y","N")</f>
        <v/>
      </c>
      <c r="BT150" s="10" t="n"/>
      <c r="BU150" s="13" t="n"/>
      <c r="BV150" s="13" t="n"/>
      <c r="BW150" s="13" t="n"/>
      <c r="BX150" s="13" t="n"/>
      <c r="BY150" s="13" t="n"/>
      <c r="BZ150" s="13" t="n"/>
      <c r="CA150" s="14" t="n"/>
      <c r="CB150" s="13" t="n"/>
      <c r="CC150" s="9" t="n"/>
      <c r="CD150" s="9" t="n"/>
      <c r="CE150" s="9" t="n"/>
      <c r="CF150" s="9" t="n"/>
      <c r="CG150" s="9" t="n"/>
      <c r="CH150" s="9" t="n"/>
    </row>
    <row r="151">
      <c r="A151" s="8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8" t="n"/>
      <c r="L151" s="9" t="n"/>
      <c r="M151" s="8" t="n"/>
      <c r="N151" s="8" t="n"/>
      <c r="O151" s="8" t="n"/>
      <c r="P151" s="8" t="n"/>
      <c r="Q151" s="8" t="n"/>
      <c r="R151" s="9" t="n"/>
      <c r="S151" s="9" t="n"/>
      <c r="T151" s="10" t="n"/>
      <c r="U151" s="10" t="n"/>
      <c r="V151" s="9" t="n"/>
      <c r="W151" s="9" t="n"/>
      <c r="X151" s="9" t="n"/>
      <c r="Y151" s="9" t="n"/>
      <c r="Z151" s="11" t="n"/>
      <c r="AA151" s="11" t="n"/>
      <c r="AB151" s="11" t="n"/>
      <c r="AC151" s="11" t="n"/>
      <c r="AD151" s="11" t="n"/>
      <c r="AE151" s="11" t="n"/>
      <c r="AF151" s="9" t="n"/>
      <c r="AG151" s="9" t="n"/>
      <c r="AH151" s="9" t="n"/>
      <c r="AI151" s="9" t="n"/>
      <c r="AJ151" s="8" t="n"/>
      <c r="AK151" s="9" t="n"/>
      <c r="AL151" s="9" t="n"/>
      <c r="AM151" s="9" t="n"/>
      <c r="AN151" s="9" t="n"/>
      <c r="AO151" s="9" t="n"/>
      <c r="AP151" s="9" t="n"/>
      <c r="AQ151" s="9" t="n"/>
      <c r="AR151" s="9" t="n"/>
      <c r="AS151" s="9" t="n"/>
      <c r="AT151" s="8" t="n"/>
      <c r="AU151" s="8" t="n"/>
      <c r="AV151" s="9" t="n"/>
      <c r="AW151" s="8" t="n"/>
      <c r="AX151" s="9" t="n"/>
      <c r="AY151" s="9" t="n"/>
      <c r="AZ151" s="9" t="n"/>
      <c r="BA151" s="9" t="n"/>
      <c r="BB151" s="9" t="n"/>
      <c r="BC151" s="9" t="n"/>
      <c r="BD151" s="9" t="n"/>
      <c r="BE151" s="9" t="n"/>
      <c r="BF151" s="9" t="n"/>
      <c r="BG151" s="9" t="n"/>
      <c r="BH151" s="9" t="n"/>
      <c r="BI151" s="9" t="n"/>
      <c r="BJ151" s="9" t="n"/>
      <c r="BK151" s="9" t="n"/>
      <c r="BL151" s="9" t="n"/>
      <c r="BM151" s="9" t="n"/>
      <c r="BN151" s="9" t="n"/>
      <c r="BO151" s="8" t="n"/>
      <c r="BP151" s="9" t="n"/>
      <c r="BQ151" s="9" t="n"/>
      <c r="BR151" s="12">
        <f>IF(AND(AI151="Y",AK151="Y",AL151="Y",AM151="Y",AY151="Y",AZ151="Y",BA151="Y",BB151="Y",BC151="Y",BE151&lt;&gt;"Y",AX151&lt;&gt;"Y",BL151&lt;&gt;"Y",IF(AS151="Y",AV151="Y",TRUE)),"Y","N")</f>
        <v/>
      </c>
      <c r="BS151" s="12">
        <f>IF(AND(BR151="Y",OR(AND(BJ151="Y",BM151="Y"),AND(BK151="Y",BN151="Y"),AND(BJ151&lt;&gt;"Y",BK151&lt;&gt;"Y",OR(BM151="Y",BN151="Y")))),"Y","N")</f>
        <v/>
      </c>
      <c r="BT151" s="10" t="n"/>
      <c r="BU151" s="13" t="n"/>
      <c r="BV151" s="13" t="n"/>
      <c r="BW151" s="13" t="n"/>
      <c r="BX151" s="13" t="n"/>
      <c r="BY151" s="13" t="n"/>
      <c r="BZ151" s="13" t="n"/>
      <c r="CA151" s="14" t="n"/>
      <c r="CB151" s="13" t="n"/>
      <c r="CC151" s="9" t="n"/>
      <c r="CD151" s="9" t="n"/>
      <c r="CE151" s="9" t="n"/>
      <c r="CF151" s="9" t="n"/>
      <c r="CG151" s="9" t="n"/>
      <c r="CH151" s="9" t="n"/>
    </row>
    <row r="152">
      <c r="A152" s="8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8" t="n"/>
      <c r="L152" s="9" t="n"/>
      <c r="M152" s="8" t="n"/>
      <c r="N152" s="8" t="n"/>
      <c r="O152" s="8" t="n"/>
      <c r="P152" s="8" t="n"/>
      <c r="Q152" s="8" t="n"/>
      <c r="R152" s="9" t="n"/>
      <c r="S152" s="9" t="n"/>
      <c r="T152" s="10" t="n"/>
      <c r="U152" s="10" t="n"/>
      <c r="V152" s="9" t="n"/>
      <c r="W152" s="9" t="n"/>
      <c r="X152" s="9" t="n"/>
      <c r="Y152" s="9" t="n"/>
      <c r="Z152" s="11" t="n"/>
      <c r="AA152" s="11" t="n"/>
      <c r="AB152" s="11" t="n"/>
      <c r="AC152" s="11" t="n"/>
      <c r="AD152" s="11" t="n"/>
      <c r="AE152" s="11" t="n"/>
      <c r="AF152" s="9" t="n"/>
      <c r="AG152" s="9" t="n"/>
      <c r="AH152" s="9" t="n"/>
      <c r="AI152" s="9" t="n"/>
      <c r="AJ152" s="8" t="n"/>
      <c r="AK152" s="9" t="n"/>
      <c r="AL152" s="9" t="n"/>
      <c r="AM152" s="9" t="n"/>
      <c r="AN152" s="9" t="n"/>
      <c r="AO152" s="9" t="n"/>
      <c r="AP152" s="9" t="n"/>
      <c r="AQ152" s="9" t="n"/>
      <c r="AR152" s="9" t="n"/>
      <c r="AS152" s="9" t="n"/>
      <c r="AT152" s="8" t="n"/>
      <c r="AU152" s="8" t="n"/>
      <c r="AV152" s="9" t="n"/>
      <c r="AW152" s="8" t="n"/>
      <c r="AX152" s="9" t="n"/>
      <c r="AY152" s="9" t="n"/>
      <c r="AZ152" s="9" t="n"/>
      <c r="BA152" s="9" t="n"/>
      <c r="BB152" s="9" t="n"/>
      <c r="BC152" s="9" t="n"/>
      <c r="BD152" s="9" t="n"/>
      <c r="BE152" s="9" t="n"/>
      <c r="BF152" s="9" t="n"/>
      <c r="BG152" s="9" t="n"/>
      <c r="BH152" s="9" t="n"/>
      <c r="BI152" s="9" t="n"/>
      <c r="BJ152" s="9" t="n"/>
      <c r="BK152" s="9" t="n"/>
      <c r="BL152" s="9" t="n"/>
      <c r="BM152" s="9" t="n"/>
      <c r="BN152" s="9" t="n"/>
      <c r="BO152" s="8" t="n"/>
      <c r="BP152" s="9" t="n"/>
      <c r="BQ152" s="9" t="n"/>
      <c r="BR152" s="12">
        <f>IF(AND(AI152="Y",AK152="Y",AL152="Y",AM152="Y",AY152="Y",AZ152="Y",BA152="Y",BB152="Y",BC152="Y",BE152&lt;&gt;"Y",AX152&lt;&gt;"Y",BL152&lt;&gt;"Y",IF(AS152="Y",AV152="Y",TRUE)),"Y","N")</f>
        <v/>
      </c>
      <c r="BS152" s="12">
        <f>IF(AND(BR152="Y",OR(AND(BJ152="Y",BM152="Y"),AND(BK152="Y",BN152="Y"),AND(BJ152&lt;&gt;"Y",BK152&lt;&gt;"Y",OR(BM152="Y",BN152="Y")))),"Y","N")</f>
        <v/>
      </c>
      <c r="BT152" s="10" t="n"/>
      <c r="BU152" s="13" t="n"/>
      <c r="BV152" s="13" t="n"/>
      <c r="BW152" s="13" t="n"/>
      <c r="BX152" s="13" t="n"/>
      <c r="BY152" s="13" t="n"/>
      <c r="BZ152" s="13" t="n"/>
      <c r="CA152" s="14" t="n"/>
      <c r="CB152" s="13" t="n"/>
      <c r="CC152" s="9" t="n"/>
      <c r="CD152" s="9" t="n"/>
      <c r="CE152" s="9" t="n"/>
      <c r="CF152" s="9" t="n"/>
      <c r="CG152" s="9" t="n"/>
      <c r="CH152" s="9" t="n"/>
    </row>
    <row r="153">
      <c r="A153" s="8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8" t="n"/>
      <c r="L153" s="9" t="n"/>
      <c r="M153" s="8" t="n"/>
      <c r="N153" s="8" t="n"/>
      <c r="O153" s="8" t="n"/>
      <c r="P153" s="8" t="n"/>
      <c r="Q153" s="8" t="n"/>
      <c r="R153" s="9" t="n"/>
      <c r="S153" s="9" t="n"/>
      <c r="T153" s="10" t="n"/>
      <c r="U153" s="10" t="n"/>
      <c r="V153" s="9" t="n"/>
      <c r="W153" s="9" t="n"/>
      <c r="X153" s="9" t="n"/>
      <c r="Y153" s="9" t="n"/>
      <c r="Z153" s="11" t="n"/>
      <c r="AA153" s="11" t="n"/>
      <c r="AB153" s="11" t="n"/>
      <c r="AC153" s="11" t="n"/>
      <c r="AD153" s="11" t="n"/>
      <c r="AE153" s="11" t="n"/>
      <c r="AF153" s="9" t="n"/>
      <c r="AG153" s="9" t="n"/>
      <c r="AH153" s="9" t="n"/>
      <c r="AI153" s="9" t="n"/>
      <c r="AJ153" s="8" t="n"/>
      <c r="AK153" s="9" t="n"/>
      <c r="AL153" s="9" t="n"/>
      <c r="AM153" s="9" t="n"/>
      <c r="AN153" s="9" t="n"/>
      <c r="AO153" s="9" t="n"/>
      <c r="AP153" s="9" t="n"/>
      <c r="AQ153" s="9" t="n"/>
      <c r="AR153" s="9" t="n"/>
      <c r="AS153" s="9" t="n"/>
      <c r="AT153" s="8" t="n"/>
      <c r="AU153" s="8" t="n"/>
      <c r="AV153" s="9" t="n"/>
      <c r="AW153" s="8" t="n"/>
      <c r="AX153" s="9" t="n"/>
      <c r="AY153" s="9" t="n"/>
      <c r="AZ153" s="9" t="n"/>
      <c r="BA153" s="9" t="n"/>
      <c r="BB153" s="9" t="n"/>
      <c r="BC153" s="9" t="n"/>
      <c r="BD153" s="9" t="n"/>
      <c r="BE153" s="9" t="n"/>
      <c r="BF153" s="9" t="n"/>
      <c r="BG153" s="9" t="n"/>
      <c r="BH153" s="9" t="n"/>
      <c r="BI153" s="9" t="n"/>
      <c r="BJ153" s="9" t="n"/>
      <c r="BK153" s="9" t="n"/>
      <c r="BL153" s="9" t="n"/>
      <c r="BM153" s="9" t="n"/>
      <c r="BN153" s="9" t="n"/>
      <c r="BO153" s="8" t="n"/>
      <c r="BP153" s="9" t="n"/>
      <c r="BQ153" s="9" t="n"/>
      <c r="BR153" s="12">
        <f>IF(AND(AI153="Y",AK153="Y",AL153="Y",AM153="Y",AY153="Y",AZ153="Y",BA153="Y",BB153="Y",BC153="Y",BE153&lt;&gt;"Y",AX153&lt;&gt;"Y",BL153&lt;&gt;"Y",IF(AS153="Y",AV153="Y",TRUE)),"Y","N")</f>
        <v/>
      </c>
      <c r="BS153" s="12">
        <f>IF(AND(BR153="Y",OR(AND(BJ153="Y",BM153="Y"),AND(BK153="Y",BN153="Y"),AND(BJ153&lt;&gt;"Y",BK153&lt;&gt;"Y",OR(BM153="Y",BN153="Y")))),"Y","N")</f>
        <v/>
      </c>
      <c r="BT153" s="10" t="n"/>
      <c r="BU153" s="13" t="n"/>
      <c r="BV153" s="13" t="n"/>
      <c r="BW153" s="13" t="n"/>
      <c r="BX153" s="13" t="n"/>
      <c r="BY153" s="13" t="n"/>
      <c r="BZ153" s="13" t="n"/>
      <c r="CA153" s="14" t="n"/>
      <c r="CB153" s="13" t="n"/>
      <c r="CC153" s="9" t="n"/>
      <c r="CD153" s="9" t="n"/>
      <c r="CE153" s="9" t="n"/>
      <c r="CF153" s="9" t="n"/>
      <c r="CG153" s="9" t="n"/>
      <c r="CH153" s="9" t="n"/>
    </row>
    <row r="154">
      <c r="A154" s="8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8" t="n"/>
      <c r="L154" s="9" t="n"/>
      <c r="M154" s="8" t="n"/>
      <c r="N154" s="8" t="n"/>
      <c r="O154" s="8" t="n"/>
      <c r="P154" s="8" t="n"/>
      <c r="Q154" s="8" t="n"/>
      <c r="R154" s="9" t="n"/>
      <c r="S154" s="9" t="n"/>
      <c r="T154" s="10" t="n"/>
      <c r="U154" s="10" t="n"/>
      <c r="V154" s="9" t="n"/>
      <c r="W154" s="9" t="n"/>
      <c r="X154" s="9" t="n"/>
      <c r="Y154" s="9" t="n"/>
      <c r="Z154" s="11" t="n"/>
      <c r="AA154" s="11" t="n"/>
      <c r="AB154" s="11" t="n"/>
      <c r="AC154" s="11" t="n"/>
      <c r="AD154" s="11" t="n"/>
      <c r="AE154" s="11" t="n"/>
      <c r="AF154" s="9" t="n"/>
      <c r="AG154" s="9" t="n"/>
      <c r="AH154" s="9" t="n"/>
      <c r="AI154" s="9" t="n"/>
      <c r="AJ154" s="8" t="n"/>
      <c r="AK154" s="9" t="n"/>
      <c r="AL154" s="9" t="n"/>
      <c r="AM154" s="9" t="n"/>
      <c r="AN154" s="9" t="n"/>
      <c r="AO154" s="9" t="n"/>
      <c r="AP154" s="9" t="n"/>
      <c r="AQ154" s="9" t="n"/>
      <c r="AR154" s="9" t="n"/>
      <c r="AS154" s="9" t="n"/>
      <c r="AT154" s="8" t="n"/>
      <c r="AU154" s="8" t="n"/>
      <c r="AV154" s="9" t="n"/>
      <c r="AW154" s="8" t="n"/>
      <c r="AX154" s="9" t="n"/>
      <c r="AY154" s="9" t="n"/>
      <c r="AZ154" s="9" t="n"/>
      <c r="BA154" s="9" t="n"/>
      <c r="BB154" s="9" t="n"/>
      <c r="BC154" s="9" t="n"/>
      <c r="BD154" s="9" t="n"/>
      <c r="BE154" s="9" t="n"/>
      <c r="BF154" s="9" t="n"/>
      <c r="BG154" s="9" t="n"/>
      <c r="BH154" s="9" t="n"/>
      <c r="BI154" s="9" t="n"/>
      <c r="BJ154" s="9" t="n"/>
      <c r="BK154" s="9" t="n"/>
      <c r="BL154" s="9" t="n"/>
      <c r="BM154" s="9" t="n"/>
      <c r="BN154" s="9" t="n"/>
      <c r="BO154" s="8" t="n"/>
      <c r="BP154" s="9" t="n"/>
      <c r="BQ154" s="9" t="n"/>
      <c r="BR154" s="12">
        <f>IF(AND(AI154="Y",AK154="Y",AL154="Y",AM154="Y",AY154="Y",AZ154="Y",BA154="Y",BB154="Y",BC154="Y",BE154&lt;&gt;"Y",AX154&lt;&gt;"Y",BL154&lt;&gt;"Y",IF(AS154="Y",AV154="Y",TRUE)),"Y","N")</f>
        <v/>
      </c>
      <c r="BS154" s="12">
        <f>IF(AND(BR154="Y",OR(AND(BJ154="Y",BM154="Y"),AND(BK154="Y",BN154="Y"),AND(BJ154&lt;&gt;"Y",BK154&lt;&gt;"Y",OR(BM154="Y",BN154="Y")))),"Y","N")</f>
        <v/>
      </c>
      <c r="BT154" s="10" t="n"/>
      <c r="BU154" s="13" t="n"/>
      <c r="BV154" s="13" t="n"/>
      <c r="BW154" s="13" t="n"/>
      <c r="BX154" s="13" t="n"/>
      <c r="BY154" s="13" t="n"/>
      <c r="BZ154" s="13" t="n"/>
      <c r="CA154" s="14" t="n"/>
      <c r="CB154" s="13" t="n"/>
      <c r="CC154" s="9" t="n"/>
      <c r="CD154" s="9" t="n"/>
      <c r="CE154" s="9" t="n"/>
      <c r="CF154" s="9" t="n"/>
      <c r="CG154" s="9" t="n"/>
      <c r="CH154" s="9" t="n"/>
    </row>
    <row r="155">
      <c r="A155" s="8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8" t="n"/>
      <c r="L155" s="9" t="n"/>
      <c r="M155" s="8" t="n"/>
      <c r="N155" s="8" t="n"/>
      <c r="O155" s="8" t="n"/>
      <c r="P155" s="8" t="n"/>
      <c r="Q155" s="8" t="n"/>
      <c r="R155" s="9" t="n"/>
      <c r="S155" s="9" t="n"/>
      <c r="T155" s="10" t="n"/>
      <c r="U155" s="10" t="n"/>
      <c r="V155" s="9" t="n"/>
      <c r="W155" s="9" t="n"/>
      <c r="X155" s="9" t="n"/>
      <c r="Y155" s="9" t="n"/>
      <c r="Z155" s="11" t="n"/>
      <c r="AA155" s="11" t="n"/>
      <c r="AB155" s="11" t="n"/>
      <c r="AC155" s="11" t="n"/>
      <c r="AD155" s="11" t="n"/>
      <c r="AE155" s="11" t="n"/>
      <c r="AF155" s="9" t="n"/>
      <c r="AG155" s="9" t="n"/>
      <c r="AH155" s="9" t="n"/>
      <c r="AI155" s="9" t="n"/>
      <c r="AJ155" s="8" t="n"/>
      <c r="AK155" s="9" t="n"/>
      <c r="AL155" s="9" t="n"/>
      <c r="AM155" s="9" t="n"/>
      <c r="AN155" s="9" t="n"/>
      <c r="AO155" s="9" t="n"/>
      <c r="AP155" s="9" t="n"/>
      <c r="AQ155" s="9" t="n"/>
      <c r="AR155" s="9" t="n"/>
      <c r="AS155" s="9" t="n"/>
      <c r="AT155" s="8" t="n"/>
      <c r="AU155" s="8" t="n"/>
      <c r="AV155" s="9" t="n"/>
      <c r="AW155" s="8" t="n"/>
      <c r="AX155" s="9" t="n"/>
      <c r="AY155" s="9" t="n"/>
      <c r="AZ155" s="9" t="n"/>
      <c r="BA155" s="9" t="n"/>
      <c r="BB155" s="9" t="n"/>
      <c r="BC155" s="9" t="n"/>
      <c r="BD155" s="9" t="n"/>
      <c r="BE155" s="9" t="n"/>
      <c r="BF155" s="9" t="n"/>
      <c r="BG155" s="9" t="n"/>
      <c r="BH155" s="9" t="n"/>
      <c r="BI155" s="9" t="n"/>
      <c r="BJ155" s="9" t="n"/>
      <c r="BK155" s="9" t="n"/>
      <c r="BL155" s="9" t="n"/>
      <c r="BM155" s="9" t="n"/>
      <c r="BN155" s="9" t="n"/>
      <c r="BO155" s="8" t="n"/>
      <c r="BP155" s="9" t="n"/>
      <c r="BQ155" s="9" t="n"/>
      <c r="BR155" s="12">
        <f>IF(AND(AI155="Y",AK155="Y",AL155="Y",AM155="Y",AY155="Y",AZ155="Y",BA155="Y",BB155="Y",BC155="Y",BE155&lt;&gt;"Y",AX155&lt;&gt;"Y",BL155&lt;&gt;"Y",IF(AS155="Y",AV155="Y",TRUE)),"Y","N")</f>
        <v/>
      </c>
      <c r="BS155" s="12">
        <f>IF(AND(BR155="Y",OR(AND(BJ155="Y",BM155="Y"),AND(BK155="Y",BN155="Y"),AND(BJ155&lt;&gt;"Y",BK155&lt;&gt;"Y",OR(BM155="Y",BN155="Y")))),"Y","N")</f>
        <v/>
      </c>
      <c r="BT155" s="10" t="n"/>
      <c r="BU155" s="13" t="n"/>
      <c r="BV155" s="13" t="n"/>
      <c r="BW155" s="13" t="n"/>
      <c r="BX155" s="13" t="n"/>
      <c r="BY155" s="13" t="n"/>
      <c r="BZ155" s="13" t="n"/>
      <c r="CA155" s="14" t="n"/>
      <c r="CB155" s="13" t="n"/>
      <c r="CC155" s="9" t="n"/>
      <c r="CD155" s="9" t="n"/>
      <c r="CE155" s="9" t="n"/>
      <c r="CF155" s="9" t="n"/>
      <c r="CG155" s="9" t="n"/>
      <c r="CH155" s="9" t="n"/>
    </row>
    <row r="156">
      <c r="A156" s="8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8" t="n"/>
      <c r="L156" s="9" t="n"/>
      <c r="M156" s="8" t="n"/>
      <c r="N156" s="8" t="n"/>
      <c r="O156" s="8" t="n"/>
      <c r="P156" s="8" t="n"/>
      <c r="Q156" s="8" t="n"/>
      <c r="R156" s="9" t="n"/>
      <c r="S156" s="9" t="n"/>
      <c r="T156" s="10" t="n"/>
      <c r="U156" s="10" t="n"/>
      <c r="V156" s="9" t="n"/>
      <c r="W156" s="9" t="n"/>
      <c r="X156" s="9" t="n"/>
      <c r="Y156" s="9" t="n"/>
      <c r="Z156" s="11" t="n"/>
      <c r="AA156" s="11" t="n"/>
      <c r="AB156" s="11" t="n"/>
      <c r="AC156" s="11" t="n"/>
      <c r="AD156" s="11" t="n"/>
      <c r="AE156" s="11" t="n"/>
      <c r="AF156" s="9" t="n"/>
      <c r="AG156" s="9" t="n"/>
      <c r="AH156" s="9" t="n"/>
      <c r="AI156" s="9" t="n"/>
      <c r="AJ156" s="8" t="n"/>
      <c r="AK156" s="9" t="n"/>
      <c r="AL156" s="9" t="n"/>
      <c r="AM156" s="9" t="n"/>
      <c r="AN156" s="9" t="n"/>
      <c r="AO156" s="9" t="n"/>
      <c r="AP156" s="9" t="n"/>
      <c r="AQ156" s="9" t="n"/>
      <c r="AR156" s="9" t="n"/>
      <c r="AS156" s="9" t="n"/>
      <c r="AT156" s="8" t="n"/>
      <c r="AU156" s="8" t="n"/>
      <c r="AV156" s="9" t="n"/>
      <c r="AW156" s="8" t="n"/>
      <c r="AX156" s="9" t="n"/>
      <c r="AY156" s="9" t="n"/>
      <c r="AZ156" s="9" t="n"/>
      <c r="BA156" s="9" t="n"/>
      <c r="BB156" s="9" t="n"/>
      <c r="BC156" s="9" t="n"/>
      <c r="BD156" s="9" t="n"/>
      <c r="BE156" s="9" t="n"/>
      <c r="BF156" s="9" t="n"/>
      <c r="BG156" s="9" t="n"/>
      <c r="BH156" s="9" t="n"/>
      <c r="BI156" s="9" t="n"/>
      <c r="BJ156" s="9" t="n"/>
      <c r="BK156" s="9" t="n"/>
      <c r="BL156" s="9" t="n"/>
      <c r="BM156" s="9" t="n"/>
      <c r="BN156" s="9" t="n"/>
      <c r="BO156" s="8" t="n"/>
      <c r="BP156" s="9" t="n"/>
      <c r="BQ156" s="9" t="n"/>
      <c r="BR156" s="12">
        <f>IF(AND(AI156="Y",AK156="Y",AL156="Y",AM156="Y",AY156="Y",AZ156="Y",BA156="Y",BB156="Y",BC156="Y",BE156&lt;&gt;"Y",AX156&lt;&gt;"Y",BL156&lt;&gt;"Y",IF(AS156="Y",AV156="Y",TRUE)),"Y","N")</f>
        <v/>
      </c>
      <c r="BS156" s="12">
        <f>IF(AND(BR156="Y",OR(AND(BJ156="Y",BM156="Y"),AND(BK156="Y",BN156="Y"),AND(BJ156&lt;&gt;"Y",BK156&lt;&gt;"Y",OR(BM156="Y",BN156="Y")))),"Y","N")</f>
        <v/>
      </c>
      <c r="BT156" s="10" t="n"/>
      <c r="BU156" s="13" t="n"/>
      <c r="BV156" s="13" t="n"/>
      <c r="BW156" s="13" t="n"/>
      <c r="BX156" s="13" t="n"/>
      <c r="BY156" s="13" t="n"/>
      <c r="BZ156" s="13" t="n"/>
      <c r="CA156" s="14" t="n"/>
      <c r="CB156" s="13" t="n"/>
      <c r="CC156" s="9" t="n"/>
      <c r="CD156" s="9" t="n"/>
      <c r="CE156" s="9" t="n"/>
      <c r="CF156" s="9" t="n"/>
      <c r="CG156" s="9" t="n"/>
      <c r="CH156" s="9" t="n"/>
    </row>
    <row r="157">
      <c r="A157" s="8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8" t="n"/>
      <c r="L157" s="9" t="n"/>
      <c r="M157" s="8" t="n"/>
      <c r="N157" s="8" t="n"/>
      <c r="O157" s="8" t="n"/>
      <c r="P157" s="8" t="n"/>
      <c r="Q157" s="8" t="n"/>
      <c r="R157" s="9" t="n"/>
      <c r="S157" s="9" t="n"/>
      <c r="T157" s="10" t="n"/>
      <c r="U157" s="10" t="n"/>
      <c r="V157" s="9" t="n"/>
      <c r="W157" s="9" t="n"/>
      <c r="X157" s="9" t="n"/>
      <c r="Y157" s="9" t="n"/>
      <c r="Z157" s="11" t="n"/>
      <c r="AA157" s="11" t="n"/>
      <c r="AB157" s="11" t="n"/>
      <c r="AC157" s="11" t="n"/>
      <c r="AD157" s="11" t="n"/>
      <c r="AE157" s="11" t="n"/>
      <c r="AF157" s="9" t="n"/>
      <c r="AG157" s="9" t="n"/>
      <c r="AH157" s="9" t="n"/>
      <c r="AI157" s="9" t="n"/>
      <c r="AJ157" s="8" t="n"/>
      <c r="AK157" s="9" t="n"/>
      <c r="AL157" s="9" t="n"/>
      <c r="AM157" s="9" t="n"/>
      <c r="AN157" s="9" t="n"/>
      <c r="AO157" s="9" t="n"/>
      <c r="AP157" s="9" t="n"/>
      <c r="AQ157" s="9" t="n"/>
      <c r="AR157" s="9" t="n"/>
      <c r="AS157" s="9" t="n"/>
      <c r="AT157" s="8" t="n"/>
      <c r="AU157" s="8" t="n"/>
      <c r="AV157" s="9" t="n"/>
      <c r="AW157" s="8" t="n"/>
      <c r="AX157" s="9" t="n"/>
      <c r="AY157" s="9" t="n"/>
      <c r="AZ157" s="9" t="n"/>
      <c r="BA157" s="9" t="n"/>
      <c r="BB157" s="9" t="n"/>
      <c r="BC157" s="9" t="n"/>
      <c r="BD157" s="9" t="n"/>
      <c r="BE157" s="9" t="n"/>
      <c r="BF157" s="9" t="n"/>
      <c r="BG157" s="9" t="n"/>
      <c r="BH157" s="9" t="n"/>
      <c r="BI157" s="9" t="n"/>
      <c r="BJ157" s="9" t="n"/>
      <c r="BK157" s="9" t="n"/>
      <c r="BL157" s="9" t="n"/>
      <c r="BM157" s="9" t="n"/>
      <c r="BN157" s="9" t="n"/>
      <c r="BO157" s="8" t="n"/>
      <c r="BP157" s="9" t="n"/>
      <c r="BQ157" s="9" t="n"/>
      <c r="BR157" s="12">
        <f>IF(AND(AI157="Y",AK157="Y",AL157="Y",AM157="Y",AY157="Y",AZ157="Y",BA157="Y",BB157="Y",BC157="Y",BE157&lt;&gt;"Y",AX157&lt;&gt;"Y",BL157&lt;&gt;"Y",IF(AS157="Y",AV157="Y",TRUE)),"Y","N")</f>
        <v/>
      </c>
      <c r="BS157" s="12">
        <f>IF(AND(BR157="Y",OR(AND(BJ157="Y",BM157="Y"),AND(BK157="Y",BN157="Y"),AND(BJ157&lt;&gt;"Y",BK157&lt;&gt;"Y",OR(BM157="Y",BN157="Y")))),"Y","N")</f>
        <v/>
      </c>
      <c r="BT157" s="10" t="n"/>
      <c r="BU157" s="13" t="n"/>
      <c r="BV157" s="13" t="n"/>
      <c r="BW157" s="13" t="n"/>
      <c r="BX157" s="13" t="n"/>
      <c r="BY157" s="13" t="n"/>
      <c r="BZ157" s="13" t="n"/>
      <c r="CA157" s="14" t="n"/>
      <c r="CB157" s="13" t="n"/>
      <c r="CC157" s="9" t="n"/>
      <c r="CD157" s="9" t="n"/>
      <c r="CE157" s="9" t="n"/>
      <c r="CF157" s="9" t="n"/>
      <c r="CG157" s="9" t="n"/>
      <c r="CH157" s="9" t="n"/>
    </row>
    <row r="158">
      <c r="A158" s="8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8" t="n"/>
      <c r="L158" s="9" t="n"/>
      <c r="M158" s="8" t="n"/>
      <c r="N158" s="8" t="n"/>
      <c r="O158" s="8" t="n"/>
      <c r="P158" s="8" t="n"/>
      <c r="Q158" s="8" t="n"/>
      <c r="R158" s="9" t="n"/>
      <c r="S158" s="9" t="n"/>
      <c r="T158" s="10" t="n"/>
      <c r="U158" s="10" t="n"/>
      <c r="V158" s="9" t="n"/>
      <c r="W158" s="9" t="n"/>
      <c r="X158" s="9" t="n"/>
      <c r="Y158" s="9" t="n"/>
      <c r="Z158" s="11" t="n"/>
      <c r="AA158" s="11" t="n"/>
      <c r="AB158" s="11" t="n"/>
      <c r="AC158" s="11" t="n"/>
      <c r="AD158" s="11" t="n"/>
      <c r="AE158" s="11" t="n"/>
      <c r="AF158" s="9" t="n"/>
      <c r="AG158" s="9" t="n"/>
      <c r="AH158" s="9" t="n"/>
      <c r="AI158" s="9" t="n"/>
      <c r="AJ158" s="8" t="n"/>
      <c r="AK158" s="9" t="n"/>
      <c r="AL158" s="9" t="n"/>
      <c r="AM158" s="9" t="n"/>
      <c r="AN158" s="9" t="n"/>
      <c r="AO158" s="9" t="n"/>
      <c r="AP158" s="9" t="n"/>
      <c r="AQ158" s="9" t="n"/>
      <c r="AR158" s="9" t="n"/>
      <c r="AS158" s="9" t="n"/>
      <c r="AT158" s="8" t="n"/>
      <c r="AU158" s="8" t="n"/>
      <c r="AV158" s="9" t="n"/>
      <c r="AW158" s="8" t="n"/>
      <c r="AX158" s="9" t="n"/>
      <c r="AY158" s="9" t="n"/>
      <c r="AZ158" s="9" t="n"/>
      <c r="BA158" s="9" t="n"/>
      <c r="BB158" s="9" t="n"/>
      <c r="BC158" s="9" t="n"/>
      <c r="BD158" s="9" t="n"/>
      <c r="BE158" s="9" t="n"/>
      <c r="BF158" s="9" t="n"/>
      <c r="BG158" s="9" t="n"/>
      <c r="BH158" s="9" t="n"/>
      <c r="BI158" s="9" t="n"/>
      <c r="BJ158" s="9" t="n"/>
      <c r="BK158" s="9" t="n"/>
      <c r="BL158" s="9" t="n"/>
      <c r="BM158" s="9" t="n"/>
      <c r="BN158" s="9" t="n"/>
      <c r="BO158" s="8" t="n"/>
      <c r="BP158" s="9" t="n"/>
      <c r="BQ158" s="9" t="n"/>
      <c r="BR158" s="12">
        <f>IF(AND(AI158="Y",AK158="Y",AL158="Y",AM158="Y",AY158="Y",AZ158="Y",BA158="Y",BB158="Y",BC158="Y",BE158&lt;&gt;"Y",AX158&lt;&gt;"Y",BL158&lt;&gt;"Y",IF(AS158="Y",AV158="Y",TRUE)),"Y","N")</f>
        <v/>
      </c>
      <c r="BS158" s="12">
        <f>IF(AND(BR158="Y",OR(AND(BJ158="Y",BM158="Y"),AND(BK158="Y",BN158="Y"),AND(BJ158&lt;&gt;"Y",BK158&lt;&gt;"Y",OR(BM158="Y",BN158="Y")))),"Y","N")</f>
        <v/>
      </c>
      <c r="BT158" s="10" t="n"/>
      <c r="BU158" s="13" t="n"/>
      <c r="BV158" s="13" t="n"/>
      <c r="BW158" s="13" t="n"/>
      <c r="BX158" s="13" t="n"/>
      <c r="BY158" s="13" t="n"/>
      <c r="BZ158" s="13" t="n"/>
      <c r="CA158" s="14" t="n"/>
      <c r="CB158" s="13" t="n"/>
      <c r="CC158" s="9" t="n"/>
      <c r="CD158" s="9" t="n"/>
      <c r="CE158" s="9" t="n"/>
      <c r="CF158" s="9" t="n"/>
      <c r="CG158" s="9" t="n"/>
      <c r="CH158" s="9" t="n"/>
    </row>
    <row r="159">
      <c r="A159" s="8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8" t="n"/>
      <c r="L159" s="9" t="n"/>
      <c r="M159" s="8" t="n"/>
      <c r="N159" s="8" t="n"/>
      <c r="O159" s="8" t="n"/>
      <c r="P159" s="8" t="n"/>
      <c r="Q159" s="8" t="n"/>
      <c r="R159" s="9" t="n"/>
      <c r="S159" s="9" t="n"/>
      <c r="T159" s="10" t="n"/>
      <c r="U159" s="10" t="n"/>
      <c r="V159" s="9" t="n"/>
      <c r="W159" s="9" t="n"/>
      <c r="X159" s="9" t="n"/>
      <c r="Y159" s="9" t="n"/>
      <c r="Z159" s="11" t="n"/>
      <c r="AA159" s="11" t="n"/>
      <c r="AB159" s="11" t="n"/>
      <c r="AC159" s="11" t="n"/>
      <c r="AD159" s="11" t="n"/>
      <c r="AE159" s="11" t="n"/>
      <c r="AF159" s="9" t="n"/>
      <c r="AG159" s="9" t="n"/>
      <c r="AH159" s="9" t="n"/>
      <c r="AI159" s="9" t="n"/>
      <c r="AJ159" s="8" t="n"/>
      <c r="AK159" s="9" t="n"/>
      <c r="AL159" s="9" t="n"/>
      <c r="AM159" s="9" t="n"/>
      <c r="AN159" s="9" t="n"/>
      <c r="AO159" s="9" t="n"/>
      <c r="AP159" s="9" t="n"/>
      <c r="AQ159" s="9" t="n"/>
      <c r="AR159" s="9" t="n"/>
      <c r="AS159" s="9" t="n"/>
      <c r="AT159" s="8" t="n"/>
      <c r="AU159" s="8" t="n"/>
      <c r="AV159" s="9" t="n"/>
      <c r="AW159" s="8" t="n"/>
      <c r="AX159" s="9" t="n"/>
      <c r="AY159" s="9" t="n"/>
      <c r="AZ159" s="9" t="n"/>
      <c r="BA159" s="9" t="n"/>
      <c r="BB159" s="9" t="n"/>
      <c r="BC159" s="9" t="n"/>
      <c r="BD159" s="9" t="n"/>
      <c r="BE159" s="9" t="n"/>
      <c r="BF159" s="9" t="n"/>
      <c r="BG159" s="9" t="n"/>
      <c r="BH159" s="9" t="n"/>
      <c r="BI159" s="9" t="n"/>
      <c r="BJ159" s="9" t="n"/>
      <c r="BK159" s="9" t="n"/>
      <c r="BL159" s="9" t="n"/>
      <c r="BM159" s="9" t="n"/>
      <c r="BN159" s="9" t="n"/>
      <c r="BO159" s="8" t="n"/>
      <c r="BP159" s="9" t="n"/>
      <c r="BQ159" s="9" t="n"/>
      <c r="BR159" s="12">
        <f>IF(AND(AI159="Y",AK159="Y",AL159="Y",AM159="Y",AY159="Y",AZ159="Y",BA159="Y",BB159="Y",BC159="Y",BE159&lt;&gt;"Y",AX159&lt;&gt;"Y",BL159&lt;&gt;"Y",IF(AS159="Y",AV159="Y",TRUE)),"Y","N")</f>
        <v/>
      </c>
      <c r="BS159" s="12">
        <f>IF(AND(BR159="Y",OR(AND(BJ159="Y",BM159="Y"),AND(BK159="Y",BN159="Y"),AND(BJ159&lt;&gt;"Y",BK159&lt;&gt;"Y",OR(BM159="Y",BN159="Y")))),"Y","N")</f>
        <v/>
      </c>
      <c r="BT159" s="10" t="n"/>
      <c r="BU159" s="13" t="n"/>
      <c r="BV159" s="13" t="n"/>
      <c r="BW159" s="13" t="n"/>
      <c r="BX159" s="13" t="n"/>
      <c r="BY159" s="13" t="n"/>
      <c r="BZ159" s="13" t="n"/>
      <c r="CA159" s="14" t="n"/>
      <c r="CB159" s="13" t="n"/>
      <c r="CC159" s="9" t="n"/>
      <c r="CD159" s="9" t="n"/>
      <c r="CE159" s="9" t="n"/>
      <c r="CF159" s="9" t="n"/>
      <c r="CG159" s="9" t="n"/>
      <c r="CH159" s="9" t="n"/>
    </row>
    <row r="160">
      <c r="A160" s="8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8" t="n"/>
      <c r="L160" s="9" t="n"/>
      <c r="M160" s="8" t="n"/>
      <c r="N160" s="8" t="n"/>
      <c r="O160" s="8" t="n"/>
      <c r="P160" s="8" t="n"/>
      <c r="Q160" s="8" t="n"/>
      <c r="R160" s="9" t="n"/>
      <c r="S160" s="9" t="n"/>
      <c r="T160" s="10" t="n"/>
      <c r="U160" s="10" t="n"/>
      <c r="V160" s="9" t="n"/>
      <c r="W160" s="9" t="n"/>
      <c r="X160" s="9" t="n"/>
      <c r="Y160" s="9" t="n"/>
      <c r="Z160" s="11" t="n"/>
      <c r="AA160" s="11" t="n"/>
      <c r="AB160" s="11" t="n"/>
      <c r="AC160" s="11" t="n"/>
      <c r="AD160" s="11" t="n"/>
      <c r="AE160" s="11" t="n"/>
      <c r="AF160" s="9" t="n"/>
      <c r="AG160" s="9" t="n"/>
      <c r="AH160" s="9" t="n"/>
      <c r="AI160" s="9" t="n"/>
      <c r="AJ160" s="8" t="n"/>
      <c r="AK160" s="9" t="n"/>
      <c r="AL160" s="9" t="n"/>
      <c r="AM160" s="9" t="n"/>
      <c r="AN160" s="9" t="n"/>
      <c r="AO160" s="9" t="n"/>
      <c r="AP160" s="9" t="n"/>
      <c r="AQ160" s="9" t="n"/>
      <c r="AR160" s="9" t="n"/>
      <c r="AS160" s="9" t="n"/>
      <c r="AT160" s="8" t="n"/>
      <c r="AU160" s="8" t="n"/>
      <c r="AV160" s="9" t="n"/>
      <c r="AW160" s="8" t="n"/>
      <c r="AX160" s="9" t="n"/>
      <c r="AY160" s="9" t="n"/>
      <c r="AZ160" s="9" t="n"/>
      <c r="BA160" s="9" t="n"/>
      <c r="BB160" s="9" t="n"/>
      <c r="BC160" s="9" t="n"/>
      <c r="BD160" s="9" t="n"/>
      <c r="BE160" s="9" t="n"/>
      <c r="BF160" s="9" t="n"/>
      <c r="BG160" s="9" t="n"/>
      <c r="BH160" s="9" t="n"/>
      <c r="BI160" s="9" t="n"/>
      <c r="BJ160" s="9" t="n"/>
      <c r="BK160" s="9" t="n"/>
      <c r="BL160" s="9" t="n"/>
      <c r="BM160" s="9" t="n"/>
      <c r="BN160" s="9" t="n"/>
      <c r="BO160" s="8" t="n"/>
      <c r="BP160" s="9" t="n"/>
      <c r="BQ160" s="9" t="n"/>
      <c r="BR160" s="12">
        <f>IF(AND(AI160="Y",AK160="Y",AL160="Y",AM160="Y",AY160="Y",AZ160="Y",BA160="Y",BB160="Y",BC160="Y",BE160&lt;&gt;"Y",AX160&lt;&gt;"Y",BL160&lt;&gt;"Y",IF(AS160="Y",AV160="Y",TRUE)),"Y","N")</f>
        <v/>
      </c>
      <c r="BS160" s="12">
        <f>IF(AND(BR160="Y",OR(AND(BJ160="Y",BM160="Y"),AND(BK160="Y",BN160="Y"),AND(BJ160&lt;&gt;"Y",BK160&lt;&gt;"Y",OR(BM160="Y",BN160="Y")))),"Y","N")</f>
        <v/>
      </c>
      <c r="BT160" s="10" t="n"/>
      <c r="BU160" s="13" t="n"/>
      <c r="BV160" s="13" t="n"/>
      <c r="BW160" s="13" t="n"/>
      <c r="BX160" s="13" t="n"/>
      <c r="BY160" s="13" t="n"/>
      <c r="BZ160" s="13" t="n"/>
      <c r="CA160" s="14" t="n"/>
      <c r="CB160" s="13" t="n"/>
      <c r="CC160" s="9" t="n"/>
      <c r="CD160" s="9" t="n"/>
      <c r="CE160" s="9" t="n"/>
      <c r="CF160" s="9" t="n"/>
      <c r="CG160" s="9" t="n"/>
      <c r="CH160" s="9" t="n"/>
    </row>
    <row r="161">
      <c r="A161" s="8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8" t="n"/>
      <c r="L161" s="9" t="n"/>
      <c r="M161" s="8" t="n"/>
      <c r="N161" s="8" t="n"/>
      <c r="O161" s="8" t="n"/>
      <c r="P161" s="8" t="n"/>
      <c r="Q161" s="8" t="n"/>
      <c r="R161" s="9" t="n"/>
      <c r="S161" s="9" t="n"/>
      <c r="T161" s="10" t="n"/>
      <c r="U161" s="10" t="n"/>
      <c r="V161" s="9" t="n"/>
      <c r="W161" s="9" t="n"/>
      <c r="X161" s="9" t="n"/>
      <c r="Y161" s="9" t="n"/>
      <c r="Z161" s="11" t="n"/>
      <c r="AA161" s="11" t="n"/>
      <c r="AB161" s="11" t="n"/>
      <c r="AC161" s="11" t="n"/>
      <c r="AD161" s="11" t="n"/>
      <c r="AE161" s="11" t="n"/>
      <c r="AF161" s="9" t="n"/>
      <c r="AG161" s="9" t="n"/>
      <c r="AH161" s="9" t="n"/>
      <c r="AI161" s="9" t="n"/>
      <c r="AJ161" s="8" t="n"/>
      <c r="AK161" s="9" t="n"/>
      <c r="AL161" s="9" t="n"/>
      <c r="AM161" s="9" t="n"/>
      <c r="AN161" s="9" t="n"/>
      <c r="AO161" s="9" t="n"/>
      <c r="AP161" s="9" t="n"/>
      <c r="AQ161" s="9" t="n"/>
      <c r="AR161" s="9" t="n"/>
      <c r="AS161" s="9" t="n"/>
      <c r="AT161" s="8" t="n"/>
      <c r="AU161" s="8" t="n"/>
      <c r="AV161" s="9" t="n"/>
      <c r="AW161" s="8" t="n"/>
      <c r="AX161" s="9" t="n"/>
      <c r="AY161" s="9" t="n"/>
      <c r="AZ161" s="9" t="n"/>
      <c r="BA161" s="9" t="n"/>
      <c r="BB161" s="9" t="n"/>
      <c r="BC161" s="9" t="n"/>
      <c r="BD161" s="9" t="n"/>
      <c r="BE161" s="9" t="n"/>
      <c r="BF161" s="9" t="n"/>
      <c r="BG161" s="9" t="n"/>
      <c r="BH161" s="9" t="n"/>
      <c r="BI161" s="9" t="n"/>
      <c r="BJ161" s="9" t="n"/>
      <c r="BK161" s="9" t="n"/>
      <c r="BL161" s="9" t="n"/>
      <c r="BM161" s="9" t="n"/>
      <c r="BN161" s="9" t="n"/>
      <c r="BO161" s="8" t="n"/>
      <c r="BP161" s="9" t="n"/>
      <c r="BQ161" s="9" t="n"/>
      <c r="BR161" s="12">
        <f>IF(AND(AI161="Y",AK161="Y",AL161="Y",AM161="Y",AY161="Y",AZ161="Y",BA161="Y",BB161="Y",BC161="Y",BE161&lt;&gt;"Y",AX161&lt;&gt;"Y",BL161&lt;&gt;"Y",IF(AS161="Y",AV161="Y",TRUE)),"Y","N")</f>
        <v/>
      </c>
      <c r="BS161" s="12">
        <f>IF(AND(BR161="Y",OR(AND(BJ161="Y",BM161="Y"),AND(BK161="Y",BN161="Y"),AND(BJ161&lt;&gt;"Y",BK161&lt;&gt;"Y",OR(BM161="Y",BN161="Y")))),"Y","N")</f>
        <v/>
      </c>
      <c r="BT161" s="10" t="n"/>
      <c r="BU161" s="13" t="n"/>
      <c r="BV161" s="13" t="n"/>
      <c r="BW161" s="13" t="n"/>
      <c r="BX161" s="13" t="n"/>
      <c r="BY161" s="13" t="n"/>
      <c r="BZ161" s="13" t="n"/>
      <c r="CA161" s="14" t="n"/>
      <c r="CB161" s="13" t="n"/>
      <c r="CC161" s="9" t="n"/>
      <c r="CD161" s="9" t="n"/>
      <c r="CE161" s="9" t="n"/>
      <c r="CF161" s="9" t="n"/>
      <c r="CG161" s="9" t="n"/>
      <c r="CH161" s="9" t="n"/>
    </row>
    <row r="162">
      <c r="A162" s="8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8" t="n"/>
      <c r="L162" s="9" t="n"/>
      <c r="M162" s="8" t="n"/>
      <c r="N162" s="8" t="n"/>
      <c r="O162" s="8" t="n"/>
      <c r="P162" s="8" t="n"/>
      <c r="Q162" s="8" t="n"/>
      <c r="R162" s="9" t="n"/>
      <c r="S162" s="9" t="n"/>
      <c r="T162" s="10" t="n"/>
      <c r="U162" s="10" t="n"/>
      <c r="V162" s="9" t="n"/>
      <c r="W162" s="9" t="n"/>
      <c r="X162" s="9" t="n"/>
      <c r="Y162" s="9" t="n"/>
      <c r="Z162" s="11" t="n"/>
      <c r="AA162" s="11" t="n"/>
      <c r="AB162" s="11" t="n"/>
      <c r="AC162" s="11" t="n"/>
      <c r="AD162" s="11" t="n"/>
      <c r="AE162" s="11" t="n"/>
      <c r="AF162" s="9" t="n"/>
      <c r="AG162" s="9" t="n"/>
      <c r="AH162" s="9" t="n"/>
      <c r="AI162" s="9" t="n"/>
      <c r="AJ162" s="8" t="n"/>
      <c r="AK162" s="9" t="n"/>
      <c r="AL162" s="9" t="n"/>
      <c r="AM162" s="9" t="n"/>
      <c r="AN162" s="9" t="n"/>
      <c r="AO162" s="9" t="n"/>
      <c r="AP162" s="9" t="n"/>
      <c r="AQ162" s="9" t="n"/>
      <c r="AR162" s="9" t="n"/>
      <c r="AS162" s="9" t="n"/>
      <c r="AT162" s="8" t="n"/>
      <c r="AU162" s="8" t="n"/>
      <c r="AV162" s="9" t="n"/>
      <c r="AW162" s="8" t="n"/>
      <c r="AX162" s="9" t="n"/>
      <c r="AY162" s="9" t="n"/>
      <c r="AZ162" s="9" t="n"/>
      <c r="BA162" s="9" t="n"/>
      <c r="BB162" s="9" t="n"/>
      <c r="BC162" s="9" t="n"/>
      <c r="BD162" s="9" t="n"/>
      <c r="BE162" s="9" t="n"/>
      <c r="BF162" s="9" t="n"/>
      <c r="BG162" s="9" t="n"/>
      <c r="BH162" s="9" t="n"/>
      <c r="BI162" s="9" t="n"/>
      <c r="BJ162" s="9" t="n"/>
      <c r="BK162" s="9" t="n"/>
      <c r="BL162" s="9" t="n"/>
      <c r="BM162" s="9" t="n"/>
      <c r="BN162" s="9" t="n"/>
      <c r="BO162" s="8" t="n"/>
      <c r="BP162" s="9" t="n"/>
      <c r="BQ162" s="9" t="n"/>
      <c r="BR162" s="12">
        <f>IF(AND(AI162="Y",AK162="Y",AL162="Y",AM162="Y",AY162="Y",AZ162="Y",BA162="Y",BB162="Y",BC162="Y",BE162&lt;&gt;"Y",AX162&lt;&gt;"Y",BL162&lt;&gt;"Y",IF(AS162="Y",AV162="Y",TRUE)),"Y","N")</f>
        <v/>
      </c>
      <c r="BS162" s="12">
        <f>IF(AND(BR162="Y",OR(AND(BJ162="Y",BM162="Y"),AND(BK162="Y",BN162="Y"),AND(BJ162&lt;&gt;"Y",BK162&lt;&gt;"Y",OR(BM162="Y",BN162="Y")))),"Y","N")</f>
        <v/>
      </c>
      <c r="BT162" s="10" t="n"/>
      <c r="BU162" s="13" t="n"/>
      <c r="BV162" s="13" t="n"/>
      <c r="BW162" s="13" t="n"/>
      <c r="BX162" s="13" t="n"/>
      <c r="BY162" s="13" t="n"/>
      <c r="BZ162" s="13" t="n"/>
      <c r="CA162" s="14" t="n"/>
      <c r="CB162" s="13" t="n"/>
      <c r="CC162" s="9" t="n"/>
      <c r="CD162" s="9" t="n"/>
      <c r="CE162" s="9" t="n"/>
      <c r="CF162" s="9" t="n"/>
      <c r="CG162" s="9" t="n"/>
      <c r="CH162" s="9" t="n"/>
    </row>
    <row r="163">
      <c r="A163" s="8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8" t="n"/>
      <c r="L163" s="9" t="n"/>
      <c r="M163" s="8" t="n"/>
      <c r="N163" s="8" t="n"/>
      <c r="O163" s="8" t="n"/>
      <c r="P163" s="8" t="n"/>
      <c r="Q163" s="8" t="n"/>
      <c r="R163" s="9" t="n"/>
      <c r="S163" s="9" t="n"/>
      <c r="T163" s="10" t="n"/>
      <c r="U163" s="10" t="n"/>
      <c r="V163" s="9" t="n"/>
      <c r="W163" s="9" t="n"/>
      <c r="X163" s="9" t="n"/>
      <c r="Y163" s="9" t="n"/>
      <c r="Z163" s="11" t="n"/>
      <c r="AA163" s="11" t="n"/>
      <c r="AB163" s="11" t="n"/>
      <c r="AC163" s="11" t="n"/>
      <c r="AD163" s="11" t="n"/>
      <c r="AE163" s="11" t="n"/>
      <c r="AF163" s="9" t="n"/>
      <c r="AG163" s="9" t="n"/>
      <c r="AH163" s="9" t="n"/>
      <c r="AI163" s="9" t="n"/>
      <c r="AJ163" s="8" t="n"/>
      <c r="AK163" s="9" t="n"/>
      <c r="AL163" s="9" t="n"/>
      <c r="AM163" s="9" t="n"/>
      <c r="AN163" s="9" t="n"/>
      <c r="AO163" s="9" t="n"/>
      <c r="AP163" s="9" t="n"/>
      <c r="AQ163" s="9" t="n"/>
      <c r="AR163" s="9" t="n"/>
      <c r="AS163" s="9" t="n"/>
      <c r="AT163" s="8" t="n"/>
      <c r="AU163" s="8" t="n"/>
      <c r="AV163" s="9" t="n"/>
      <c r="AW163" s="8" t="n"/>
      <c r="AX163" s="9" t="n"/>
      <c r="AY163" s="9" t="n"/>
      <c r="AZ163" s="9" t="n"/>
      <c r="BA163" s="9" t="n"/>
      <c r="BB163" s="9" t="n"/>
      <c r="BC163" s="9" t="n"/>
      <c r="BD163" s="9" t="n"/>
      <c r="BE163" s="9" t="n"/>
      <c r="BF163" s="9" t="n"/>
      <c r="BG163" s="9" t="n"/>
      <c r="BH163" s="9" t="n"/>
      <c r="BI163" s="9" t="n"/>
      <c r="BJ163" s="9" t="n"/>
      <c r="BK163" s="9" t="n"/>
      <c r="BL163" s="9" t="n"/>
      <c r="BM163" s="9" t="n"/>
      <c r="BN163" s="9" t="n"/>
      <c r="BO163" s="8" t="n"/>
      <c r="BP163" s="9" t="n"/>
      <c r="BQ163" s="9" t="n"/>
      <c r="BR163" s="12">
        <f>IF(AND(AI163="Y",AK163="Y",AL163="Y",AM163="Y",AY163="Y",AZ163="Y",BA163="Y",BB163="Y",BC163="Y",BE163&lt;&gt;"Y",AX163&lt;&gt;"Y",BL163&lt;&gt;"Y",IF(AS163="Y",AV163="Y",TRUE)),"Y","N")</f>
        <v/>
      </c>
      <c r="BS163" s="12">
        <f>IF(AND(BR163="Y",OR(AND(BJ163="Y",BM163="Y"),AND(BK163="Y",BN163="Y"),AND(BJ163&lt;&gt;"Y",BK163&lt;&gt;"Y",OR(BM163="Y",BN163="Y")))),"Y","N")</f>
        <v/>
      </c>
      <c r="BT163" s="10" t="n"/>
      <c r="BU163" s="13" t="n"/>
      <c r="BV163" s="13" t="n"/>
      <c r="BW163" s="13" t="n"/>
      <c r="BX163" s="13" t="n"/>
      <c r="BY163" s="13" t="n"/>
      <c r="BZ163" s="13" t="n"/>
      <c r="CA163" s="14" t="n"/>
      <c r="CB163" s="13" t="n"/>
      <c r="CC163" s="9" t="n"/>
      <c r="CD163" s="9" t="n"/>
      <c r="CE163" s="9" t="n"/>
      <c r="CF163" s="9" t="n"/>
      <c r="CG163" s="9" t="n"/>
      <c r="CH163" s="9" t="n"/>
    </row>
    <row r="164">
      <c r="A164" s="8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8" t="n"/>
      <c r="L164" s="9" t="n"/>
      <c r="M164" s="8" t="n"/>
      <c r="N164" s="8" t="n"/>
      <c r="O164" s="8" t="n"/>
      <c r="P164" s="8" t="n"/>
      <c r="Q164" s="8" t="n"/>
      <c r="R164" s="9" t="n"/>
      <c r="S164" s="9" t="n"/>
      <c r="T164" s="10" t="n"/>
      <c r="U164" s="10" t="n"/>
      <c r="V164" s="9" t="n"/>
      <c r="W164" s="9" t="n"/>
      <c r="X164" s="9" t="n"/>
      <c r="Y164" s="9" t="n"/>
      <c r="Z164" s="11" t="n"/>
      <c r="AA164" s="11" t="n"/>
      <c r="AB164" s="11" t="n"/>
      <c r="AC164" s="11" t="n"/>
      <c r="AD164" s="11" t="n"/>
      <c r="AE164" s="11" t="n"/>
      <c r="AF164" s="9" t="n"/>
      <c r="AG164" s="9" t="n"/>
      <c r="AH164" s="9" t="n"/>
      <c r="AI164" s="9" t="n"/>
      <c r="AJ164" s="8" t="n"/>
      <c r="AK164" s="9" t="n"/>
      <c r="AL164" s="9" t="n"/>
      <c r="AM164" s="9" t="n"/>
      <c r="AN164" s="9" t="n"/>
      <c r="AO164" s="9" t="n"/>
      <c r="AP164" s="9" t="n"/>
      <c r="AQ164" s="9" t="n"/>
      <c r="AR164" s="9" t="n"/>
      <c r="AS164" s="9" t="n"/>
      <c r="AT164" s="8" t="n"/>
      <c r="AU164" s="8" t="n"/>
      <c r="AV164" s="9" t="n"/>
      <c r="AW164" s="8" t="n"/>
      <c r="AX164" s="9" t="n"/>
      <c r="AY164" s="9" t="n"/>
      <c r="AZ164" s="9" t="n"/>
      <c r="BA164" s="9" t="n"/>
      <c r="BB164" s="9" t="n"/>
      <c r="BC164" s="9" t="n"/>
      <c r="BD164" s="9" t="n"/>
      <c r="BE164" s="9" t="n"/>
      <c r="BF164" s="9" t="n"/>
      <c r="BG164" s="9" t="n"/>
      <c r="BH164" s="9" t="n"/>
      <c r="BI164" s="9" t="n"/>
      <c r="BJ164" s="9" t="n"/>
      <c r="BK164" s="9" t="n"/>
      <c r="BL164" s="9" t="n"/>
      <c r="BM164" s="9" t="n"/>
      <c r="BN164" s="9" t="n"/>
      <c r="BO164" s="8" t="n"/>
      <c r="BP164" s="9" t="n"/>
      <c r="BQ164" s="9" t="n"/>
      <c r="BR164" s="12">
        <f>IF(AND(AI164="Y",AK164="Y",AL164="Y",AM164="Y",AY164="Y",AZ164="Y",BA164="Y",BB164="Y",BC164="Y",BE164&lt;&gt;"Y",AX164&lt;&gt;"Y",BL164&lt;&gt;"Y",IF(AS164="Y",AV164="Y",TRUE)),"Y","N")</f>
        <v/>
      </c>
      <c r="BS164" s="12">
        <f>IF(AND(BR164="Y",OR(AND(BJ164="Y",BM164="Y"),AND(BK164="Y",BN164="Y"),AND(BJ164&lt;&gt;"Y",BK164&lt;&gt;"Y",OR(BM164="Y",BN164="Y")))),"Y","N")</f>
        <v/>
      </c>
      <c r="BT164" s="10" t="n"/>
      <c r="BU164" s="13" t="n"/>
      <c r="BV164" s="13" t="n"/>
      <c r="BW164" s="13" t="n"/>
      <c r="BX164" s="13" t="n"/>
      <c r="BY164" s="13" t="n"/>
      <c r="BZ164" s="13" t="n"/>
      <c r="CA164" s="14" t="n"/>
      <c r="CB164" s="13" t="n"/>
      <c r="CC164" s="9" t="n"/>
      <c r="CD164" s="9" t="n"/>
      <c r="CE164" s="9" t="n"/>
      <c r="CF164" s="9" t="n"/>
      <c r="CG164" s="9" t="n"/>
      <c r="CH164" s="9" t="n"/>
    </row>
    <row r="165">
      <c r="A165" s="8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8" t="n"/>
      <c r="L165" s="9" t="n"/>
      <c r="M165" s="8" t="n"/>
      <c r="N165" s="8" t="n"/>
      <c r="O165" s="8" t="n"/>
      <c r="P165" s="8" t="n"/>
      <c r="Q165" s="8" t="n"/>
      <c r="R165" s="9" t="n"/>
      <c r="S165" s="9" t="n"/>
      <c r="T165" s="10" t="n"/>
      <c r="U165" s="10" t="n"/>
      <c r="V165" s="9" t="n"/>
      <c r="W165" s="9" t="n"/>
      <c r="X165" s="9" t="n"/>
      <c r="Y165" s="9" t="n"/>
      <c r="Z165" s="11" t="n"/>
      <c r="AA165" s="11" t="n"/>
      <c r="AB165" s="11" t="n"/>
      <c r="AC165" s="11" t="n"/>
      <c r="AD165" s="11" t="n"/>
      <c r="AE165" s="11" t="n"/>
      <c r="AF165" s="9" t="n"/>
      <c r="AG165" s="9" t="n"/>
      <c r="AH165" s="9" t="n"/>
      <c r="AI165" s="9" t="n"/>
      <c r="AJ165" s="8" t="n"/>
      <c r="AK165" s="9" t="n"/>
      <c r="AL165" s="9" t="n"/>
      <c r="AM165" s="9" t="n"/>
      <c r="AN165" s="9" t="n"/>
      <c r="AO165" s="9" t="n"/>
      <c r="AP165" s="9" t="n"/>
      <c r="AQ165" s="9" t="n"/>
      <c r="AR165" s="9" t="n"/>
      <c r="AS165" s="9" t="n"/>
      <c r="AT165" s="8" t="n"/>
      <c r="AU165" s="8" t="n"/>
      <c r="AV165" s="9" t="n"/>
      <c r="AW165" s="8" t="n"/>
      <c r="AX165" s="9" t="n"/>
      <c r="AY165" s="9" t="n"/>
      <c r="AZ165" s="9" t="n"/>
      <c r="BA165" s="9" t="n"/>
      <c r="BB165" s="9" t="n"/>
      <c r="BC165" s="9" t="n"/>
      <c r="BD165" s="9" t="n"/>
      <c r="BE165" s="9" t="n"/>
      <c r="BF165" s="9" t="n"/>
      <c r="BG165" s="9" t="n"/>
      <c r="BH165" s="9" t="n"/>
      <c r="BI165" s="9" t="n"/>
      <c r="BJ165" s="9" t="n"/>
      <c r="BK165" s="9" t="n"/>
      <c r="BL165" s="9" t="n"/>
      <c r="BM165" s="9" t="n"/>
      <c r="BN165" s="9" t="n"/>
      <c r="BO165" s="8" t="n"/>
      <c r="BP165" s="9" t="n"/>
      <c r="BQ165" s="9" t="n"/>
      <c r="BR165" s="12">
        <f>IF(AND(AI165="Y",AK165="Y",AL165="Y",AM165="Y",AY165="Y",AZ165="Y",BA165="Y",BB165="Y",BC165="Y",BE165&lt;&gt;"Y",AX165&lt;&gt;"Y",BL165&lt;&gt;"Y",IF(AS165="Y",AV165="Y",TRUE)),"Y","N")</f>
        <v/>
      </c>
      <c r="BS165" s="12">
        <f>IF(AND(BR165="Y",OR(AND(BJ165="Y",BM165="Y"),AND(BK165="Y",BN165="Y"),AND(BJ165&lt;&gt;"Y",BK165&lt;&gt;"Y",OR(BM165="Y",BN165="Y")))),"Y","N")</f>
        <v/>
      </c>
      <c r="BT165" s="10" t="n"/>
      <c r="BU165" s="13" t="n"/>
      <c r="BV165" s="13" t="n"/>
      <c r="BW165" s="13" t="n"/>
      <c r="BX165" s="13" t="n"/>
      <c r="BY165" s="13" t="n"/>
      <c r="BZ165" s="13" t="n"/>
      <c r="CA165" s="14" t="n"/>
      <c r="CB165" s="13" t="n"/>
      <c r="CC165" s="9" t="n"/>
      <c r="CD165" s="9" t="n"/>
      <c r="CE165" s="9" t="n"/>
      <c r="CF165" s="9" t="n"/>
      <c r="CG165" s="9" t="n"/>
      <c r="CH165" s="9" t="n"/>
    </row>
    <row r="166">
      <c r="A166" s="8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8" t="n"/>
      <c r="L166" s="9" t="n"/>
      <c r="M166" s="8" t="n"/>
      <c r="N166" s="8" t="n"/>
      <c r="O166" s="8" t="n"/>
      <c r="P166" s="8" t="n"/>
      <c r="Q166" s="8" t="n"/>
      <c r="R166" s="9" t="n"/>
      <c r="S166" s="9" t="n"/>
      <c r="T166" s="10" t="n"/>
      <c r="U166" s="10" t="n"/>
      <c r="V166" s="9" t="n"/>
      <c r="W166" s="9" t="n"/>
      <c r="X166" s="9" t="n"/>
      <c r="Y166" s="9" t="n"/>
      <c r="Z166" s="11" t="n"/>
      <c r="AA166" s="11" t="n"/>
      <c r="AB166" s="11" t="n"/>
      <c r="AC166" s="11" t="n"/>
      <c r="AD166" s="11" t="n"/>
      <c r="AE166" s="11" t="n"/>
      <c r="AF166" s="9" t="n"/>
      <c r="AG166" s="9" t="n"/>
      <c r="AH166" s="9" t="n"/>
      <c r="AI166" s="9" t="n"/>
      <c r="AJ166" s="8" t="n"/>
      <c r="AK166" s="9" t="n"/>
      <c r="AL166" s="9" t="n"/>
      <c r="AM166" s="9" t="n"/>
      <c r="AN166" s="9" t="n"/>
      <c r="AO166" s="9" t="n"/>
      <c r="AP166" s="9" t="n"/>
      <c r="AQ166" s="9" t="n"/>
      <c r="AR166" s="9" t="n"/>
      <c r="AS166" s="9" t="n"/>
      <c r="AT166" s="8" t="n"/>
      <c r="AU166" s="8" t="n"/>
      <c r="AV166" s="9" t="n"/>
      <c r="AW166" s="8" t="n"/>
      <c r="AX166" s="9" t="n"/>
      <c r="AY166" s="9" t="n"/>
      <c r="AZ166" s="9" t="n"/>
      <c r="BA166" s="9" t="n"/>
      <c r="BB166" s="9" t="n"/>
      <c r="BC166" s="9" t="n"/>
      <c r="BD166" s="9" t="n"/>
      <c r="BE166" s="9" t="n"/>
      <c r="BF166" s="9" t="n"/>
      <c r="BG166" s="9" t="n"/>
      <c r="BH166" s="9" t="n"/>
      <c r="BI166" s="9" t="n"/>
      <c r="BJ166" s="9" t="n"/>
      <c r="BK166" s="9" t="n"/>
      <c r="BL166" s="9" t="n"/>
      <c r="BM166" s="9" t="n"/>
      <c r="BN166" s="9" t="n"/>
      <c r="BO166" s="8" t="n"/>
      <c r="BP166" s="9" t="n"/>
      <c r="BQ166" s="9" t="n"/>
      <c r="BR166" s="12">
        <f>IF(AND(AI166="Y",AK166="Y",AL166="Y",AM166="Y",AY166="Y",AZ166="Y",BA166="Y",BB166="Y",BC166="Y",BE166&lt;&gt;"Y",AX166&lt;&gt;"Y",BL166&lt;&gt;"Y",IF(AS166="Y",AV166="Y",TRUE)),"Y","N")</f>
        <v/>
      </c>
      <c r="BS166" s="12">
        <f>IF(AND(BR166="Y",OR(AND(BJ166="Y",BM166="Y"),AND(BK166="Y",BN166="Y"),AND(BJ166&lt;&gt;"Y",BK166&lt;&gt;"Y",OR(BM166="Y",BN166="Y")))),"Y","N")</f>
        <v/>
      </c>
      <c r="BT166" s="10" t="n"/>
      <c r="BU166" s="13" t="n"/>
      <c r="BV166" s="13" t="n"/>
      <c r="BW166" s="13" t="n"/>
      <c r="BX166" s="13" t="n"/>
      <c r="BY166" s="13" t="n"/>
      <c r="BZ166" s="13" t="n"/>
      <c r="CA166" s="14" t="n"/>
      <c r="CB166" s="13" t="n"/>
      <c r="CC166" s="9" t="n"/>
      <c r="CD166" s="9" t="n"/>
      <c r="CE166" s="9" t="n"/>
      <c r="CF166" s="9" t="n"/>
      <c r="CG166" s="9" t="n"/>
      <c r="CH166" s="9" t="n"/>
    </row>
    <row r="167">
      <c r="A167" s="8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8" t="n"/>
      <c r="L167" s="9" t="n"/>
      <c r="M167" s="8" t="n"/>
      <c r="N167" s="8" t="n"/>
      <c r="O167" s="8" t="n"/>
      <c r="P167" s="8" t="n"/>
      <c r="Q167" s="8" t="n"/>
      <c r="R167" s="9" t="n"/>
      <c r="S167" s="9" t="n"/>
      <c r="T167" s="10" t="n"/>
      <c r="U167" s="10" t="n"/>
      <c r="V167" s="9" t="n"/>
      <c r="W167" s="9" t="n"/>
      <c r="X167" s="9" t="n"/>
      <c r="Y167" s="9" t="n"/>
      <c r="Z167" s="11" t="n"/>
      <c r="AA167" s="11" t="n"/>
      <c r="AB167" s="11" t="n"/>
      <c r="AC167" s="11" t="n"/>
      <c r="AD167" s="11" t="n"/>
      <c r="AE167" s="11" t="n"/>
      <c r="AF167" s="9" t="n"/>
      <c r="AG167" s="9" t="n"/>
      <c r="AH167" s="9" t="n"/>
      <c r="AI167" s="9" t="n"/>
      <c r="AJ167" s="8" t="n"/>
      <c r="AK167" s="9" t="n"/>
      <c r="AL167" s="9" t="n"/>
      <c r="AM167" s="9" t="n"/>
      <c r="AN167" s="9" t="n"/>
      <c r="AO167" s="9" t="n"/>
      <c r="AP167" s="9" t="n"/>
      <c r="AQ167" s="9" t="n"/>
      <c r="AR167" s="9" t="n"/>
      <c r="AS167" s="9" t="n"/>
      <c r="AT167" s="8" t="n"/>
      <c r="AU167" s="8" t="n"/>
      <c r="AV167" s="9" t="n"/>
      <c r="AW167" s="8" t="n"/>
      <c r="AX167" s="9" t="n"/>
      <c r="AY167" s="9" t="n"/>
      <c r="AZ167" s="9" t="n"/>
      <c r="BA167" s="9" t="n"/>
      <c r="BB167" s="9" t="n"/>
      <c r="BC167" s="9" t="n"/>
      <c r="BD167" s="9" t="n"/>
      <c r="BE167" s="9" t="n"/>
      <c r="BF167" s="9" t="n"/>
      <c r="BG167" s="9" t="n"/>
      <c r="BH167" s="9" t="n"/>
      <c r="BI167" s="9" t="n"/>
      <c r="BJ167" s="9" t="n"/>
      <c r="BK167" s="9" t="n"/>
      <c r="BL167" s="9" t="n"/>
      <c r="BM167" s="9" t="n"/>
      <c r="BN167" s="9" t="n"/>
      <c r="BO167" s="8" t="n"/>
      <c r="BP167" s="9" t="n"/>
      <c r="BQ167" s="9" t="n"/>
      <c r="BR167" s="12">
        <f>IF(AND(AI167="Y",AK167="Y",AL167="Y",AM167="Y",AY167="Y",AZ167="Y",BA167="Y",BB167="Y",BC167="Y",BE167&lt;&gt;"Y",AX167&lt;&gt;"Y",BL167&lt;&gt;"Y",IF(AS167="Y",AV167="Y",TRUE)),"Y","N")</f>
        <v/>
      </c>
      <c r="BS167" s="12">
        <f>IF(AND(BR167="Y",OR(AND(BJ167="Y",BM167="Y"),AND(BK167="Y",BN167="Y"),AND(BJ167&lt;&gt;"Y",BK167&lt;&gt;"Y",OR(BM167="Y",BN167="Y")))),"Y","N")</f>
        <v/>
      </c>
      <c r="BT167" s="10" t="n"/>
      <c r="BU167" s="13" t="n"/>
      <c r="BV167" s="13" t="n"/>
      <c r="BW167" s="13" t="n"/>
      <c r="BX167" s="13" t="n"/>
      <c r="BY167" s="13" t="n"/>
      <c r="BZ167" s="13" t="n"/>
      <c r="CA167" s="14" t="n"/>
      <c r="CB167" s="13" t="n"/>
      <c r="CC167" s="9" t="n"/>
      <c r="CD167" s="9" t="n"/>
      <c r="CE167" s="9" t="n"/>
      <c r="CF167" s="9" t="n"/>
      <c r="CG167" s="9" t="n"/>
      <c r="CH167" s="9" t="n"/>
    </row>
    <row r="168">
      <c r="A168" s="8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8" t="n"/>
      <c r="L168" s="9" t="n"/>
      <c r="M168" s="8" t="n"/>
      <c r="N168" s="8" t="n"/>
      <c r="O168" s="8" t="n"/>
      <c r="P168" s="8" t="n"/>
      <c r="Q168" s="8" t="n"/>
      <c r="R168" s="9" t="n"/>
      <c r="S168" s="9" t="n"/>
      <c r="T168" s="10" t="n"/>
      <c r="U168" s="10" t="n"/>
      <c r="V168" s="9" t="n"/>
      <c r="W168" s="9" t="n"/>
      <c r="X168" s="9" t="n"/>
      <c r="Y168" s="9" t="n"/>
      <c r="Z168" s="11" t="n"/>
      <c r="AA168" s="11" t="n"/>
      <c r="AB168" s="11" t="n"/>
      <c r="AC168" s="11" t="n"/>
      <c r="AD168" s="11" t="n"/>
      <c r="AE168" s="11" t="n"/>
      <c r="AF168" s="9" t="n"/>
      <c r="AG168" s="9" t="n"/>
      <c r="AH168" s="9" t="n"/>
      <c r="AI168" s="9" t="n"/>
      <c r="AJ168" s="8" t="n"/>
      <c r="AK168" s="9" t="n"/>
      <c r="AL168" s="9" t="n"/>
      <c r="AM168" s="9" t="n"/>
      <c r="AN168" s="9" t="n"/>
      <c r="AO168" s="9" t="n"/>
      <c r="AP168" s="9" t="n"/>
      <c r="AQ168" s="9" t="n"/>
      <c r="AR168" s="9" t="n"/>
      <c r="AS168" s="9" t="n"/>
      <c r="AT168" s="8" t="n"/>
      <c r="AU168" s="8" t="n"/>
      <c r="AV168" s="9" t="n"/>
      <c r="AW168" s="8" t="n"/>
      <c r="AX168" s="9" t="n"/>
      <c r="AY168" s="9" t="n"/>
      <c r="AZ168" s="9" t="n"/>
      <c r="BA168" s="9" t="n"/>
      <c r="BB168" s="9" t="n"/>
      <c r="BC168" s="9" t="n"/>
      <c r="BD168" s="9" t="n"/>
      <c r="BE168" s="9" t="n"/>
      <c r="BF168" s="9" t="n"/>
      <c r="BG168" s="9" t="n"/>
      <c r="BH168" s="9" t="n"/>
      <c r="BI168" s="9" t="n"/>
      <c r="BJ168" s="9" t="n"/>
      <c r="BK168" s="9" t="n"/>
      <c r="BL168" s="9" t="n"/>
      <c r="BM168" s="9" t="n"/>
      <c r="BN168" s="9" t="n"/>
      <c r="BO168" s="8" t="n"/>
      <c r="BP168" s="9" t="n"/>
      <c r="BQ168" s="9" t="n"/>
      <c r="BR168" s="12">
        <f>IF(AND(AI168="Y",AK168="Y",AL168="Y",AM168="Y",AY168="Y",AZ168="Y",BA168="Y",BB168="Y",BC168="Y",BE168&lt;&gt;"Y",AX168&lt;&gt;"Y",BL168&lt;&gt;"Y",IF(AS168="Y",AV168="Y",TRUE)),"Y","N")</f>
        <v/>
      </c>
      <c r="BS168" s="12">
        <f>IF(AND(BR168="Y",OR(AND(BJ168="Y",BM168="Y"),AND(BK168="Y",BN168="Y"),AND(BJ168&lt;&gt;"Y",BK168&lt;&gt;"Y",OR(BM168="Y",BN168="Y")))),"Y","N")</f>
        <v/>
      </c>
      <c r="BT168" s="10" t="n"/>
      <c r="BU168" s="13" t="n"/>
      <c r="BV168" s="13" t="n"/>
      <c r="BW168" s="13" t="n"/>
      <c r="BX168" s="13" t="n"/>
      <c r="BY168" s="13" t="n"/>
      <c r="BZ168" s="13" t="n"/>
      <c r="CA168" s="14" t="n"/>
      <c r="CB168" s="13" t="n"/>
      <c r="CC168" s="9" t="n"/>
      <c r="CD168" s="9" t="n"/>
      <c r="CE168" s="9" t="n"/>
      <c r="CF168" s="9" t="n"/>
      <c r="CG168" s="9" t="n"/>
      <c r="CH168" s="9" t="n"/>
    </row>
    <row r="169">
      <c r="A169" s="8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8" t="n"/>
      <c r="L169" s="9" t="n"/>
      <c r="M169" s="8" t="n"/>
      <c r="N169" s="8" t="n"/>
      <c r="O169" s="8" t="n"/>
      <c r="P169" s="8" t="n"/>
      <c r="Q169" s="8" t="n"/>
      <c r="R169" s="9" t="n"/>
      <c r="S169" s="9" t="n"/>
      <c r="T169" s="10" t="n"/>
      <c r="U169" s="10" t="n"/>
      <c r="V169" s="9" t="n"/>
      <c r="W169" s="9" t="n"/>
      <c r="X169" s="9" t="n"/>
      <c r="Y169" s="9" t="n"/>
      <c r="Z169" s="11" t="n"/>
      <c r="AA169" s="11" t="n"/>
      <c r="AB169" s="11" t="n"/>
      <c r="AC169" s="11" t="n"/>
      <c r="AD169" s="11" t="n"/>
      <c r="AE169" s="11" t="n"/>
      <c r="AF169" s="9" t="n"/>
      <c r="AG169" s="9" t="n"/>
      <c r="AH169" s="9" t="n"/>
      <c r="AI169" s="9" t="n"/>
      <c r="AJ169" s="8" t="n"/>
      <c r="AK169" s="9" t="n"/>
      <c r="AL169" s="9" t="n"/>
      <c r="AM169" s="9" t="n"/>
      <c r="AN169" s="9" t="n"/>
      <c r="AO169" s="9" t="n"/>
      <c r="AP169" s="9" t="n"/>
      <c r="AQ169" s="9" t="n"/>
      <c r="AR169" s="9" t="n"/>
      <c r="AS169" s="9" t="n"/>
      <c r="AT169" s="8" t="n"/>
      <c r="AU169" s="8" t="n"/>
      <c r="AV169" s="9" t="n"/>
      <c r="AW169" s="8" t="n"/>
      <c r="AX169" s="9" t="n"/>
      <c r="AY169" s="9" t="n"/>
      <c r="AZ169" s="9" t="n"/>
      <c r="BA169" s="9" t="n"/>
      <c r="BB169" s="9" t="n"/>
      <c r="BC169" s="9" t="n"/>
      <c r="BD169" s="9" t="n"/>
      <c r="BE169" s="9" t="n"/>
      <c r="BF169" s="9" t="n"/>
      <c r="BG169" s="9" t="n"/>
      <c r="BH169" s="9" t="n"/>
      <c r="BI169" s="9" t="n"/>
      <c r="BJ169" s="9" t="n"/>
      <c r="BK169" s="9" t="n"/>
      <c r="BL169" s="9" t="n"/>
      <c r="BM169" s="9" t="n"/>
      <c r="BN169" s="9" t="n"/>
      <c r="BO169" s="8" t="n"/>
      <c r="BP169" s="9" t="n"/>
      <c r="BQ169" s="9" t="n"/>
      <c r="BR169" s="12">
        <f>IF(AND(AI169="Y",AK169="Y",AL169="Y",AM169="Y",AY169="Y",AZ169="Y",BA169="Y",BB169="Y",BC169="Y",BE169&lt;&gt;"Y",AX169&lt;&gt;"Y",BL169&lt;&gt;"Y",IF(AS169="Y",AV169="Y",TRUE)),"Y","N")</f>
        <v/>
      </c>
      <c r="BS169" s="12">
        <f>IF(AND(BR169="Y",OR(AND(BJ169="Y",BM169="Y"),AND(BK169="Y",BN169="Y"),AND(BJ169&lt;&gt;"Y",BK169&lt;&gt;"Y",OR(BM169="Y",BN169="Y")))),"Y","N")</f>
        <v/>
      </c>
      <c r="BT169" s="10" t="n"/>
      <c r="BU169" s="13" t="n"/>
      <c r="BV169" s="13" t="n"/>
      <c r="BW169" s="13" t="n"/>
      <c r="BX169" s="13" t="n"/>
      <c r="BY169" s="13" t="n"/>
      <c r="BZ169" s="13" t="n"/>
      <c r="CA169" s="14" t="n"/>
      <c r="CB169" s="13" t="n"/>
      <c r="CC169" s="9" t="n"/>
      <c r="CD169" s="9" t="n"/>
      <c r="CE169" s="9" t="n"/>
      <c r="CF169" s="9" t="n"/>
      <c r="CG169" s="9" t="n"/>
      <c r="CH169" s="9" t="n"/>
    </row>
    <row r="170">
      <c r="A170" s="8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8" t="n"/>
      <c r="L170" s="9" t="n"/>
      <c r="M170" s="8" t="n"/>
      <c r="N170" s="8" t="n"/>
      <c r="O170" s="8" t="n"/>
      <c r="P170" s="8" t="n"/>
      <c r="Q170" s="8" t="n"/>
      <c r="R170" s="9" t="n"/>
      <c r="S170" s="9" t="n"/>
      <c r="T170" s="10" t="n"/>
      <c r="U170" s="10" t="n"/>
      <c r="V170" s="9" t="n"/>
      <c r="W170" s="9" t="n"/>
      <c r="X170" s="9" t="n"/>
      <c r="Y170" s="9" t="n"/>
      <c r="Z170" s="11" t="n"/>
      <c r="AA170" s="11" t="n"/>
      <c r="AB170" s="11" t="n"/>
      <c r="AC170" s="11" t="n"/>
      <c r="AD170" s="11" t="n"/>
      <c r="AE170" s="11" t="n"/>
      <c r="AF170" s="9" t="n"/>
      <c r="AG170" s="9" t="n"/>
      <c r="AH170" s="9" t="n"/>
      <c r="AI170" s="9" t="n"/>
      <c r="AJ170" s="8" t="n"/>
      <c r="AK170" s="9" t="n"/>
      <c r="AL170" s="9" t="n"/>
      <c r="AM170" s="9" t="n"/>
      <c r="AN170" s="9" t="n"/>
      <c r="AO170" s="9" t="n"/>
      <c r="AP170" s="9" t="n"/>
      <c r="AQ170" s="9" t="n"/>
      <c r="AR170" s="9" t="n"/>
      <c r="AS170" s="9" t="n"/>
      <c r="AT170" s="8" t="n"/>
      <c r="AU170" s="8" t="n"/>
      <c r="AV170" s="9" t="n"/>
      <c r="AW170" s="8" t="n"/>
      <c r="AX170" s="9" t="n"/>
      <c r="AY170" s="9" t="n"/>
      <c r="AZ170" s="9" t="n"/>
      <c r="BA170" s="9" t="n"/>
      <c r="BB170" s="9" t="n"/>
      <c r="BC170" s="9" t="n"/>
      <c r="BD170" s="9" t="n"/>
      <c r="BE170" s="9" t="n"/>
      <c r="BF170" s="9" t="n"/>
      <c r="BG170" s="9" t="n"/>
      <c r="BH170" s="9" t="n"/>
      <c r="BI170" s="9" t="n"/>
      <c r="BJ170" s="9" t="n"/>
      <c r="BK170" s="9" t="n"/>
      <c r="BL170" s="9" t="n"/>
      <c r="BM170" s="9" t="n"/>
      <c r="BN170" s="9" t="n"/>
      <c r="BO170" s="8" t="n"/>
      <c r="BP170" s="9" t="n"/>
      <c r="BQ170" s="9" t="n"/>
      <c r="BR170" s="12">
        <f>IF(AND(AI170="Y",AK170="Y",AL170="Y",AM170="Y",AY170="Y",AZ170="Y",BA170="Y",BB170="Y",BC170="Y",BE170&lt;&gt;"Y",AX170&lt;&gt;"Y",BL170&lt;&gt;"Y",IF(AS170="Y",AV170="Y",TRUE)),"Y","N")</f>
        <v/>
      </c>
      <c r="BS170" s="12">
        <f>IF(AND(BR170="Y",OR(AND(BJ170="Y",BM170="Y"),AND(BK170="Y",BN170="Y"),AND(BJ170&lt;&gt;"Y",BK170&lt;&gt;"Y",OR(BM170="Y",BN170="Y")))),"Y","N")</f>
        <v/>
      </c>
      <c r="BT170" s="10" t="n"/>
      <c r="BU170" s="13" t="n"/>
      <c r="BV170" s="13" t="n"/>
      <c r="BW170" s="13" t="n"/>
      <c r="BX170" s="13" t="n"/>
      <c r="BY170" s="13" t="n"/>
      <c r="BZ170" s="13" t="n"/>
      <c r="CA170" s="14" t="n"/>
      <c r="CB170" s="13" t="n"/>
      <c r="CC170" s="9" t="n"/>
      <c r="CD170" s="9" t="n"/>
      <c r="CE170" s="9" t="n"/>
      <c r="CF170" s="9" t="n"/>
      <c r="CG170" s="9" t="n"/>
      <c r="CH170" s="9" t="n"/>
    </row>
    <row r="171">
      <c r="A171" s="8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8" t="n"/>
      <c r="L171" s="9" t="n"/>
      <c r="M171" s="8" t="n"/>
      <c r="N171" s="8" t="n"/>
      <c r="O171" s="8" t="n"/>
      <c r="P171" s="8" t="n"/>
      <c r="Q171" s="8" t="n"/>
      <c r="R171" s="9" t="n"/>
      <c r="S171" s="9" t="n"/>
      <c r="T171" s="10" t="n"/>
      <c r="U171" s="10" t="n"/>
      <c r="V171" s="9" t="n"/>
      <c r="W171" s="9" t="n"/>
      <c r="X171" s="9" t="n"/>
      <c r="Y171" s="9" t="n"/>
      <c r="Z171" s="11" t="n"/>
      <c r="AA171" s="11" t="n"/>
      <c r="AB171" s="11" t="n"/>
      <c r="AC171" s="11" t="n"/>
      <c r="AD171" s="11" t="n"/>
      <c r="AE171" s="11" t="n"/>
      <c r="AF171" s="9" t="n"/>
      <c r="AG171" s="9" t="n"/>
      <c r="AH171" s="9" t="n"/>
      <c r="AI171" s="9" t="n"/>
      <c r="AJ171" s="8" t="n"/>
      <c r="AK171" s="9" t="n"/>
      <c r="AL171" s="9" t="n"/>
      <c r="AM171" s="9" t="n"/>
      <c r="AN171" s="9" t="n"/>
      <c r="AO171" s="9" t="n"/>
      <c r="AP171" s="9" t="n"/>
      <c r="AQ171" s="9" t="n"/>
      <c r="AR171" s="9" t="n"/>
      <c r="AS171" s="9" t="n"/>
      <c r="AT171" s="8" t="n"/>
      <c r="AU171" s="8" t="n"/>
      <c r="AV171" s="9" t="n"/>
      <c r="AW171" s="8" t="n"/>
      <c r="AX171" s="9" t="n"/>
      <c r="AY171" s="9" t="n"/>
      <c r="AZ171" s="9" t="n"/>
      <c r="BA171" s="9" t="n"/>
      <c r="BB171" s="9" t="n"/>
      <c r="BC171" s="9" t="n"/>
      <c r="BD171" s="9" t="n"/>
      <c r="BE171" s="9" t="n"/>
      <c r="BF171" s="9" t="n"/>
      <c r="BG171" s="9" t="n"/>
      <c r="BH171" s="9" t="n"/>
      <c r="BI171" s="9" t="n"/>
      <c r="BJ171" s="9" t="n"/>
      <c r="BK171" s="9" t="n"/>
      <c r="BL171" s="9" t="n"/>
      <c r="BM171" s="9" t="n"/>
      <c r="BN171" s="9" t="n"/>
      <c r="BO171" s="8" t="n"/>
      <c r="BP171" s="9" t="n"/>
      <c r="BQ171" s="9" t="n"/>
      <c r="BR171" s="12">
        <f>IF(AND(AI171="Y",AK171="Y",AL171="Y",AM171="Y",AY171="Y",AZ171="Y",BA171="Y",BB171="Y",BC171="Y",BE171&lt;&gt;"Y",AX171&lt;&gt;"Y",BL171&lt;&gt;"Y",IF(AS171="Y",AV171="Y",TRUE)),"Y","N")</f>
        <v/>
      </c>
      <c r="BS171" s="12">
        <f>IF(AND(BR171="Y",OR(AND(BJ171="Y",BM171="Y"),AND(BK171="Y",BN171="Y"),AND(BJ171&lt;&gt;"Y",BK171&lt;&gt;"Y",OR(BM171="Y",BN171="Y")))),"Y","N")</f>
        <v/>
      </c>
      <c r="BT171" s="10" t="n"/>
      <c r="BU171" s="13" t="n"/>
      <c r="BV171" s="13" t="n"/>
      <c r="BW171" s="13" t="n"/>
      <c r="BX171" s="13" t="n"/>
      <c r="BY171" s="13" t="n"/>
      <c r="BZ171" s="13" t="n"/>
      <c r="CA171" s="14" t="n"/>
      <c r="CB171" s="13" t="n"/>
      <c r="CC171" s="9" t="n"/>
      <c r="CD171" s="9" t="n"/>
      <c r="CE171" s="9" t="n"/>
      <c r="CF171" s="9" t="n"/>
      <c r="CG171" s="9" t="n"/>
      <c r="CH171" s="9" t="n"/>
    </row>
    <row r="172">
      <c r="A172" s="8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8" t="n"/>
      <c r="L172" s="9" t="n"/>
      <c r="M172" s="8" t="n"/>
      <c r="N172" s="8" t="n"/>
      <c r="O172" s="8" t="n"/>
      <c r="P172" s="8" t="n"/>
      <c r="Q172" s="8" t="n"/>
      <c r="R172" s="9" t="n"/>
      <c r="S172" s="9" t="n"/>
      <c r="T172" s="10" t="n"/>
      <c r="U172" s="10" t="n"/>
      <c r="V172" s="9" t="n"/>
      <c r="W172" s="9" t="n"/>
      <c r="X172" s="9" t="n"/>
      <c r="Y172" s="9" t="n"/>
      <c r="Z172" s="11" t="n"/>
      <c r="AA172" s="11" t="n"/>
      <c r="AB172" s="11" t="n"/>
      <c r="AC172" s="11" t="n"/>
      <c r="AD172" s="11" t="n"/>
      <c r="AE172" s="11" t="n"/>
      <c r="AF172" s="9" t="n"/>
      <c r="AG172" s="9" t="n"/>
      <c r="AH172" s="9" t="n"/>
      <c r="AI172" s="9" t="n"/>
      <c r="AJ172" s="8" t="n"/>
      <c r="AK172" s="9" t="n"/>
      <c r="AL172" s="9" t="n"/>
      <c r="AM172" s="9" t="n"/>
      <c r="AN172" s="9" t="n"/>
      <c r="AO172" s="9" t="n"/>
      <c r="AP172" s="9" t="n"/>
      <c r="AQ172" s="9" t="n"/>
      <c r="AR172" s="9" t="n"/>
      <c r="AS172" s="9" t="n"/>
      <c r="AT172" s="8" t="n"/>
      <c r="AU172" s="8" t="n"/>
      <c r="AV172" s="9" t="n"/>
      <c r="AW172" s="8" t="n"/>
      <c r="AX172" s="9" t="n"/>
      <c r="AY172" s="9" t="n"/>
      <c r="AZ172" s="9" t="n"/>
      <c r="BA172" s="9" t="n"/>
      <c r="BB172" s="9" t="n"/>
      <c r="BC172" s="9" t="n"/>
      <c r="BD172" s="9" t="n"/>
      <c r="BE172" s="9" t="n"/>
      <c r="BF172" s="9" t="n"/>
      <c r="BG172" s="9" t="n"/>
      <c r="BH172" s="9" t="n"/>
      <c r="BI172" s="9" t="n"/>
      <c r="BJ172" s="9" t="n"/>
      <c r="BK172" s="9" t="n"/>
      <c r="BL172" s="9" t="n"/>
      <c r="BM172" s="9" t="n"/>
      <c r="BN172" s="9" t="n"/>
      <c r="BO172" s="8" t="n"/>
      <c r="BP172" s="9" t="n"/>
      <c r="BQ172" s="9" t="n"/>
      <c r="BR172" s="12">
        <f>IF(AND(AI172="Y",AK172="Y",AL172="Y",AM172="Y",AY172="Y",AZ172="Y",BA172="Y",BB172="Y",BC172="Y",BE172&lt;&gt;"Y",AX172&lt;&gt;"Y",BL172&lt;&gt;"Y",IF(AS172="Y",AV172="Y",TRUE)),"Y","N")</f>
        <v/>
      </c>
      <c r="BS172" s="12">
        <f>IF(AND(BR172="Y",OR(AND(BJ172="Y",BM172="Y"),AND(BK172="Y",BN172="Y"),AND(BJ172&lt;&gt;"Y",BK172&lt;&gt;"Y",OR(BM172="Y",BN172="Y")))),"Y","N")</f>
        <v/>
      </c>
      <c r="BT172" s="10" t="n"/>
      <c r="BU172" s="13" t="n"/>
      <c r="BV172" s="13" t="n"/>
      <c r="BW172" s="13" t="n"/>
      <c r="BX172" s="13" t="n"/>
      <c r="BY172" s="13" t="n"/>
      <c r="BZ172" s="13" t="n"/>
      <c r="CA172" s="14" t="n"/>
      <c r="CB172" s="13" t="n"/>
      <c r="CC172" s="9" t="n"/>
      <c r="CD172" s="9" t="n"/>
      <c r="CE172" s="9" t="n"/>
      <c r="CF172" s="9" t="n"/>
      <c r="CG172" s="9" t="n"/>
      <c r="CH172" s="9" t="n"/>
    </row>
    <row r="173">
      <c r="A173" s="8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8" t="n"/>
      <c r="L173" s="9" t="n"/>
      <c r="M173" s="8" t="n"/>
      <c r="N173" s="8" t="n"/>
      <c r="O173" s="8" t="n"/>
      <c r="P173" s="8" t="n"/>
      <c r="Q173" s="8" t="n"/>
      <c r="R173" s="9" t="n"/>
      <c r="S173" s="9" t="n"/>
      <c r="T173" s="10" t="n"/>
      <c r="U173" s="10" t="n"/>
      <c r="V173" s="9" t="n"/>
      <c r="W173" s="9" t="n"/>
      <c r="X173" s="9" t="n"/>
      <c r="Y173" s="9" t="n"/>
      <c r="Z173" s="11" t="n"/>
      <c r="AA173" s="11" t="n"/>
      <c r="AB173" s="11" t="n"/>
      <c r="AC173" s="11" t="n"/>
      <c r="AD173" s="11" t="n"/>
      <c r="AE173" s="11" t="n"/>
      <c r="AF173" s="9" t="n"/>
      <c r="AG173" s="9" t="n"/>
      <c r="AH173" s="9" t="n"/>
      <c r="AI173" s="9" t="n"/>
      <c r="AJ173" s="8" t="n"/>
      <c r="AK173" s="9" t="n"/>
      <c r="AL173" s="9" t="n"/>
      <c r="AM173" s="9" t="n"/>
      <c r="AN173" s="9" t="n"/>
      <c r="AO173" s="9" t="n"/>
      <c r="AP173" s="9" t="n"/>
      <c r="AQ173" s="9" t="n"/>
      <c r="AR173" s="9" t="n"/>
      <c r="AS173" s="9" t="n"/>
      <c r="AT173" s="8" t="n"/>
      <c r="AU173" s="8" t="n"/>
      <c r="AV173" s="9" t="n"/>
      <c r="AW173" s="8" t="n"/>
      <c r="AX173" s="9" t="n"/>
      <c r="AY173" s="9" t="n"/>
      <c r="AZ173" s="9" t="n"/>
      <c r="BA173" s="9" t="n"/>
      <c r="BB173" s="9" t="n"/>
      <c r="BC173" s="9" t="n"/>
      <c r="BD173" s="9" t="n"/>
      <c r="BE173" s="9" t="n"/>
      <c r="BF173" s="9" t="n"/>
      <c r="BG173" s="9" t="n"/>
      <c r="BH173" s="9" t="n"/>
      <c r="BI173" s="9" t="n"/>
      <c r="BJ173" s="9" t="n"/>
      <c r="BK173" s="9" t="n"/>
      <c r="BL173" s="9" t="n"/>
      <c r="BM173" s="9" t="n"/>
      <c r="BN173" s="9" t="n"/>
      <c r="BO173" s="8" t="n"/>
      <c r="BP173" s="9" t="n"/>
      <c r="BQ173" s="9" t="n"/>
      <c r="BR173" s="12">
        <f>IF(AND(AI173="Y",AK173="Y",AL173="Y",AM173="Y",AY173="Y",AZ173="Y",BA173="Y",BB173="Y",BC173="Y",BE173&lt;&gt;"Y",AX173&lt;&gt;"Y",BL173&lt;&gt;"Y",IF(AS173="Y",AV173="Y",TRUE)),"Y","N")</f>
        <v/>
      </c>
      <c r="BS173" s="12">
        <f>IF(AND(BR173="Y",OR(AND(BJ173="Y",BM173="Y"),AND(BK173="Y",BN173="Y"),AND(BJ173&lt;&gt;"Y",BK173&lt;&gt;"Y",OR(BM173="Y",BN173="Y")))),"Y","N")</f>
        <v/>
      </c>
      <c r="BT173" s="10" t="n"/>
      <c r="BU173" s="13" t="n"/>
      <c r="BV173" s="13" t="n"/>
      <c r="BW173" s="13" t="n"/>
      <c r="BX173" s="13" t="n"/>
      <c r="BY173" s="13" t="n"/>
      <c r="BZ173" s="13" t="n"/>
      <c r="CA173" s="14" t="n"/>
      <c r="CB173" s="13" t="n"/>
      <c r="CC173" s="9" t="n"/>
      <c r="CD173" s="9" t="n"/>
      <c r="CE173" s="9" t="n"/>
      <c r="CF173" s="9" t="n"/>
      <c r="CG173" s="9" t="n"/>
      <c r="CH173" s="9" t="n"/>
    </row>
    <row r="174">
      <c r="A174" s="8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8" t="n"/>
      <c r="L174" s="9" t="n"/>
      <c r="M174" s="8" t="n"/>
      <c r="N174" s="8" t="n"/>
      <c r="O174" s="8" t="n"/>
      <c r="P174" s="8" t="n"/>
      <c r="Q174" s="8" t="n"/>
      <c r="R174" s="9" t="n"/>
      <c r="S174" s="9" t="n"/>
      <c r="T174" s="10" t="n"/>
      <c r="U174" s="10" t="n"/>
      <c r="V174" s="9" t="n"/>
      <c r="W174" s="9" t="n"/>
      <c r="X174" s="9" t="n"/>
      <c r="Y174" s="9" t="n"/>
      <c r="Z174" s="11" t="n"/>
      <c r="AA174" s="11" t="n"/>
      <c r="AB174" s="11" t="n"/>
      <c r="AC174" s="11" t="n"/>
      <c r="AD174" s="11" t="n"/>
      <c r="AE174" s="11" t="n"/>
      <c r="AF174" s="9" t="n"/>
      <c r="AG174" s="9" t="n"/>
      <c r="AH174" s="9" t="n"/>
      <c r="AI174" s="9" t="n"/>
      <c r="AJ174" s="8" t="n"/>
      <c r="AK174" s="9" t="n"/>
      <c r="AL174" s="9" t="n"/>
      <c r="AM174" s="9" t="n"/>
      <c r="AN174" s="9" t="n"/>
      <c r="AO174" s="9" t="n"/>
      <c r="AP174" s="9" t="n"/>
      <c r="AQ174" s="9" t="n"/>
      <c r="AR174" s="9" t="n"/>
      <c r="AS174" s="9" t="n"/>
      <c r="AT174" s="8" t="n"/>
      <c r="AU174" s="8" t="n"/>
      <c r="AV174" s="9" t="n"/>
      <c r="AW174" s="8" t="n"/>
      <c r="AX174" s="9" t="n"/>
      <c r="AY174" s="9" t="n"/>
      <c r="AZ174" s="9" t="n"/>
      <c r="BA174" s="9" t="n"/>
      <c r="BB174" s="9" t="n"/>
      <c r="BC174" s="9" t="n"/>
      <c r="BD174" s="9" t="n"/>
      <c r="BE174" s="9" t="n"/>
      <c r="BF174" s="9" t="n"/>
      <c r="BG174" s="9" t="n"/>
      <c r="BH174" s="9" t="n"/>
      <c r="BI174" s="9" t="n"/>
      <c r="BJ174" s="9" t="n"/>
      <c r="BK174" s="9" t="n"/>
      <c r="BL174" s="9" t="n"/>
      <c r="BM174" s="9" t="n"/>
      <c r="BN174" s="9" t="n"/>
      <c r="BO174" s="8" t="n"/>
      <c r="BP174" s="9" t="n"/>
      <c r="BQ174" s="9" t="n"/>
      <c r="BR174" s="12">
        <f>IF(AND(AI174="Y",AK174="Y",AL174="Y",AM174="Y",AY174="Y",AZ174="Y",BA174="Y",BB174="Y",BC174="Y",BE174&lt;&gt;"Y",AX174&lt;&gt;"Y",BL174&lt;&gt;"Y",IF(AS174="Y",AV174="Y",TRUE)),"Y","N")</f>
        <v/>
      </c>
      <c r="BS174" s="12">
        <f>IF(AND(BR174="Y",OR(AND(BJ174="Y",BM174="Y"),AND(BK174="Y",BN174="Y"),AND(BJ174&lt;&gt;"Y",BK174&lt;&gt;"Y",OR(BM174="Y",BN174="Y")))),"Y","N")</f>
        <v/>
      </c>
      <c r="BT174" s="10" t="n"/>
      <c r="BU174" s="13" t="n"/>
      <c r="BV174" s="13" t="n"/>
      <c r="BW174" s="13" t="n"/>
      <c r="BX174" s="13" t="n"/>
      <c r="BY174" s="13" t="n"/>
      <c r="BZ174" s="13" t="n"/>
      <c r="CA174" s="14" t="n"/>
      <c r="CB174" s="13" t="n"/>
      <c r="CC174" s="9" t="n"/>
      <c r="CD174" s="9" t="n"/>
      <c r="CE174" s="9" t="n"/>
      <c r="CF174" s="9" t="n"/>
      <c r="CG174" s="9" t="n"/>
      <c r="CH174" s="9" t="n"/>
    </row>
    <row r="175">
      <c r="A175" s="8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8" t="n"/>
      <c r="L175" s="9" t="n"/>
      <c r="M175" s="8" t="n"/>
      <c r="N175" s="8" t="n"/>
      <c r="O175" s="8" t="n"/>
      <c r="P175" s="8" t="n"/>
      <c r="Q175" s="8" t="n"/>
      <c r="R175" s="9" t="n"/>
      <c r="S175" s="9" t="n"/>
      <c r="T175" s="10" t="n"/>
      <c r="U175" s="10" t="n"/>
      <c r="V175" s="9" t="n"/>
      <c r="W175" s="9" t="n"/>
      <c r="X175" s="9" t="n"/>
      <c r="Y175" s="9" t="n"/>
      <c r="Z175" s="11" t="n"/>
      <c r="AA175" s="11" t="n"/>
      <c r="AB175" s="11" t="n"/>
      <c r="AC175" s="11" t="n"/>
      <c r="AD175" s="11" t="n"/>
      <c r="AE175" s="11" t="n"/>
      <c r="AF175" s="9" t="n"/>
      <c r="AG175" s="9" t="n"/>
      <c r="AH175" s="9" t="n"/>
      <c r="AI175" s="9" t="n"/>
      <c r="AJ175" s="8" t="n"/>
      <c r="AK175" s="9" t="n"/>
      <c r="AL175" s="9" t="n"/>
      <c r="AM175" s="9" t="n"/>
      <c r="AN175" s="9" t="n"/>
      <c r="AO175" s="9" t="n"/>
      <c r="AP175" s="9" t="n"/>
      <c r="AQ175" s="9" t="n"/>
      <c r="AR175" s="9" t="n"/>
      <c r="AS175" s="9" t="n"/>
      <c r="AT175" s="8" t="n"/>
      <c r="AU175" s="8" t="n"/>
      <c r="AV175" s="9" t="n"/>
      <c r="AW175" s="8" t="n"/>
      <c r="AX175" s="9" t="n"/>
      <c r="AY175" s="9" t="n"/>
      <c r="AZ175" s="9" t="n"/>
      <c r="BA175" s="9" t="n"/>
      <c r="BB175" s="9" t="n"/>
      <c r="BC175" s="9" t="n"/>
      <c r="BD175" s="9" t="n"/>
      <c r="BE175" s="9" t="n"/>
      <c r="BF175" s="9" t="n"/>
      <c r="BG175" s="9" t="n"/>
      <c r="BH175" s="9" t="n"/>
      <c r="BI175" s="9" t="n"/>
      <c r="BJ175" s="9" t="n"/>
      <c r="BK175" s="9" t="n"/>
      <c r="BL175" s="9" t="n"/>
      <c r="BM175" s="9" t="n"/>
      <c r="BN175" s="9" t="n"/>
      <c r="BO175" s="8" t="n"/>
      <c r="BP175" s="9" t="n"/>
      <c r="BQ175" s="9" t="n"/>
      <c r="BR175" s="12">
        <f>IF(AND(AI175="Y",AK175="Y",AL175="Y",AM175="Y",AY175="Y",AZ175="Y",BA175="Y",BB175="Y",BC175="Y",BE175&lt;&gt;"Y",AX175&lt;&gt;"Y",BL175&lt;&gt;"Y",IF(AS175="Y",AV175="Y",TRUE)),"Y","N")</f>
        <v/>
      </c>
      <c r="BS175" s="12">
        <f>IF(AND(BR175="Y",OR(AND(BJ175="Y",BM175="Y"),AND(BK175="Y",BN175="Y"),AND(BJ175&lt;&gt;"Y",BK175&lt;&gt;"Y",OR(BM175="Y",BN175="Y")))),"Y","N")</f>
        <v/>
      </c>
      <c r="BT175" s="10" t="n"/>
      <c r="BU175" s="13" t="n"/>
      <c r="BV175" s="13" t="n"/>
      <c r="BW175" s="13" t="n"/>
      <c r="BX175" s="13" t="n"/>
      <c r="BY175" s="13" t="n"/>
      <c r="BZ175" s="13" t="n"/>
      <c r="CA175" s="14" t="n"/>
      <c r="CB175" s="13" t="n"/>
      <c r="CC175" s="9" t="n"/>
      <c r="CD175" s="9" t="n"/>
      <c r="CE175" s="9" t="n"/>
      <c r="CF175" s="9" t="n"/>
      <c r="CG175" s="9" t="n"/>
      <c r="CH175" s="9" t="n"/>
    </row>
    <row r="176">
      <c r="A176" s="8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8" t="n"/>
      <c r="L176" s="9" t="n"/>
      <c r="M176" s="8" t="n"/>
      <c r="N176" s="8" t="n"/>
      <c r="O176" s="8" t="n"/>
      <c r="P176" s="8" t="n"/>
      <c r="Q176" s="8" t="n"/>
      <c r="R176" s="9" t="n"/>
      <c r="S176" s="9" t="n"/>
      <c r="T176" s="10" t="n"/>
      <c r="U176" s="10" t="n"/>
      <c r="V176" s="9" t="n"/>
      <c r="W176" s="9" t="n"/>
      <c r="X176" s="9" t="n"/>
      <c r="Y176" s="9" t="n"/>
      <c r="Z176" s="11" t="n"/>
      <c r="AA176" s="11" t="n"/>
      <c r="AB176" s="11" t="n"/>
      <c r="AC176" s="11" t="n"/>
      <c r="AD176" s="11" t="n"/>
      <c r="AE176" s="11" t="n"/>
      <c r="AF176" s="9" t="n"/>
      <c r="AG176" s="9" t="n"/>
      <c r="AH176" s="9" t="n"/>
      <c r="AI176" s="9" t="n"/>
      <c r="AJ176" s="8" t="n"/>
      <c r="AK176" s="9" t="n"/>
      <c r="AL176" s="9" t="n"/>
      <c r="AM176" s="9" t="n"/>
      <c r="AN176" s="9" t="n"/>
      <c r="AO176" s="9" t="n"/>
      <c r="AP176" s="9" t="n"/>
      <c r="AQ176" s="9" t="n"/>
      <c r="AR176" s="9" t="n"/>
      <c r="AS176" s="9" t="n"/>
      <c r="AT176" s="8" t="n"/>
      <c r="AU176" s="8" t="n"/>
      <c r="AV176" s="9" t="n"/>
      <c r="AW176" s="8" t="n"/>
      <c r="AX176" s="9" t="n"/>
      <c r="AY176" s="9" t="n"/>
      <c r="AZ176" s="9" t="n"/>
      <c r="BA176" s="9" t="n"/>
      <c r="BB176" s="9" t="n"/>
      <c r="BC176" s="9" t="n"/>
      <c r="BD176" s="9" t="n"/>
      <c r="BE176" s="9" t="n"/>
      <c r="BF176" s="9" t="n"/>
      <c r="BG176" s="9" t="n"/>
      <c r="BH176" s="9" t="n"/>
      <c r="BI176" s="9" t="n"/>
      <c r="BJ176" s="9" t="n"/>
      <c r="BK176" s="9" t="n"/>
      <c r="BL176" s="9" t="n"/>
      <c r="BM176" s="9" t="n"/>
      <c r="BN176" s="9" t="n"/>
      <c r="BO176" s="8" t="n"/>
      <c r="BP176" s="9" t="n"/>
      <c r="BQ176" s="9" t="n"/>
      <c r="BR176" s="12">
        <f>IF(AND(AI176="Y",AK176="Y",AL176="Y",AM176="Y",AY176="Y",AZ176="Y",BA176="Y",BB176="Y",BC176="Y",BE176&lt;&gt;"Y",AX176&lt;&gt;"Y",BL176&lt;&gt;"Y",IF(AS176="Y",AV176="Y",TRUE)),"Y","N")</f>
        <v/>
      </c>
      <c r="BS176" s="12">
        <f>IF(AND(BR176="Y",OR(AND(BJ176="Y",BM176="Y"),AND(BK176="Y",BN176="Y"),AND(BJ176&lt;&gt;"Y",BK176&lt;&gt;"Y",OR(BM176="Y",BN176="Y")))),"Y","N")</f>
        <v/>
      </c>
      <c r="BT176" s="10" t="n"/>
      <c r="BU176" s="13" t="n"/>
      <c r="BV176" s="13" t="n"/>
      <c r="BW176" s="13" t="n"/>
      <c r="BX176" s="13" t="n"/>
      <c r="BY176" s="13" t="n"/>
      <c r="BZ176" s="13" t="n"/>
      <c r="CA176" s="14" t="n"/>
      <c r="CB176" s="13" t="n"/>
      <c r="CC176" s="9" t="n"/>
      <c r="CD176" s="9" t="n"/>
      <c r="CE176" s="9" t="n"/>
      <c r="CF176" s="9" t="n"/>
      <c r="CG176" s="9" t="n"/>
      <c r="CH176" s="9" t="n"/>
    </row>
    <row r="177">
      <c r="A177" s="8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8" t="n"/>
      <c r="L177" s="9" t="n"/>
      <c r="M177" s="8" t="n"/>
      <c r="N177" s="8" t="n"/>
      <c r="O177" s="8" t="n"/>
      <c r="P177" s="8" t="n"/>
      <c r="Q177" s="8" t="n"/>
      <c r="R177" s="9" t="n"/>
      <c r="S177" s="9" t="n"/>
      <c r="T177" s="10" t="n"/>
      <c r="U177" s="10" t="n"/>
      <c r="V177" s="9" t="n"/>
      <c r="W177" s="9" t="n"/>
      <c r="X177" s="9" t="n"/>
      <c r="Y177" s="9" t="n"/>
      <c r="Z177" s="11" t="n"/>
      <c r="AA177" s="11" t="n"/>
      <c r="AB177" s="11" t="n"/>
      <c r="AC177" s="11" t="n"/>
      <c r="AD177" s="11" t="n"/>
      <c r="AE177" s="11" t="n"/>
      <c r="AF177" s="9" t="n"/>
      <c r="AG177" s="9" t="n"/>
      <c r="AH177" s="9" t="n"/>
      <c r="AI177" s="9" t="n"/>
      <c r="AJ177" s="8" t="n"/>
      <c r="AK177" s="9" t="n"/>
      <c r="AL177" s="9" t="n"/>
      <c r="AM177" s="9" t="n"/>
      <c r="AN177" s="9" t="n"/>
      <c r="AO177" s="9" t="n"/>
      <c r="AP177" s="9" t="n"/>
      <c r="AQ177" s="9" t="n"/>
      <c r="AR177" s="9" t="n"/>
      <c r="AS177" s="9" t="n"/>
      <c r="AT177" s="8" t="n"/>
      <c r="AU177" s="8" t="n"/>
      <c r="AV177" s="9" t="n"/>
      <c r="AW177" s="8" t="n"/>
      <c r="AX177" s="9" t="n"/>
      <c r="AY177" s="9" t="n"/>
      <c r="AZ177" s="9" t="n"/>
      <c r="BA177" s="9" t="n"/>
      <c r="BB177" s="9" t="n"/>
      <c r="BC177" s="9" t="n"/>
      <c r="BD177" s="9" t="n"/>
      <c r="BE177" s="9" t="n"/>
      <c r="BF177" s="9" t="n"/>
      <c r="BG177" s="9" t="n"/>
      <c r="BH177" s="9" t="n"/>
      <c r="BI177" s="9" t="n"/>
      <c r="BJ177" s="9" t="n"/>
      <c r="BK177" s="9" t="n"/>
      <c r="BL177" s="9" t="n"/>
      <c r="BM177" s="9" t="n"/>
      <c r="BN177" s="9" t="n"/>
      <c r="BO177" s="8" t="n"/>
      <c r="BP177" s="9" t="n"/>
      <c r="BQ177" s="9" t="n"/>
      <c r="BR177" s="12">
        <f>IF(AND(AI177="Y",AK177="Y",AL177="Y",AM177="Y",AY177="Y",AZ177="Y",BA177="Y",BB177="Y",BC177="Y",BE177&lt;&gt;"Y",AX177&lt;&gt;"Y",BL177&lt;&gt;"Y",IF(AS177="Y",AV177="Y",TRUE)),"Y","N")</f>
        <v/>
      </c>
      <c r="BS177" s="12">
        <f>IF(AND(BR177="Y",OR(AND(BJ177="Y",BM177="Y"),AND(BK177="Y",BN177="Y"),AND(BJ177&lt;&gt;"Y",BK177&lt;&gt;"Y",OR(BM177="Y",BN177="Y")))),"Y","N")</f>
        <v/>
      </c>
      <c r="BT177" s="10" t="n"/>
      <c r="BU177" s="13" t="n"/>
      <c r="BV177" s="13" t="n"/>
      <c r="BW177" s="13" t="n"/>
      <c r="BX177" s="13" t="n"/>
      <c r="BY177" s="13" t="n"/>
      <c r="BZ177" s="13" t="n"/>
      <c r="CA177" s="14" t="n"/>
      <c r="CB177" s="13" t="n"/>
      <c r="CC177" s="9" t="n"/>
      <c r="CD177" s="9" t="n"/>
      <c r="CE177" s="9" t="n"/>
      <c r="CF177" s="9" t="n"/>
      <c r="CG177" s="9" t="n"/>
      <c r="CH177" s="9" t="n"/>
    </row>
    <row r="178">
      <c r="A178" s="8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8" t="n"/>
      <c r="L178" s="9" t="n"/>
      <c r="M178" s="8" t="n"/>
      <c r="N178" s="8" t="n"/>
      <c r="O178" s="8" t="n"/>
      <c r="P178" s="8" t="n"/>
      <c r="Q178" s="8" t="n"/>
      <c r="R178" s="9" t="n"/>
      <c r="S178" s="9" t="n"/>
      <c r="T178" s="10" t="n"/>
      <c r="U178" s="10" t="n"/>
      <c r="V178" s="9" t="n"/>
      <c r="W178" s="9" t="n"/>
      <c r="X178" s="9" t="n"/>
      <c r="Y178" s="9" t="n"/>
      <c r="Z178" s="11" t="n"/>
      <c r="AA178" s="11" t="n"/>
      <c r="AB178" s="11" t="n"/>
      <c r="AC178" s="11" t="n"/>
      <c r="AD178" s="11" t="n"/>
      <c r="AE178" s="11" t="n"/>
      <c r="AF178" s="9" t="n"/>
      <c r="AG178" s="9" t="n"/>
      <c r="AH178" s="9" t="n"/>
      <c r="AI178" s="9" t="n"/>
      <c r="AJ178" s="8" t="n"/>
      <c r="AK178" s="9" t="n"/>
      <c r="AL178" s="9" t="n"/>
      <c r="AM178" s="9" t="n"/>
      <c r="AN178" s="9" t="n"/>
      <c r="AO178" s="9" t="n"/>
      <c r="AP178" s="9" t="n"/>
      <c r="AQ178" s="9" t="n"/>
      <c r="AR178" s="9" t="n"/>
      <c r="AS178" s="9" t="n"/>
      <c r="AT178" s="8" t="n"/>
      <c r="AU178" s="8" t="n"/>
      <c r="AV178" s="9" t="n"/>
      <c r="AW178" s="8" t="n"/>
      <c r="AX178" s="9" t="n"/>
      <c r="AY178" s="9" t="n"/>
      <c r="AZ178" s="9" t="n"/>
      <c r="BA178" s="9" t="n"/>
      <c r="BB178" s="9" t="n"/>
      <c r="BC178" s="9" t="n"/>
      <c r="BD178" s="9" t="n"/>
      <c r="BE178" s="9" t="n"/>
      <c r="BF178" s="9" t="n"/>
      <c r="BG178" s="9" t="n"/>
      <c r="BH178" s="9" t="n"/>
      <c r="BI178" s="9" t="n"/>
      <c r="BJ178" s="9" t="n"/>
      <c r="BK178" s="9" t="n"/>
      <c r="BL178" s="9" t="n"/>
      <c r="BM178" s="9" t="n"/>
      <c r="BN178" s="9" t="n"/>
      <c r="BO178" s="8" t="n"/>
      <c r="BP178" s="9" t="n"/>
      <c r="BQ178" s="9" t="n"/>
      <c r="BR178" s="12">
        <f>IF(AND(AI178="Y",AK178="Y",AL178="Y",AM178="Y",AY178="Y",AZ178="Y",BA178="Y",BB178="Y",BC178="Y",BE178&lt;&gt;"Y",AX178&lt;&gt;"Y",BL178&lt;&gt;"Y",IF(AS178="Y",AV178="Y",TRUE)),"Y","N")</f>
        <v/>
      </c>
      <c r="BS178" s="12">
        <f>IF(AND(BR178="Y",OR(AND(BJ178="Y",BM178="Y"),AND(BK178="Y",BN178="Y"),AND(BJ178&lt;&gt;"Y",BK178&lt;&gt;"Y",OR(BM178="Y",BN178="Y")))),"Y","N")</f>
        <v/>
      </c>
      <c r="BT178" s="10" t="n"/>
      <c r="BU178" s="13" t="n"/>
      <c r="BV178" s="13" t="n"/>
      <c r="BW178" s="13" t="n"/>
      <c r="BX178" s="13" t="n"/>
      <c r="BY178" s="13" t="n"/>
      <c r="BZ178" s="13" t="n"/>
      <c r="CA178" s="14" t="n"/>
      <c r="CB178" s="13" t="n"/>
      <c r="CC178" s="9" t="n"/>
      <c r="CD178" s="9" t="n"/>
      <c r="CE178" s="9" t="n"/>
      <c r="CF178" s="9" t="n"/>
      <c r="CG178" s="9" t="n"/>
      <c r="CH178" s="9" t="n"/>
    </row>
    <row r="179">
      <c r="A179" s="8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8" t="n"/>
      <c r="L179" s="9" t="n"/>
      <c r="M179" s="8" t="n"/>
      <c r="N179" s="8" t="n"/>
      <c r="O179" s="8" t="n"/>
      <c r="P179" s="8" t="n"/>
      <c r="Q179" s="8" t="n"/>
      <c r="R179" s="9" t="n"/>
      <c r="S179" s="9" t="n"/>
      <c r="T179" s="10" t="n"/>
      <c r="U179" s="10" t="n"/>
      <c r="V179" s="9" t="n"/>
      <c r="W179" s="9" t="n"/>
      <c r="X179" s="9" t="n"/>
      <c r="Y179" s="9" t="n"/>
      <c r="Z179" s="11" t="n"/>
      <c r="AA179" s="11" t="n"/>
      <c r="AB179" s="11" t="n"/>
      <c r="AC179" s="11" t="n"/>
      <c r="AD179" s="11" t="n"/>
      <c r="AE179" s="11" t="n"/>
      <c r="AF179" s="9" t="n"/>
      <c r="AG179" s="9" t="n"/>
      <c r="AH179" s="9" t="n"/>
      <c r="AI179" s="9" t="n"/>
      <c r="AJ179" s="8" t="n"/>
      <c r="AK179" s="9" t="n"/>
      <c r="AL179" s="9" t="n"/>
      <c r="AM179" s="9" t="n"/>
      <c r="AN179" s="9" t="n"/>
      <c r="AO179" s="9" t="n"/>
      <c r="AP179" s="9" t="n"/>
      <c r="AQ179" s="9" t="n"/>
      <c r="AR179" s="9" t="n"/>
      <c r="AS179" s="9" t="n"/>
      <c r="AT179" s="8" t="n"/>
      <c r="AU179" s="8" t="n"/>
      <c r="AV179" s="9" t="n"/>
      <c r="AW179" s="8" t="n"/>
      <c r="AX179" s="9" t="n"/>
      <c r="AY179" s="9" t="n"/>
      <c r="AZ179" s="9" t="n"/>
      <c r="BA179" s="9" t="n"/>
      <c r="BB179" s="9" t="n"/>
      <c r="BC179" s="9" t="n"/>
      <c r="BD179" s="9" t="n"/>
      <c r="BE179" s="9" t="n"/>
      <c r="BF179" s="9" t="n"/>
      <c r="BG179" s="9" t="n"/>
      <c r="BH179" s="9" t="n"/>
      <c r="BI179" s="9" t="n"/>
      <c r="BJ179" s="9" t="n"/>
      <c r="BK179" s="9" t="n"/>
      <c r="BL179" s="9" t="n"/>
      <c r="BM179" s="9" t="n"/>
      <c r="BN179" s="9" t="n"/>
      <c r="BO179" s="8" t="n"/>
      <c r="BP179" s="9" t="n"/>
      <c r="BQ179" s="9" t="n"/>
      <c r="BR179" s="12">
        <f>IF(AND(AI179="Y",AK179="Y",AL179="Y",AM179="Y",AY179="Y",AZ179="Y",BA179="Y",BB179="Y",BC179="Y",BE179&lt;&gt;"Y",AX179&lt;&gt;"Y",BL179&lt;&gt;"Y",IF(AS179="Y",AV179="Y",TRUE)),"Y","N")</f>
        <v/>
      </c>
      <c r="BS179" s="12">
        <f>IF(AND(BR179="Y",OR(AND(BJ179="Y",BM179="Y"),AND(BK179="Y",BN179="Y"),AND(BJ179&lt;&gt;"Y",BK179&lt;&gt;"Y",OR(BM179="Y",BN179="Y")))),"Y","N")</f>
        <v/>
      </c>
      <c r="BT179" s="10" t="n"/>
      <c r="BU179" s="13" t="n"/>
      <c r="BV179" s="13" t="n"/>
      <c r="BW179" s="13" t="n"/>
      <c r="BX179" s="13" t="n"/>
      <c r="BY179" s="13" t="n"/>
      <c r="BZ179" s="13" t="n"/>
      <c r="CA179" s="14" t="n"/>
      <c r="CB179" s="13" t="n"/>
      <c r="CC179" s="9" t="n"/>
      <c r="CD179" s="9" t="n"/>
      <c r="CE179" s="9" t="n"/>
      <c r="CF179" s="9" t="n"/>
      <c r="CG179" s="9" t="n"/>
      <c r="CH179" s="9" t="n"/>
    </row>
    <row r="180">
      <c r="A180" s="8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8" t="n"/>
      <c r="L180" s="9" t="n"/>
      <c r="M180" s="8" t="n"/>
      <c r="N180" s="8" t="n"/>
      <c r="O180" s="8" t="n"/>
      <c r="P180" s="8" t="n"/>
      <c r="Q180" s="8" t="n"/>
      <c r="R180" s="9" t="n"/>
      <c r="S180" s="9" t="n"/>
      <c r="T180" s="10" t="n"/>
      <c r="U180" s="10" t="n"/>
      <c r="V180" s="9" t="n"/>
      <c r="W180" s="9" t="n"/>
      <c r="X180" s="9" t="n"/>
      <c r="Y180" s="9" t="n"/>
      <c r="Z180" s="11" t="n"/>
      <c r="AA180" s="11" t="n"/>
      <c r="AB180" s="11" t="n"/>
      <c r="AC180" s="11" t="n"/>
      <c r="AD180" s="11" t="n"/>
      <c r="AE180" s="11" t="n"/>
      <c r="AF180" s="9" t="n"/>
      <c r="AG180" s="9" t="n"/>
      <c r="AH180" s="9" t="n"/>
      <c r="AI180" s="9" t="n"/>
      <c r="AJ180" s="8" t="n"/>
      <c r="AK180" s="9" t="n"/>
      <c r="AL180" s="9" t="n"/>
      <c r="AM180" s="9" t="n"/>
      <c r="AN180" s="9" t="n"/>
      <c r="AO180" s="9" t="n"/>
      <c r="AP180" s="9" t="n"/>
      <c r="AQ180" s="9" t="n"/>
      <c r="AR180" s="9" t="n"/>
      <c r="AS180" s="9" t="n"/>
      <c r="AT180" s="8" t="n"/>
      <c r="AU180" s="8" t="n"/>
      <c r="AV180" s="9" t="n"/>
      <c r="AW180" s="8" t="n"/>
      <c r="AX180" s="9" t="n"/>
      <c r="AY180" s="9" t="n"/>
      <c r="AZ180" s="9" t="n"/>
      <c r="BA180" s="9" t="n"/>
      <c r="BB180" s="9" t="n"/>
      <c r="BC180" s="9" t="n"/>
      <c r="BD180" s="9" t="n"/>
      <c r="BE180" s="9" t="n"/>
      <c r="BF180" s="9" t="n"/>
      <c r="BG180" s="9" t="n"/>
      <c r="BH180" s="9" t="n"/>
      <c r="BI180" s="9" t="n"/>
      <c r="BJ180" s="9" t="n"/>
      <c r="BK180" s="9" t="n"/>
      <c r="BL180" s="9" t="n"/>
      <c r="BM180" s="9" t="n"/>
      <c r="BN180" s="9" t="n"/>
      <c r="BO180" s="8" t="n"/>
      <c r="BP180" s="9" t="n"/>
      <c r="BQ180" s="9" t="n"/>
      <c r="BR180" s="12">
        <f>IF(AND(AI180="Y",AK180="Y",AL180="Y",AM180="Y",AY180="Y",AZ180="Y",BA180="Y",BB180="Y",BC180="Y",BE180&lt;&gt;"Y",AX180&lt;&gt;"Y",BL180&lt;&gt;"Y",IF(AS180="Y",AV180="Y",TRUE)),"Y","N")</f>
        <v/>
      </c>
      <c r="BS180" s="12">
        <f>IF(AND(BR180="Y",OR(AND(BJ180="Y",BM180="Y"),AND(BK180="Y",BN180="Y"),AND(BJ180&lt;&gt;"Y",BK180&lt;&gt;"Y",OR(BM180="Y",BN180="Y")))),"Y","N")</f>
        <v/>
      </c>
      <c r="BT180" s="10" t="n"/>
      <c r="BU180" s="13" t="n"/>
      <c r="BV180" s="13" t="n"/>
      <c r="BW180" s="13" t="n"/>
      <c r="BX180" s="13" t="n"/>
      <c r="BY180" s="13" t="n"/>
      <c r="BZ180" s="13" t="n"/>
      <c r="CA180" s="14" t="n"/>
      <c r="CB180" s="13" t="n"/>
      <c r="CC180" s="9" t="n"/>
      <c r="CD180" s="9" t="n"/>
      <c r="CE180" s="9" t="n"/>
      <c r="CF180" s="9" t="n"/>
      <c r="CG180" s="9" t="n"/>
      <c r="CH180" s="9" t="n"/>
    </row>
    <row r="181">
      <c r="A181" s="8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8" t="n"/>
      <c r="L181" s="9" t="n"/>
      <c r="M181" s="8" t="n"/>
      <c r="N181" s="8" t="n"/>
      <c r="O181" s="8" t="n"/>
      <c r="P181" s="8" t="n"/>
      <c r="Q181" s="8" t="n"/>
      <c r="R181" s="9" t="n"/>
      <c r="S181" s="9" t="n"/>
      <c r="T181" s="10" t="n"/>
      <c r="U181" s="10" t="n"/>
      <c r="V181" s="9" t="n"/>
      <c r="W181" s="9" t="n"/>
      <c r="X181" s="9" t="n"/>
      <c r="Y181" s="9" t="n"/>
      <c r="Z181" s="11" t="n"/>
      <c r="AA181" s="11" t="n"/>
      <c r="AB181" s="11" t="n"/>
      <c r="AC181" s="11" t="n"/>
      <c r="AD181" s="11" t="n"/>
      <c r="AE181" s="11" t="n"/>
      <c r="AF181" s="9" t="n"/>
      <c r="AG181" s="9" t="n"/>
      <c r="AH181" s="9" t="n"/>
      <c r="AI181" s="9" t="n"/>
      <c r="AJ181" s="8" t="n"/>
      <c r="AK181" s="9" t="n"/>
      <c r="AL181" s="9" t="n"/>
      <c r="AM181" s="9" t="n"/>
      <c r="AN181" s="9" t="n"/>
      <c r="AO181" s="9" t="n"/>
      <c r="AP181" s="9" t="n"/>
      <c r="AQ181" s="9" t="n"/>
      <c r="AR181" s="9" t="n"/>
      <c r="AS181" s="9" t="n"/>
      <c r="AT181" s="8" t="n"/>
      <c r="AU181" s="8" t="n"/>
      <c r="AV181" s="9" t="n"/>
      <c r="AW181" s="8" t="n"/>
      <c r="AX181" s="9" t="n"/>
      <c r="AY181" s="9" t="n"/>
      <c r="AZ181" s="9" t="n"/>
      <c r="BA181" s="9" t="n"/>
      <c r="BB181" s="9" t="n"/>
      <c r="BC181" s="9" t="n"/>
      <c r="BD181" s="9" t="n"/>
      <c r="BE181" s="9" t="n"/>
      <c r="BF181" s="9" t="n"/>
      <c r="BG181" s="9" t="n"/>
      <c r="BH181" s="9" t="n"/>
      <c r="BI181" s="9" t="n"/>
      <c r="BJ181" s="9" t="n"/>
      <c r="BK181" s="9" t="n"/>
      <c r="BL181" s="9" t="n"/>
      <c r="BM181" s="9" t="n"/>
      <c r="BN181" s="9" t="n"/>
      <c r="BO181" s="8" t="n"/>
      <c r="BP181" s="9" t="n"/>
      <c r="BQ181" s="9" t="n"/>
      <c r="BR181" s="12">
        <f>IF(AND(AI181="Y",AK181="Y",AL181="Y",AM181="Y",AY181="Y",AZ181="Y",BA181="Y",BB181="Y",BC181="Y",BE181&lt;&gt;"Y",AX181&lt;&gt;"Y",BL181&lt;&gt;"Y",IF(AS181="Y",AV181="Y",TRUE)),"Y","N")</f>
        <v/>
      </c>
      <c r="BS181" s="12">
        <f>IF(AND(BR181="Y",OR(AND(BJ181="Y",BM181="Y"),AND(BK181="Y",BN181="Y"),AND(BJ181&lt;&gt;"Y",BK181&lt;&gt;"Y",OR(BM181="Y",BN181="Y")))),"Y","N")</f>
        <v/>
      </c>
      <c r="BT181" s="10" t="n"/>
      <c r="BU181" s="13" t="n"/>
      <c r="BV181" s="13" t="n"/>
      <c r="BW181" s="13" t="n"/>
      <c r="BX181" s="13" t="n"/>
      <c r="BY181" s="13" t="n"/>
      <c r="BZ181" s="13" t="n"/>
      <c r="CA181" s="14" t="n"/>
      <c r="CB181" s="13" t="n"/>
      <c r="CC181" s="9" t="n"/>
      <c r="CD181" s="9" t="n"/>
      <c r="CE181" s="9" t="n"/>
      <c r="CF181" s="9" t="n"/>
      <c r="CG181" s="9" t="n"/>
      <c r="CH181" s="9" t="n"/>
    </row>
    <row r="182">
      <c r="A182" s="8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8" t="n"/>
      <c r="L182" s="9" t="n"/>
      <c r="M182" s="8" t="n"/>
      <c r="N182" s="8" t="n"/>
      <c r="O182" s="8" t="n"/>
      <c r="P182" s="8" t="n"/>
      <c r="Q182" s="8" t="n"/>
      <c r="R182" s="9" t="n"/>
      <c r="S182" s="9" t="n"/>
      <c r="T182" s="10" t="n"/>
      <c r="U182" s="10" t="n"/>
      <c r="V182" s="9" t="n"/>
      <c r="W182" s="9" t="n"/>
      <c r="X182" s="9" t="n"/>
      <c r="Y182" s="9" t="n"/>
      <c r="Z182" s="11" t="n"/>
      <c r="AA182" s="11" t="n"/>
      <c r="AB182" s="11" t="n"/>
      <c r="AC182" s="11" t="n"/>
      <c r="AD182" s="11" t="n"/>
      <c r="AE182" s="11" t="n"/>
      <c r="AF182" s="9" t="n"/>
      <c r="AG182" s="9" t="n"/>
      <c r="AH182" s="9" t="n"/>
      <c r="AI182" s="9" t="n"/>
      <c r="AJ182" s="8" t="n"/>
      <c r="AK182" s="9" t="n"/>
      <c r="AL182" s="9" t="n"/>
      <c r="AM182" s="9" t="n"/>
      <c r="AN182" s="9" t="n"/>
      <c r="AO182" s="9" t="n"/>
      <c r="AP182" s="9" t="n"/>
      <c r="AQ182" s="9" t="n"/>
      <c r="AR182" s="9" t="n"/>
      <c r="AS182" s="9" t="n"/>
      <c r="AT182" s="8" t="n"/>
      <c r="AU182" s="8" t="n"/>
      <c r="AV182" s="9" t="n"/>
      <c r="AW182" s="8" t="n"/>
      <c r="AX182" s="9" t="n"/>
      <c r="AY182" s="9" t="n"/>
      <c r="AZ182" s="9" t="n"/>
      <c r="BA182" s="9" t="n"/>
      <c r="BB182" s="9" t="n"/>
      <c r="BC182" s="9" t="n"/>
      <c r="BD182" s="9" t="n"/>
      <c r="BE182" s="9" t="n"/>
      <c r="BF182" s="9" t="n"/>
      <c r="BG182" s="9" t="n"/>
      <c r="BH182" s="9" t="n"/>
      <c r="BI182" s="9" t="n"/>
      <c r="BJ182" s="9" t="n"/>
      <c r="BK182" s="9" t="n"/>
      <c r="BL182" s="9" t="n"/>
      <c r="BM182" s="9" t="n"/>
      <c r="BN182" s="9" t="n"/>
      <c r="BO182" s="8" t="n"/>
      <c r="BP182" s="9" t="n"/>
      <c r="BQ182" s="9" t="n"/>
      <c r="BR182" s="12">
        <f>IF(AND(AI182="Y",AK182="Y",AL182="Y",AM182="Y",AY182="Y",AZ182="Y",BA182="Y",BB182="Y",BC182="Y",BE182&lt;&gt;"Y",AX182&lt;&gt;"Y",BL182&lt;&gt;"Y",IF(AS182="Y",AV182="Y",TRUE)),"Y","N")</f>
        <v/>
      </c>
      <c r="BS182" s="12">
        <f>IF(AND(BR182="Y",OR(AND(BJ182="Y",BM182="Y"),AND(BK182="Y",BN182="Y"),AND(BJ182&lt;&gt;"Y",BK182&lt;&gt;"Y",OR(BM182="Y",BN182="Y")))),"Y","N")</f>
        <v/>
      </c>
      <c r="BT182" s="10" t="n"/>
      <c r="BU182" s="13" t="n"/>
      <c r="BV182" s="13" t="n"/>
      <c r="BW182" s="13" t="n"/>
      <c r="BX182" s="13" t="n"/>
      <c r="BY182" s="13" t="n"/>
      <c r="BZ182" s="13" t="n"/>
      <c r="CA182" s="14" t="n"/>
      <c r="CB182" s="13" t="n"/>
      <c r="CC182" s="9" t="n"/>
      <c r="CD182" s="9" t="n"/>
      <c r="CE182" s="9" t="n"/>
      <c r="CF182" s="9" t="n"/>
      <c r="CG182" s="9" t="n"/>
      <c r="CH182" s="9" t="n"/>
    </row>
    <row r="183">
      <c r="A183" s="8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8" t="n"/>
      <c r="L183" s="9" t="n"/>
      <c r="M183" s="8" t="n"/>
      <c r="N183" s="8" t="n"/>
      <c r="O183" s="8" t="n"/>
      <c r="P183" s="8" t="n"/>
      <c r="Q183" s="8" t="n"/>
      <c r="R183" s="9" t="n"/>
      <c r="S183" s="9" t="n"/>
      <c r="T183" s="10" t="n"/>
      <c r="U183" s="10" t="n"/>
      <c r="V183" s="9" t="n"/>
      <c r="W183" s="9" t="n"/>
      <c r="X183" s="9" t="n"/>
      <c r="Y183" s="9" t="n"/>
      <c r="Z183" s="11" t="n"/>
      <c r="AA183" s="11" t="n"/>
      <c r="AB183" s="11" t="n"/>
      <c r="AC183" s="11" t="n"/>
      <c r="AD183" s="11" t="n"/>
      <c r="AE183" s="11" t="n"/>
      <c r="AF183" s="9" t="n"/>
      <c r="AG183" s="9" t="n"/>
      <c r="AH183" s="9" t="n"/>
      <c r="AI183" s="9" t="n"/>
      <c r="AJ183" s="8" t="n"/>
      <c r="AK183" s="9" t="n"/>
      <c r="AL183" s="9" t="n"/>
      <c r="AM183" s="9" t="n"/>
      <c r="AN183" s="9" t="n"/>
      <c r="AO183" s="9" t="n"/>
      <c r="AP183" s="9" t="n"/>
      <c r="AQ183" s="9" t="n"/>
      <c r="AR183" s="9" t="n"/>
      <c r="AS183" s="9" t="n"/>
      <c r="AT183" s="8" t="n"/>
      <c r="AU183" s="8" t="n"/>
      <c r="AV183" s="9" t="n"/>
      <c r="AW183" s="8" t="n"/>
      <c r="AX183" s="9" t="n"/>
      <c r="AY183" s="9" t="n"/>
      <c r="AZ183" s="9" t="n"/>
      <c r="BA183" s="9" t="n"/>
      <c r="BB183" s="9" t="n"/>
      <c r="BC183" s="9" t="n"/>
      <c r="BD183" s="9" t="n"/>
      <c r="BE183" s="9" t="n"/>
      <c r="BF183" s="9" t="n"/>
      <c r="BG183" s="9" t="n"/>
      <c r="BH183" s="9" t="n"/>
      <c r="BI183" s="9" t="n"/>
      <c r="BJ183" s="9" t="n"/>
      <c r="BK183" s="9" t="n"/>
      <c r="BL183" s="9" t="n"/>
      <c r="BM183" s="9" t="n"/>
      <c r="BN183" s="9" t="n"/>
      <c r="BO183" s="8" t="n"/>
      <c r="BP183" s="9" t="n"/>
      <c r="BQ183" s="9" t="n"/>
      <c r="BR183" s="12">
        <f>IF(AND(AI183="Y",AK183="Y",AL183="Y",AM183="Y",AY183="Y",AZ183="Y",BA183="Y",BB183="Y",BC183="Y",BE183&lt;&gt;"Y",AX183&lt;&gt;"Y",BL183&lt;&gt;"Y",IF(AS183="Y",AV183="Y",TRUE)),"Y","N")</f>
        <v/>
      </c>
      <c r="BS183" s="12">
        <f>IF(AND(BR183="Y",OR(AND(BJ183="Y",BM183="Y"),AND(BK183="Y",BN183="Y"),AND(BJ183&lt;&gt;"Y",BK183&lt;&gt;"Y",OR(BM183="Y",BN183="Y")))),"Y","N")</f>
        <v/>
      </c>
      <c r="BT183" s="10" t="n"/>
      <c r="BU183" s="13" t="n"/>
      <c r="BV183" s="13" t="n"/>
      <c r="BW183" s="13" t="n"/>
      <c r="BX183" s="13" t="n"/>
      <c r="BY183" s="13" t="n"/>
      <c r="BZ183" s="13" t="n"/>
      <c r="CA183" s="14" t="n"/>
      <c r="CB183" s="13" t="n"/>
      <c r="CC183" s="9" t="n"/>
      <c r="CD183" s="9" t="n"/>
      <c r="CE183" s="9" t="n"/>
      <c r="CF183" s="9" t="n"/>
      <c r="CG183" s="9" t="n"/>
      <c r="CH183" s="9" t="n"/>
    </row>
    <row r="184">
      <c r="A184" s="8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8" t="n"/>
      <c r="L184" s="9" t="n"/>
      <c r="M184" s="8" t="n"/>
      <c r="N184" s="8" t="n"/>
      <c r="O184" s="8" t="n"/>
      <c r="P184" s="8" t="n"/>
      <c r="Q184" s="8" t="n"/>
      <c r="R184" s="9" t="n"/>
      <c r="S184" s="9" t="n"/>
      <c r="T184" s="10" t="n"/>
      <c r="U184" s="10" t="n"/>
      <c r="V184" s="9" t="n"/>
      <c r="W184" s="9" t="n"/>
      <c r="X184" s="9" t="n"/>
      <c r="Y184" s="9" t="n"/>
      <c r="Z184" s="11" t="n"/>
      <c r="AA184" s="11" t="n"/>
      <c r="AB184" s="11" t="n"/>
      <c r="AC184" s="11" t="n"/>
      <c r="AD184" s="11" t="n"/>
      <c r="AE184" s="11" t="n"/>
      <c r="AF184" s="9" t="n"/>
      <c r="AG184" s="9" t="n"/>
      <c r="AH184" s="9" t="n"/>
      <c r="AI184" s="9" t="n"/>
      <c r="AJ184" s="8" t="n"/>
      <c r="AK184" s="9" t="n"/>
      <c r="AL184" s="9" t="n"/>
      <c r="AM184" s="9" t="n"/>
      <c r="AN184" s="9" t="n"/>
      <c r="AO184" s="9" t="n"/>
      <c r="AP184" s="9" t="n"/>
      <c r="AQ184" s="9" t="n"/>
      <c r="AR184" s="9" t="n"/>
      <c r="AS184" s="9" t="n"/>
      <c r="AT184" s="8" t="n"/>
      <c r="AU184" s="8" t="n"/>
      <c r="AV184" s="9" t="n"/>
      <c r="AW184" s="8" t="n"/>
      <c r="AX184" s="9" t="n"/>
      <c r="AY184" s="9" t="n"/>
      <c r="AZ184" s="9" t="n"/>
      <c r="BA184" s="9" t="n"/>
      <c r="BB184" s="9" t="n"/>
      <c r="BC184" s="9" t="n"/>
      <c r="BD184" s="9" t="n"/>
      <c r="BE184" s="9" t="n"/>
      <c r="BF184" s="9" t="n"/>
      <c r="BG184" s="9" t="n"/>
      <c r="BH184" s="9" t="n"/>
      <c r="BI184" s="9" t="n"/>
      <c r="BJ184" s="9" t="n"/>
      <c r="BK184" s="9" t="n"/>
      <c r="BL184" s="9" t="n"/>
      <c r="BM184" s="9" t="n"/>
      <c r="BN184" s="9" t="n"/>
      <c r="BO184" s="8" t="n"/>
      <c r="BP184" s="9" t="n"/>
      <c r="BQ184" s="9" t="n"/>
      <c r="BR184" s="12">
        <f>IF(AND(AI184="Y",AK184="Y",AL184="Y",AM184="Y",AY184="Y",AZ184="Y",BA184="Y",BB184="Y",BC184="Y",BE184&lt;&gt;"Y",AX184&lt;&gt;"Y",BL184&lt;&gt;"Y",IF(AS184="Y",AV184="Y",TRUE)),"Y","N")</f>
        <v/>
      </c>
      <c r="BS184" s="12">
        <f>IF(AND(BR184="Y",OR(AND(BJ184="Y",BM184="Y"),AND(BK184="Y",BN184="Y"),AND(BJ184&lt;&gt;"Y",BK184&lt;&gt;"Y",OR(BM184="Y",BN184="Y")))),"Y","N")</f>
        <v/>
      </c>
      <c r="BT184" s="10" t="n"/>
      <c r="BU184" s="13" t="n"/>
      <c r="BV184" s="13" t="n"/>
      <c r="BW184" s="13" t="n"/>
      <c r="BX184" s="13" t="n"/>
      <c r="BY184" s="13" t="n"/>
      <c r="BZ184" s="13" t="n"/>
      <c r="CA184" s="14" t="n"/>
      <c r="CB184" s="13" t="n"/>
      <c r="CC184" s="9" t="n"/>
      <c r="CD184" s="9" t="n"/>
      <c r="CE184" s="9" t="n"/>
      <c r="CF184" s="9" t="n"/>
      <c r="CG184" s="9" t="n"/>
      <c r="CH184" s="9" t="n"/>
    </row>
    <row r="185">
      <c r="A185" s="8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8" t="n"/>
      <c r="L185" s="9" t="n"/>
      <c r="M185" s="8" t="n"/>
      <c r="N185" s="8" t="n"/>
      <c r="O185" s="8" t="n"/>
      <c r="P185" s="8" t="n"/>
      <c r="Q185" s="8" t="n"/>
      <c r="R185" s="9" t="n"/>
      <c r="S185" s="9" t="n"/>
      <c r="T185" s="10" t="n"/>
      <c r="U185" s="10" t="n"/>
      <c r="V185" s="9" t="n"/>
      <c r="W185" s="9" t="n"/>
      <c r="X185" s="9" t="n"/>
      <c r="Y185" s="9" t="n"/>
      <c r="Z185" s="11" t="n"/>
      <c r="AA185" s="11" t="n"/>
      <c r="AB185" s="11" t="n"/>
      <c r="AC185" s="11" t="n"/>
      <c r="AD185" s="11" t="n"/>
      <c r="AE185" s="11" t="n"/>
      <c r="AF185" s="9" t="n"/>
      <c r="AG185" s="9" t="n"/>
      <c r="AH185" s="9" t="n"/>
      <c r="AI185" s="9" t="n"/>
      <c r="AJ185" s="8" t="n"/>
      <c r="AK185" s="9" t="n"/>
      <c r="AL185" s="9" t="n"/>
      <c r="AM185" s="9" t="n"/>
      <c r="AN185" s="9" t="n"/>
      <c r="AO185" s="9" t="n"/>
      <c r="AP185" s="9" t="n"/>
      <c r="AQ185" s="9" t="n"/>
      <c r="AR185" s="9" t="n"/>
      <c r="AS185" s="9" t="n"/>
      <c r="AT185" s="8" t="n"/>
      <c r="AU185" s="8" t="n"/>
      <c r="AV185" s="9" t="n"/>
      <c r="AW185" s="8" t="n"/>
      <c r="AX185" s="9" t="n"/>
      <c r="AY185" s="9" t="n"/>
      <c r="AZ185" s="9" t="n"/>
      <c r="BA185" s="9" t="n"/>
      <c r="BB185" s="9" t="n"/>
      <c r="BC185" s="9" t="n"/>
      <c r="BD185" s="9" t="n"/>
      <c r="BE185" s="9" t="n"/>
      <c r="BF185" s="9" t="n"/>
      <c r="BG185" s="9" t="n"/>
      <c r="BH185" s="9" t="n"/>
      <c r="BI185" s="9" t="n"/>
      <c r="BJ185" s="9" t="n"/>
      <c r="BK185" s="9" t="n"/>
      <c r="BL185" s="9" t="n"/>
      <c r="BM185" s="9" t="n"/>
      <c r="BN185" s="9" t="n"/>
      <c r="BO185" s="8" t="n"/>
      <c r="BP185" s="9" t="n"/>
      <c r="BQ185" s="9" t="n"/>
      <c r="BR185" s="12">
        <f>IF(AND(AI185="Y",AK185="Y",AL185="Y",AM185="Y",AY185="Y",AZ185="Y",BA185="Y",BB185="Y",BC185="Y",BE185&lt;&gt;"Y",AX185&lt;&gt;"Y",BL185&lt;&gt;"Y",IF(AS185="Y",AV185="Y",TRUE)),"Y","N")</f>
        <v/>
      </c>
      <c r="BS185" s="12">
        <f>IF(AND(BR185="Y",OR(AND(BJ185="Y",BM185="Y"),AND(BK185="Y",BN185="Y"),AND(BJ185&lt;&gt;"Y",BK185&lt;&gt;"Y",OR(BM185="Y",BN185="Y")))),"Y","N")</f>
        <v/>
      </c>
      <c r="BT185" s="10" t="n"/>
      <c r="BU185" s="13" t="n"/>
      <c r="BV185" s="13" t="n"/>
      <c r="BW185" s="13" t="n"/>
      <c r="BX185" s="13" t="n"/>
      <c r="BY185" s="13" t="n"/>
      <c r="BZ185" s="13" t="n"/>
      <c r="CA185" s="14" t="n"/>
      <c r="CB185" s="13" t="n"/>
      <c r="CC185" s="9" t="n"/>
      <c r="CD185" s="9" t="n"/>
      <c r="CE185" s="9" t="n"/>
      <c r="CF185" s="9" t="n"/>
      <c r="CG185" s="9" t="n"/>
      <c r="CH185" s="9" t="n"/>
    </row>
    <row r="186">
      <c r="A186" s="8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8" t="n"/>
      <c r="L186" s="9" t="n"/>
      <c r="M186" s="8" t="n"/>
      <c r="N186" s="8" t="n"/>
      <c r="O186" s="8" t="n"/>
      <c r="P186" s="8" t="n"/>
      <c r="Q186" s="8" t="n"/>
      <c r="R186" s="9" t="n"/>
      <c r="S186" s="9" t="n"/>
      <c r="T186" s="10" t="n"/>
      <c r="U186" s="10" t="n"/>
      <c r="V186" s="9" t="n"/>
      <c r="W186" s="9" t="n"/>
      <c r="X186" s="9" t="n"/>
      <c r="Y186" s="9" t="n"/>
      <c r="Z186" s="11" t="n"/>
      <c r="AA186" s="11" t="n"/>
      <c r="AB186" s="11" t="n"/>
      <c r="AC186" s="11" t="n"/>
      <c r="AD186" s="11" t="n"/>
      <c r="AE186" s="11" t="n"/>
      <c r="AF186" s="9" t="n"/>
      <c r="AG186" s="9" t="n"/>
      <c r="AH186" s="9" t="n"/>
      <c r="AI186" s="9" t="n"/>
      <c r="AJ186" s="8" t="n"/>
      <c r="AK186" s="9" t="n"/>
      <c r="AL186" s="9" t="n"/>
      <c r="AM186" s="9" t="n"/>
      <c r="AN186" s="9" t="n"/>
      <c r="AO186" s="9" t="n"/>
      <c r="AP186" s="9" t="n"/>
      <c r="AQ186" s="9" t="n"/>
      <c r="AR186" s="9" t="n"/>
      <c r="AS186" s="9" t="n"/>
      <c r="AT186" s="8" t="n"/>
      <c r="AU186" s="8" t="n"/>
      <c r="AV186" s="9" t="n"/>
      <c r="AW186" s="8" t="n"/>
      <c r="AX186" s="9" t="n"/>
      <c r="AY186" s="9" t="n"/>
      <c r="AZ186" s="9" t="n"/>
      <c r="BA186" s="9" t="n"/>
      <c r="BB186" s="9" t="n"/>
      <c r="BC186" s="9" t="n"/>
      <c r="BD186" s="9" t="n"/>
      <c r="BE186" s="9" t="n"/>
      <c r="BF186" s="9" t="n"/>
      <c r="BG186" s="9" t="n"/>
      <c r="BH186" s="9" t="n"/>
      <c r="BI186" s="9" t="n"/>
      <c r="BJ186" s="9" t="n"/>
      <c r="BK186" s="9" t="n"/>
      <c r="BL186" s="9" t="n"/>
      <c r="BM186" s="9" t="n"/>
      <c r="BN186" s="9" t="n"/>
      <c r="BO186" s="8" t="n"/>
      <c r="BP186" s="9" t="n"/>
      <c r="BQ186" s="9" t="n"/>
      <c r="BR186" s="12">
        <f>IF(AND(AI186="Y",AK186="Y",AL186="Y",AM186="Y",AY186="Y",AZ186="Y",BA186="Y",BB186="Y",BC186="Y",BE186&lt;&gt;"Y",AX186&lt;&gt;"Y",BL186&lt;&gt;"Y",IF(AS186="Y",AV186="Y",TRUE)),"Y","N")</f>
        <v/>
      </c>
      <c r="BS186" s="12">
        <f>IF(AND(BR186="Y",OR(AND(BJ186="Y",BM186="Y"),AND(BK186="Y",BN186="Y"),AND(BJ186&lt;&gt;"Y",BK186&lt;&gt;"Y",OR(BM186="Y",BN186="Y")))),"Y","N")</f>
        <v/>
      </c>
      <c r="BT186" s="10" t="n"/>
      <c r="BU186" s="13" t="n"/>
      <c r="BV186" s="13" t="n"/>
      <c r="BW186" s="13" t="n"/>
      <c r="BX186" s="13" t="n"/>
      <c r="BY186" s="13" t="n"/>
      <c r="BZ186" s="13" t="n"/>
      <c r="CA186" s="14" t="n"/>
      <c r="CB186" s="13" t="n"/>
      <c r="CC186" s="9" t="n"/>
      <c r="CD186" s="9" t="n"/>
      <c r="CE186" s="9" t="n"/>
      <c r="CF186" s="9" t="n"/>
      <c r="CG186" s="9" t="n"/>
      <c r="CH186" s="9" t="n"/>
    </row>
    <row r="187">
      <c r="A187" s="8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8" t="n"/>
      <c r="L187" s="9" t="n"/>
      <c r="M187" s="8" t="n"/>
      <c r="N187" s="8" t="n"/>
      <c r="O187" s="8" t="n"/>
      <c r="P187" s="8" t="n"/>
      <c r="Q187" s="8" t="n"/>
      <c r="R187" s="9" t="n"/>
      <c r="S187" s="9" t="n"/>
      <c r="T187" s="10" t="n"/>
      <c r="U187" s="10" t="n"/>
      <c r="V187" s="9" t="n"/>
      <c r="W187" s="9" t="n"/>
      <c r="X187" s="9" t="n"/>
      <c r="Y187" s="9" t="n"/>
      <c r="Z187" s="11" t="n"/>
      <c r="AA187" s="11" t="n"/>
      <c r="AB187" s="11" t="n"/>
      <c r="AC187" s="11" t="n"/>
      <c r="AD187" s="11" t="n"/>
      <c r="AE187" s="11" t="n"/>
      <c r="AF187" s="9" t="n"/>
      <c r="AG187" s="9" t="n"/>
      <c r="AH187" s="9" t="n"/>
      <c r="AI187" s="9" t="n"/>
      <c r="AJ187" s="8" t="n"/>
      <c r="AK187" s="9" t="n"/>
      <c r="AL187" s="9" t="n"/>
      <c r="AM187" s="9" t="n"/>
      <c r="AN187" s="9" t="n"/>
      <c r="AO187" s="9" t="n"/>
      <c r="AP187" s="9" t="n"/>
      <c r="AQ187" s="9" t="n"/>
      <c r="AR187" s="9" t="n"/>
      <c r="AS187" s="9" t="n"/>
      <c r="AT187" s="8" t="n"/>
      <c r="AU187" s="8" t="n"/>
      <c r="AV187" s="9" t="n"/>
      <c r="AW187" s="8" t="n"/>
      <c r="AX187" s="9" t="n"/>
      <c r="AY187" s="9" t="n"/>
      <c r="AZ187" s="9" t="n"/>
      <c r="BA187" s="9" t="n"/>
      <c r="BB187" s="9" t="n"/>
      <c r="BC187" s="9" t="n"/>
      <c r="BD187" s="9" t="n"/>
      <c r="BE187" s="9" t="n"/>
      <c r="BF187" s="9" t="n"/>
      <c r="BG187" s="9" t="n"/>
      <c r="BH187" s="9" t="n"/>
      <c r="BI187" s="9" t="n"/>
      <c r="BJ187" s="9" t="n"/>
      <c r="BK187" s="9" t="n"/>
      <c r="BL187" s="9" t="n"/>
      <c r="BM187" s="9" t="n"/>
      <c r="BN187" s="9" t="n"/>
      <c r="BO187" s="8" t="n"/>
      <c r="BP187" s="9" t="n"/>
      <c r="BQ187" s="9" t="n"/>
      <c r="BR187" s="12">
        <f>IF(AND(AI187="Y",AK187="Y",AL187="Y",AM187="Y",AY187="Y",AZ187="Y",BA187="Y",BB187="Y",BC187="Y",BE187&lt;&gt;"Y",AX187&lt;&gt;"Y",BL187&lt;&gt;"Y",IF(AS187="Y",AV187="Y",TRUE)),"Y","N")</f>
        <v/>
      </c>
      <c r="BS187" s="12">
        <f>IF(AND(BR187="Y",OR(AND(BJ187="Y",BM187="Y"),AND(BK187="Y",BN187="Y"),AND(BJ187&lt;&gt;"Y",BK187&lt;&gt;"Y",OR(BM187="Y",BN187="Y")))),"Y","N")</f>
        <v/>
      </c>
      <c r="BT187" s="10" t="n"/>
      <c r="BU187" s="13" t="n"/>
      <c r="BV187" s="13" t="n"/>
      <c r="BW187" s="13" t="n"/>
      <c r="BX187" s="13" t="n"/>
      <c r="BY187" s="13" t="n"/>
      <c r="BZ187" s="13" t="n"/>
      <c r="CA187" s="14" t="n"/>
      <c r="CB187" s="13" t="n"/>
      <c r="CC187" s="9" t="n"/>
      <c r="CD187" s="9" t="n"/>
      <c r="CE187" s="9" t="n"/>
      <c r="CF187" s="9" t="n"/>
      <c r="CG187" s="9" t="n"/>
      <c r="CH187" s="9" t="n"/>
    </row>
    <row r="188">
      <c r="A188" s="8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8" t="n"/>
      <c r="L188" s="9" t="n"/>
      <c r="M188" s="8" t="n"/>
      <c r="N188" s="8" t="n"/>
      <c r="O188" s="8" t="n"/>
      <c r="P188" s="8" t="n"/>
      <c r="Q188" s="8" t="n"/>
      <c r="R188" s="9" t="n"/>
      <c r="S188" s="9" t="n"/>
      <c r="T188" s="10" t="n"/>
      <c r="U188" s="10" t="n"/>
      <c r="V188" s="9" t="n"/>
      <c r="W188" s="9" t="n"/>
      <c r="X188" s="9" t="n"/>
      <c r="Y188" s="9" t="n"/>
      <c r="Z188" s="11" t="n"/>
      <c r="AA188" s="11" t="n"/>
      <c r="AB188" s="11" t="n"/>
      <c r="AC188" s="11" t="n"/>
      <c r="AD188" s="11" t="n"/>
      <c r="AE188" s="11" t="n"/>
      <c r="AF188" s="9" t="n"/>
      <c r="AG188" s="9" t="n"/>
      <c r="AH188" s="9" t="n"/>
      <c r="AI188" s="9" t="n"/>
      <c r="AJ188" s="8" t="n"/>
      <c r="AK188" s="9" t="n"/>
      <c r="AL188" s="9" t="n"/>
      <c r="AM188" s="9" t="n"/>
      <c r="AN188" s="9" t="n"/>
      <c r="AO188" s="9" t="n"/>
      <c r="AP188" s="9" t="n"/>
      <c r="AQ188" s="9" t="n"/>
      <c r="AR188" s="9" t="n"/>
      <c r="AS188" s="9" t="n"/>
      <c r="AT188" s="8" t="n"/>
      <c r="AU188" s="8" t="n"/>
      <c r="AV188" s="9" t="n"/>
      <c r="AW188" s="8" t="n"/>
      <c r="AX188" s="9" t="n"/>
      <c r="AY188" s="9" t="n"/>
      <c r="AZ188" s="9" t="n"/>
      <c r="BA188" s="9" t="n"/>
      <c r="BB188" s="9" t="n"/>
      <c r="BC188" s="9" t="n"/>
      <c r="BD188" s="9" t="n"/>
      <c r="BE188" s="9" t="n"/>
      <c r="BF188" s="9" t="n"/>
      <c r="BG188" s="9" t="n"/>
      <c r="BH188" s="9" t="n"/>
      <c r="BI188" s="9" t="n"/>
      <c r="BJ188" s="9" t="n"/>
      <c r="BK188" s="9" t="n"/>
      <c r="BL188" s="9" t="n"/>
      <c r="BM188" s="9" t="n"/>
      <c r="BN188" s="9" t="n"/>
      <c r="BO188" s="8" t="n"/>
      <c r="BP188" s="9" t="n"/>
      <c r="BQ188" s="9" t="n"/>
      <c r="BR188" s="12">
        <f>IF(AND(AI188="Y",AK188="Y",AL188="Y",AM188="Y",AY188="Y",AZ188="Y",BA188="Y",BB188="Y",BC188="Y",BE188&lt;&gt;"Y",AX188&lt;&gt;"Y",BL188&lt;&gt;"Y",IF(AS188="Y",AV188="Y",TRUE)),"Y","N")</f>
        <v/>
      </c>
      <c r="BS188" s="12">
        <f>IF(AND(BR188="Y",OR(AND(BJ188="Y",BM188="Y"),AND(BK188="Y",BN188="Y"),AND(BJ188&lt;&gt;"Y",BK188&lt;&gt;"Y",OR(BM188="Y",BN188="Y")))),"Y","N")</f>
        <v/>
      </c>
      <c r="BT188" s="10" t="n"/>
      <c r="BU188" s="13" t="n"/>
      <c r="BV188" s="13" t="n"/>
      <c r="BW188" s="13" t="n"/>
      <c r="BX188" s="13" t="n"/>
      <c r="BY188" s="13" t="n"/>
      <c r="BZ188" s="13" t="n"/>
      <c r="CA188" s="14" t="n"/>
      <c r="CB188" s="13" t="n"/>
      <c r="CC188" s="9" t="n"/>
      <c r="CD188" s="9" t="n"/>
      <c r="CE188" s="9" t="n"/>
      <c r="CF188" s="9" t="n"/>
      <c r="CG188" s="9" t="n"/>
      <c r="CH188" s="9" t="n"/>
    </row>
    <row r="189">
      <c r="A189" s="8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8" t="n"/>
      <c r="L189" s="9" t="n"/>
      <c r="M189" s="8" t="n"/>
      <c r="N189" s="8" t="n"/>
      <c r="O189" s="8" t="n"/>
      <c r="P189" s="8" t="n"/>
      <c r="Q189" s="8" t="n"/>
      <c r="R189" s="9" t="n"/>
      <c r="S189" s="9" t="n"/>
      <c r="T189" s="10" t="n"/>
      <c r="U189" s="10" t="n"/>
      <c r="V189" s="9" t="n"/>
      <c r="W189" s="9" t="n"/>
      <c r="X189" s="9" t="n"/>
      <c r="Y189" s="9" t="n"/>
      <c r="Z189" s="11" t="n"/>
      <c r="AA189" s="11" t="n"/>
      <c r="AB189" s="11" t="n"/>
      <c r="AC189" s="11" t="n"/>
      <c r="AD189" s="11" t="n"/>
      <c r="AE189" s="11" t="n"/>
      <c r="AF189" s="9" t="n"/>
      <c r="AG189" s="9" t="n"/>
      <c r="AH189" s="9" t="n"/>
      <c r="AI189" s="9" t="n"/>
      <c r="AJ189" s="8" t="n"/>
      <c r="AK189" s="9" t="n"/>
      <c r="AL189" s="9" t="n"/>
      <c r="AM189" s="9" t="n"/>
      <c r="AN189" s="9" t="n"/>
      <c r="AO189" s="9" t="n"/>
      <c r="AP189" s="9" t="n"/>
      <c r="AQ189" s="9" t="n"/>
      <c r="AR189" s="9" t="n"/>
      <c r="AS189" s="9" t="n"/>
      <c r="AT189" s="8" t="n"/>
      <c r="AU189" s="8" t="n"/>
      <c r="AV189" s="9" t="n"/>
      <c r="AW189" s="8" t="n"/>
      <c r="AX189" s="9" t="n"/>
      <c r="AY189" s="9" t="n"/>
      <c r="AZ189" s="9" t="n"/>
      <c r="BA189" s="9" t="n"/>
      <c r="BB189" s="9" t="n"/>
      <c r="BC189" s="9" t="n"/>
      <c r="BD189" s="9" t="n"/>
      <c r="BE189" s="9" t="n"/>
      <c r="BF189" s="9" t="n"/>
      <c r="BG189" s="9" t="n"/>
      <c r="BH189" s="9" t="n"/>
      <c r="BI189" s="9" t="n"/>
      <c r="BJ189" s="9" t="n"/>
      <c r="BK189" s="9" t="n"/>
      <c r="BL189" s="9" t="n"/>
      <c r="BM189" s="9" t="n"/>
      <c r="BN189" s="9" t="n"/>
      <c r="BO189" s="8" t="n"/>
      <c r="BP189" s="9" t="n"/>
      <c r="BQ189" s="9" t="n"/>
      <c r="BR189" s="12">
        <f>IF(AND(AI189="Y",AK189="Y",AL189="Y",AM189="Y",AY189="Y",AZ189="Y",BA189="Y",BB189="Y",BC189="Y",BE189&lt;&gt;"Y",AX189&lt;&gt;"Y",BL189&lt;&gt;"Y",IF(AS189="Y",AV189="Y",TRUE)),"Y","N")</f>
        <v/>
      </c>
      <c r="BS189" s="12">
        <f>IF(AND(BR189="Y",OR(AND(BJ189="Y",BM189="Y"),AND(BK189="Y",BN189="Y"),AND(BJ189&lt;&gt;"Y",BK189&lt;&gt;"Y",OR(BM189="Y",BN189="Y")))),"Y","N")</f>
        <v/>
      </c>
      <c r="BT189" s="10" t="n"/>
      <c r="BU189" s="13" t="n"/>
      <c r="BV189" s="13" t="n"/>
      <c r="BW189" s="13" t="n"/>
      <c r="BX189" s="13" t="n"/>
      <c r="BY189" s="13" t="n"/>
      <c r="BZ189" s="13" t="n"/>
      <c r="CA189" s="14" t="n"/>
      <c r="CB189" s="13" t="n"/>
      <c r="CC189" s="9" t="n"/>
      <c r="CD189" s="9" t="n"/>
      <c r="CE189" s="9" t="n"/>
      <c r="CF189" s="9" t="n"/>
      <c r="CG189" s="9" t="n"/>
      <c r="CH189" s="9" t="n"/>
    </row>
    <row r="190">
      <c r="A190" s="8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8" t="n"/>
      <c r="L190" s="9" t="n"/>
      <c r="M190" s="8" t="n"/>
      <c r="N190" s="8" t="n"/>
      <c r="O190" s="8" t="n"/>
      <c r="P190" s="8" t="n"/>
      <c r="Q190" s="8" t="n"/>
      <c r="R190" s="9" t="n"/>
      <c r="S190" s="9" t="n"/>
      <c r="T190" s="10" t="n"/>
      <c r="U190" s="10" t="n"/>
      <c r="V190" s="9" t="n"/>
      <c r="W190" s="9" t="n"/>
      <c r="X190" s="9" t="n"/>
      <c r="Y190" s="9" t="n"/>
      <c r="Z190" s="11" t="n"/>
      <c r="AA190" s="11" t="n"/>
      <c r="AB190" s="11" t="n"/>
      <c r="AC190" s="11" t="n"/>
      <c r="AD190" s="11" t="n"/>
      <c r="AE190" s="11" t="n"/>
      <c r="AF190" s="9" t="n"/>
      <c r="AG190" s="9" t="n"/>
      <c r="AH190" s="9" t="n"/>
      <c r="AI190" s="9" t="n"/>
      <c r="AJ190" s="8" t="n"/>
      <c r="AK190" s="9" t="n"/>
      <c r="AL190" s="9" t="n"/>
      <c r="AM190" s="9" t="n"/>
      <c r="AN190" s="9" t="n"/>
      <c r="AO190" s="9" t="n"/>
      <c r="AP190" s="9" t="n"/>
      <c r="AQ190" s="9" t="n"/>
      <c r="AR190" s="9" t="n"/>
      <c r="AS190" s="9" t="n"/>
      <c r="AT190" s="8" t="n"/>
      <c r="AU190" s="8" t="n"/>
      <c r="AV190" s="9" t="n"/>
      <c r="AW190" s="8" t="n"/>
      <c r="AX190" s="9" t="n"/>
      <c r="AY190" s="9" t="n"/>
      <c r="AZ190" s="9" t="n"/>
      <c r="BA190" s="9" t="n"/>
      <c r="BB190" s="9" t="n"/>
      <c r="BC190" s="9" t="n"/>
      <c r="BD190" s="9" t="n"/>
      <c r="BE190" s="9" t="n"/>
      <c r="BF190" s="9" t="n"/>
      <c r="BG190" s="9" t="n"/>
      <c r="BH190" s="9" t="n"/>
      <c r="BI190" s="9" t="n"/>
      <c r="BJ190" s="9" t="n"/>
      <c r="BK190" s="9" t="n"/>
      <c r="BL190" s="9" t="n"/>
      <c r="BM190" s="9" t="n"/>
      <c r="BN190" s="9" t="n"/>
      <c r="BO190" s="8" t="n"/>
      <c r="BP190" s="9" t="n"/>
      <c r="BQ190" s="9" t="n"/>
      <c r="BR190" s="12">
        <f>IF(AND(AI190="Y",AK190="Y",AL190="Y",AM190="Y",AY190="Y",AZ190="Y",BA190="Y",BB190="Y",BC190="Y",BE190&lt;&gt;"Y",AX190&lt;&gt;"Y",BL190&lt;&gt;"Y",IF(AS190="Y",AV190="Y",TRUE)),"Y","N")</f>
        <v/>
      </c>
      <c r="BS190" s="12">
        <f>IF(AND(BR190="Y",OR(AND(BJ190="Y",BM190="Y"),AND(BK190="Y",BN190="Y"),AND(BJ190&lt;&gt;"Y",BK190&lt;&gt;"Y",OR(BM190="Y",BN190="Y")))),"Y","N")</f>
        <v/>
      </c>
      <c r="BT190" s="10" t="n"/>
      <c r="BU190" s="13" t="n"/>
      <c r="BV190" s="13" t="n"/>
      <c r="BW190" s="13" t="n"/>
      <c r="BX190" s="13" t="n"/>
      <c r="BY190" s="13" t="n"/>
      <c r="BZ190" s="13" t="n"/>
      <c r="CA190" s="14" t="n"/>
      <c r="CB190" s="13" t="n"/>
      <c r="CC190" s="9" t="n"/>
      <c r="CD190" s="9" t="n"/>
      <c r="CE190" s="9" t="n"/>
      <c r="CF190" s="9" t="n"/>
      <c r="CG190" s="9" t="n"/>
      <c r="CH190" s="9" t="n"/>
    </row>
    <row r="191">
      <c r="A191" s="8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8" t="n"/>
      <c r="L191" s="9" t="n"/>
      <c r="M191" s="8" t="n"/>
      <c r="N191" s="8" t="n"/>
      <c r="O191" s="8" t="n"/>
      <c r="P191" s="8" t="n"/>
      <c r="Q191" s="8" t="n"/>
      <c r="R191" s="9" t="n"/>
      <c r="S191" s="9" t="n"/>
      <c r="T191" s="10" t="n"/>
      <c r="U191" s="10" t="n"/>
      <c r="V191" s="9" t="n"/>
      <c r="W191" s="9" t="n"/>
      <c r="X191" s="9" t="n"/>
      <c r="Y191" s="9" t="n"/>
      <c r="Z191" s="11" t="n"/>
      <c r="AA191" s="11" t="n"/>
      <c r="AB191" s="11" t="n"/>
      <c r="AC191" s="11" t="n"/>
      <c r="AD191" s="11" t="n"/>
      <c r="AE191" s="11" t="n"/>
      <c r="AF191" s="9" t="n"/>
      <c r="AG191" s="9" t="n"/>
      <c r="AH191" s="9" t="n"/>
      <c r="AI191" s="9" t="n"/>
      <c r="AJ191" s="8" t="n"/>
      <c r="AK191" s="9" t="n"/>
      <c r="AL191" s="9" t="n"/>
      <c r="AM191" s="9" t="n"/>
      <c r="AN191" s="9" t="n"/>
      <c r="AO191" s="9" t="n"/>
      <c r="AP191" s="9" t="n"/>
      <c r="AQ191" s="9" t="n"/>
      <c r="AR191" s="9" t="n"/>
      <c r="AS191" s="9" t="n"/>
      <c r="AT191" s="8" t="n"/>
      <c r="AU191" s="8" t="n"/>
      <c r="AV191" s="9" t="n"/>
      <c r="AW191" s="8" t="n"/>
      <c r="AX191" s="9" t="n"/>
      <c r="AY191" s="9" t="n"/>
      <c r="AZ191" s="9" t="n"/>
      <c r="BA191" s="9" t="n"/>
      <c r="BB191" s="9" t="n"/>
      <c r="BC191" s="9" t="n"/>
      <c r="BD191" s="9" t="n"/>
      <c r="BE191" s="9" t="n"/>
      <c r="BF191" s="9" t="n"/>
      <c r="BG191" s="9" t="n"/>
      <c r="BH191" s="9" t="n"/>
      <c r="BI191" s="9" t="n"/>
      <c r="BJ191" s="9" t="n"/>
      <c r="BK191" s="9" t="n"/>
      <c r="BL191" s="9" t="n"/>
      <c r="BM191" s="9" t="n"/>
      <c r="BN191" s="9" t="n"/>
      <c r="BO191" s="8" t="n"/>
      <c r="BP191" s="9" t="n"/>
      <c r="BQ191" s="9" t="n"/>
      <c r="BR191" s="12">
        <f>IF(AND(AI191="Y",AK191="Y",AL191="Y",AM191="Y",AY191="Y",AZ191="Y",BA191="Y",BB191="Y",BC191="Y",BE191&lt;&gt;"Y",AX191&lt;&gt;"Y",BL191&lt;&gt;"Y",IF(AS191="Y",AV191="Y",TRUE)),"Y","N")</f>
        <v/>
      </c>
      <c r="BS191" s="12">
        <f>IF(AND(BR191="Y",OR(AND(BJ191="Y",BM191="Y"),AND(BK191="Y",BN191="Y"),AND(BJ191&lt;&gt;"Y",BK191&lt;&gt;"Y",OR(BM191="Y",BN191="Y")))),"Y","N")</f>
        <v/>
      </c>
      <c r="BT191" s="10" t="n"/>
      <c r="BU191" s="13" t="n"/>
      <c r="BV191" s="13" t="n"/>
      <c r="BW191" s="13" t="n"/>
      <c r="BX191" s="13" t="n"/>
      <c r="BY191" s="13" t="n"/>
      <c r="BZ191" s="13" t="n"/>
      <c r="CA191" s="14" t="n"/>
      <c r="CB191" s="13" t="n"/>
      <c r="CC191" s="9" t="n"/>
      <c r="CD191" s="9" t="n"/>
      <c r="CE191" s="9" t="n"/>
      <c r="CF191" s="9" t="n"/>
      <c r="CG191" s="9" t="n"/>
      <c r="CH191" s="9" t="n"/>
    </row>
    <row r="192">
      <c r="A192" s="8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8" t="n"/>
      <c r="L192" s="9" t="n"/>
      <c r="M192" s="8" t="n"/>
      <c r="N192" s="8" t="n"/>
      <c r="O192" s="8" t="n"/>
      <c r="P192" s="8" t="n"/>
      <c r="Q192" s="8" t="n"/>
      <c r="R192" s="9" t="n"/>
      <c r="S192" s="9" t="n"/>
      <c r="T192" s="10" t="n"/>
      <c r="U192" s="10" t="n"/>
      <c r="V192" s="9" t="n"/>
      <c r="W192" s="9" t="n"/>
      <c r="X192" s="9" t="n"/>
      <c r="Y192" s="9" t="n"/>
      <c r="Z192" s="11" t="n"/>
      <c r="AA192" s="11" t="n"/>
      <c r="AB192" s="11" t="n"/>
      <c r="AC192" s="11" t="n"/>
      <c r="AD192" s="11" t="n"/>
      <c r="AE192" s="11" t="n"/>
      <c r="AF192" s="9" t="n"/>
      <c r="AG192" s="9" t="n"/>
      <c r="AH192" s="9" t="n"/>
      <c r="AI192" s="9" t="n"/>
      <c r="AJ192" s="8" t="n"/>
      <c r="AK192" s="9" t="n"/>
      <c r="AL192" s="9" t="n"/>
      <c r="AM192" s="9" t="n"/>
      <c r="AN192" s="9" t="n"/>
      <c r="AO192" s="9" t="n"/>
      <c r="AP192" s="9" t="n"/>
      <c r="AQ192" s="9" t="n"/>
      <c r="AR192" s="9" t="n"/>
      <c r="AS192" s="9" t="n"/>
      <c r="AT192" s="8" t="n"/>
      <c r="AU192" s="8" t="n"/>
      <c r="AV192" s="9" t="n"/>
      <c r="AW192" s="8" t="n"/>
      <c r="AX192" s="9" t="n"/>
      <c r="AY192" s="9" t="n"/>
      <c r="AZ192" s="9" t="n"/>
      <c r="BA192" s="9" t="n"/>
      <c r="BB192" s="9" t="n"/>
      <c r="BC192" s="9" t="n"/>
      <c r="BD192" s="9" t="n"/>
      <c r="BE192" s="9" t="n"/>
      <c r="BF192" s="9" t="n"/>
      <c r="BG192" s="9" t="n"/>
      <c r="BH192" s="9" t="n"/>
      <c r="BI192" s="9" t="n"/>
      <c r="BJ192" s="9" t="n"/>
      <c r="BK192" s="9" t="n"/>
      <c r="BL192" s="9" t="n"/>
      <c r="BM192" s="9" t="n"/>
      <c r="BN192" s="9" t="n"/>
      <c r="BO192" s="8" t="n"/>
      <c r="BP192" s="9" t="n"/>
      <c r="BQ192" s="9" t="n"/>
      <c r="BR192" s="12">
        <f>IF(AND(AI192="Y",AK192="Y",AL192="Y",AM192="Y",AY192="Y",AZ192="Y",BA192="Y",BB192="Y",BC192="Y",BE192&lt;&gt;"Y",AX192&lt;&gt;"Y",BL192&lt;&gt;"Y",IF(AS192="Y",AV192="Y",TRUE)),"Y","N")</f>
        <v/>
      </c>
      <c r="BS192" s="12">
        <f>IF(AND(BR192="Y",OR(AND(BJ192="Y",BM192="Y"),AND(BK192="Y",BN192="Y"),AND(BJ192&lt;&gt;"Y",BK192&lt;&gt;"Y",OR(BM192="Y",BN192="Y")))),"Y","N")</f>
        <v/>
      </c>
      <c r="BT192" s="10" t="n"/>
      <c r="BU192" s="13" t="n"/>
      <c r="BV192" s="13" t="n"/>
      <c r="BW192" s="13" t="n"/>
      <c r="BX192" s="13" t="n"/>
      <c r="BY192" s="13" t="n"/>
      <c r="BZ192" s="13" t="n"/>
      <c r="CA192" s="14" t="n"/>
      <c r="CB192" s="13" t="n"/>
      <c r="CC192" s="9" t="n"/>
      <c r="CD192" s="9" t="n"/>
      <c r="CE192" s="9" t="n"/>
      <c r="CF192" s="9" t="n"/>
      <c r="CG192" s="9" t="n"/>
      <c r="CH192" s="9" t="n"/>
    </row>
    <row r="193">
      <c r="A193" s="8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8" t="n"/>
      <c r="L193" s="9" t="n"/>
      <c r="M193" s="8" t="n"/>
      <c r="N193" s="8" t="n"/>
      <c r="O193" s="8" t="n"/>
      <c r="P193" s="8" t="n"/>
      <c r="Q193" s="8" t="n"/>
      <c r="R193" s="9" t="n"/>
      <c r="S193" s="9" t="n"/>
      <c r="T193" s="10" t="n"/>
      <c r="U193" s="10" t="n"/>
      <c r="V193" s="9" t="n"/>
      <c r="W193" s="9" t="n"/>
      <c r="X193" s="9" t="n"/>
      <c r="Y193" s="9" t="n"/>
      <c r="Z193" s="11" t="n"/>
      <c r="AA193" s="11" t="n"/>
      <c r="AB193" s="11" t="n"/>
      <c r="AC193" s="11" t="n"/>
      <c r="AD193" s="11" t="n"/>
      <c r="AE193" s="11" t="n"/>
      <c r="AF193" s="9" t="n"/>
      <c r="AG193" s="9" t="n"/>
      <c r="AH193" s="9" t="n"/>
      <c r="AI193" s="9" t="n"/>
      <c r="AJ193" s="8" t="n"/>
      <c r="AK193" s="9" t="n"/>
      <c r="AL193" s="9" t="n"/>
      <c r="AM193" s="9" t="n"/>
      <c r="AN193" s="9" t="n"/>
      <c r="AO193" s="9" t="n"/>
      <c r="AP193" s="9" t="n"/>
      <c r="AQ193" s="9" t="n"/>
      <c r="AR193" s="9" t="n"/>
      <c r="AS193" s="9" t="n"/>
      <c r="AT193" s="8" t="n"/>
      <c r="AU193" s="8" t="n"/>
      <c r="AV193" s="9" t="n"/>
      <c r="AW193" s="8" t="n"/>
      <c r="AX193" s="9" t="n"/>
      <c r="AY193" s="9" t="n"/>
      <c r="AZ193" s="9" t="n"/>
      <c r="BA193" s="9" t="n"/>
      <c r="BB193" s="9" t="n"/>
      <c r="BC193" s="9" t="n"/>
      <c r="BD193" s="9" t="n"/>
      <c r="BE193" s="9" t="n"/>
      <c r="BF193" s="9" t="n"/>
      <c r="BG193" s="9" t="n"/>
      <c r="BH193" s="9" t="n"/>
      <c r="BI193" s="9" t="n"/>
      <c r="BJ193" s="9" t="n"/>
      <c r="BK193" s="9" t="n"/>
      <c r="BL193" s="9" t="n"/>
      <c r="BM193" s="9" t="n"/>
      <c r="BN193" s="9" t="n"/>
      <c r="BO193" s="8" t="n"/>
      <c r="BP193" s="9" t="n"/>
      <c r="BQ193" s="9" t="n"/>
      <c r="BR193" s="12">
        <f>IF(AND(AI193="Y",AK193="Y",AL193="Y",AM193="Y",AY193="Y",AZ193="Y",BA193="Y",BB193="Y",BC193="Y",BE193&lt;&gt;"Y",AX193&lt;&gt;"Y",BL193&lt;&gt;"Y",IF(AS193="Y",AV193="Y",TRUE)),"Y","N")</f>
        <v/>
      </c>
      <c r="BS193" s="12">
        <f>IF(AND(BR193="Y",OR(AND(BJ193="Y",BM193="Y"),AND(BK193="Y",BN193="Y"),AND(BJ193&lt;&gt;"Y",BK193&lt;&gt;"Y",OR(BM193="Y",BN193="Y")))),"Y","N")</f>
        <v/>
      </c>
      <c r="BT193" s="10" t="n"/>
      <c r="BU193" s="13" t="n"/>
      <c r="BV193" s="13" t="n"/>
      <c r="BW193" s="13" t="n"/>
      <c r="BX193" s="13" t="n"/>
      <c r="BY193" s="13" t="n"/>
      <c r="BZ193" s="13" t="n"/>
      <c r="CA193" s="14" t="n"/>
      <c r="CB193" s="13" t="n"/>
      <c r="CC193" s="9" t="n"/>
      <c r="CD193" s="9" t="n"/>
      <c r="CE193" s="9" t="n"/>
      <c r="CF193" s="9" t="n"/>
      <c r="CG193" s="9" t="n"/>
      <c r="CH193" s="9" t="n"/>
    </row>
    <row r="194">
      <c r="A194" s="8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8" t="n"/>
      <c r="L194" s="9" t="n"/>
      <c r="M194" s="8" t="n"/>
      <c r="N194" s="8" t="n"/>
      <c r="O194" s="8" t="n"/>
      <c r="P194" s="8" t="n"/>
      <c r="Q194" s="8" t="n"/>
      <c r="R194" s="9" t="n"/>
      <c r="S194" s="9" t="n"/>
      <c r="T194" s="10" t="n"/>
      <c r="U194" s="10" t="n"/>
      <c r="V194" s="9" t="n"/>
      <c r="W194" s="9" t="n"/>
      <c r="X194" s="9" t="n"/>
      <c r="Y194" s="9" t="n"/>
      <c r="Z194" s="11" t="n"/>
      <c r="AA194" s="11" t="n"/>
      <c r="AB194" s="11" t="n"/>
      <c r="AC194" s="11" t="n"/>
      <c r="AD194" s="11" t="n"/>
      <c r="AE194" s="11" t="n"/>
      <c r="AF194" s="9" t="n"/>
      <c r="AG194" s="9" t="n"/>
      <c r="AH194" s="9" t="n"/>
      <c r="AI194" s="9" t="n"/>
      <c r="AJ194" s="8" t="n"/>
      <c r="AK194" s="9" t="n"/>
      <c r="AL194" s="9" t="n"/>
      <c r="AM194" s="9" t="n"/>
      <c r="AN194" s="9" t="n"/>
      <c r="AO194" s="9" t="n"/>
      <c r="AP194" s="9" t="n"/>
      <c r="AQ194" s="9" t="n"/>
      <c r="AR194" s="9" t="n"/>
      <c r="AS194" s="9" t="n"/>
      <c r="AT194" s="8" t="n"/>
      <c r="AU194" s="8" t="n"/>
      <c r="AV194" s="9" t="n"/>
      <c r="AW194" s="8" t="n"/>
      <c r="AX194" s="9" t="n"/>
      <c r="AY194" s="9" t="n"/>
      <c r="AZ194" s="9" t="n"/>
      <c r="BA194" s="9" t="n"/>
      <c r="BB194" s="9" t="n"/>
      <c r="BC194" s="9" t="n"/>
      <c r="BD194" s="9" t="n"/>
      <c r="BE194" s="9" t="n"/>
      <c r="BF194" s="9" t="n"/>
      <c r="BG194" s="9" t="n"/>
      <c r="BH194" s="9" t="n"/>
      <c r="BI194" s="9" t="n"/>
      <c r="BJ194" s="9" t="n"/>
      <c r="BK194" s="9" t="n"/>
      <c r="BL194" s="9" t="n"/>
      <c r="BM194" s="9" t="n"/>
      <c r="BN194" s="9" t="n"/>
      <c r="BO194" s="8" t="n"/>
      <c r="BP194" s="9" t="n"/>
      <c r="BQ194" s="9" t="n"/>
      <c r="BR194" s="12">
        <f>IF(AND(AI194="Y",AK194="Y",AL194="Y",AM194="Y",AY194="Y",AZ194="Y",BA194="Y",BB194="Y",BC194="Y",BE194&lt;&gt;"Y",AX194&lt;&gt;"Y",BL194&lt;&gt;"Y",IF(AS194="Y",AV194="Y",TRUE)),"Y","N")</f>
        <v/>
      </c>
      <c r="BS194" s="12">
        <f>IF(AND(BR194="Y",OR(AND(BJ194="Y",BM194="Y"),AND(BK194="Y",BN194="Y"),AND(BJ194&lt;&gt;"Y",BK194&lt;&gt;"Y",OR(BM194="Y",BN194="Y")))),"Y","N")</f>
        <v/>
      </c>
      <c r="BT194" s="10" t="n"/>
      <c r="BU194" s="13" t="n"/>
      <c r="BV194" s="13" t="n"/>
      <c r="BW194" s="13" t="n"/>
      <c r="BX194" s="13" t="n"/>
      <c r="BY194" s="13" t="n"/>
      <c r="BZ194" s="13" t="n"/>
      <c r="CA194" s="14" t="n"/>
      <c r="CB194" s="13" t="n"/>
      <c r="CC194" s="9" t="n"/>
      <c r="CD194" s="9" t="n"/>
      <c r="CE194" s="9" t="n"/>
      <c r="CF194" s="9" t="n"/>
      <c r="CG194" s="9" t="n"/>
      <c r="CH194" s="9" t="n"/>
    </row>
    <row r="195">
      <c r="A195" s="8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8" t="n"/>
      <c r="L195" s="9" t="n"/>
      <c r="M195" s="8" t="n"/>
      <c r="N195" s="8" t="n"/>
      <c r="O195" s="8" t="n"/>
      <c r="P195" s="8" t="n"/>
      <c r="Q195" s="8" t="n"/>
      <c r="R195" s="9" t="n"/>
      <c r="S195" s="9" t="n"/>
      <c r="T195" s="10" t="n"/>
      <c r="U195" s="10" t="n"/>
      <c r="V195" s="9" t="n"/>
      <c r="W195" s="9" t="n"/>
      <c r="X195" s="9" t="n"/>
      <c r="Y195" s="9" t="n"/>
      <c r="Z195" s="11" t="n"/>
      <c r="AA195" s="11" t="n"/>
      <c r="AB195" s="11" t="n"/>
      <c r="AC195" s="11" t="n"/>
      <c r="AD195" s="11" t="n"/>
      <c r="AE195" s="11" t="n"/>
      <c r="AF195" s="9" t="n"/>
      <c r="AG195" s="9" t="n"/>
      <c r="AH195" s="9" t="n"/>
      <c r="AI195" s="9" t="n"/>
      <c r="AJ195" s="8" t="n"/>
      <c r="AK195" s="9" t="n"/>
      <c r="AL195" s="9" t="n"/>
      <c r="AM195" s="9" t="n"/>
      <c r="AN195" s="9" t="n"/>
      <c r="AO195" s="9" t="n"/>
      <c r="AP195" s="9" t="n"/>
      <c r="AQ195" s="9" t="n"/>
      <c r="AR195" s="9" t="n"/>
      <c r="AS195" s="9" t="n"/>
      <c r="AT195" s="8" t="n"/>
      <c r="AU195" s="8" t="n"/>
      <c r="AV195" s="9" t="n"/>
      <c r="AW195" s="8" t="n"/>
      <c r="AX195" s="9" t="n"/>
      <c r="AY195" s="9" t="n"/>
      <c r="AZ195" s="9" t="n"/>
      <c r="BA195" s="9" t="n"/>
      <c r="BB195" s="9" t="n"/>
      <c r="BC195" s="9" t="n"/>
      <c r="BD195" s="9" t="n"/>
      <c r="BE195" s="9" t="n"/>
      <c r="BF195" s="9" t="n"/>
      <c r="BG195" s="9" t="n"/>
      <c r="BH195" s="9" t="n"/>
      <c r="BI195" s="9" t="n"/>
      <c r="BJ195" s="9" t="n"/>
      <c r="BK195" s="9" t="n"/>
      <c r="BL195" s="9" t="n"/>
      <c r="BM195" s="9" t="n"/>
      <c r="BN195" s="9" t="n"/>
      <c r="BO195" s="8" t="n"/>
      <c r="BP195" s="9" t="n"/>
      <c r="BQ195" s="9" t="n"/>
      <c r="BR195" s="12">
        <f>IF(AND(AI195="Y",AK195="Y",AL195="Y",AM195="Y",AY195="Y",AZ195="Y",BA195="Y",BB195="Y",BC195="Y",BE195&lt;&gt;"Y",AX195&lt;&gt;"Y",BL195&lt;&gt;"Y",IF(AS195="Y",AV195="Y",TRUE)),"Y","N")</f>
        <v/>
      </c>
      <c r="BS195" s="12">
        <f>IF(AND(BR195="Y",OR(AND(BJ195="Y",BM195="Y"),AND(BK195="Y",BN195="Y"),AND(BJ195&lt;&gt;"Y",BK195&lt;&gt;"Y",OR(BM195="Y",BN195="Y")))),"Y","N")</f>
        <v/>
      </c>
      <c r="BT195" s="10" t="n"/>
      <c r="BU195" s="13" t="n"/>
      <c r="BV195" s="13" t="n"/>
      <c r="BW195" s="13" t="n"/>
      <c r="BX195" s="13" t="n"/>
      <c r="BY195" s="13" t="n"/>
      <c r="BZ195" s="13" t="n"/>
      <c r="CA195" s="14" t="n"/>
      <c r="CB195" s="13" t="n"/>
      <c r="CC195" s="9" t="n"/>
      <c r="CD195" s="9" t="n"/>
      <c r="CE195" s="9" t="n"/>
      <c r="CF195" s="9" t="n"/>
      <c r="CG195" s="9" t="n"/>
      <c r="CH195" s="9" t="n"/>
    </row>
    <row r="196">
      <c r="A196" s="8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8" t="n"/>
      <c r="L196" s="9" t="n"/>
      <c r="M196" s="8" t="n"/>
      <c r="N196" s="8" t="n"/>
      <c r="O196" s="8" t="n"/>
      <c r="P196" s="8" t="n"/>
      <c r="Q196" s="8" t="n"/>
      <c r="R196" s="9" t="n"/>
      <c r="S196" s="9" t="n"/>
      <c r="T196" s="10" t="n"/>
      <c r="U196" s="10" t="n"/>
      <c r="V196" s="9" t="n"/>
      <c r="W196" s="9" t="n"/>
      <c r="X196" s="9" t="n"/>
      <c r="Y196" s="9" t="n"/>
      <c r="Z196" s="11" t="n"/>
      <c r="AA196" s="11" t="n"/>
      <c r="AB196" s="11" t="n"/>
      <c r="AC196" s="11" t="n"/>
      <c r="AD196" s="11" t="n"/>
      <c r="AE196" s="11" t="n"/>
      <c r="AF196" s="9" t="n"/>
      <c r="AG196" s="9" t="n"/>
      <c r="AH196" s="9" t="n"/>
      <c r="AI196" s="9" t="n"/>
      <c r="AJ196" s="8" t="n"/>
      <c r="AK196" s="9" t="n"/>
      <c r="AL196" s="9" t="n"/>
      <c r="AM196" s="9" t="n"/>
      <c r="AN196" s="9" t="n"/>
      <c r="AO196" s="9" t="n"/>
      <c r="AP196" s="9" t="n"/>
      <c r="AQ196" s="9" t="n"/>
      <c r="AR196" s="9" t="n"/>
      <c r="AS196" s="9" t="n"/>
      <c r="AT196" s="8" t="n"/>
      <c r="AU196" s="8" t="n"/>
      <c r="AV196" s="9" t="n"/>
      <c r="AW196" s="8" t="n"/>
      <c r="AX196" s="9" t="n"/>
      <c r="AY196" s="9" t="n"/>
      <c r="AZ196" s="9" t="n"/>
      <c r="BA196" s="9" t="n"/>
      <c r="BB196" s="9" t="n"/>
      <c r="BC196" s="9" t="n"/>
      <c r="BD196" s="9" t="n"/>
      <c r="BE196" s="9" t="n"/>
      <c r="BF196" s="9" t="n"/>
      <c r="BG196" s="9" t="n"/>
      <c r="BH196" s="9" t="n"/>
      <c r="BI196" s="9" t="n"/>
      <c r="BJ196" s="9" t="n"/>
      <c r="BK196" s="9" t="n"/>
      <c r="BL196" s="9" t="n"/>
      <c r="BM196" s="9" t="n"/>
      <c r="BN196" s="9" t="n"/>
      <c r="BO196" s="8" t="n"/>
      <c r="BP196" s="9" t="n"/>
      <c r="BQ196" s="9" t="n"/>
      <c r="BR196" s="12">
        <f>IF(AND(AI196="Y",AK196="Y",AL196="Y",AM196="Y",AY196="Y",AZ196="Y",BA196="Y",BB196="Y",BC196="Y",BE196&lt;&gt;"Y",AX196&lt;&gt;"Y",BL196&lt;&gt;"Y",IF(AS196="Y",AV196="Y",TRUE)),"Y","N")</f>
        <v/>
      </c>
      <c r="BS196" s="12">
        <f>IF(AND(BR196="Y",OR(AND(BJ196="Y",BM196="Y"),AND(BK196="Y",BN196="Y"),AND(BJ196&lt;&gt;"Y",BK196&lt;&gt;"Y",OR(BM196="Y",BN196="Y")))),"Y","N")</f>
        <v/>
      </c>
      <c r="BT196" s="10" t="n"/>
      <c r="BU196" s="13" t="n"/>
      <c r="BV196" s="13" t="n"/>
      <c r="BW196" s="13" t="n"/>
      <c r="BX196" s="13" t="n"/>
      <c r="BY196" s="13" t="n"/>
      <c r="BZ196" s="13" t="n"/>
      <c r="CA196" s="14" t="n"/>
      <c r="CB196" s="13" t="n"/>
      <c r="CC196" s="9" t="n"/>
      <c r="CD196" s="9" t="n"/>
      <c r="CE196" s="9" t="n"/>
      <c r="CF196" s="9" t="n"/>
      <c r="CG196" s="9" t="n"/>
      <c r="CH196" s="9" t="n"/>
    </row>
    <row r="197">
      <c r="A197" s="8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8" t="n"/>
      <c r="L197" s="9" t="n"/>
      <c r="M197" s="8" t="n"/>
      <c r="N197" s="8" t="n"/>
      <c r="O197" s="8" t="n"/>
      <c r="P197" s="8" t="n"/>
      <c r="Q197" s="8" t="n"/>
      <c r="R197" s="9" t="n"/>
      <c r="S197" s="9" t="n"/>
      <c r="T197" s="10" t="n"/>
      <c r="U197" s="10" t="n"/>
      <c r="V197" s="9" t="n"/>
      <c r="W197" s="9" t="n"/>
      <c r="X197" s="9" t="n"/>
      <c r="Y197" s="9" t="n"/>
      <c r="Z197" s="11" t="n"/>
      <c r="AA197" s="11" t="n"/>
      <c r="AB197" s="11" t="n"/>
      <c r="AC197" s="11" t="n"/>
      <c r="AD197" s="11" t="n"/>
      <c r="AE197" s="11" t="n"/>
      <c r="AF197" s="9" t="n"/>
      <c r="AG197" s="9" t="n"/>
      <c r="AH197" s="9" t="n"/>
      <c r="AI197" s="9" t="n"/>
      <c r="AJ197" s="8" t="n"/>
      <c r="AK197" s="9" t="n"/>
      <c r="AL197" s="9" t="n"/>
      <c r="AM197" s="9" t="n"/>
      <c r="AN197" s="9" t="n"/>
      <c r="AO197" s="9" t="n"/>
      <c r="AP197" s="9" t="n"/>
      <c r="AQ197" s="9" t="n"/>
      <c r="AR197" s="9" t="n"/>
      <c r="AS197" s="9" t="n"/>
      <c r="AT197" s="8" t="n"/>
      <c r="AU197" s="8" t="n"/>
      <c r="AV197" s="9" t="n"/>
      <c r="AW197" s="8" t="n"/>
      <c r="AX197" s="9" t="n"/>
      <c r="AY197" s="9" t="n"/>
      <c r="AZ197" s="9" t="n"/>
      <c r="BA197" s="9" t="n"/>
      <c r="BB197" s="9" t="n"/>
      <c r="BC197" s="9" t="n"/>
      <c r="BD197" s="9" t="n"/>
      <c r="BE197" s="9" t="n"/>
      <c r="BF197" s="9" t="n"/>
      <c r="BG197" s="9" t="n"/>
      <c r="BH197" s="9" t="n"/>
      <c r="BI197" s="9" t="n"/>
      <c r="BJ197" s="9" t="n"/>
      <c r="BK197" s="9" t="n"/>
      <c r="BL197" s="9" t="n"/>
      <c r="BM197" s="9" t="n"/>
      <c r="BN197" s="9" t="n"/>
      <c r="BO197" s="8" t="n"/>
      <c r="BP197" s="9" t="n"/>
      <c r="BQ197" s="9" t="n"/>
      <c r="BR197" s="12">
        <f>IF(AND(AI197="Y",AK197="Y",AL197="Y",AM197="Y",AY197="Y",AZ197="Y",BA197="Y",BB197="Y",BC197="Y",BE197&lt;&gt;"Y",AX197&lt;&gt;"Y",BL197&lt;&gt;"Y",IF(AS197="Y",AV197="Y",TRUE)),"Y","N")</f>
        <v/>
      </c>
      <c r="BS197" s="12">
        <f>IF(AND(BR197="Y",OR(AND(BJ197="Y",BM197="Y"),AND(BK197="Y",BN197="Y"),AND(BJ197&lt;&gt;"Y",BK197&lt;&gt;"Y",OR(BM197="Y",BN197="Y")))),"Y","N")</f>
        <v/>
      </c>
      <c r="BT197" s="10" t="n"/>
      <c r="BU197" s="13" t="n"/>
      <c r="BV197" s="13" t="n"/>
      <c r="BW197" s="13" t="n"/>
      <c r="BX197" s="13" t="n"/>
      <c r="BY197" s="13" t="n"/>
      <c r="BZ197" s="13" t="n"/>
      <c r="CA197" s="14" t="n"/>
      <c r="CB197" s="13" t="n"/>
      <c r="CC197" s="9" t="n"/>
      <c r="CD197" s="9" t="n"/>
      <c r="CE197" s="9" t="n"/>
      <c r="CF197" s="9" t="n"/>
      <c r="CG197" s="9" t="n"/>
      <c r="CH197" s="9" t="n"/>
    </row>
    <row r="198">
      <c r="A198" s="8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8" t="n"/>
      <c r="L198" s="9" t="n"/>
      <c r="M198" s="8" t="n"/>
      <c r="N198" s="8" t="n"/>
      <c r="O198" s="8" t="n"/>
      <c r="P198" s="8" t="n"/>
      <c r="Q198" s="8" t="n"/>
      <c r="R198" s="9" t="n"/>
      <c r="S198" s="9" t="n"/>
      <c r="T198" s="10" t="n"/>
      <c r="U198" s="10" t="n"/>
      <c r="V198" s="9" t="n"/>
      <c r="W198" s="9" t="n"/>
      <c r="X198" s="9" t="n"/>
      <c r="Y198" s="9" t="n"/>
      <c r="Z198" s="11" t="n"/>
      <c r="AA198" s="11" t="n"/>
      <c r="AB198" s="11" t="n"/>
      <c r="AC198" s="11" t="n"/>
      <c r="AD198" s="11" t="n"/>
      <c r="AE198" s="11" t="n"/>
      <c r="AF198" s="9" t="n"/>
      <c r="AG198" s="9" t="n"/>
      <c r="AH198" s="9" t="n"/>
      <c r="AI198" s="9" t="n"/>
      <c r="AJ198" s="8" t="n"/>
      <c r="AK198" s="9" t="n"/>
      <c r="AL198" s="9" t="n"/>
      <c r="AM198" s="9" t="n"/>
      <c r="AN198" s="9" t="n"/>
      <c r="AO198" s="9" t="n"/>
      <c r="AP198" s="9" t="n"/>
      <c r="AQ198" s="9" t="n"/>
      <c r="AR198" s="9" t="n"/>
      <c r="AS198" s="9" t="n"/>
      <c r="AT198" s="8" t="n"/>
      <c r="AU198" s="8" t="n"/>
      <c r="AV198" s="9" t="n"/>
      <c r="AW198" s="8" t="n"/>
      <c r="AX198" s="9" t="n"/>
      <c r="AY198" s="9" t="n"/>
      <c r="AZ198" s="9" t="n"/>
      <c r="BA198" s="9" t="n"/>
      <c r="BB198" s="9" t="n"/>
      <c r="BC198" s="9" t="n"/>
      <c r="BD198" s="9" t="n"/>
      <c r="BE198" s="9" t="n"/>
      <c r="BF198" s="9" t="n"/>
      <c r="BG198" s="9" t="n"/>
      <c r="BH198" s="9" t="n"/>
      <c r="BI198" s="9" t="n"/>
      <c r="BJ198" s="9" t="n"/>
      <c r="BK198" s="9" t="n"/>
      <c r="BL198" s="9" t="n"/>
      <c r="BM198" s="9" t="n"/>
      <c r="BN198" s="9" t="n"/>
      <c r="BO198" s="8" t="n"/>
      <c r="BP198" s="9" t="n"/>
      <c r="BQ198" s="9" t="n"/>
      <c r="BR198" s="12">
        <f>IF(AND(AI198="Y",AK198="Y",AL198="Y",AM198="Y",AY198="Y",AZ198="Y",BA198="Y",BB198="Y",BC198="Y",BE198&lt;&gt;"Y",AX198&lt;&gt;"Y",BL198&lt;&gt;"Y",IF(AS198="Y",AV198="Y",TRUE)),"Y","N")</f>
        <v/>
      </c>
      <c r="BS198" s="12">
        <f>IF(AND(BR198="Y",OR(AND(BJ198="Y",BM198="Y"),AND(BK198="Y",BN198="Y"),AND(BJ198&lt;&gt;"Y",BK198&lt;&gt;"Y",OR(BM198="Y",BN198="Y")))),"Y","N")</f>
        <v/>
      </c>
      <c r="BT198" s="10" t="n"/>
      <c r="BU198" s="13" t="n"/>
      <c r="BV198" s="13" t="n"/>
      <c r="BW198" s="13" t="n"/>
      <c r="BX198" s="13" t="n"/>
      <c r="BY198" s="13" t="n"/>
      <c r="BZ198" s="13" t="n"/>
      <c r="CA198" s="14" t="n"/>
      <c r="CB198" s="13" t="n"/>
      <c r="CC198" s="9" t="n"/>
      <c r="CD198" s="9" t="n"/>
      <c r="CE198" s="9" t="n"/>
      <c r="CF198" s="9" t="n"/>
      <c r="CG198" s="9" t="n"/>
      <c r="CH198" s="9" t="n"/>
    </row>
    <row r="199">
      <c r="A199" s="8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8" t="n"/>
      <c r="L199" s="9" t="n"/>
      <c r="M199" s="8" t="n"/>
      <c r="N199" s="8" t="n"/>
      <c r="O199" s="8" t="n"/>
      <c r="P199" s="8" t="n"/>
      <c r="Q199" s="8" t="n"/>
      <c r="R199" s="9" t="n"/>
      <c r="S199" s="9" t="n"/>
      <c r="T199" s="10" t="n"/>
      <c r="U199" s="10" t="n"/>
      <c r="V199" s="9" t="n"/>
      <c r="W199" s="9" t="n"/>
      <c r="X199" s="9" t="n"/>
      <c r="Y199" s="9" t="n"/>
      <c r="Z199" s="11" t="n"/>
      <c r="AA199" s="11" t="n"/>
      <c r="AB199" s="11" t="n"/>
      <c r="AC199" s="11" t="n"/>
      <c r="AD199" s="11" t="n"/>
      <c r="AE199" s="11" t="n"/>
      <c r="AF199" s="9" t="n"/>
      <c r="AG199" s="9" t="n"/>
      <c r="AH199" s="9" t="n"/>
      <c r="AI199" s="9" t="n"/>
      <c r="AJ199" s="8" t="n"/>
      <c r="AK199" s="9" t="n"/>
      <c r="AL199" s="9" t="n"/>
      <c r="AM199" s="9" t="n"/>
      <c r="AN199" s="9" t="n"/>
      <c r="AO199" s="9" t="n"/>
      <c r="AP199" s="9" t="n"/>
      <c r="AQ199" s="9" t="n"/>
      <c r="AR199" s="9" t="n"/>
      <c r="AS199" s="9" t="n"/>
      <c r="AT199" s="8" t="n"/>
      <c r="AU199" s="8" t="n"/>
      <c r="AV199" s="9" t="n"/>
      <c r="AW199" s="8" t="n"/>
      <c r="AX199" s="9" t="n"/>
      <c r="AY199" s="9" t="n"/>
      <c r="AZ199" s="9" t="n"/>
      <c r="BA199" s="9" t="n"/>
      <c r="BB199" s="9" t="n"/>
      <c r="BC199" s="9" t="n"/>
      <c r="BD199" s="9" t="n"/>
      <c r="BE199" s="9" t="n"/>
      <c r="BF199" s="9" t="n"/>
      <c r="BG199" s="9" t="n"/>
      <c r="BH199" s="9" t="n"/>
      <c r="BI199" s="9" t="n"/>
      <c r="BJ199" s="9" t="n"/>
      <c r="BK199" s="9" t="n"/>
      <c r="BL199" s="9" t="n"/>
      <c r="BM199" s="9" t="n"/>
      <c r="BN199" s="9" t="n"/>
      <c r="BO199" s="8" t="n"/>
      <c r="BP199" s="9" t="n"/>
      <c r="BQ199" s="9" t="n"/>
      <c r="BR199" s="12">
        <f>IF(AND(AI199="Y",AK199="Y",AL199="Y",AM199="Y",AY199="Y",AZ199="Y",BA199="Y",BB199="Y",BC199="Y",BE199&lt;&gt;"Y",AX199&lt;&gt;"Y",BL199&lt;&gt;"Y",IF(AS199="Y",AV199="Y",TRUE)),"Y","N")</f>
        <v/>
      </c>
      <c r="BS199" s="12">
        <f>IF(AND(BR199="Y",OR(AND(BJ199="Y",BM199="Y"),AND(BK199="Y",BN199="Y"),AND(BJ199&lt;&gt;"Y",BK199&lt;&gt;"Y",OR(BM199="Y",BN199="Y")))),"Y","N")</f>
        <v/>
      </c>
      <c r="BT199" s="10" t="n"/>
      <c r="BU199" s="13" t="n"/>
      <c r="BV199" s="13" t="n"/>
      <c r="BW199" s="13" t="n"/>
      <c r="BX199" s="13" t="n"/>
      <c r="BY199" s="13" t="n"/>
      <c r="BZ199" s="13" t="n"/>
      <c r="CA199" s="14" t="n"/>
      <c r="CB199" s="13" t="n"/>
      <c r="CC199" s="9" t="n"/>
      <c r="CD199" s="9" t="n"/>
      <c r="CE199" s="9" t="n"/>
      <c r="CF199" s="9" t="n"/>
      <c r="CG199" s="9" t="n"/>
      <c r="CH199" s="9" t="n"/>
    </row>
    <row r="200">
      <c r="A200" s="8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8" t="n"/>
      <c r="L200" s="9" t="n"/>
      <c r="M200" s="8" t="n"/>
      <c r="N200" s="8" t="n"/>
      <c r="O200" s="8" t="n"/>
      <c r="P200" s="8" t="n"/>
      <c r="Q200" s="8" t="n"/>
      <c r="R200" s="9" t="n"/>
      <c r="S200" s="9" t="n"/>
      <c r="T200" s="10" t="n"/>
      <c r="U200" s="10" t="n"/>
      <c r="V200" s="9" t="n"/>
      <c r="W200" s="9" t="n"/>
      <c r="X200" s="9" t="n"/>
      <c r="Y200" s="9" t="n"/>
      <c r="Z200" s="11" t="n"/>
      <c r="AA200" s="11" t="n"/>
      <c r="AB200" s="11" t="n"/>
      <c r="AC200" s="11" t="n"/>
      <c r="AD200" s="11" t="n"/>
      <c r="AE200" s="11" t="n"/>
      <c r="AF200" s="9" t="n"/>
      <c r="AG200" s="9" t="n"/>
      <c r="AH200" s="9" t="n"/>
      <c r="AI200" s="9" t="n"/>
      <c r="AJ200" s="8" t="n"/>
      <c r="AK200" s="9" t="n"/>
      <c r="AL200" s="9" t="n"/>
      <c r="AM200" s="9" t="n"/>
      <c r="AN200" s="9" t="n"/>
      <c r="AO200" s="9" t="n"/>
      <c r="AP200" s="9" t="n"/>
      <c r="AQ200" s="9" t="n"/>
      <c r="AR200" s="9" t="n"/>
      <c r="AS200" s="9" t="n"/>
      <c r="AT200" s="8" t="n"/>
      <c r="AU200" s="8" t="n"/>
      <c r="AV200" s="9" t="n"/>
      <c r="AW200" s="8" t="n"/>
      <c r="AX200" s="9" t="n"/>
      <c r="AY200" s="9" t="n"/>
      <c r="AZ200" s="9" t="n"/>
      <c r="BA200" s="9" t="n"/>
      <c r="BB200" s="9" t="n"/>
      <c r="BC200" s="9" t="n"/>
      <c r="BD200" s="9" t="n"/>
      <c r="BE200" s="9" t="n"/>
      <c r="BF200" s="9" t="n"/>
      <c r="BG200" s="9" t="n"/>
      <c r="BH200" s="9" t="n"/>
      <c r="BI200" s="9" t="n"/>
      <c r="BJ200" s="9" t="n"/>
      <c r="BK200" s="9" t="n"/>
      <c r="BL200" s="9" t="n"/>
      <c r="BM200" s="9" t="n"/>
      <c r="BN200" s="9" t="n"/>
      <c r="BO200" s="8" t="n"/>
      <c r="BP200" s="9" t="n"/>
      <c r="BQ200" s="9" t="n"/>
      <c r="BR200" s="12">
        <f>IF(AND(AI200="Y",AK200="Y",AL200="Y",AM200="Y",AY200="Y",AZ200="Y",BA200="Y",BB200="Y",BC200="Y",BE200&lt;&gt;"Y",AX200&lt;&gt;"Y",BL200&lt;&gt;"Y",IF(AS200="Y",AV200="Y",TRUE)),"Y","N")</f>
        <v/>
      </c>
      <c r="BS200" s="12">
        <f>IF(AND(BR200="Y",OR(AND(BJ200="Y",BM200="Y"),AND(BK200="Y",BN200="Y"),AND(BJ200&lt;&gt;"Y",BK200&lt;&gt;"Y",OR(BM200="Y",BN200="Y")))),"Y","N")</f>
        <v/>
      </c>
      <c r="BT200" s="10" t="n"/>
      <c r="BU200" s="13" t="n"/>
      <c r="BV200" s="13" t="n"/>
      <c r="BW200" s="13" t="n"/>
      <c r="BX200" s="13" t="n"/>
      <c r="BY200" s="13" t="n"/>
      <c r="BZ200" s="13" t="n"/>
      <c r="CA200" s="14" t="n"/>
      <c r="CB200" s="13" t="n"/>
      <c r="CC200" s="9" t="n"/>
      <c r="CD200" s="9" t="n"/>
      <c r="CE200" s="9" t="n"/>
      <c r="CF200" s="9" t="n"/>
      <c r="CG200" s="9" t="n"/>
      <c r="CH200" s="9" t="n"/>
    </row>
    <row r="201">
      <c r="A201" s="8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8" t="n"/>
      <c r="L201" s="9" t="n"/>
      <c r="M201" s="8" t="n"/>
      <c r="N201" s="8" t="n"/>
      <c r="O201" s="8" t="n"/>
      <c r="P201" s="8" t="n"/>
      <c r="Q201" s="8" t="n"/>
      <c r="R201" s="9" t="n"/>
      <c r="S201" s="9" t="n"/>
      <c r="T201" s="10" t="n"/>
      <c r="U201" s="10" t="n"/>
      <c r="V201" s="9" t="n"/>
      <c r="W201" s="9" t="n"/>
      <c r="X201" s="9" t="n"/>
      <c r="Y201" s="9" t="n"/>
      <c r="Z201" s="11" t="n"/>
      <c r="AA201" s="11" t="n"/>
      <c r="AB201" s="11" t="n"/>
      <c r="AC201" s="11" t="n"/>
      <c r="AD201" s="11" t="n"/>
      <c r="AE201" s="11" t="n"/>
      <c r="AF201" s="9" t="n"/>
      <c r="AG201" s="9" t="n"/>
      <c r="AH201" s="9" t="n"/>
      <c r="AI201" s="9" t="n"/>
      <c r="AJ201" s="8" t="n"/>
      <c r="AK201" s="9" t="n"/>
      <c r="AL201" s="9" t="n"/>
      <c r="AM201" s="9" t="n"/>
      <c r="AN201" s="9" t="n"/>
      <c r="AO201" s="9" t="n"/>
      <c r="AP201" s="9" t="n"/>
      <c r="AQ201" s="9" t="n"/>
      <c r="AR201" s="9" t="n"/>
      <c r="AS201" s="9" t="n"/>
      <c r="AT201" s="8" t="n"/>
      <c r="AU201" s="8" t="n"/>
      <c r="AV201" s="9" t="n"/>
      <c r="AW201" s="8" t="n"/>
      <c r="AX201" s="9" t="n"/>
      <c r="AY201" s="9" t="n"/>
      <c r="AZ201" s="9" t="n"/>
      <c r="BA201" s="9" t="n"/>
      <c r="BB201" s="9" t="n"/>
      <c r="BC201" s="9" t="n"/>
      <c r="BD201" s="9" t="n"/>
      <c r="BE201" s="9" t="n"/>
      <c r="BF201" s="9" t="n"/>
      <c r="BG201" s="9" t="n"/>
      <c r="BH201" s="9" t="n"/>
      <c r="BI201" s="9" t="n"/>
      <c r="BJ201" s="9" t="n"/>
      <c r="BK201" s="9" t="n"/>
      <c r="BL201" s="9" t="n"/>
      <c r="BM201" s="9" t="n"/>
      <c r="BN201" s="9" t="n"/>
      <c r="BO201" s="8" t="n"/>
      <c r="BP201" s="9" t="n"/>
      <c r="BQ201" s="9" t="n"/>
      <c r="BR201" s="12">
        <f>IF(AND(AI201="Y",AK201="Y",AL201="Y",AM201="Y",AY201="Y",AZ201="Y",BA201="Y",BB201="Y",BC201="Y",BE201&lt;&gt;"Y",AX201&lt;&gt;"Y",BL201&lt;&gt;"Y",IF(AS201="Y",AV201="Y",TRUE)),"Y","N")</f>
        <v/>
      </c>
      <c r="BS201" s="12">
        <f>IF(AND(BR201="Y",OR(AND(BJ201="Y",BM201="Y"),AND(BK201="Y",BN201="Y"),AND(BJ201&lt;&gt;"Y",BK201&lt;&gt;"Y",OR(BM201="Y",BN201="Y")))),"Y","N")</f>
        <v/>
      </c>
      <c r="BT201" s="10" t="n"/>
      <c r="BU201" s="13" t="n"/>
      <c r="BV201" s="13" t="n"/>
      <c r="BW201" s="13" t="n"/>
      <c r="BX201" s="13" t="n"/>
      <c r="BY201" s="13" t="n"/>
      <c r="BZ201" s="13" t="n"/>
      <c r="CA201" s="14" t="n"/>
      <c r="CB201" s="13" t="n"/>
      <c r="CC201" s="9" t="n"/>
      <c r="CD201" s="9" t="n"/>
      <c r="CE201" s="9" t="n"/>
      <c r="CF201" s="9" t="n"/>
      <c r="CG201" s="9" t="n"/>
      <c r="CH201" s="9" t="n"/>
    </row>
    <row r="202">
      <c r="A202" s="8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8" t="n"/>
      <c r="L202" s="9" t="n"/>
      <c r="M202" s="8" t="n"/>
      <c r="N202" s="8" t="n"/>
      <c r="O202" s="8" t="n"/>
      <c r="P202" s="8" t="n"/>
      <c r="Q202" s="8" t="n"/>
      <c r="R202" s="9" t="n"/>
      <c r="S202" s="9" t="n"/>
      <c r="T202" s="10" t="n"/>
      <c r="U202" s="10" t="n"/>
      <c r="V202" s="9" t="n"/>
      <c r="W202" s="9" t="n"/>
      <c r="X202" s="9" t="n"/>
      <c r="Y202" s="9" t="n"/>
      <c r="Z202" s="11" t="n"/>
      <c r="AA202" s="11" t="n"/>
      <c r="AB202" s="11" t="n"/>
      <c r="AC202" s="11" t="n"/>
      <c r="AD202" s="11" t="n"/>
      <c r="AE202" s="11" t="n"/>
      <c r="AF202" s="9" t="n"/>
      <c r="AG202" s="9" t="n"/>
      <c r="AH202" s="9" t="n"/>
      <c r="AI202" s="9" t="n"/>
      <c r="AJ202" s="8" t="n"/>
      <c r="AK202" s="9" t="n"/>
      <c r="AL202" s="9" t="n"/>
      <c r="AM202" s="9" t="n"/>
      <c r="AN202" s="9" t="n"/>
      <c r="AO202" s="9" t="n"/>
      <c r="AP202" s="9" t="n"/>
      <c r="AQ202" s="9" t="n"/>
      <c r="AR202" s="9" t="n"/>
      <c r="AS202" s="9" t="n"/>
      <c r="AT202" s="8" t="n"/>
      <c r="AU202" s="8" t="n"/>
      <c r="AV202" s="9" t="n"/>
      <c r="AW202" s="8" t="n"/>
      <c r="AX202" s="9" t="n"/>
      <c r="AY202" s="9" t="n"/>
      <c r="AZ202" s="9" t="n"/>
      <c r="BA202" s="9" t="n"/>
      <c r="BB202" s="9" t="n"/>
      <c r="BC202" s="9" t="n"/>
      <c r="BD202" s="9" t="n"/>
      <c r="BE202" s="9" t="n"/>
      <c r="BF202" s="9" t="n"/>
      <c r="BG202" s="9" t="n"/>
      <c r="BH202" s="9" t="n"/>
      <c r="BI202" s="9" t="n"/>
      <c r="BJ202" s="9" t="n"/>
      <c r="BK202" s="9" t="n"/>
      <c r="BL202" s="9" t="n"/>
      <c r="BM202" s="9" t="n"/>
      <c r="BN202" s="9" t="n"/>
      <c r="BO202" s="8" t="n"/>
      <c r="BP202" s="9" t="n"/>
      <c r="BQ202" s="9" t="n"/>
      <c r="BR202" s="12">
        <f>IF(AND(AI202="Y",AK202="Y",AL202="Y",AM202="Y",AY202="Y",AZ202="Y",BA202="Y",BB202="Y",BC202="Y",BE202&lt;&gt;"Y",AX202&lt;&gt;"Y",BL202&lt;&gt;"Y",IF(AS202="Y",AV202="Y",TRUE)),"Y","N")</f>
        <v/>
      </c>
      <c r="BS202" s="12">
        <f>IF(AND(BR202="Y",OR(AND(BJ202="Y",BM202="Y"),AND(BK202="Y",BN202="Y"),AND(BJ202&lt;&gt;"Y",BK202&lt;&gt;"Y",OR(BM202="Y",BN202="Y")))),"Y","N")</f>
        <v/>
      </c>
      <c r="BT202" s="10" t="n"/>
      <c r="BU202" s="13" t="n"/>
      <c r="BV202" s="13" t="n"/>
      <c r="BW202" s="13" t="n"/>
      <c r="BX202" s="13" t="n"/>
      <c r="BY202" s="13" t="n"/>
      <c r="BZ202" s="13" t="n"/>
      <c r="CA202" s="14" t="n"/>
      <c r="CB202" s="13" t="n"/>
      <c r="CC202" s="9" t="n"/>
      <c r="CD202" s="9" t="n"/>
      <c r="CE202" s="9" t="n"/>
      <c r="CF202" s="9" t="n"/>
      <c r="CG202" s="9" t="n"/>
      <c r="CH202" s="9" t="n"/>
    </row>
    <row r="203">
      <c r="A203" s="8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8" t="n"/>
      <c r="L203" s="9" t="n"/>
      <c r="M203" s="8" t="n"/>
      <c r="N203" s="8" t="n"/>
      <c r="O203" s="8" t="n"/>
      <c r="P203" s="8" t="n"/>
      <c r="Q203" s="8" t="n"/>
      <c r="R203" s="9" t="n"/>
      <c r="S203" s="9" t="n"/>
      <c r="T203" s="10" t="n"/>
      <c r="U203" s="10" t="n"/>
      <c r="V203" s="9" t="n"/>
      <c r="W203" s="9" t="n"/>
      <c r="X203" s="9" t="n"/>
      <c r="Y203" s="9" t="n"/>
      <c r="Z203" s="11" t="n"/>
      <c r="AA203" s="11" t="n"/>
      <c r="AB203" s="11" t="n"/>
      <c r="AC203" s="11" t="n"/>
      <c r="AD203" s="11" t="n"/>
      <c r="AE203" s="11" t="n"/>
      <c r="AF203" s="9" t="n"/>
      <c r="AG203" s="9" t="n"/>
      <c r="AH203" s="9" t="n"/>
      <c r="AI203" s="9" t="n"/>
      <c r="AJ203" s="8" t="n"/>
      <c r="AK203" s="9" t="n"/>
      <c r="AL203" s="9" t="n"/>
      <c r="AM203" s="9" t="n"/>
      <c r="AN203" s="9" t="n"/>
      <c r="AO203" s="9" t="n"/>
      <c r="AP203" s="9" t="n"/>
      <c r="AQ203" s="9" t="n"/>
      <c r="AR203" s="9" t="n"/>
      <c r="AS203" s="9" t="n"/>
      <c r="AT203" s="8" t="n"/>
      <c r="AU203" s="8" t="n"/>
      <c r="AV203" s="9" t="n"/>
      <c r="AW203" s="8" t="n"/>
      <c r="AX203" s="9" t="n"/>
      <c r="AY203" s="9" t="n"/>
      <c r="AZ203" s="9" t="n"/>
      <c r="BA203" s="9" t="n"/>
      <c r="BB203" s="9" t="n"/>
      <c r="BC203" s="9" t="n"/>
      <c r="BD203" s="9" t="n"/>
      <c r="BE203" s="9" t="n"/>
      <c r="BF203" s="9" t="n"/>
      <c r="BG203" s="9" t="n"/>
      <c r="BH203" s="9" t="n"/>
      <c r="BI203" s="9" t="n"/>
      <c r="BJ203" s="9" t="n"/>
      <c r="BK203" s="9" t="n"/>
      <c r="BL203" s="9" t="n"/>
      <c r="BM203" s="9" t="n"/>
      <c r="BN203" s="9" t="n"/>
      <c r="BO203" s="8" t="n"/>
      <c r="BP203" s="9" t="n"/>
      <c r="BQ203" s="9" t="n"/>
      <c r="BR203" s="12">
        <f>IF(AND(AI203="Y",AK203="Y",AL203="Y",AM203="Y",AY203="Y",AZ203="Y",BA203="Y",BB203="Y",BC203="Y",BE203&lt;&gt;"Y",AX203&lt;&gt;"Y",BL203&lt;&gt;"Y",IF(AS203="Y",AV203="Y",TRUE)),"Y","N")</f>
        <v/>
      </c>
      <c r="BS203" s="12">
        <f>IF(AND(BR203="Y",OR(AND(BJ203="Y",BM203="Y"),AND(BK203="Y",BN203="Y"),AND(BJ203&lt;&gt;"Y",BK203&lt;&gt;"Y",OR(BM203="Y",BN203="Y")))),"Y","N")</f>
        <v/>
      </c>
      <c r="BT203" s="10" t="n"/>
      <c r="BU203" s="13" t="n"/>
      <c r="BV203" s="13" t="n"/>
      <c r="BW203" s="13" t="n"/>
      <c r="BX203" s="13" t="n"/>
      <c r="BY203" s="13" t="n"/>
      <c r="BZ203" s="13" t="n"/>
      <c r="CA203" s="14" t="n"/>
      <c r="CB203" s="13" t="n"/>
      <c r="CC203" s="9" t="n"/>
      <c r="CD203" s="9" t="n"/>
      <c r="CE203" s="9" t="n"/>
      <c r="CF203" s="9" t="n"/>
      <c r="CG203" s="9" t="n"/>
      <c r="CH203" s="9" t="n"/>
    </row>
    <row r="204">
      <c r="A204" s="8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8" t="n"/>
      <c r="L204" s="9" t="n"/>
      <c r="M204" s="8" t="n"/>
      <c r="N204" s="8" t="n"/>
      <c r="O204" s="8" t="n"/>
      <c r="P204" s="8" t="n"/>
      <c r="Q204" s="8" t="n"/>
      <c r="R204" s="9" t="n"/>
      <c r="S204" s="9" t="n"/>
      <c r="T204" s="10" t="n"/>
      <c r="U204" s="10" t="n"/>
      <c r="V204" s="9" t="n"/>
      <c r="W204" s="9" t="n"/>
      <c r="X204" s="9" t="n"/>
      <c r="Y204" s="9" t="n"/>
      <c r="Z204" s="11" t="n"/>
      <c r="AA204" s="11" t="n"/>
      <c r="AB204" s="11" t="n"/>
      <c r="AC204" s="11" t="n"/>
      <c r="AD204" s="11" t="n"/>
      <c r="AE204" s="11" t="n"/>
      <c r="AF204" s="9" t="n"/>
      <c r="AG204" s="9" t="n"/>
      <c r="AH204" s="9" t="n"/>
      <c r="AI204" s="9" t="n"/>
      <c r="AJ204" s="8" t="n"/>
      <c r="AK204" s="9" t="n"/>
      <c r="AL204" s="9" t="n"/>
      <c r="AM204" s="9" t="n"/>
      <c r="AN204" s="9" t="n"/>
      <c r="AO204" s="9" t="n"/>
      <c r="AP204" s="9" t="n"/>
      <c r="AQ204" s="9" t="n"/>
      <c r="AR204" s="9" t="n"/>
      <c r="AS204" s="9" t="n"/>
      <c r="AT204" s="8" t="n"/>
      <c r="AU204" s="8" t="n"/>
      <c r="AV204" s="9" t="n"/>
      <c r="AW204" s="8" t="n"/>
      <c r="AX204" s="9" t="n"/>
      <c r="AY204" s="9" t="n"/>
      <c r="AZ204" s="9" t="n"/>
      <c r="BA204" s="9" t="n"/>
      <c r="BB204" s="9" t="n"/>
      <c r="BC204" s="9" t="n"/>
      <c r="BD204" s="9" t="n"/>
      <c r="BE204" s="9" t="n"/>
      <c r="BF204" s="9" t="n"/>
      <c r="BG204" s="9" t="n"/>
      <c r="BH204" s="9" t="n"/>
      <c r="BI204" s="9" t="n"/>
      <c r="BJ204" s="9" t="n"/>
      <c r="BK204" s="9" t="n"/>
      <c r="BL204" s="9" t="n"/>
      <c r="BM204" s="9" t="n"/>
      <c r="BN204" s="9" t="n"/>
      <c r="BO204" s="8" t="n"/>
      <c r="BP204" s="9" t="n"/>
      <c r="BQ204" s="9" t="n"/>
      <c r="BR204" s="12">
        <f>IF(AND(AI204="Y",AK204="Y",AL204="Y",AM204="Y",AY204="Y",AZ204="Y",BA204="Y",BB204="Y",BC204="Y",BE204&lt;&gt;"Y",AX204&lt;&gt;"Y",BL204&lt;&gt;"Y",IF(AS204="Y",AV204="Y",TRUE)),"Y","N")</f>
        <v/>
      </c>
      <c r="BS204" s="12">
        <f>IF(AND(BR204="Y",OR(AND(BJ204="Y",BM204="Y"),AND(BK204="Y",BN204="Y"),AND(BJ204&lt;&gt;"Y",BK204&lt;&gt;"Y",OR(BM204="Y",BN204="Y")))),"Y","N")</f>
        <v/>
      </c>
      <c r="BT204" s="10" t="n"/>
      <c r="BU204" s="13" t="n"/>
      <c r="BV204" s="13" t="n"/>
      <c r="BW204" s="13" t="n"/>
      <c r="BX204" s="13" t="n"/>
      <c r="BY204" s="13" t="n"/>
      <c r="BZ204" s="13" t="n"/>
      <c r="CA204" s="14" t="n"/>
      <c r="CB204" s="13" t="n"/>
      <c r="CC204" s="9" t="n"/>
      <c r="CD204" s="9" t="n"/>
      <c r="CE204" s="9" t="n"/>
      <c r="CF204" s="9" t="n"/>
      <c r="CG204" s="9" t="n"/>
      <c r="CH204" s="9" t="n"/>
    </row>
    <row r="205">
      <c r="A205" s="8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8" t="n"/>
      <c r="L205" s="9" t="n"/>
      <c r="M205" s="8" t="n"/>
      <c r="N205" s="8" t="n"/>
      <c r="O205" s="8" t="n"/>
      <c r="P205" s="8" t="n"/>
      <c r="Q205" s="8" t="n"/>
      <c r="R205" s="9" t="n"/>
      <c r="S205" s="9" t="n"/>
      <c r="T205" s="10" t="n"/>
      <c r="U205" s="10" t="n"/>
      <c r="V205" s="9" t="n"/>
      <c r="W205" s="9" t="n"/>
      <c r="X205" s="9" t="n"/>
      <c r="Y205" s="9" t="n"/>
      <c r="Z205" s="11" t="n"/>
      <c r="AA205" s="11" t="n"/>
      <c r="AB205" s="11" t="n"/>
      <c r="AC205" s="11" t="n"/>
      <c r="AD205" s="11" t="n"/>
      <c r="AE205" s="11" t="n"/>
      <c r="AF205" s="9" t="n"/>
      <c r="AG205" s="9" t="n"/>
      <c r="AH205" s="9" t="n"/>
      <c r="AI205" s="9" t="n"/>
      <c r="AJ205" s="8" t="n"/>
      <c r="AK205" s="9" t="n"/>
      <c r="AL205" s="9" t="n"/>
      <c r="AM205" s="9" t="n"/>
      <c r="AN205" s="9" t="n"/>
      <c r="AO205" s="9" t="n"/>
      <c r="AP205" s="9" t="n"/>
      <c r="AQ205" s="9" t="n"/>
      <c r="AR205" s="9" t="n"/>
      <c r="AS205" s="9" t="n"/>
      <c r="AT205" s="8" t="n"/>
      <c r="AU205" s="8" t="n"/>
      <c r="AV205" s="9" t="n"/>
      <c r="AW205" s="8" t="n"/>
      <c r="AX205" s="9" t="n"/>
      <c r="AY205" s="9" t="n"/>
      <c r="AZ205" s="9" t="n"/>
      <c r="BA205" s="9" t="n"/>
      <c r="BB205" s="9" t="n"/>
      <c r="BC205" s="9" t="n"/>
      <c r="BD205" s="9" t="n"/>
      <c r="BE205" s="9" t="n"/>
      <c r="BF205" s="9" t="n"/>
      <c r="BG205" s="9" t="n"/>
      <c r="BH205" s="9" t="n"/>
      <c r="BI205" s="9" t="n"/>
      <c r="BJ205" s="9" t="n"/>
      <c r="BK205" s="9" t="n"/>
      <c r="BL205" s="9" t="n"/>
      <c r="BM205" s="9" t="n"/>
      <c r="BN205" s="9" t="n"/>
      <c r="BO205" s="8" t="n"/>
      <c r="BP205" s="9" t="n"/>
      <c r="BQ205" s="9" t="n"/>
      <c r="BR205" s="12">
        <f>IF(AND(AI205="Y",AK205="Y",AL205="Y",AM205="Y",AY205="Y",AZ205="Y",BA205="Y",BB205="Y",BC205="Y",BE205&lt;&gt;"Y",AX205&lt;&gt;"Y",BL205&lt;&gt;"Y",IF(AS205="Y",AV205="Y",TRUE)),"Y","N")</f>
        <v/>
      </c>
      <c r="BS205" s="12">
        <f>IF(AND(BR205="Y",OR(AND(BJ205="Y",BM205="Y"),AND(BK205="Y",BN205="Y"),AND(BJ205&lt;&gt;"Y",BK205&lt;&gt;"Y",OR(BM205="Y",BN205="Y")))),"Y","N")</f>
        <v/>
      </c>
      <c r="BT205" s="10" t="n"/>
      <c r="BU205" s="13" t="n"/>
      <c r="BV205" s="13" t="n"/>
      <c r="BW205" s="13" t="n"/>
      <c r="BX205" s="13" t="n"/>
      <c r="BY205" s="13" t="n"/>
      <c r="BZ205" s="13" t="n"/>
      <c r="CA205" s="14" t="n"/>
      <c r="CB205" s="13" t="n"/>
      <c r="CC205" s="9" t="n"/>
      <c r="CD205" s="9" t="n"/>
      <c r="CE205" s="9" t="n"/>
      <c r="CF205" s="9" t="n"/>
      <c r="CG205" s="9" t="n"/>
      <c r="CH205" s="9" t="n"/>
    </row>
    <row r="206">
      <c r="A206" s="8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8" t="n"/>
      <c r="L206" s="9" t="n"/>
      <c r="M206" s="8" t="n"/>
      <c r="N206" s="8" t="n"/>
      <c r="O206" s="8" t="n"/>
      <c r="P206" s="8" t="n"/>
      <c r="Q206" s="8" t="n"/>
      <c r="R206" s="9" t="n"/>
      <c r="S206" s="9" t="n"/>
      <c r="T206" s="10" t="n"/>
      <c r="U206" s="10" t="n"/>
      <c r="V206" s="9" t="n"/>
      <c r="W206" s="9" t="n"/>
      <c r="X206" s="9" t="n"/>
      <c r="Y206" s="9" t="n"/>
      <c r="Z206" s="11" t="n"/>
      <c r="AA206" s="11" t="n"/>
      <c r="AB206" s="11" t="n"/>
      <c r="AC206" s="11" t="n"/>
      <c r="AD206" s="11" t="n"/>
      <c r="AE206" s="11" t="n"/>
      <c r="AF206" s="9" t="n"/>
      <c r="AG206" s="9" t="n"/>
      <c r="AH206" s="9" t="n"/>
      <c r="AI206" s="9" t="n"/>
      <c r="AJ206" s="8" t="n"/>
      <c r="AK206" s="9" t="n"/>
      <c r="AL206" s="9" t="n"/>
      <c r="AM206" s="9" t="n"/>
      <c r="AN206" s="9" t="n"/>
      <c r="AO206" s="9" t="n"/>
      <c r="AP206" s="9" t="n"/>
      <c r="AQ206" s="9" t="n"/>
      <c r="AR206" s="9" t="n"/>
      <c r="AS206" s="9" t="n"/>
      <c r="AT206" s="8" t="n"/>
      <c r="AU206" s="8" t="n"/>
      <c r="AV206" s="9" t="n"/>
      <c r="AW206" s="8" t="n"/>
      <c r="AX206" s="9" t="n"/>
      <c r="AY206" s="9" t="n"/>
      <c r="AZ206" s="9" t="n"/>
      <c r="BA206" s="9" t="n"/>
      <c r="BB206" s="9" t="n"/>
      <c r="BC206" s="9" t="n"/>
      <c r="BD206" s="9" t="n"/>
      <c r="BE206" s="9" t="n"/>
      <c r="BF206" s="9" t="n"/>
      <c r="BG206" s="9" t="n"/>
      <c r="BH206" s="9" t="n"/>
      <c r="BI206" s="9" t="n"/>
      <c r="BJ206" s="9" t="n"/>
      <c r="BK206" s="9" t="n"/>
      <c r="BL206" s="9" t="n"/>
      <c r="BM206" s="9" t="n"/>
      <c r="BN206" s="9" t="n"/>
      <c r="BO206" s="8" t="n"/>
      <c r="BP206" s="9" t="n"/>
      <c r="BQ206" s="9" t="n"/>
      <c r="BR206" s="12">
        <f>IF(AND(AI206="Y",AK206="Y",AL206="Y",AM206="Y",AY206="Y",AZ206="Y",BA206="Y",BB206="Y",BC206="Y",BE206&lt;&gt;"Y",AX206&lt;&gt;"Y",BL206&lt;&gt;"Y",IF(AS206="Y",AV206="Y",TRUE)),"Y","N")</f>
        <v/>
      </c>
      <c r="BS206" s="12">
        <f>IF(AND(BR206="Y",OR(AND(BJ206="Y",BM206="Y"),AND(BK206="Y",BN206="Y"),AND(BJ206&lt;&gt;"Y",BK206&lt;&gt;"Y",OR(BM206="Y",BN206="Y")))),"Y","N")</f>
        <v/>
      </c>
      <c r="BT206" s="10" t="n"/>
      <c r="BU206" s="13" t="n"/>
      <c r="BV206" s="13" t="n"/>
      <c r="BW206" s="13" t="n"/>
      <c r="BX206" s="13" t="n"/>
      <c r="BY206" s="13" t="n"/>
      <c r="BZ206" s="13" t="n"/>
      <c r="CA206" s="14" t="n"/>
      <c r="CB206" s="13" t="n"/>
      <c r="CC206" s="9" t="n"/>
      <c r="CD206" s="9" t="n"/>
      <c r="CE206" s="9" t="n"/>
      <c r="CF206" s="9" t="n"/>
      <c r="CG206" s="9" t="n"/>
      <c r="CH206" s="9" t="n"/>
    </row>
    <row r="207">
      <c r="A207" s="8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8" t="n"/>
      <c r="L207" s="9" t="n"/>
      <c r="M207" s="8" t="n"/>
      <c r="N207" s="8" t="n"/>
      <c r="O207" s="8" t="n"/>
      <c r="P207" s="8" t="n"/>
      <c r="Q207" s="8" t="n"/>
      <c r="R207" s="9" t="n"/>
      <c r="S207" s="9" t="n"/>
      <c r="T207" s="10" t="n"/>
      <c r="U207" s="10" t="n"/>
      <c r="V207" s="9" t="n"/>
      <c r="W207" s="9" t="n"/>
      <c r="X207" s="9" t="n"/>
      <c r="Y207" s="9" t="n"/>
      <c r="Z207" s="11" t="n"/>
      <c r="AA207" s="11" t="n"/>
      <c r="AB207" s="11" t="n"/>
      <c r="AC207" s="11" t="n"/>
      <c r="AD207" s="11" t="n"/>
      <c r="AE207" s="11" t="n"/>
      <c r="AF207" s="9" t="n"/>
      <c r="AG207" s="9" t="n"/>
      <c r="AH207" s="9" t="n"/>
      <c r="AI207" s="9" t="n"/>
      <c r="AJ207" s="8" t="n"/>
      <c r="AK207" s="9" t="n"/>
      <c r="AL207" s="9" t="n"/>
      <c r="AM207" s="9" t="n"/>
      <c r="AN207" s="9" t="n"/>
      <c r="AO207" s="9" t="n"/>
      <c r="AP207" s="9" t="n"/>
      <c r="AQ207" s="9" t="n"/>
      <c r="AR207" s="9" t="n"/>
      <c r="AS207" s="9" t="n"/>
      <c r="AT207" s="8" t="n"/>
      <c r="AU207" s="8" t="n"/>
      <c r="AV207" s="9" t="n"/>
      <c r="AW207" s="8" t="n"/>
      <c r="AX207" s="9" t="n"/>
      <c r="AY207" s="9" t="n"/>
      <c r="AZ207" s="9" t="n"/>
      <c r="BA207" s="9" t="n"/>
      <c r="BB207" s="9" t="n"/>
      <c r="BC207" s="9" t="n"/>
      <c r="BD207" s="9" t="n"/>
      <c r="BE207" s="9" t="n"/>
      <c r="BF207" s="9" t="n"/>
      <c r="BG207" s="9" t="n"/>
      <c r="BH207" s="9" t="n"/>
      <c r="BI207" s="9" t="n"/>
      <c r="BJ207" s="9" t="n"/>
      <c r="BK207" s="9" t="n"/>
      <c r="BL207" s="9" t="n"/>
      <c r="BM207" s="9" t="n"/>
      <c r="BN207" s="9" t="n"/>
      <c r="BO207" s="8" t="n"/>
      <c r="BP207" s="9" t="n"/>
      <c r="BQ207" s="9" t="n"/>
      <c r="BR207" s="12">
        <f>IF(AND(AI207="Y",AK207="Y",AL207="Y",AM207="Y",AY207="Y",AZ207="Y",BA207="Y",BB207="Y",BC207="Y",BE207&lt;&gt;"Y",AX207&lt;&gt;"Y",BL207&lt;&gt;"Y",IF(AS207="Y",AV207="Y",TRUE)),"Y","N")</f>
        <v/>
      </c>
      <c r="BS207" s="12">
        <f>IF(AND(BR207="Y",OR(AND(BJ207="Y",BM207="Y"),AND(BK207="Y",BN207="Y"),AND(BJ207&lt;&gt;"Y",BK207&lt;&gt;"Y",OR(BM207="Y",BN207="Y")))),"Y","N")</f>
        <v/>
      </c>
      <c r="BT207" s="10" t="n"/>
      <c r="BU207" s="13" t="n"/>
      <c r="BV207" s="13" t="n"/>
      <c r="BW207" s="13" t="n"/>
      <c r="BX207" s="13" t="n"/>
      <c r="BY207" s="13" t="n"/>
      <c r="BZ207" s="13" t="n"/>
      <c r="CA207" s="14" t="n"/>
      <c r="CB207" s="13" t="n"/>
      <c r="CC207" s="9" t="n"/>
      <c r="CD207" s="9" t="n"/>
      <c r="CE207" s="9" t="n"/>
      <c r="CF207" s="9" t="n"/>
      <c r="CG207" s="9" t="n"/>
      <c r="CH207" s="9" t="n"/>
    </row>
    <row r="208">
      <c r="A208" s="8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8" t="n"/>
      <c r="L208" s="9" t="n"/>
      <c r="M208" s="8" t="n"/>
      <c r="N208" s="8" t="n"/>
      <c r="O208" s="8" t="n"/>
      <c r="P208" s="8" t="n"/>
      <c r="Q208" s="8" t="n"/>
      <c r="R208" s="9" t="n"/>
      <c r="S208" s="9" t="n"/>
      <c r="T208" s="10" t="n"/>
      <c r="U208" s="10" t="n"/>
      <c r="V208" s="9" t="n"/>
      <c r="W208" s="9" t="n"/>
      <c r="X208" s="9" t="n"/>
      <c r="Y208" s="9" t="n"/>
      <c r="Z208" s="11" t="n"/>
      <c r="AA208" s="11" t="n"/>
      <c r="AB208" s="11" t="n"/>
      <c r="AC208" s="11" t="n"/>
      <c r="AD208" s="11" t="n"/>
      <c r="AE208" s="11" t="n"/>
      <c r="AF208" s="9" t="n"/>
      <c r="AG208" s="9" t="n"/>
      <c r="AH208" s="9" t="n"/>
      <c r="AI208" s="9" t="n"/>
      <c r="AJ208" s="8" t="n"/>
      <c r="AK208" s="9" t="n"/>
      <c r="AL208" s="9" t="n"/>
      <c r="AM208" s="9" t="n"/>
      <c r="AN208" s="9" t="n"/>
      <c r="AO208" s="9" t="n"/>
      <c r="AP208" s="9" t="n"/>
      <c r="AQ208" s="9" t="n"/>
      <c r="AR208" s="9" t="n"/>
      <c r="AS208" s="9" t="n"/>
      <c r="AT208" s="8" t="n"/>
      <c r="AU208" s="8" t="n"/>
      <c r="AV208" s="9" t="n"/>
      <c r="AW208" s="8" t="n"/>
      <c r="AX208" s="9" t="n"/>
      <c r="AY208" s="9" t="n"/>
      <c r="AZ208" s="9" t="n"/>
      <c r="BA208" s="9" t="n"/>
      <c r="BB208" s="9" t="n"/>
      <c r="BC208" s="9" t="n"/>
      <c r="BD208" s="9" t="n"/>
      <c r="BE208" s="9" t="n"/>
      <c r="BF208" s="9" t="n"/>
      <c r="BG208" s="9" t="n"/>
      <c r="BH208" s="9" t="n"/>
      <c r="BI208" s="9" t="n"/>
      <c r="BJ208" s="9" t="n"/>
      <c r="BK208" s="9" t="n"/>
      <c r="BL208" s="9" t="n"/>
      <c r="BM208" s="9" t="n"/>
      <c r="BN208" s="9" t="n"/>
      <c r="BO208" s="8" t="n"/>
      <c r="BP208" s="9" t="n"/>
      <c r="BQ208" s="9" t="n"/>
      <c r="BR208" s="12">
        <f>IF(AND(AI208="Y",AK208="Y",AL208="Y",AM208="Y",AY208="Y",AZ208="Y",BA208="Y",BB208="Y",BC208="Y",BE208&lt;&gt;"Y",AX208&lt;&gt;"Y",BL208&lt;&gt;"Y",IF(AS208="Y",AV208="Y",TRUE)),"Y","N")</f>
        <v/>
      </c>
      <c r="BS208" s="12">
        <f>IF(AND(BR208="Y",OR(AND(BJ208="Y",BM208="Y"),AND(BK208="Y",BN208="Y"),AND(BJ208&lt;&gt;"Y",BK208&lt;&gt;"Y",OR(BM208="Y",BN208="Y")))),"Y","N")</f>
        <v/>
      </c>
      <c r="BT208" s="10" t="n"/>
      <c r="BU208" s="13" t="n"/>
      <c r="BV208" s="13" t="n"/>
      <c r="BW208" s="13" t="n"/>
      <c r="BX208" s="13" t="n"/>
      <c r="BY208" s="13" t="n"/>
      <c r="BZ208" s="13" t="n"/>
      <c r="CA208" s="14" t="n"/>
      <c r="CB208" s="13" t="n"/>
      <c r="CC208" s="9" t="n"/>
      <c r="CD208" s="9" t="n"/>
      <c r="CE208" s="9" t="n"/>
      <c r="CF208" s="9" t="n"/>
      <c r="CG208" s="9" t="n"/>
      <c r="CH208" s="9" t="n"/>
    </row>
    <row r="209">
      <c r="A209" s="8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8" t="n"/>
      <c r="L209" s="9" t="n"/>
      <c r="M209" s="8" t="n"/>
      <c r="N209" s="8" t="n"/>
      <c r="O209" s="8" t="n"/>
      <c r="P209" s="8" t="n"/>
      <c r="Q209" s="8" t="n"/>
      <c r="R209" s="9" t="n"/>
      <c r="S209" s="9" t="n"/>
      <c r="T209" s="10" t="n"/>
      <c r="U209" s="10" t="n"/>
      <c r="V209" s="9" t="n"/>
      <c r="W209" s="9" t="n"/>
      <c r="X209" s="9" t="n"/>
      <c r="Y209" s="9" t="n"/>
      <c r="Z209" s="11" t="n"/>
      <c r="AA209" s="11" t="n"/>
      <c r="AB209" s="11" t="n"/>
      <c r="AC209" s="11" t="n"/>
      <c r="AD209" s="11" t="n"/>
      <c r="AE209" s="11" t="n"/>
      <c r="AF209" s="9" t="n"/>
      <c r="AG209" s="9" t="n"/>
      <c r="AH209" s="9" t="n"/>
      <c r="AI209" s="9" t="n"/>
      <c r="AJ209" s="8" t="n"/>
      <c r="AK209" s="9" t="n"/>
      <c r="AL209" s="9" t="n"/>
      <c r="AM209" s="9" t="n"/>
      <c r="AN209" s="9" t="n"/>
      <c r="AO209" s="9" t="n"/>
      <c r="AP209" s="9" t="n"/>
      <c r="AQ209" s="9" t="n"/>
      <c r="AR209" s="9" t="n"/>
      <c r="AS209" s="9" t="n"/>
      <c r="AT209" s="8" t="n"/>
      <c r="AU209" s="8" t="n"/>
      <c r="AV209" s="9" t="n"/>
      <c r="AW209" s="8" t="n"/>
      <c r="AX209" s="9" t="n"/>
      <c r="AY209" s="9" t="n"/>
      <c r="AZ209" s="9" t="n"/>
      <c r="BA209" s="9" t="n"/>
      <c r="BB209" s="9" t="n"/>
      <c r="BC209" s="9" t="n"/>
      <c r="BD209" s="9" t="n"/>
      <c r="BE209" s="9" t="n"/>
      <c r="BF209" s="9" t="n"/>
      <c r="BG209" s="9" t="n"/>
      <c r="BH209" s="9" t="n"/>
      <c r="BI209" s="9" t="n"/>
      <c r="BJ209" s="9" t="n"/>
      <c r="BK209" s="9" t="n"/>
      <c r="BL209" s="9" t="n"/>
      <c r="BM209" s="9" t="n"/>
      <c r="BN209" s="9" t="n"/>
      <c r="BO209" s="8" t="n"/>
      <c r="BP209" s="9" t="n"/>
      <c r="BQ209" s="9" t="n"/>
      <c r="BR209" s="12">
        <f>IF(AND(AI209="Y",AK209="Y",AL209="Y",AM209="Y",AY209="Y",AZ209="Y",BA209="Y",BB209="Y",BC209="Y",BE209&lt;&gt;"Y",AX209&lt;&gt;"Y",BL209&lt;&gt;"Y",IF(AS209="Y",AV209="Y",TRUE)),"Y","N")</f>
        <v/>
      </c>
      <c r="BS209" s="12">
        <f>IF(AND(BR209="Y",OR(AND(BJ209="Y",BM209="Y"),AND(BK209="Y",BN209="Y"),AND(BJ209&lt;&gt;"Y",BK209&lt;&gt;"Y",OR(BM209="Y",BN209="Y")))),"Y","N")</f>
        <v/>
      </c>
      <c r="BT209" s="10" t="n"/>
      <c r="BU209" s="13" t="n"/>
      <c r="BV209" s="13" t="n"/>
      <c r="BW209" s="13" t="n"/>
      <c r="BX209" s="13" t="n"/>
      <c r="BY209" s="13" t="n"/>
      <c r="BZ209" s="13" t="n"/>
      <c r="CA209" s="14" t="n"/>
      <c r="CB209" s="13" t="n"/>
      <c r="CC209" s="9" t="n"/>
      <c r="CD209" s="9" t="n"/>
      <c r="CE209" s="9" t="n"/>
      <c r="CF209" s="9" t="n"/>
      <c r="CG209" s="9" t="n"/>
      <c r="CH209" s="9" t="n"/>
    </row>
    <row r="210">
      <c r="A210" s="8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8" t="n"/>
      <c r="L210" s="9" t="n"/>
      <c r="M210" s="8" t="n"/>
      <c r="N210" s="8" t="n"/>
      <c r="O210" s="8" t="n"/>
      <c r="P210" s="8" t="n"/>
      <c r="Q210" s="8" t="n"/>
      <c r="R210" s="9" t="n"/>
      <c r="S210" s="9" t="n"/>
      <c r="T210" s="10" t="n"/>
      <c r="U210" s="10" t="n"/>
      <c r="V210" s="9" t="n"/>
      <c r="W210" s="9" t="n"/>
      <c r="X210" s="9" t="n"/>
      <c r="Y210" s="9" t="n"/>
      <c r="Z210" s="11" t="n"/>
      <c r="AA210" s="11" t="n"/>
      <c r="AB210" s="11" t="n"/>
      <c r="AC210" s="11" t="n"/>
      <c r="AD210" s="11" t="n"/>
      <c r="AE210" s="11" t="n"/>
      <c r="AF210" s="9" t="n"/>
      <c r="AG210" s="9" t="n"/>
      <c r="AH210" s="9" t="n"/>
      <c r="AI210" s="9" t="n"/>
      <c r="AJ210" s="8" t="n"/>
      <c r="AK210" s="9" t="n"/>
      <c r="AL210" s="9" t="n"/>
      <c r="AM210" s="9" t="n"/>
      <c r="AN210" s="9" t="n"/>
      <c r="AO210" s="9" t="n"/>
      <c r="AP210" s="9" t="n"/>
      <c r="AQ210" s="9" t="n"/>
      <c r="AR210" s="9" t="n"/>
      <c r="AS210" s="9" t="n"/>
      <c r="AT210" s="8" t="n"/>
      <c r="AU210" s="8" t="n"/>
      <c r="AV210" s="9" t="n"/>
      <c r="AW210" s="8" t="n"/>
      <c r="AX210" s="9" t="n"/>
      <c r="AY210" s="9" t="n"/>
      <c r="AZ210" s="9" t="n"/>
      <c r="BA210" s="9" t="n"/>
      <c r="BB210" s="9" t="n"/>
      <c r="BC210" s="9" t="n"/>
      <c r="BD210" s="9" t="n"/>
      <c r="BE210" s="9" t="n"/>
      <c r="BF210" s="9" t="n"/>
      <c r="BG210" s="9" t="n"/>
      <c r="BH210" s="9" t="n"/>
      <c r="BI210" s="9" t="n"/>
      <c r="BJ210" s="9" t="n"/>
      <c r="BK210" s="9" t="n"/>
      <c r="BL210" s="9" t="n"/>
      <c r="BM210" s="9" t="n"/>
      <c r="BN210" s="9" t="n"/>
      <c r="BO210" s="8" t="n"/>
      <c r="BP210" s="9" t="n"/>
      <c r="BQ210" s="9" t="n"/>
      <c r="BR210" s="12">
        <f>IF(AND(AI210="Y",AK210="Y",AL210="Y",AM210="Y",AY210="Y",AZ210="Y",BA210="Y",BB210="Y",BC210="Y",BE210&lt;&gt;"Y",AX210&lt;&gt;"Y",BL210&lt;&gt;"Y",IF(AS210="Y",AV210="Y",TRUE)),"Y","N")</f>
        <v/>
      </c>
      <c r="BS210" s="12">
        <f>IF(AND(BR210="Y",OR(AND(BJ210="Y",BM210="Y"),AND(BK210="Y",BN210="Y"),AND(BJ210&lt;&gt;"Y",BK210&lt;&gt;"Y",OR(BM210="Y",BN210="Y")))),"Y","N")</f>
        <v/>
      </c>
      <c r="BT210" s="10" t="n"/>
      <c r="BU210" s="13" t="n"/>
      <c r="BV210" s="13" t="n"/>
      <c r="BW210" s="13" t="n"/>
      <c r="BX210" s="13" t="n"/>
      <c r="BY210" s="13" t="n"/>
      <c r="BZ210" s="13" t="n"/>
      <c r="CA210" s="14" t="n"/>
      <c r="CB210" s="13" t="n"/>
      <c r="CC210" s="9" t="n"/>
      <c r="CD210" s="9" t="n"/>
      <c r="CE210" s="9" t="n"/>
      <c r="CF210" s="9" t="n"/>
      <c r="CG210" s="9" t="n"/>
      <c r="CH210" s="9" t="n"/>
    </row>
    <row r="211">
      <c r="A211" s="8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8" t="n"/>
      <c r="L211" s="9" t="n"/>
      <c r="M211" s="8" t="n"/>
      <c r="N211" s="8" t="n"/>
      <c r="O211" s="8" t="n"/>
      <c r="P211" s="8" t="n"/>
      <c r="Q211" s="8" t="n"/>
      <c r="R211" s="9" t="n"/>
      <c r="S211" s="9" t="n"/>
      <c r="T211" s="10" t="n"/>
      <c r="U211" s="10" t="n"/>
      <c r="V211" s="9" t="n"/>
      <c r="W211" s="9" t="n"/>
      <c r="X211" s="9" t="n"/>
      <c r="Y211" s="9" t="n"/>
      <c r="Z211" s="11" t="n"/>
      <c r="AA211" s="11" t="n"/>
      <c r="AB211" s="11" t="n"/>
      <c r="AC211" s="11" t="n"/>
      <c r="AD211" s="11" t="n"/>
      <c r="AE211" s="11" t="n"/>
      <c r="AF211" s="9" t="n"/>
      <c r="AG211" s="9" t="n"/>
      <c r="AH211" s="9" t="n"/>
      <c r="AI211" s="9" t="n"/>
      <c r="AJ211" s="8" t="n"/>
      <c r="AK211" s="9" t="n"/>
      <c r="AL211" s="9" t="n"/>
      <c r="AM211" s="9" t="n"/>
      <c r="AN211" s="9" t="n"/>
      <c r="AO211" s="9" t="n"/>
      <c r="AP211" s="9" t="n"/>
      <c r="AQ211" s="9" t="n"/>
      <c r="AR211" s="9" t="n"/>
      <c r="AS211" s="9" t="n"/>
      <c r="AT211" s="8" t="n"/>
      <c r="AU211" s="8" t="n"/>
      <c r="AV211" s="9" t="n"/>
      <c r="AW211" s="8" t="n"/>
      <c r="AX211" s="9" t="n"/>
      <c r="AY211" s="9" t="n"/>
      <c r="AZ211" s="9" t="n"/>
      <c r="BA211" s="9" t="n"/>
      <c r="BB211" s="9" t="n"/>
      <c r="BC211" s="9" t="n"/>
      <c r="BD211" s="9" t="n"/>
      <c r="BE211" s="9" t="n"/>
      <c r="BF211" s="9" t="n"/>
      <c r="BG211" s="9" t="n"/>
      <c r="BH211" s="9" t="n"/>
      <c r="BI211" s="9" t="n"/>
      <c r="BJ211" s="9" t="n"/>
      <c r="BK211" s="9" t="n"/>
      <c r="BL211" s="9" t="n"/>
      <c r="BM211" s="9" t="n"/>
      <c r="BN211" s="9" t="n"/>
      <c r="BO211" s="8" t="n"/>
      <c r="BP211" s="9" t="n"/>
      <c r="BQ211" s="9" t="n"/>
      <c r="BR211" s="12">
        <f>IF(AND(AI211="Y",AK211="Y",AL211="Y",AM211="Y",AY211="Y",AZ211="Y",BA211="Y",BB211="Y",BC211="Y",BE211&lt;&gt;"Y",AX211&lt;&gt;"Y",BL211&lt;&gt;"Y",IF(AS211="Y",AV211="Y",TRUE)),"Y","N")</f>
        <v/>
      </c>
      <c r="BS211" s="12">
        <f>IF(AND(BR211="Y",OR(AND(BJ211="Y",BM211="Y"),AND(BK211="Y",BN211="Y"),AND(BJ211&lt;&gt;"Y",BK211&lt;&gt;"Y",OR(BM211="Y",BN211="Y")))),"Y","N")</f>
        <v/>
      </c>
      <c r="BT211" s="10" t="n"/>
      <c r="BU211" s="13" t="n"/>
      <c r="BV211" s="13" t="n"/>
      <c r="BW211" s="13" t="n"/>
      <c r="BX211" s="13" t="n"/>
      <c r="BY211" s="13" t="n"/>
      <c r="BZ211" s="13" t="n"/>
      <c r="CA211" s="14" t="n"/>
      <c r="CB211" s="13" t="n"/>
      <c r="CC211" s="9" t="n"/>
      <c r="CD211" s="9" t="n"/>
      <c r="CE211" s="9" t="n"/>
      <c r="CF211" s="9" t="n"/>
      <c r="CG211" s="9" t="n"/>
      <c r="CH211" s="9" t="n"/>
    </row>
    <row r="212">
      <c r="A212" s="8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8" t="n"/>
      <c r="L212" s="9" t="n"/>
      <c r="M212" s="8" t="n"/>
      <c r="N212" s="8" t="n"/>
      <c r="O212" s="8" t="n"/>
      <c r="P212" s="8" t="n"/>
      <c r="Q212" s="8" t="n"/>
      <c r="R212" s="9" t="n"/>
      <c r="S212" s="9" t="n"/>
      <c r="T212" s="10" t="n"/>
      <c r="U212" s="10" t="n"/>
      <c r="V212" s="9" t="n"/>
      <c r="W212" s="9" t="n"/>
      <c r="X212" s="9" t="n"/>
      <c r="Y212" s="9" t="n"/>
      <c r="Z212" s="11" t="n"/>
      <c r="AA212" s="11" t="n"/>
      <c r="AB212" s="11" t="n"/>
      <c r="AC212" s="11" t="n"/>
      <c r="AD212" s="11" t="n"/>
      <c r="AE212" s="11" t="n"/>
      <c r="AF212" s="9" t="n"/>
      <c r="AG212" s="9" t="n"/>
      <c r="AH212" s="9" t="n"/>
      <c r="AI212" s="9" t="n"/>
      <c r="AJ212" s="8" t="n"/>
      <c r="AK212" s="9" t="n"/>
      <c r="AL212" s="9" t="n"/>
      <c r="AM212" s="9" t="n"/>
      <c r="AN212" s="9" t="n"/>
      <c r="AO212" s="9" t="n"/>
      <c r="AP212" s="9" t="n"/>
      <c r="AQ212" s="9" t="n"/>
      <c r="AR212" s="9" t="n"/>
      <c r="AS212" s="9" t="n"/>
      <c r="AT212" s="8" t="n"/>
      <c r="AU212" s="8" t="n"/>
      <c r="AV212" s="9" t="n"/>
      <c r="AW212" s="8" t="n"/>
      <c r="AX212" s="9" t="n"/>
      <c r="AY212" s="9" t="n"/>
      <c r="AZ212" s="9" t="n"/>
      <c r="BA212" s="9" t="n"/>
      <c r="BB212" s="9" t="n"/>
      <c r="BC212" s="9" t="n"/>
      <c r="BD212" s="9" t="n"/>
      <c r="BE212" s="9" t="n"/>
      <c r="BF212" s="9" t="n"/>
      <c r="BG212" s="9" t="n"/>
      <c r="BH212" s="9" t="n"/>
      <c r="BI212" s="9" t="n"/>
      <c r="BJ212" s="9" t="n"/>
      <c r="BK212" s="9" t="n"/>
      <c r="BL212" s="9" t="n"/>
      <c r="BM212" s="9" t="n"/>
      <c r="BN212" s="9" t="n"/>
      <c r="BO212" s="8" t="n"/>
      <c r="BP212" s="9" t="n"/>
      <c r="BQ212" s="9" t="n"/>
      <c r="BR212" s="12">
        <f>IF(AND(AI212="Y",AK212="Y",AL212="Y",AM212="Y",AY212="Y",AZ212="Y",BA212="Y",BB212="Y",BC212="Y",BE212&lt;&gt;"Y",AX212&lt;&gt;"Y",BL212&lt;&gt;"Y",IF(AS212="Y",AV212="Y",TRUE)),"Y","N")</f>
        <v/>
      </c>
      <c r="BS212" s="12">
        <f>IF(AND(BR212="Y",OR(AND(BJ212="Y",BM212="Y"),AND(BK212="Y",BN212="Y"),AND(BJ212&lt;&gt;"Y",BK212&lt;&gt;"Y",OR(BM212="Y",BN212="Y")))),"Y","N")</f>
        <v/>
      </c>
      <c r="BT212" s="10" t="n"/>
      <c r="BU212" s="13" t="n"/>
      <c r="BV212" s="13" t="n"/>
      <c r="BW212" s="13" t="n"/>
      <c r="BX212" s="13" t="n"/>
      <c r="BY212" s="13" t="n"/>
      <c r="BZ212" s="13" t="n"/>
      <c r="CA212" s="14" t="n"/>
      <c r="CB212" s="13" t="n"/>
      <c r="CC212" s="9" t="n"/>
      <c r="CD212" s="9" t="n"/>
      <c r="CE212" s="9" t="n"/>
      <c r="CF212" s="9" t="n"/>
      <c r="CG212" s="9" t="n"/>
      <c r="CH212" s="9" t="n"/>
    </row>
    <row r="213">
      <c r="A213" s="8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8" t="n"/>
      <c r="L213" s="9" t="n"/>
      <c r="M213" s="8" t="n"/>
      <c r="N213" s="8" t="n"/>
      <c r="O213" s="8" t="n"/>
      <c r="P213" s="8" t="n"/>
      <c r="Q213" s="8" t="n"/>
      <c r="R213" s="9" t="n"/>
      <c r="S213" s="9" t="n"/>
      <c r="T213" s="10" t="n"/>
      <c r="U213" s="10" t="n"/>
      <c r="V213" s="9" t="n"/>
      <c r="W213" s="9" t="n"/>
      <c r="X213" s="9" t="n"/>
      <c r="Y213" s="9" t="n"/>
      <c r="Z213" s="11" t="n"/>
      <c r="AA213" s="11" t="n"/>
      <c r="AB213" s="11" t="n"/>
      <c r="AC213" s="11" t="n"/>
      <c r="AD213" s="11" t="n"/>
      <c r="AE213" s="11" t="n"/>
      <c r="AF213" s="9" t="n"/>
      <c r="AG213" s="9" t="n"/>
      <c r="AH213" s="9" t="n"/>
      <c r="AI213" s="9" t="n"/>
      <c r="AJ213" s="8" t="n"/>
      <c r="AK213" s="9" t="n"/>
      <c r="AL213" s="9" t="n"/>
      <c r="AM213" s="9" t="n"/>
      <c r="AN213" s="9" t="n"/>
      <c r="AO213" s="9" t="n"/>
      <c r="AP213" s="9" t="n"/>
      <c r="AQ213" s="9" t="n"/>
      <c r="AR213" s="9" t="n"/>
      <c r="AS213" s="9" t="n"/>
      <c r="AT213" s="8" t="n"/>
      <c r="AU213" s="8" t="n"/>
      <c r="AV213" s="9" t="n"/>
      <c r="AW213" s="8" t="n"/>
      <c r="AX213" s="9" t="n"/>
      <c r="AY213" s="9" t="n"/>
      <c r="AZ213" s="9" t="n"/>
      <c r="BA213" s="9" t="n"/>
      <c r="BB213" s="9" t="n"/>
      <c r="BC213" s="9" t="n"/>
      <c r="BD213" s="9" t="n"/>
      <c r="BE213" s="9" t="n"/>
      <c r="BF213" s="9" t="n"/>
      <c r="BG213" s="9" t="n"/>
      <c r="BH213" s="9" t="n"/>
      <c r="BI213" s="9" t="n"/>
      <c r="BJ213" s="9" t="n"/>
      <c r="BK213" s="9" t="n"/>
      <c r="BL213" s="9" t="n"/>
      <c r="BM213" s="9" t="n"/>
      <c r="BN213" s="9" t="n"/>
      <c r="BO213" s="8" t="n"/>
      <c r="BP213" s="9" t="n"/>
      <c r="BQ213" s="9" t="n"/>
      <c r="BR213" s="12">
        <f>IF(AND(AI213="Y",AK213="Y",AL213="Y",AM213="Y",AY213="Y",AZ213="Y",BA213="Y",BB213="Y",BC213="Y",BE213&lt;&gt;"Y",AX213&lt;&gt;"Y",BL213&lt;&gt;"Y",IF(AS213="Y",AV213="Y",TRUE)),"Y","N")</f>
        <v/>
      </c>
      <c r="BS213" s="12">
        <f>IF(AND(BR213="Y",OR(AND(BJ213="Y",BM213="Y"),AND(BK213="Y",BN213="Y"),AND(BJ213&lt;&gt;"Y",BK213&lt;&gt;"Y",OR(BM213="Y",BN213="Y")))),"Y","N")</f>
        <v/>
      </c>
      <c r="BT213" s="10" t="n"/>
      <c r="BU213" s="13" t="n"/>
      <c r="BV213" s="13" t="n"/>
      <c r="BW213" s="13" t="n"/>
      <c r="BX213" s="13" t="n"/>
      <c r="BY213" s="13" t="n"/>
      <c r="BZ213" s="13" t="n"/>
      <c r="CA213" s="14" t="n"/>
      <c r="CB213" s="13" t="n"/>
      <c r="CC213" s="9" t="n"/>
      <c r="CD213" s="9" t="n"/>
      <c r="CE213" s="9" t="n"/>
      <c r="CF213" s="9" t="n"/>
      <c r="CG213" s="9" t="n"/>
      <c r="CH213" s="9" t="n"/>
    </row>
    <row r="214">
      <c r="A214" s="8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8" t="n"/>
      <c r="L214" s="9" t="n"/>
      <c r="M214" s="8" t="n"/>
      <c r="N214" s="8" t="n"/>
      <c r="O214" s="8" t="n"/>
      <c r="P214" s="8" t="n"/>
      <c r="Q214" s="8" t="n"/>
      <c r="R214" s="9" t="n"/>
      <c r="S214" s="9" t="n"/>
      <c r="T214" s="10" t="n"/>
      <c r="U214" s="10" t="n"/>
      <c r="V214" s="9" t="n"/>
      <c r="W214" s="9" t="n"/>
      <c r="X214" s="9" t="n"/>
      <c r="Y214" s="9" t="n"/>
      <c r="Z214" s="11" t="n"/>
      <c r="AA214" s="11" t="n"/>
      <c r="AB214" s="11" t="n"/>
      <c r="AC214" s="11" t="n"/>
      <c r="AD214" s="11" t="n"/>
      <c r="AE214" s="11" t="n"/>
      <c r="AF214" s="9" t="n"/>
      <c r="AG214" s="9" t="n"/>
      <c r="AH214" s="9" t="n"/>
      <c r="AI214" s="9" t="n"/>
      <c r="AJ214" s="8" t="n"/>
      <c r="AK214" s="9" t="n"/>
      <c r="AL214" s="9" t="n"/>
      <c r="AM214" s="9" t="n"/>
      <c r="AN214" s="9" t="n"/>
      <c r="AO214" s="9" t="n"/>
      <c r="AP214" s="9" t="n"/>
      <c r="AQ214" s="9" t="n"/>
      <c r="AR214" s="9" t="n"/>
      <c r="AS214" s="9" t="n"/>
      <c r="AT214" s="8" t="n"/>
      <c r="AU214" s="8" t="n"/>
      <c r="AV214" s="9" t="n"/>
      <c r="AW214" s="8" t="n"/>
      <c r="AX214" s="9" t="n"/>
      <c r="AY214" s="9" t="n"/>
      <c r="AZ214" s="9" t="n"/>
      <c r="BA214" s="9" t="n"/>
      <c r="BB214" s="9" t="n"/>
      <c r="BC214" s="9" t="n"/>
      <c r="BD214" s="9" t="n"/>
      <c r="BE214" s="9" t="n"/>
      <c r="BF214" s="9" t="n"/>
      <c r="BG214" s="9" t="n"/>
      <c r="BH214" s="9" t="n"/>
      <c r="BI214" s="9" t="n"/>
      <c r="BJ214" s="9" t="n"/>
      <c r="BK214" s="9" t="n"/>
      <c r="BL214" s="9" t="n"/>
      <c r="BM214" s="9" t="n"/>
      <c r="BN214" s="9" t="n"/>
      <c r="BO214" s="8" t="n"/>
      <c r="BP214" s="9" t="n"/>
      <c r="BQ214" s="9" t="n"/>
      <c r="BR214" s="12">
        <f>IF(AND(AI214="Y",AK214="Y",AL214="Y",AM214="Y",AY214="Y",AZ214="Y",BA214="Y",BB214="Y",BC214="Y",BE214&lt;&gt;"Y",AX214&lt;&gt;"Y",BL214&lt;&gt;"Y",IF(AS214="Y",AV214="Y",TRUE)),"Y","N")</f>
        <v/>
      </c>
      <c r="BS214" s="12">
        <f>IF(AND(BR214="Y",OR(AND(BJ214="Y",BM214="Y"),AND(BK214="Y",BN214="Y"),AND(BJ214&lt;&gt;"Y",BK214&lt;&gt;"Y",OR(BM214="Y",BN214="Y")))),"Y","N")</f>
        <v/>
      </c>
      <c r="BT214" s="10" t="n"/>
      <c r="BU214" s="13" t="n"/>
      <c r="BV214" s="13" t="n"/>
      <c r="BW214" s="13" t="n"/>
      <c r="BX214" s="13" t="n"/>
      <c r="BY214" s="13" t="n"/>
      <c r="BZ214" s="13" t="n"/>
      <c r="CA214" s="14" t="n"/>
      <c r="CB214" s="13" t="n"/>
      <c r="CC214" s="9" t="n"/>
      <c r="CD214" s="9" t="n"/>
      <c r="CE214" s="9" t="n"/>
      <c r="CF214" s="9" t="n"/>
      <c r="CG214" s="9" t="n"/>
      <c r="CH214" s="9" t="n"/>
    </row>
    <row r="215">
      <c r="A215" s="8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8" t="n"/>
      <c r="L215" s="9" t="n"/>
      <c r="M215" s="8" t="n"/>
      <c r="N215" s="8" t="n"/>
      <c r="O215" s="8" t="n"/>
      <c r="P215" s="8" t="n"/>
      <c r="Q215" s="8" t="n"/>
      <c r="R215" s="9" t="n"/>
      <c r="S215" s="9" t="n"/>
      <c r="T215" s="10" t="n"/>
      <c r="U215" s="10" t="n"/>
      <c r="V215" s="9" t="n"/>
      <c r="W215" s="9" t="n"/>
      <c r="X215" s="9" t="n"/>
      <c r="Y215" s="9" t="n"/>
      <c r="Z215" s="11" t="n"/>
      <c r="AA215" s="11" t="n"/>
      <c r="AB215" s="11" t="n"/>
      <c r="AC215" s="11" t="n"/>
      <c r="AD215" s="11" t="n"/>
      <c r="AE215" s="11" t="n"/>
      <c r="AF215" s="9" t="n"/>
      <c r="AG215" s="9" t="n"/>
      <c r="AH215" s="9" t="n"/>
      <c r="AI215" s="9" t="n"/>
      <c r="AJ215" s="8" t="n"/>
      <c r="AK215" s="9" t="n"/>
      <c r="AL215" s="9" t="n"/>
      <c r="AM215" s="9" t="n"/>
      <c r="AN215" s="9" t="n"/>
      <c r="AO215" s="9" t="n"/>
      <c r="AP215" s="9" t="n"/>
      <c r="AQ215" s="9" t="n"/>
      <c r="AR215" s="9" t="n"/>
      <c r="AS215" s="9" t="n"/>
      <c r="AT215" s="8" t="n"/>
      <c r="AU215" s="8" t="n"/>
      <c r="AV215" s="9" t="n"/>
      <c r="AW215" s="8" t="n"/>
      <c r="AX215" s="9" t="n"/>
      <c r="AY215" s="9" t="n"/>
      <c r="AZ215" s="9" t="n"/>
      <c r="BA215" s="9" t="n"/>
      <c r="BB215" s="9" t="n"/>
      <c r="BC215" s="9" t="n"/>
      <c r="BD215" s="9" t="n"/>
      <c r="BE215" s="9" t="n"/>
      <c r="BF215" s="9" t="n"/>
      <c r="BG215" s="9" t="n"/>
      <c r="BH215" s="9" t="n"/>
      <c r="BI215" s="9" t="n"/>
      <c r="BJ215" s="9" t="n"/>
      <c r="BK215" s="9" t="n"/>
      <c r="BL215" s="9" t="n"/>
      <c r="BM215" s="9" t="n"/>
      <c r="BN215" s="9" t="n"/>
      <c r="BO215" s="8" t="n"/>
      <c r="BP215" s="9" t="n"/>
      <c r="BQ215" s="9" t="n"/>
      <c r="BR215" s="12">
        <f>IF(AND(AI215="Y",AK215="Y",AL215="Y",AM215="Y",AY215="Y",AZ215="Y",BA215="Y",BB215="Y",BC215="Y",BE215&lt;&gt;"Y",AX215&lt;&gt;"Y",BL215&lt;&gt;"Y",IF(AS215="Y",AV215="Y",TRUE)),"Y","N")</f>
        <v/>
      </c>
      <c r="BS215" s="12">
        <f>IF(AND(BR215="Y",OR(AND(BJ215="Y",BM215="Y"),AND(BK215="Y",BN215="Y"),AND(BJ215&lt;&gt;"Y",BK215&lt;&gt;"Y",OR(BM215="Y",BN215="Y")))),"Y","N")</f>
        <v/>
      </c>
      <c r="BT215" s="10" t="n"/>
      <c r="BU215" s="13" t="n"/>
      <c r="BV215" s="13" t="n"/>
      <c r="BW215" s="13" t="n"/>
      <c r="BX215" s="13" t="n"/>
      <c r="BY215" s="13" t="n"/>
      <c r="BZ215" s="13" t="n"/>
      <c r="CA215" s="14" t="n"/>
      <c r="CB215" s="13" t="n"/>
      <c r="CC215" s="9" t="n"/>
      <c r="CD215" s="9" t="n"/>
      <c r="CE215" s="9" t="n"/>
      <c r="CF215" s="9" t="n"/>
      <c r="CG215" s="9" t="n"/>
      <c r="CH215" s="9" t="n"/>
    </row>
    <row r="216">
      <c r="A216" s="8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8" t="n"/>
      <c r="L216" s="9" t="n"/>
      <c r="M216" s="8" t="n"/>
      <c r="N216" s="8" t="n"/>
      <c r="O216" s="8" t="n"/>
      <c r="P216" s="8" t="n"/>
      <c r="Q216" s="8" t="n"/>
      <c r="R216" s="9" t="n"/>
      <c r="S216" s="9" t="n"/>
      <c r="T216" s="10" t="n"/>
      <c r="U216" s="10" t="n"/>
      <c r="V216" s="9" t="n"/>
      <c r="W216" s="9" t="n"/>
      <c r="X216" s="9" t="n"/>
      <c r="Y216" s="9" t="n"/>
      <c r="Z216" s="11" t="n"/>
      <c r="AA216" s="11" t="n"/>
      <c r="AB216" s="11" t="n"/>
      <c r="AC216" s="11" t="n"/>
      <c r="AD216" s="11" t="n"/>
      <c r="AE216" s="11" t="n"/>
      <c r="AF216" s="9" t="n"/>
      <c r="AG216" s="9" t="n"/>
      <c r="AH216" s="9" t="n"/>
      <c r="AI216" s="9" t="n"/>
      <c r="AJ216" s="8" t="n"/>
      <c r="AK216" s="9" t="n"/>
      <c r="AL216" s="9" t="n"/>
      <c r="AM216" s="9" t="n"/>
      <c r="AN216" s="9" t="n"/>
      <c r="AO216" s="9" t="n"/>
      <c r="AP216" s="9" t="n"/>
      <c r="AQ216" s="9" t="n"/>
      <c r="AR216" s="9" t="n"/>
      <c r="AS216" s="9" t="n"/>
      <c r="AT216" s="8" t="n"/>
      <c r="AU216" s="8" t="n"/>
      <c r="AV216" s="9" t="n"/>
      <c r="AW216" s="8" t="n"/>
      <c r="AX216" s="9" t="n"/>
      <c r="AY216" s="9" t="n"/>
      <c r="AZ216" s="9" t="n"/>
      <c r="BA216" s="9" t="n"/>
      <c r="BB216" s="9" t="n"/>
      <c r="BC216" s="9" t="n"/>
      <c r="BD216" s="9" t="n"/>
      <c r="BE216" s="9" t="n"/>
      <c r="BF216" s="9" t="n"/>
      <c r="BG216" s="9" t="n"/>
      <c r="BH216" s="9" t="n"/>
      <c r="BI216" s="9" t="n"/>
      <c r="BJ216" s="9" t="n"/>
      <c r="BK216" s="9" t="n"/>
      <c r="BL216" s="9" t="n"/>
      <c r="BM216" s="9" t="n"/>
      <c r="BN216" s="9" t="n"/>
      <c r="BO216" s="8" t="n"/>
      <c r="BP216" s="9" t="n"/>
      <c r="BQ216" s="9" t="n"/>
      <c r="BR216" s="12">
        <f>IF(AND(AI216="Y",AK216="Y",AL216="Y",AM216="Y",AY216="Y",AZ216="Y",BA216="Y",BB216="Y",BC216="Y",BE216&lt;&gt;"Y",AX216&lt;&gt;"Y",BL216&lt;&gt;"Y",IF(AS216="Y",AV216="Y",TRUE)),"Y","N")</f>
        <v/>
      </c>
      <c r="BS216" s="12">
        <f>IF(AND(BR216="Y",OR(AND(BJ216="Y",BM216="Y"),AND(BK216="Y",BN216="Y"),AND(BJ216&lt;&gt;"Y",BK216&lt;&gt;"Y",OR(BM216="Y",BN216="Y")))),"Y","N")</f>
        <v/>
      </c>
      <c r="BT216" s="10" t="n"/>
      <c r="BU216" s="13" t="n"/>
      <c r="BV216" s="13" t="n"/>
      <c r="BW216" s="13" t="n"/>
      <c r="BX216" s="13" t="n"/>
      <c r="BY216" s="13" t="n"/>
      <c r="BZ216" s="13" t="n"/>
      <c r="CA216" s="14" t="n"/>
      <c r="CB216" s="13" t="n"/>
      <c r="CC216" s="9" t="n"/>
      <c r="CD216" s="9" t="n"/>
      <c r="CE216" s="9" t="n"/>
      <c r="CF216" s="9" t="n"/>
      <c r="CG216" s="9" t="n"/>
      <c r="CH216" s="9" t="n"/>
    </row>
    <row r="217">
      <c r="A217" s="8" t="n"/>
      <c r="B217" s="9" t="n"/>
      <c r="C217" s="9" t="n"/>
      <c r="D217" s="9" t="n"/>
      <c r="E217" s="9" t="n"/>
      <c r="F217" s="9" t="n"/>
      <c r="G217" s="9" t="n"/>
      <c r="H217" s="9" t="n"/>
      <c r="I217" s="9" t="n"/>
      <c r="J217" s="9" t="n"/>
      <c r="K217" s="8" t="n"/>
      <c r="L217" s="9" t="n"/>
      <c r="M217" s="8" t="n"/>
      <c r="N217" s="8" t="n"/>
      <c r="O217" s="8" t="n"/>
      <c r="P217" s="8" t="n"/>
      <c r="Q217" s="8" t="n"/>
      <c r="R217" s="9" t="n"/>
      <c r="S217" s="9" t="n"/>
      <c r="T217" s="10" t="n"/>
      <c r="U217" s="10" t="n"/>
      <c r="V217" s="9" t="n"/>
      <c r="W217" s="9" t="n"/>
      <c r="X217" s="9" t="n"/>
      <c r="Y217" s="9" t="n"/>
      <c r="Z217" s="11" t="n"/>
      <c r="AA217" s="11" t="n"/>
      <c r="AB217" s="11" t="n"/>
      <c r="AC217" s="11" t="n"/>
      <c r="AD217" s="11" t="n"/>
      <c r="AE217" s="11" t="n"/>
      <c r="AF217" s="9" t="n"/>
      <c r="AG217" s="9" t="n"/>
      <c r="AH217" s="9" t="n"/>
      <c r="AI217" s="9" t="n"/>
      <c r="AJ217" s="8" t="n"/>
      <c r="AK217" s="9" t="n"/>
      <c r="AL217" s="9" t="n"/>
      <c r="AM217" s="9" t="n"/>
      <c r="AN217" s="9" t="n"/>
      <c r="AO217" s="9" t="n"/>
      <c r="AP217" s="9" t="n"/>
      <c r="AQ217" s="9" t="n"/>
      <c r="AR217" s="9" t="n"/>
      <c r="AS217" s="9" t="n"/>
      <c r="AT217" s="8" t="n"/>
      <c r="AU217" s="8" t="n"/>
      <c r="AV217" s="9" t="n"/>
      <c r="AW217" s="8" t="n"/>
      <c r="AX217" s="9" t="n"/>
      <c r="AY217" s="9" t="n"/>
      <c r="AZ217" s="9" t="n"/>
      <c r="BA217" s="9" t="n"/>
      <c r="BB217" s="9" t="n"/>
      <c r="BC217" s="9" t="n"/>
      <c r="BD217" s="9" t="n"/>
      <c r="BE217" s="9" t="n"/>
      <c r="BF217" s="9" t="n"/>
      <c r="BG217" s="9" t="n"/>
      <c r="BH217" s="9" t="n"/>
      <c r="BI217" s="9" t="n"/>
      <c r="BJ217" s="9" t="n"/>
      <c r="BK217" s="9" t="n"/>
      <c r="BL217" s="9" t="n"/>
      <c r="BM217" s="9" t="n"/>
      <c r="BN217" s="9" t="n"/>
      <c r="BO217" s="8" t="n"/>
      <c r="BP217" s="9" t="n"/>
      <c r="BQ217" s="9" t="n"/>
      <c r="BR217" s="12">
        <f>IF(AND(AI217="Y",AK217="Y",AL217="Y",AM217="Y",AY217="Y",AZ217="Y",BA217="Y",BB217="Y",BC217="Y",BE217&lt;&gt;"Y",AX217&lt;&gt;"Y",BL217&lt;&gt;"Y",IF(AS217="Y",AV217="Y",TRUE)),"Y","N")</f>
        <v/>
      </c>
      <c r="BS217" s="12">
        <f>IF(AND(BR217="Y",OR(AND(BJ217="Y",BM217="Y"),AND(BK217="Y",BN217="Y"),AND(BJ217&lt;&gt;"Y",BK217&lt;&gt;"Y",OR(BM217="Y",BN217="Y")))),"Y","N")</f>
        <v/>
      </c>
      <c r="BT217" s="10" t="n"/>
      <c r="BU217" s="13" t="n"/>
      <c r="BV217" s="13" t="n"/>
      <c r="BW217" s="13" t="n"/>
      <c r="BX217" s="13" t="n"/>
      <c r="BY217" s="13" t="n"/>
      <c r="BZ217" s="13" t="n"/>
      <c r="CA217" s="14" t="n"/>
      <c r="CB217" s="13" t="n"/>
      <c r="CC217" s="9" t="n"/>
      <c r="CD217" s="9" t="n"/>
      <c r="CE217" s="9" t="n"/>
      <c r="CF217" s="9" t="n"/>
      <c r="CG217" s="9" t="n"/>
      <c r="CH217" s="9" t="n"/>
    </row>
    <row r="218">
      <c r="A218" s="8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8" t="n"/>
      <c r="L218" s="9" t="n"/>
      <c r="M218" s="8" t="n"/>
      <c r="N218" s="8" t="n"/>
      <c r="O218" s="8" t="n"/>
      <c r="P218" s="8" t="n"/>
      <c r="Q218" s="8" t="n"/>
      <c r="R218" s="9" t="n"/>
      <c r="S218" s="9" t="n"/>
      <c r="T218" s="10" t="n"/>
      <c r="U218" s="10" t="n"/>
      <c r="V218" s="9" t="n"/>
      <c r="W218" s="9" t="n"/>
      <c r="X218" s="9" t="n"/>
      <c r="Y218" s="9" t="n"/>
      <c r="Z218" s="11" t="n"/>
      <c r="AA218" s="11" t="n"/>
      <c r="AB218" s="11" t="n"/>
      <c r="AC218" s="11" t="n"/>
      <c r="AD218" s="11" t="n"/>
      <c r="AE218" s="11" t="n"/>
      <c r="AF218" s="9" t="n"/>
      <c r="AG218" s="9" t="n"/>
      <c r="AH218" s="9" t="n"/>
      <c r="AI218" s="9" t="n"/>
      <c r="AJ218" s="8" t="n"/>
      <c r="AK218" s="9" t="n"/>
      <c r="AL218" s="9" t="n"/>
      <c r="AM218" s="9" t="n"/>
      <c r="AN218" s="9" t="n"/>
      <c r="AO218" s="9" t="n"/>
      <c r="AP218" s="9" t="n"/>
      <c r="AQ218" s="9" t="n"/>
      <c r="AR218" s="9" t="n"/>
      <c r="AS218" s="9" t="n"/>
      <c r="AT218" s="8" t="n"/>
      <c r="AU218" s="8" t="n"/>
      <c r="AV218" s="9" t="n"/>
      <c r="AW218" s="8" t="n"/>
      <c r="AX218" s="9" t="n"/>
      <c r="AY218" s="9" t="n"/>
      <c r="AZ218" s="9" t="n"/>
      <c r="BA218" s="9" t="n"/>
      <c r="BB218" s="9" t="n"/>
      <c r="BC218" s="9" t="n"/>
      <c r="BD218" s="9" t="n"/>
      <c r="BE218" s="9" t="n"/>
      <c r="BF218" s="9" t="n"/>
      <c r="BG218" s="9" t="n"/>
      <c r="BH218" s="9" t="n"/>
      <c r="BI218" s="9" t="n"/>
      <c r="BJ218" s="9" t="n"/>
      <c r="BK218" s="9" t="n"/>
      <c r="BL218" s="9" t="n"/>
      <c r="BM218" s="9" t="n"/>
      <c r="BN218" s="9" t="n"/>
      <c r="BO218" s="8" t="n"/>
      <c r="BP218" s="9" t="n"/>
      <c r="BQ218" s="9" t="n"/>
      <c r="BR218" s="12">
        <f>IF(AND(AI218="Y",AK218="Y",AL218="Y",AM218="Y",AY218="Y",AZ218="Y",BA218="Y",BB218="Y",BC218="Y",BE218&lt;&gt;"Y",AX218&lt;&gt;"Y",BL218&lt;&gt;"Y",IF(AS218="Y",AV218="Y",TRUE)),"Y","N")</f>
        <v/>
      </c>
      <c r="BS218" s="12">
        <f>IF(AND(BR218="Y",OR(AND(BJ218="Y",BM218="Y"),AND(BK218="Y",BN218="Y"),AND(BJ218&lt;&gt;"Y",BK218&lt;&gt;"Y",OR(BM218="Y",BN218="Y")))),"Y","N")</f>
        <v/>
      </c>
      <c r="BT218" s="10" t="n"/>
      <c r="BU218" s="13" t="n"/>
      <c r="BV218" s="13" t="n"/>
      <c r="BW218" s="13" t="n"/>
      <c r="BX218" s="13" t="n"/>
      <c r="BY218" s="13" t="n"/>
      <c r="BZ218" s="13" t="n"/>
      <c r="CA218" s="14" t="n"/>
      <c r="CB218" s="13" t="n"/>
      <c r="CC218" s="9" t="n"/>
      <c r="CD218" s="9" t="n"/>
      <c r="CE218" s="9" t="n"/>
      <c r="CF218" s="9" t="n"/>
      <c r="CG218" s="9" t="n"/>
      <c r="CH218" s="9" t="n"/>
    </row>
    <row r="219">
      <c r="A219" s="8" t="n"/>
      <c r="B219" s="9" t="n"/>
      <c r="C219" s="9" t="n"/>
      <c r="D219" s="9" t="n"/>
      <c r="E219" s="9" t="n"/>
      <c r="F219" s="9" t="n"/>
      <c r="G219" s="9" t="n"/>
      <c r="H219" s="9" t="n"/>
      <c r="I219" s="9" t="n"/>
      <c r="J219" s="9" t="n"/>
      <c r="K219" s="8" t="n"/>
      <c r="L219" s="9" t="n"/>
      <c r="M219" s="8" t="n"/>
      <c r="N219" s="8" t="n"/>
      <c r="O219" s="8" t="n"/>
      <c r="P219" s="8" t="n"/>
      <c r="Q219" s="8" t="n"/>
      <c r="R219" s="9" t="n"/>
      <c r="S219" s="9" t="n"/>
      <c r="T219" s="10" t="n"/>
      <c r="U219" s="10" t="n"/>
      <c r="V219" s="9" t="n"/>
      <c r="W219" s="9" t="n"/>
      <c r="X219" s="9" t="n"/>
      <c r="Y219" s="9" t="n"/>
      <c r="Z219" s="11" t="n"/>
      <c r="AA219" s="11" t="n"/>
      <c r="AB219" s="11" t="n"/>
      <c r="AC219" s="11" t="n"/>
      <c r="AD219" s="11" t="n"/>
      <c r="AE219" s="11" t="n"/>
      <c r="AF219" s="9" t="n"/>
      <c r="AG219" s="9" t="n"/>
      <c r="AH219" s="9" t="n"/>
      <c r="AI219" s="9" t="n"/>
      <c r="AJ219" s="8" t="n"/>
      <c r="AK219" s="9" t="n"/>
      <c r="AL219" s="9" t="n"/>
      <c r="AM219" s="9" t="n"/>
      <c r="AN219" s="9" t="n"/>
      <c r="AO219" s="9" t="n"/>
      <c r="AP219" s="9" t="n"/>
      <c r="AQ219" s="9" t="n"/>
      <c r="AR219" s="9" t="n"/>
      <c r="AS219" s="9" t="n"/>
      <c r="AT219" s="8" t="n"/>
      <c r="AU219" s="8" t="n"/>
      <c r="AV219" s="9" t="n"/>
      <c r="AW219" s="8" t="n"/>
      <c r="AX219" s="9" t="n"/>
      <c r="AY219" s="9" t="n"/>
      <c r="AZ219" s="9" t="n"/>
      <c r="BA219" s="9" t="n"/>
      <c r="BB219" s="9" t="n"/>
      <c r="BC219" s="9" t="n"/>
      <c r="BD219" s="9" t="n"/>
      <c r="BE219" s="9" t="n"/>
      <c r="BF219" s="9" t="n"/>
      <c r="BG219" s="9" t="n"/>
      <c r="BH219" s="9" t="n"/>
      <c r="BI219" s="9" t="n"/>
      <c r="BJ219" s="9" t="n"/>
      <c r="BK219" s="9" t="n"/>
      <c r="BL219" s="9" t="n"/>
      <c r="BM219" s="9" t="n"/>
      <c r="BN219" s="9" t="n"/>
      <c r="BO219" s="8" t="n"/>
      <c r="BP219" s="9" t="n"/>
      <c r="BQ219" s="9" t="n"/>
      <c r="BR219" s="12">
        <f>IF(AND(AI219="Y",AK219="Y",AL219="Y",AM219="Y",AY219="Y",AZ219="Y",BA219="Y",BB219="Y",BC219="Y",BE219&lt;&gt;"Y",AX219&lt;&gt;"Y",BL219&lt;&gt;"Y",IF(AS219="Y",AV219="Y",TRUE)),"Y","N")</f>
        <v/>
      </c>
      <c r="BS219" s="12">
        <f>IF(AND(BR219="Y",OR(AND(BJ219="Y",BM219="Y"),AND(BK219="Y",BN219="Y"),AND(BJ219&lt;&gt;"Y",BK219&lt;&gt;"Y",OR(BM219="Y",BN219="Y")))),"Y","N")</f>
        <v/>
      </c>
      <c r="BT219" s="10" t="n"/>
      <c r="BU219" s="13" t="n"/>
      <c r="BV219" s="13" t="n"/>
      <c r="BW219" s="13" t="n"/>
      <c r="BX219" s="13" t="n"/>
      <c r="BY219" s="13" t="n"/>
      <c r="BZ219" s="13" t="n"/>
      <c r="CA219" s="14" t="n"/>
      <c r="CB219" s="13" t="n"/>
      <c r="CC219" s="9" t="n"/>
      <c r="CD219" s="9" t="n"/>
      <c r="CE219" s="9" t="n"/>
      <c r="CF219" s="9" t="n"/>
      <c r="CG219" s="9" t="n"/>
      <c r="CH219" s="9" t="n"/>
    </row>
    <row r="220">
      <c r="A220" s="8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8" t="n"/>
      <c r="L220" s="9" t="n"/>
      <c r="M220" s="8" t="n"/>
      <c r="N220" s="8" t="n"/>
      <c r="O220" s="8" t="n"/>
      <c r="P220" s="8" t="n"/>
      <c r="Q220" s="8" t="n"/>
      <c r="R220" s="9" t="n"/>
      <c r="S220" s="9" t="n"/>
      <c r="T220" s="10" t="n"/>
      <c r="U220" s="10" t="n"/>
      <c r="V220" s="9" t="n"/>
      <c r="W220" s="9" t="n"/>
      <c r="X220" s="9" t="n"/>
      <c r="Y220" s="9" t="n"/>
      <c r="Z220" s="11" t="n"/>
      <c r="AA220" s="11" t="n"/>
      <c r="AB220" s="11" t="n"/>
      <c r="AC220" s="11" t="n"/>
      <c r="AD220" s="11" t="n"/>
      <c r="AE220" s="11" t="n"/>
      <c r="AF220" s="9" t="n"/>
      <c r="AG220" s="9" t="n"/>
      <c r="AH220" s="9" t="n"/>
      <c r="AI220" s="9" t="n"/>
      <c r="AJ220" s="8" t="n"/>
      <c r="AK220" s="9" t="n"/>
      <c r="AL220" s="9" t="n"/>
      <c r="AM220" s="9" t="n"/>
      <c r="AN220" s="9" t="n"/>
      <c r="AO220" s="9" t="n"/>
      <c r="AP220" s="9" t="n"/>
      <c r="AQ220" s="9" t="n"/>
      <c r="AR220" s="9" t="n"/>
      <c r="AS220" s="9" t="n"/>
      <c r="AT220" s="8" t="n"/>
      <c r="AU220" s="8" t="n"/>
      <c r="AV220" s="9" t="n"/>
      <c r="AW220" s="8" t="n"/>
      <c r="AX220" s="9" t="n"/>
      <c r="AY220" s="9" t="n"/>
      <c r="AZ220" s="9" t="n"/>
      <c r="BA220" s="9" t="n"/>
      <c r="BB220" s="9" t="n"/>
      <c r="BC220" s="9" t="n"/>
      <c r="BD220" s="9" t="n"/>
      <c r="BE220" s="9" t="n"/>
      <c r="BF220" s="9" t="n"/>
      <c r="BG220" s="9" t="n"/>
      <c r="BH220" s="9" t="n"/>
      <c r="BI220" s="9" t="n"/>
      <c r="BJ220" s="9" t="n"/>
      <c r="BK220" s="9" t="n"/>
      <c r="BL220" s="9" t="n"/>
      <c r="BM220" s="9" t="n"/>
      <c r="BN220" s="9" t="n"/>
      <c r="BO220" s="8" t="n"/>
      <c r="BP220" s="9" t="n"/>
      <c r="BQ220" s="9" t="n"/>
      <c r="BR220" s="12">
        <f>IF(AND(AI220="Y",AK220="Y",AL220="Y",AM220="Y",AY220="Y",AZ220="Y",BA220="Y",BB220="Y",BC220="Y",BE220&lt;&gt;"Y",AX220&lt;&gt;"Y",BL220&lt;&gt;"Y",IF(AS220="Y",AV220="Y",TRUE)),"Y","N")</f>
        <v/>
      </c>
      <c r="BS220" s="12">
        <f>IF(AND(BR220="Y",OR(AND(BJ220="Y",BM220="Y"),AND(BK220="Y",BN220="Y"),AND(BJ220&lt;&gt;"Y",BK220&lt;&gt;"Y",OR(BM220="Y",BN220="Y")))),"Y","N")</f>
        <v/>
      </c>
      <c r="BT220" s="10" t="n"/>
      <c r="BU220" s="13" t="n"/>
      <c r="BV220" s="13" t="n"/>
      <c r="BW220" s="13" t="n"/>
      <c r="BX220" s="13" t="n"/>
      <c r="BY220" s="13" t="n"/>
      <c r="BZ220" s="13" t="n"/>
      <c r="CA220" s="14" t="n"/>
      <c r="CB220" s="13" t="n"/>
      <c r="CC220" s="9" t="n"/>
      <c r="CD220" s="9" t="n"/>
      <c r="CE220" s="9" t="n"/>
      <c r="CF220" s="9" t="n"/>
      <c r="CG220" s="9" t="n"/>
      <c r="CH220" s="9" t="n"/>
    </row>
    <row r="221">
      <c r="A221" s="8" t="n"/>
      <c r="B221" s="9" t="n"/>
      <c r="C221" s="9" t="n"/>
      <c r="D221" s="9" t="n"/>
      <c r="E221" s="9" t="n"/>
      <c r="F221" s="9" t="n"/>
      <c r="G221" s="9" t="n"/>
      <c r="H221" s="9" t="n"/>
      <c r="I221" s="9" t="n"/>
      <c r="J221" s="9" t="n"/>
      <c r="K221" s="8" t="n"/>
      <c r="L221" s="9" t="n"/>
      <c r="M221" s="8" t="n"/>
      <c r="N221" s="8" t="n"/>
      <c r="O221" s="8" t="n"/>
      <c r="P221" s="8" t="n"/>
      <c r="Q221" s="8" t="n"/>
      <c r="R221" s="9" t="n"/>
      <c r="S221" s="9" t="n"/>
      <c r="T221" s="10" t="n"/>
      <c r="U221" s="10" t="n"/>
      <c r="V221" s="9" t="n"/>
      <c r="W221" s="9" t="n"/>
      <c r="X221" s="9" t="n"/>
      <c r="Y221" s="9" t="n"/>
      <c r="Z221" s="11" t="n"/>
      <c r="AA221" s="11" t="n"/>
      <c r="AB221" s="11" t="n"/>
      <c r="AC221" s="11" t="n"/>
      <c r="AD221" s="11" t="n"/>
      <c r="AE221" s="11" t="n"/>
      <c r="AF221" s="9" t="n"/>
      <c r="AG221" s="9" t="n"/>
      <c r="AH221" s="9" t="n"/>
      <c r="AI221" s="9" t="n"/>
      <c r="AJ221" s="8" t="n"/>
      <c r="AK221" s="9" t="n"/>
      <c r="AL221" s="9" t="n"/>
      <c r="AM221" s="9" t="n"/>
      <c r="AN221" s="9" t="n"/>
      <c r="AO221" s="9" t="n"/>
      <c r="AP221" s="9" t="n"/>
      <c r="AQ221" s="9" t="n"/>
      <c r="AR221" s="9" t="n"/>
      <c r="AS221" s="9" t="n"/>
      <c r="AT221" s="8" t="n"/>
      <c r="AU221" s="8" t="n"/>
      <c r="AV221" s="9" t="n"/>
      <c r="AW221" s="8" t="n"/>
      <c r="AX221" s="9" t="n"/>
      <c r="AY221" s="9" t="n"/>
      <c r="AZ221" s="9" t="n"/>
      <c r="BA221" s="9" t="n"/>
      <c r="BB221" s="9" t="n"/>
      <c r="BC221" s="9" t="n"/>
      <c r="BD221" s="9" t="n"/>
      <c r="BE221" s="9" t="n"/>
      <c r="BF221" s="9" t="n"/>
      <c r="BG221" s="9" t="n"/>
      <c r="BH221" s="9" t="n"/>
      <c r="BI221" s="9" t="n"/>
      <c r="BJ221" s="9" t="n"/>
      <c r="BK221" s="9" t="n"/>
      <c r="BL221" s="9" t="n"/>
      <c r="BM221" s="9" t="n"/>
      <c r="BN221" s="9" t="n"/>
      <c r="BO221" s="8" t="n"/>
      <c r="BP221" s="9" t="n"/>
      <c r="BQ221" s="9" t="n"/>
      <c r="BR221" s="12">
        <f>IF(AND(AI221="Y",AK221="Y",AL221="Y",AM221="Y",AY221="Y",AZ221="Y",BA221="Y",BB221="Y",BC221="Y",BE221&lt;&gt;"Y",AX221&lt;&gt;"Y",BL221&lt;&gt;"Y",IF(AS221="Y",AV221="Y",TRUE)),"Y","N")</f>
        <v/>
      </c>
      <c r="BS221" s="12">
        <f>IF(AND(BR221="Y",OR(AND(BJ221="Y",BM221="Y"),AND(BK221="Y",BN221="Y"),AND(BJ221&lt;&gt;"Y",BK221&lt;&gt;"Y",OR(BM221="Y",BN221="Y")))),"Y","N")</f>
        <v/>
      </c>
      <c r="BT221" s="10" t="n"/>
      <c r="BU221" s="13" t="n"/>
      <c r="BV221" s="13" t="n"/>
      <c r="BW221" s="13" t="n"/>
      <c r="BX221" s="13" t="n"/>
      <c r="BY221" s="13" t="n"/>
      <c r="BZ221" s="13" t="n"/>
      <c r="CA221" s="14" t="n"/>
      <c r="CB221" s="13" t="n"/>
      <c r="CC221" s="9" t="n"/>
      <c r="CD221" s="9" t="n"/>
      <c r="CE221" s="9" t="n"/>
      <c r="CF221" s="9" t="n"/>
      <c r="CG221" s="9" t="n"/>
      <c r="CH221" s="9" t="n"/>
    </row>
    <row r="222">
      <c r="A222" s="8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8" t="n"/>
      <c r="L222" s="9" t="n"/>
      <c r="M222" s="8" t="n"/>
      <c r="N222" s="8" t="n"/>
      <c r="O222" s="8" t="n"/>
      <c r="P222" s="8" t="n"/>
      <c r="Q222" s="8" t="n"/>
      <c r="R222" s="9" t="n"/>
      <c r="S222" s="9" t="n"/>
      <c r="T222" s="10" t="n"/>
      <c r="U222" s="10" t="n"/>
      <c r="V222" s="9" t="n"/>
      <c r="W222" s="9" t="n"/>
      <c r="X222" s="9" t="n"/>
      <c r="Y222" s="9" t="n"/>
      <c r="Z222" s="11" t="n"/>
      <c r="AA222" s="11" t="n"/>
      <c r="AB222" s="11" t="n"/>
      <c r="AC222" s="11" t="n"/>
      <c r="AD222" s="11" t="n"/>
      <c r="AE222" s="11" t="n"/>
      <c r="AF222" s="9" t="n"/>
      <c r="AG222" s="9" t="n"/>
      <c r="AH222" s="9" t="n"/>
      <c r="AI222" s="9" t="n"/>
      <c r="AJ222" s="8" t="n"/>
      <c r="AK222" s="9" t="n"/>
      <c r="AL222" s="9" t="n"/>
      <c r="AM222" s="9" t="n"/>
      <c r="AN222" s="9" t="n"/>
      <c r="AO222" s="9" t="n"/>
      <c r="AP222" s="9" t="n"/>
      <c r="AQ222" s="9" t="n"/>
      <c r="AR222" s="9" t="n"/>
      <c r="AS222" s="9" t="n"/>
      <c r="AT222" s="8" t="n"/>
      <c r="AU222" s="8" t="n"/>
      <c r="AV222" s="9" t="n"/>
      <c r="AW222" s="8" t="n"/>
      <c r="AX222" s="9" t="n"/>
      <c r="AY222" s="9" t="n"/>
      <c r="AZ222" s="9" t="n"/>
      <c r="BA222" s="9" t="n"/>
      <c r="BB222" s="9" t="n"/>
      <c r="BC222" s="9" t="n"/>
      <c r="BD222" s="9" t="n"/>
      <c r="BE222" s="9" t="n"/>
      <c r="BF222" s="9" t="n"/>
      <c r="BG222" s="9" t="n"/>
      <c r="BH222" s="9" t="n"/>
      <c r="BI222" s="9" t="n"/>
      <c r="BJ222" s="9" t="n"/>
      <c r="BK222" s="9" t="n"/>
      <c r="BL222" s="9" t="n"/>
      <c r="BM222" s="9" t="n"/>
      <c r="BN222" s="9" t="n"/>
      <c r="BO222" s="8" t="n"/>
      <c r="BP222" s="9" t="n"/>
      <c r="BQ222" s="9" t="n"/>
      <c r="BR222" s="12">
        <f>IF(AND(AI222="Y",AK222="Y",AL222="Y",AM222="Y",AY222="Y",AZ222="Y",BA222="Y",BB222="Y",BC222="Y",BE222&lt;&gt;"Y",AX222&lt;&gt;"Y",BL222&lt;&gt;"Y",IF(AS222="Y",AV222="Y",TRUE)),"Y","N")</f>
        <v/>
      </c>
      <c r="BS222" s="12">
        <f>IF(AND(BR222="Y",OR(AND(BJ222="Y",BM222="Y"),AND(BK222="Y",BN222="Y"),AND(BJ222&lt;&gt;"Y",BK222&lt;&gt;"Y",OR(BM222="Y",BN222="Y")))),"Y","N")</f>
        <v/>
      </c>
      <c r="BT222" s="10" t="n"/>
      <c r="BU222" s="13" t="n"/>
      <c r="BV222" s="13" t="n"/>
      <c r="BW222" s="13" t="n"/>
      <c r="BX222" s="13" t="n"/>
      <c r="BY222" s="13" t="n"/>
      <c r="BZ222" s="13" t="n"/>
      <c r="CA222" s="14" t="n"/>
      <c r="CB222" s="13" t="n"/>
      <c r="CC222" s="9" t="n"/>
      <c r="CD222" s="9" t="n"/>
      <c r="CE222" s="9" t="n"/>
      <c r="CF222" s="9" t="n"/>
      <c r="CG222" s="9" t="n"/>
      <c r="CH222" s="9" t="n"/>
    </row>
    <row r="223">
      <c r="A223" s="8" t="n"/>
      <c r="B223" s="9" t="n"/>
      <c r="C223" s="9" t="n"/>
      <c r="D223" s="9" t="n"/>
      <c r="E223" s="9" t="n"/>
      <c r="F223" s="9" t="n"/>
      <c r="G223" s="9" t="n"/>
      <c r="H223" s="9" t="n"/>
      <c r="I223" s="9" t="n"/>
      <c r="J223" s="9" t="n"/>
      <c r="K223" s="8" t="n"/>
      <c r="L223" s="9" t="n"/>
      <c r="M223" s="8" t="n"/>
      <c r="N223" s="8" t="n"/>
      <c r="O223" s="8" t="n"/>
      <c r="P223" s="8" t="n"/>
      <c r="Q223" s="8" t="n"/>
      <c r="R223" s="9" t="n"/>
      <c r="S223" s="9" t="n"/>
      <c r="T223" s="10" t="n"/>
      <c r="U223" s="10" t="n"/>
      <c r="V223" s="9" t="n"/>
      <c r="W223" s="9" t="n"/>
      <c r="X223" s="9" t="n"/>
      <c r="Y223" s="9" t="n"/>
      <c r="Z223" s="11" t="n"/>
      <c r="AA223" s="11" t="n"/>
      <c r="AB223" s="11" t="n"/>
      <c r="AC223" s="11" t="n"/>
      <c r="AD223" s="11" t="n"/>
      <c r="AE223" s="11" t="n"/>
      <c r="AF223" s="9" t="n"/>
      <c r="AG223" s="9" t="n"/>
      <c r="AH223" s="9" t="n"/>
      <c r="AI223" s="9" t="n"/>
      <c r="AJ223" s="8" t="n"/>
      <c r="AK223" s="9" t="n"/>
      <c r="AL223" s="9" t="n"/>
      <c r="AM223" s="9" t="n"/>
      <c r="AN223" s="9" t="n"/>
      <c r="AO223" s="9" t="n"/>
      <c r="AP223" s="9" t="n"/>
      <c r="AQ223" s="9" t="n"/>
      <c r="AR223" s="9" t="n"/>
      <c r="AS223" s="9" t="n"/>
      <c r="AT223" s="8" t="n"/>
      <c r="AU223" s="8" t="n"/>
      <c r="AV223" s="9" t="n"/>
      <c r="AW223" s="8" t="n"/>
      <c r="AX223" s="9" t="n"/>
      <c r="AY223" s="9" t="n"/>
      <c r="AZ223" s="9" t="n"/>
      <c r="BA223" s="9" t="n"/>
      <c r="BB223" s="9" t="n"/>
      <c r="BC223" s="9" t="n"/>
      <c r="BD223" s="9" t="n"/>
      <c r="BE223" s="9" t="n"/>
      <c r="BF223" s="9" t="n"/>
      <c r="BG223" s="9" t="n"/>
      <c r="BH223" s="9" t="n"/>
      <c r="BI223" s="9" t="n"/>
      <c r="BJ223" s="9" t="n"/>
      <c r="BK223" s="9" t="n"/>
      <c r="BL223" s="9" t="n"/>
      <c r="BM223" s="9" t="n"/>
      <c r="BN223" s="9" t="n"/>
      <c r="BO223" s="8" t="n"/>
      <c r="BP223" s="9" t="n"/>
      <c r="BQ223" s="9" t="n"/>
      <c r="BR223" s="12">
        <f>IF(AND(AI223="Y",AK223="Y",AL223="Y",AM223="Y",AY223="Y",AZ223="Y",BA223="Y",BB223="Y",BC223="Y",BE223&lt;&gt;"Y",AX223&lt;&gt;"Y",BL223&lt;&gt;"Y",IF(AS223="Y",AV223="Y",TRUE)),"Y","N")</f>
        <v/>
      </c>
      <c r="BS223" s="12">
        <f>IF(AND(BR223="Y",OR(AND(BJ223="Y",BM223="Y"),AND(BK223="Y",BN223="Y"),AND(BJ223&lt;&gt;"Y",BK223&lt;&gt;"Y",OR(BM223="Y",BN223="Y")))),"Y","N")</f>
        <v/>
      </c>
      <c r="BT223" s="10" t="n"/>
      <c r="BU223" s="13" t="n"/>
      <c r="BV223" s="13" t="n"/>
      <c r="BW223" s="13" t="n"/>
      <c r="BX223" s="13" t="n"/>
      <c r="BY223" s="13" t="n"/>
      <c r="BZ223" s="13" t="n"/>
      <c r="CA223" s="14" t="n"/>
      <c r="CB223" s="13" t="n"/>
      <c r="CC223" s="9" t="n"/>
      <c r="CD223" s="9" t="n"/>
      <c r="CE223" s="9" t="n"/>
      <c r="CF223" s="9" t="n"/>
      <c r="CG223" s="9" t="n"/>
      <c r="CH223" s="9" t="n"/>
    </row>
    <row r="224">
      <c r="A224" s="8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8" t="n"/>
      <c r="L224" s="9" t="n"/>
      <c r="M224" s="8" t="n"/>
      <c r="N224" s="8" t="n"/>
      <c r="O224" s="8" t="n"/>
      <c r="P224" s="8" t="n"/>
      <c r="Q224" s="8" t="n"/>
      <c r="R224" s="9" t="n"/>
      <c r="S224" s="9" t="n"/>
      <c r="T224" s="10" t="n"/>
      <c r="U224" s="10" t="n"/>
      <c r="V224" s="9" t="n"/>
      <c r="W224" s="9" t="n"/>
      <c r="X224" s="9" t="n"/>
      <c r="Y224" s="9" t="n"/>
      <c r="Z224" s="11" t="n"/>
      <c r="AA224" s="11" t="n"/>
      <c r="AB224" s="11" t="n"/>
      <c r="AC224" s="11" t="n"/>
      <c r="AD224" s="11" t="n"/>
      <c r="AE224" s="11" t="n"/>
      <c r="AF224" s="9" t="n"/>
      <c r="AG224" s="9" t="n"/>
      <c r="AH224" s="9" t="n"/>
      <c r="AI224" s="9" t="n"/>
      <c r="AJ224" s="8" t="n"/>
      <c r="AK224" s="9" t="n"/>
      <c r="AL224" s="9" t="n"/>
      <c r="AM224" s="9" t="n"/>
      <c r="AN224" s="9" t="n"/>
      <c r="AO224" s="9" t="n"/>
      <c r="AP224" s="9" t="n"/>
      <c r="AQ224" s="9" t="n"/>
      <c r="AR224" s="9" t="n"/>
      <c r="AS224" s="9" t="n"/>
      <c r="AT224" s="8" t="n"/>
      <c r="AU224" s="8" t="n"/>
      <c r="AV224" s="9" t="n"/>
      <c r="AW224" s="8" t="n"/>
      <c r="AX224" s="9" t="n"/>
      <c r="AY224" s="9" t="n"/>
      <c r="AZ224" s="9" t="n"/>
      <c r="BA224" s="9" t="n"/>
      <c r="BB224" s="9" t="n"/>
      <c r="BC224" s="9" t="n"/>
      <c r="BD224" s="9" t="n"/>
      <c r="BE224" s="9" t="n"/>
      <c r="BF224" s="9" t="n"/>
      <c r="BG224" s="9" t="n"/>
      <c r="BH224" s="9" t="n"/>
      <c r="BI224" s="9" t="n"/>
      <c r="BJ224" s="9" t="n"/>
      <c r="BK224" s="9" t="n"/>
      <c r="BL224" s="9" t="n"/>
      <c r="BM224" s="9" t="n"/>
      <c r="BN224" s="9" t="n"/>
      <c r="BO224" s="8" t="n"/>
      <c r="BP224" s="9" t="n"/>
      <c r="BQ224" s="9" t="n"/>
      <c r="BR224" s="12">
        <f>IF(AND(AI224="Y",AK224="Y",AL224="Y",AM224="Y",AY224="Y",AZ224="Y",BA224="Y",BB224="Y",BC224="Y",BE224&lt;&gt;"Y",AX224&lt;&gt;"Y",BL224&lt;&gt;"Y",IF(AS224="Y",AV224="Y",TRUE)),"Y","N")</f>
        <v/>
      </c>
      <c r="BS224" s="12">
        <f>IF(AND(BR224="Y",OR(AND(BJ224="Y",BM224="Y"),AND(BK224="Y",BN224="Y"),AND(BJ224&lt;&gt;"Y",BK224&lt;&gt;"Y",OR(BM224="Y",BN224="Y")))),"Y","N")</f>
        <v/>
      </c>
      <c r="BT224" s="10" t="n"/>
      <c r="BU224" s="13" t="n"/>
      <c r="BV224" s="13" t="n"/>
      <c r="BW224" s="13" t="n"/>
      <c r="BX224" s="13" t="n"/>
      <c r="BY224" s="13" t="n"/>
      <c r="BZ224" s="13" t="n"/>
      <c r="CA224" s="14" t="n"/>
      <c r="CB224" s="13" t="n"/>
      <c r="CC224" s="9" t="n"/>
      <c r="CD224" s="9" t="n"/>
      <c r="CE224" s="9" t="n"/>
      <c r="CF224" s="9" t="n"/>
      <c r="CG224" s="9" t="n"/>
      <c r="CH224" s="9" t="n"/>
    </row>
    <row r="225">
      <c r="A225" s="8" t="n"/>
      <c r="B225" s="9" t="n"/>
      <c r="C225" s="9" t="n"/>
      <c r="D225" s="9" t="n"/>
      <c r="E225" s="9" t="n"/>
      <c r="F225" s="9" t="n"/>
      <c r="G225" s="9" t="n"/>
      <c r="H225" s="9" t="n"/>
      <c r="I225" s="9" t="n"/>
      <c r="J225" s="9" t="n"/>
      <c r="K225" s="8" t="n"/>
      <c r="L225" s="9" t="n"/>
      <c r="M225" s="8" t="n"/>
      <c r="N225" s="8" t="n"/>
      <c r="O225" s="8" t="n"/>
      <c r="P225" s="8" t="n"/>
      <c r="Q225" s="8" t="n"/>
      <c r="R225" s="9" t="n"/>
      <c r="S225" s="9" t="n"/>
      <c r="T225" s="10" t="n"/>
      <c r="U225" s="10" t="n"/>
      <c r="V225" s="9" t="n"/>
      <c r="W225" s="9" t="n"/>
      <c r="X225" s="9" t="n"/>
      <c r="Y225" s="9" t="n"/>
      <c r="Z225" s="11" t="n"/>
      <c r="AA225" s="11" t="n"/>
      <c r="AB225" s="11" t="n"/>
      <c r="AC225" s="11" t="n"/>
      <c r="AD225" s="11" t="n"/>
      <c r="AE225" s="11" t="n"/>
      <c r="AF225" s="9" t="n"/>
      <c r="AG225" s="9" t="n"/>
      <c r="AH225" s="9" t="n"/>
      <c r="AI225" s="9" t="n"/>
      <c r="AJ225" s="8" t="n"/>
      <c r="AK225" s="9" t="n"/>
      <c r="AL225" s="9" t="n"/>
      <c r="AM225" s="9" t="n"/>
      <c r="AN225" s="9" t="n"/>
      <c r="AO225" s="9" t="n"/>
      <c r="AP225" s="9" t="n"/>
      <c r="AQ225" s="9" t="n"/>
      <c r="AR225" s="9" t="n"/>
      <c r="AS225" s="9" t="n"/>
      <c r="AT225" s="8" t="n"/>
      <c r="AU225" s="8" t="n"/>
      <c r="AV225" s="9" t="n"/>
      <c r="AW225" s="8" t="n"/>
      <c r="AX225" s="9" t="n"/>
      <c r="AY225" s="9" t="n"/>
      <c r="AZ225" s="9" t="n"/>
      <c r="BA225" s="9" t="n"/>
      <c r="BB225" s="9" t="n"/>
      <c r="BC225" s="9" t="n"/>
      <c r="BD225" s="9" t="n"/>
      <c r="BE225" s="9" t="n"/>
      <c r="BF225" s="9" t="n"/>
      <c r="BG225" s="9" t="n"/>
      <c r="BH225" s="9" t="n"/>
      <c r="BI225" s="9" t="n"/>
      <c r="BJ225" s="9" t="n"/>
      <c r="BK225" s="9" t="n"/>
      <c r="BL225" s="9" t="n"/>
      <c r="BM225" s="9" t="n"/>
      <c r="BN225" s="9" t="n"/>
      <c r="BO225" s="8" t="n"/>
      <c r="BP225" s="9" t="n"/>
      <c r="BQ225" s="9" t="n"/>
      <c r="BR225" s="12">
        <f>IF(AND(AI225="Y",AK225="Y",AL225="Y",AM225="Y",AY225="Y",AZ225="Y",BA225="Y",BB225="Y",BC225="Y",BE225&lt;&gt;"Y",AX225&lt;&gt;"Y",BL225&lt;&gt;"Y",IF(AS225="Y",AV225="Y",TRUE)),"Y","N")</f>
        <v/>
      </c>
      <c r="BS225" s="12">
        <f>IF(AND(BR225="Y",OR(AND(BJ225="Y",BM225="Y"),AND(BK225="Y",BN225="Y"),AND(BJ225&lt;&gt;"Y",BK225&lt;&gt;"Y",OR(BM225="Y",BN225="Y")))),"Y","N")</f>
        <v/>
      </c>
      <c r="BT225" s="10" t="n"/>
      <c r="BU225" s="13" t="n"/>
      <c r="BV225" s="13" t="n"/>
      <c r="BW225" s="13" t="n"/>
      <c r="BX225" s="13" t="n"/>
      <c r="BY225" s="13" t="n"/>
      <c r="BZ225" s="13" t="n"/>
      <c r="CA225" s="14" t="n"/>
      <c r="CB225" s="13" t="n"/>
      <c r="CC225" s="9" t="n"/>
      <c r="CD225" s="9" t="n"/>
      <c r="CE225" s="9" t="n"/>
      <c r="CF225" s="9" t="n"/>
      <c r="CG225" s="9" t="n"/>
      <c r="CH225" s="9" t="n"/>
    </row>
    <row r="226">
      <c r="A226" s="8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8" t="n"/>
      <c r="L226" s="9" t="n"/>
      <c r="M226" s="8" t="n"/>
      <c r="N226" s="8" t="n"/>
      <c r="O226" s="8" t="n"/>
      <c r="P226" s="8" t="n"/>
      <c r="Q226" s="8" t="n"/>
      <c r="R226" s="9" t="n"/>
      <c r="S226" s="9" t="n"/>
      <c r="T226" s="10" t="n"/>
      <c r="U226" s="10" t="n"/>
      <c r="V226" s="9" t="n"/>
      <c r="W226" s="9" t="n"/>
      <c r="X226" s="9" t="n"/>
      <c r="Y226" s="9" t="n"/>
      <c r="Z226" s="11" t="n"/>
      <c r="AA226" s="11" t="n"/>
      <c r="AB226" s="11" t="n"/>
      <c r="AC226" s="11" t="n"/>
      <c r="AD226" s="11" t="n"/>
      <c r="AE226" s="11" t="n"/>
      <c r="AF226" s="9" t="n"/>
      <c r="AG226" s="9" t="n"/>
      <c r="AH226" s="9" t="n"/>
      <c r="AI226" s="9" t="n"/>
      <c r="AJ226" s="8" t="n"/>
      <c r="AK226" s="9" t="n"/>
      <c r="AL226" s="9" t="n"/>
      <c r="AM226" s="9" t="n"/>
      <c r="AN226" s="9" t="n"/>
      <c r="AO226" s="9" t="n"/>
      <c r="AP226" s="9" t="n"/>
      <c r="AQ226" s="9" t="n"/>
      <c r="AR226" s="9" t="n"/>
      <c r="AS226" s="9" t="n"/>
      <c r="AT226" s="8" t="n"/>
      <c r="AU226" s="8" t="n"/>
      <c r="AV226" s="9" t="n"/>
      <c r="AW226" s="8" t="n"/>
      <c r="AX226" s="9" t="n"/>
      <c r="AY226" s="9" t="n"/>
      <c r="AZ226" s="9" t="n"/>
      <c r="BA226" s="9" t="n"/>
      <c r="BB226" s="9" t="n"/>
      <c r="BC226" s="9" t="n"/>
      <c r="BD226" s="9" t="n"/>
      <c r="BE226" s="9" t="n"/>
      <c r="BF226" s="9" t="n"/>
      <c r="BG226" s="9" t="n"/>
      <c r="BH226" s="9" t="n"/>
      <c r="BI226" s="9" t="n"/>
      <c r="BJ226" s="9" t="n"/>
      <c r="BK226" s="9" t="n"/>
      <c r="BL226" s="9" t="n"/>
      <c r="BM226" s="9" t="n"/>
      <c r="BN226" s="9" t="n"/>
      <c r="BO226" s="8" t="n"/>
      <c r="BP226" s="9" t="n"/>
      <c r="BQ226" s="9" t="n"/>
      <c r="BR226" s="12">
        <f>IF(AND(AI226="Y",AK226="Y",AL226="Y",AM226="Y",AY226="Y",AZ226="Y",BA226="Y",BB226="Y",BC226="Y",BE226&lt;&gt;"Y",AX226&lt;&gt;"Y",BL226&lt;&gt;"Y",IF(AS226="Y",AV226="Y",TRUE)),"Y","N")</f>
        <v/>
      </c>
      <c r="BS226" s="12">
        <f>IF(AND(BR226="Y",OR(AND(BJ226="Y",BM226="Y"),AND(BK226="Y",BN226="Y"),AND(BJ226&lt;&gt;"Y",BK226&lt;&gt;"Y",OR(BM226="Y",BN226="Y")))),"Y","N")</f>
        <v/>
      </c>
      <c r="BT226" s="10" t="n"/>
      <c r="BU226" s="13" t="n"/>
      <c r="BV226" s="13" t="n"/>
      <c r="BW226" s="13" t="n"/>
      <c r="BX226" s="13" t="n"/>
      <c r="BY226" s="13" t="n"/>
      <c r="BZ226" s="13" t="n"/>
      <c r="CA226" s="14" t="n"/>
      <c r="CB226" s="13" t="n"/>
      <c r="CC226" s="9" t="n"/>
      <c r="CD226" s="9" t="n"/>
      <c r="CE226" s="9" t="n"/>
      <c r="CF226" s="9" t="n"/>
      <c r="CG226" s="9" t="n"/>
      <c r="CH226" s="9" t="n"/>
    </row>
    <row r="227">
      <c r="A227" s="8" t="n"/>
      <c r="B227" s="9" t="n"/>
      <c r="C227" s="9" t="n"/>
      <c r="D227" s="9" t="n"/>
      <c r="E227" s="9" t="n"/>
      <c r="F227" s="9" t="n"/>
      <c r="G227" s="9" t="n"/>
      <c r="H227" s="9" t="n"/>
      <c r="I227" s="9" t="n"/>
      <c r="J227" s="9" t="n"/>
      <c r="K227" s="8" t="n"/>
      <c r="L227" s="9" t="n"/>
      <c r="M227" s="8" t="n"/>
      <c r="N227" s="8" t="n"/>
      <c r="O227" s="8" t="n"/>
      <c r="P227" s="8" t="n"/>
      <c r="Q227" s="8" t="n"/>
      <c r="R227" s="9" t="n"/>
      <c r="S227" s="9" t="n"/>
      <c r="T227" s="10" t="n"/>
      <c r="U227" s="10" t="n"/>
      <c r="V227" s="9" t="n"/>
      <c r="W227" s="9" t="n"/>
      <c r="X227" s="9" t="n"/>
      <c r="Y227" s="9" t="n"/>
      <c r="Z227" s="11" t="n"/>
      <c r="AA227" s="11" t="n"/>
      <c r="AB227" s="11" t="n"/>
      <c r="AC227" s="11" t="n"/>
      <c r="AD227" s="11" t="n"/>
      <c r="AE227" s="11" t="n"/>
      <c r="AF227" s="9" t="n"/>
      <c r="AG227" s="9" t="n"/>
      <c r="AH227" s="9" t="n"/>
      <c r="AI227" s="9" t="n"/>
      <c r="AJ227" s="8" t="n"/>
      <c r="AK227" s="9" t="n"/>
      <c r="AL227" s="9" t="n"/>
      <c r="AM227" s="9" t="n"/>
      <c r="AN227" s="9" t="n"/>
      <c r="AO227" s="9" t="n"/>
      <c r="AP227" s="9" t="n"/>
      <c r="AQ227" s="9" t="n"/>
      <c r="AR227" s="9" t="n"/>
      <c r="AS227" s="9" t="n"/>
      <c r="AT227" s="8" t="n"/>
      <c r="AU227" s="8" t="n"/>
      <c r="AV227" s="9" t="n"/>
      <c r="AW227" s="8" t="n"/>
      <c r="AX227" s="9" t="n"/>
      <c r="AY227" s="9" t="n"/>
      <c r="AZ227" s="9" t="n"/>
      <c r="BA227" s="9" t="n"/>
      <c r="BB227" s="9" t="n"/>
      <c r="BC227" s="9" t="n"/>
      <c r="BD227" s="9" t="n"/>
      <c r="BE227" s="9" t="n"/>
      <c r="BF227" s="9" t="n"/>
      <c r="BG227" s="9" t="n"/>
      <c r="BH227" s="9" t="n"/>
      <c r="BI227" s="9" t="n"/>
      <c r="BJ227" s="9" t="n"/>
      <c r="BK227" s="9" t="n"/>
      <c r="BL227" s="9" t="n"/>
      <c r="BM227" s="9" t="n"/>
      <c r="BN227" s="9" t="n"/>
      <c r="BO227" s="8" t="n"/>
      <c r="BP227" s="9" t="n"/>
      <c r="BQ227" s="9" t="n"/>
      <c r="BR227" s="12">
        <f>IF(AND(AI227="Y",AK227="Y",AL227="Y",AM227="Y",AY227="Y",AZ227="Y",BA227="Y",BB227="Y",BC227="Y",BE227&lt;&gt;"Y",AX227&lt;&gt;"Y",BL227&lt;&gt;"Y",IF(AS227="Y",AV227="Y",TRUE)),"Y","N")</f>
        <v/>
      </c>
      <c r="BS227" s="12">
        <f>IF(AND(BR227="Y",OR(AND(BJ227="Y",BM227="Y"),AND(BK227="Y",BN227="Y"),AND(BJ227&lt;&gt;"Y",BK227&lt;&gt;"Y",OR(BM227="Y",BN227="Y")))),"Y","N")</f>
        <v/>
      </c>
      <c r="BT227" s="10" t="n"/>
      <c r="BU227" s="13" t="n"/>
      <c r="BV227" s="13" t="n"/>
      <c r="BW227" s="13" t="n"/>
      <c r="BX227" s="13" t="n"/>
      <c r="BY227" s="13" t="n"/>
      <c r="BZ227" s="13" t="n"/>
      <c r="CA227" s="14" t="n"/>
      <c r="CB227" s="13" t="n"/>
      <c r="CC227" s="9" t="n"/>
      <c r="CD227" s="9" t="n"/>
      <c r="CE227" s="9" t="n"/>
      <c r="CF227" s="9" t="n"/>
      <c r="CG227" s="9" t="n"/>
      <c r="CH227" s="9" t="n"/>
    </row>
    <row r="228">
      <c r="A228" s="8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8" t="n"/>
      <c r="L228" s="9" t="n"/>
      <c r="M228" s="8" t="n"/>
      <c r="N228" s="8" t="n"/>
      <c r="O228" s="8" t="n"/>
      <c r="P228" s="8" t="n"/>
      <c r="Q228" s="8" t="n"/>
      <c r="R228" s="9" t="n"/>
      <c r="S228" s="9" t="n"/>
      <c r="T228" s="10" t="n"/>
      <c r="U228" s="10" t="n"/>
      <c r="V228" s="9" t="n"/>
      <c r="W228" s="9" t="n"/>
      <c r="X228" s="9" t="n"/>
      <c r="Y228" s="9" t="n"/>
      <c r="Z228" s="11" t="n"/>
      <c r="AA228" s="11" t="n"/>
      <c r="AB228" s="11" t="n"/>
      <c r="AC228" s="11" t="n"/>
      <c r="AD228" s="11" t="n"/>
      <c r="AE228" s="11" t="n"/>
      <c r="AF228" s="9" t="n"/>
      <c r="AG228" s="9" t="n"/>
      <c r="AH228" s="9" t="n"/>
      <c r="AI228" s="9" t="n"/>
      <c r="AJ228" s="8" t="n"/>
      <c r="AK228" s="9" t="n"/>
      <c r="AL228" s="9" t="n"/>
      <c r="AM228" s="9" t="n"/>
      <c r="AN228" s="9" t="n"/>
      <c r="AO228" s="9" t="n"/>
      <c r="AP228" s="9" t="n"/>
      <c r="AQ228" s="9" t="n"/>
      <c r="AR228" s="9" t="n"/>
      <c r="AS228" s="9" t="n"/>
      <c r="AT228" s="8" t="n"/>
      <c r="AU228" s="8" t="n"/>
      <c r="AV228" s="9" t="n"/>
      <c r="AW228" s="8" t="n"/>
      <c r="AX228" s="9" t="n"/>
      <c r="AY228" s="9" t="n"/>
      <c r="AZ228" s="9" t="n"/>
      <c r="BA228" s="9" t="n"/>
      <c r="BB228" s="9" t="n"/>
      <c r="BC228" s="9" t="n"/>
      <c r="BD228" s="9" t="n"/>
      <c r="BE228" s="9" t="n"/>
      <c r="BF228" s="9" t="n"/>
      <c r="BG228" s="9" t="n"/>
      <c r="BH228" s="9" t="n"/>
      <c r="BI228" s="9" t="n"/>
      <c r="BJ228" s="9" t="n"/>
      <c r="BK228" s="9" t="n"/>
      <c r="BL228" s="9" t="n"/>
      <c r="BM228" s="9" t="n"/>
      <c r="BN228" s="9" t="n"/>
      <c r="BO228" s="8" t="n"/>
      <c r="BP228" s="9" t="n"/>
      <c r="BQ228" s="9" t="n"/>
      <c r="BR228" s="12">
        <f>IF(AND(AI228="Y",AK228="Y",AL228="Y",AM228="Y",AY228="Y",AZ228="Y",BA228="Y",BB228="Y",BC228="Y",BE228&lt;&gt;"Y",AX228&lt;&gt;"Y",BL228&lt;&gt;"Y",IF(AS228="Y",AV228="Y",TRUE)),"Y","N")</f>
        <v/>
      </c>
      <c r="BS228" s="12">
        <f>IF(AND(BR228="Y",OR(AND(BJ228="Y",BM228="Y"),AND(BK228="Y",BN228="Y"),AND(BJ228&lt;&gt;"Y",BK228&lt;&gt;"Y",OR(BM228="Y",BN228="Y")))),"Y","N")</f>
        <v/>
      </c>
      <c r="BT228" s="10" t="n"/>
      <c r="BU228" s="13" t="n"/>
      <c r="BV228" s="13" t="n"/>
      <c r="BW228" s="13" t="n"/>
      <c r="BX228" s="13" t="n"/>
      <c r="BY228" s="13" t="n"/>
      <c r="BZ228" s="13" t="n"/>
      <c r="CA228" s="14" t="n"/>
      <c r="CB228" s="13" t="n"/>
      <c r="CC228" s="9" t="n"/>
      <c r="CD228" s="9" t="n"/>
      <c r="CE228" s="9" t="n"/>
      <c r="CF228" s="9" t="n"/>
      <c r="CG228" s="9" t="n"/>
      <c r="CH228" s="9" t="n"/>
    </row>
    <row r="229">
      <c r="A229" s="8" t="n"/>
      <c r="B229" s="9" t="n"/>
      <c r="C229" s="9" t="n"/>
      <c r="D229" s="9" t="n"/>
      <c r="E229" s="9" t="n"/>
      <c r="F229" s="9" t="n"/>
      <c r="G229" s="9" t="n"/>
      <c r="H229" s="9" t="n"/>
      <c r="I229" s="9" t="n"/>
      <c r="J229" s="9" t="n"/>
      <c r="K229" s="8" t="n"/>
      <c r="L229" s="9" t="n"/>
      <c r="M229" s="8" t="n"/>
      <c r="N229" s="8" t="n"/>
      <c r="O229" s="8" t="n"/>
      <c r="P229" s="8" t="n"/>
      <c r="Q229" s="8" t="n"/>
      <c r="R229" s="9" t="n"/>
      <c r="S229" s="9" t="n"/>
      <c r="T229" s="10" t="n"/>
      <c r="U229" s="10" t="n"/>
      <c r="V229" s="9" t="n"/>
      <c r="W229" s="9" t="n"/>
      <c r="X229" s="9" t="n"/>
      <c r="Y229" s="9" t="n"/>
      <c r="Z229" s="11" t="n"/>
      <c r="AA229" s="11" t="n"/>
      <c r="AB229" s="11" t="n"/>
      <c r="AC229" s="11" t="n"/>
      <c r="AD229" s="11" t="n"/>
      <c r="AE229" s="11" t="n"/>
      <c r="AF229" s="9" t="n"/>
      <c r="AG229" s="9" t="n"/>
      <c r="AH229" s="9" t="n"/>
      <c r="AI229" s="9" t="n"/>
      <c r="AJ229" s="8" t="n"/>
      <c r="AK229" s="9" t="n"/>
      <c r="AL229" s="9" t="n"/>
      <c r="AM229" s="9" t="n"/>
      <c r="AN229" s="9" t="n"/>
      <c r="AO229" s="9" t="n"/>
      <c r="AP229" s="9" t="n"/>
      <c r="AQ229" s="9" t="n"/>
      <c r="AR229" s="9" t="n"/>
      <c r="AS229" s="9" t="n"/>
      <c r="AT229" s="8" t="n"/>
      <c r="AU229" s="8" t="n"/>
      <c r="AV229" s="9" t="n"/>
      <c r="AW229" s="8" t="n"/>
      <c r="AX229" s="9" t="n"/>
      <c r="AY229" s="9" t="n"/>
      <c r="AZ229" s="9" t="n"/>
      <c r="BA229" s="9" t="n"/>
      <c r="BB229" s="9" t="n"/>
      <c r="BC229" s="9" t="n"/>
      <c r="BD229" s="9" t="n"/>
      <c r="BE229" s="9" t="n"/>
      <c r="BF229" s="9" t="n"/>
      <c r="BG229" s="9" t="n"/>
      <c r="BH229" s="9" t="n"/>
      <c r="BI229" s="9" t="n"/>
      <c r="BJ229" s="9" t="n"/>
      <c r="BK229" s="9" t="n"/>
      <c r="BL229" s="9" t="n"/>
      <c r="BM229" s="9" t="n"/>
      <c r="BN229" s="9" t="n"/>
      <c r="BO229" s="8" t="n"/>
      <c r="BP229" s="9" t="n"/>
      <c r="BQ229" s="9" t="n"/>
      <c r="BR229" s="12">
        <f>IF(AND(AI229="Y",AK229="Y",AL229="Y",AM229="Y",AY229="Y",AZ229="Y",BA229="Y",BB229="Y",BC229="Y",BE229&lt;&gt;"Y",AX229&lt;&gt;"Y",BL229&lt;&gt;"Y",IF(AS229="Y",AV229="Y",TRUE)),"Y","N")</f>
        <v/>
      </c>
      <c r="BS229" s="12">
        <f>IF(AND(BR229="Y",OR(AND(BJ229="Y",BM229="Y"),AND(BK229="Y",BN229="Y"),AND(BJ229&lt;&gt;"Y",BK229&lt;&gt;"Y",OR(BM229="Y",BN229="Y")))),"Y","N")</f>
        <v/>
      </c>
      <c r="BT229" s="10" t="n"/>
      <c r="BU229" s="13" t="n"/>
      <c r="BV229" s="13" t="n"/>
      <c r="BW229" s="13" t="n"/>
      <c r="BX229" s="13" t="n"/>
      <c r="BY229" s="13" t="n"/>
      <c r="BZ229" s="13" t="n"/>
      <c r="CA229" s="14" t="n"/>
      <c r="CB229" s="13" t="n"/>
      <c r="CC229" s="9" t="n"/>
      <c r="CD229" s="9" t="n"/>
      <c r="CE229" s="9" t="n"/>
      <c r="CF229" s="9" t="n"/>
      <c r="CG229" s="9" t="n"/>
      <c r="CH229" s="9" t="n"/>
    </row>
    <row r="230">
      <c r="A230" s="8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8" t="n"/>
      <c r="L230" s="9" t="n"/>
      <c r="M230" s="8" t="n"/>
      <c r="N230" s="8" t="n"/>
      <c r="O230" s="8" t="n"/>
      <c r="P230" s="8" t="n"/>
      <c r="Q230" s="8" t="n"/>
      <c r="R230" s="9" t="n"/>
      <c r="S230" s="9" t="n"/>
      <c r="T230" s="10" t="n"/>
      <c r="U230" s="10" t="n"/>
      <c r="V230" s="9" t="n"/>
      <c r="W230" s="9" t="n"/>
      <c r="X230" s="9" t="n"/>
      <c r="Y230" s="9" t="n"/>
      <c r="Z230" s="11" t="n"/>
      <c r="AA230" s="11" t="n"/>
      <c r="AB230" s="11" t="n"/>
      <c r="AC230" s="11" t="n"/>
      <c r="AD230" s="11" t="n"/>
      <c r="AE230" s="11" t="n"/>
      <c r="AF230" s="9" t="n"/>
      <c r="AG230" s="9" t="n"/>
      <c r="AH230" s="9" t="n"/>
      <c r="AI230" s="9" t="n"/>
      <c r="AJ230" s="8" t="n"/>
      <c r="AK230" s="9" t="n"/>
      <c r="AL230" s="9" t="n"/>
      <c r="AM230" s="9" t="n"/>
      <c r="AN230" s="9" t="n"/>
      <c r="AO230" s="9" t="n"/>
      <c r="AP230" s="9" t="n"/>
      <c r="AQ230" s="9" t="n"/>
      <c r="AR230" s="9" t="n"/>
      <c r="AS230" s="9" t="n"/>
      <c r="AT230" s="8" t="n"/>
      <c r="AU230" s="8" t="n"/>
      <c r="AV230" s="9" t="n"/>
      <c r="AW230" s="8" t="n"/>
      <c r="AX230" s="9" t="n"/>
      <c r="AY230" s="9" t="n"/>
      <c r="AZ230" s="9" t="n"/>
      <c r="BA230" s="9" t="n"/>
      <c r="BB230" s="9" t="n"/>
      <c r="BC230" s="9" t="n"/>
      <c r="BD230" s="9" t="n"/>
      <c r="BE230" s="9" t="n"/>
      <c r="BF230" s="9" t="n"/>
      <c r="BG230" s="9" t="n"/>
      <c r="BH230" s="9" t="n"/>
      <c r="BI230" s="9" t="n"/>
      <c r="BJ230" s="9" t="n"/>
      <c r="BK230" s="9" t="n"/>
      <c r="BL230" s="9" t="n"/>
      <c r="BM230" s="9" t="n"/>
      <c r="BN230" s="9" t="n"/>
      <c r="BO230" s="8" t="n"/>
      <c r="BP230" s="9" t="n"/>
      <c r="BQ230" s="9" t="n"/>
      <c r="BR230" s="12">
        <f>IF(AND(AI230="Y",AK230="Y",AL230="Y",AM230="Y",AY230="Y",AZ230="Y",BA230="Y",BB230="Y",BC230="Y",BE230&lt;&gt;"Y",AX230&lt;&gt;"Y",BL230&lt;&gt;"Y",IF(AS230="Y",AV230="Y",TRUE)),"Y","N")</f>
        <v/>
      </c>
      <c r="BS230" s="12">
        <f>IF(AND(BR230="Y",OR(AND(BJ230="Y",BM230="Y"),AND(BK230="Y",BN230="Y"),AND(BJ230&lt;&gt;"Y",BK230&lt;&gt;"Y",OR(BM230="Y",BN230="Y")))),"Y","N")</f>
        <v/>
      </c>
      <c r="BT230" s="10" t="n"/>
      <c r="BU230" s="13" t="n"/>
      <c r="BV230" s="13" t="n"/>
      <c r="BW230" s="13" t="n"/>
      <c r="BX230" s="13" t="n"/>
      <c r="BY230" s="13" t="n"/>
      <c r="BZ230" s="13" t="n"/>
      <c r="CA230" s="14" t="n"/>
      <c r="CB230" s="13" t="n"/>
      <c r="CC230" s="9" t="n"/>
      <c r="CD230" s="9" t="n"/>
      <c r="CE230" s="9" t="n"/>
      <c r="CF230" s="9" t="n"/>
      <c r="CG230" s="9" t="n"/>
      <c r="CH230" s="9" t="n"/>
    </row>
    <row r="231">
      <c r="A231" s="8" t="n"/>
      <c r="B231" s="9" t="n"/>
      <c r="C231" s="9" t="n"/>
      <c r="D231" s="9" t="n"/>
      <c r="E231" s="9" t="n"/>
      <c r="F231" s="9" t="n"/>
      <c r="G231" s="9" t="n"/>
      <c r="H231" s="9" t="n"/>
      <c r="I231" s="9" t="n"/>
      <c r="J231" s="9" t="n"/>
      <c r="K231" s="8" t="n"/>
      <c r="L231" s="9" t="n"/>
      <c r="M231" s="8" t="n"/>
      <c r="N231" s="8" t="n"/>
      <c r="O231" s="8" t="n"/>
      <c r="P231" s="8" t="n"/>
      <c r="Q231" s="8" t="n"/>
      <c r="R231" s="9" t="n"/>
      <c r="S231" s="9" t="n"/>
      <c r="T231" s="10" t="n"/>
      <c r="U231" s="10" t="n"/>
      <c r="V231" s="9" t="n"/>
      <c r="W231" s="9" t="n"/>
      <c r="X231" s="9" t="n"/>
      <c r="Y231" s="9" t="n"/>
      <c r="Z231" s="11" t="n"/>
      <c r="AA231" s="11" t="n"/>
      <c r="AB231" s="11" t="n"/>
      <c r="AC231" s="11" t="n"/>
      <c r="AD231" s="11" t="n"/>
      <c r="AE231" s="11" t="n"/>
      <c r="AF231" s="9" t="n"/>
      <c r="AG231" s="9" t="n"/>
      <c r="AH231" s="9" t="n"/>
      <c r="AI231" s="9" t="n"/>
      <c r="AJ231" s="8" t="n"/>
      <c r="AK231" s="9" t="n"/>
      <c r="AL231" s="9" t="n"/>
      <c r="AM231" s="9" t="n"/>
      <c r="AN231" s="9" t="n"/>
      <c r="AO231" s="9" t="n"/>
      <c r="AP231" s="9" t="n"/>
      <c r="AQ231" s="9" t="n"/>
      <c r="AR231" s="9" t="n"/>
      <c r="AS231" s="9" t="n"/>
      <c r="AT231" s="8" t="n"/>
      <c r="AU231" s="8" t="n"/>
      <c r="AV231" s="9" t="n"/>
      <c r="AW231" s="8" t="n"/>
      <c r="AX231" s="9" t="n"/>
      <c r="AY231" s="9" t="n"/>
      <c r="AZ231" s="9" t="n"/>
      <c r="BA231" s="9" t="n"/>
      <c r="BB231" s="9" t="n"/>
      <c r="BC231" s="9" t="n"/>
      <c r="BD231" s="9" t="n"/>
      <c r="BE231" s="9" t="n"/>
      <c r="BF231" s="9" t="n"/>
      <c r="BG231" s="9" t="n"/>
      <c r="BH231" s="9" t="n"/>
      <c r="BI231" s="9" t="n"/>
      <c r="BJ231" s="9" t="n"/>
      <c r="BK231" s="9" t="n"/>
      <c r="BL231" s="9" t="n"/>
      <c r="BM231" s="9" t="n"/>
      <c r="BN231" s="9" t="n"/>
      <c r="BO231" s="8" t="n"/>
      <c r="BP231" s="9" t="n"/>
      <c r="BQ231" s="9" t="n"/>
      <c r="BR231" s="12">
        <f>IF(AND(AI231="Y",AK231="Y",AL231="Y",AM231="Y",AY231="Y",AZ231="Y",BA231="Y",BB231="Y",BC231="Y",BE231&lt;&gt;"Y",AX231&lt;&gt;"Y",BL231&lt;&gt;"Y",IF(AS231="Y",AV231="Y",TRUE)),"Y","N")</f>
        <v/>
      </c>
      <c r="BS231" s="12">
        <f>IF(AND(BR231="Y",OR(AND(BJ231="Y",BM231="Y"),AND(BK231="Y",BN231="Y"),AND(BJ231&lt;&gt;"Y",BK231&lt;&gt;"Y",OR(BM231="Y",BN231="Y")))),"Y","N")</f>
        <v/>
      </c>
      <c r="BT231" s="10" t="n"/>
      <c r="BU231" s="13" t="n"/>
      <c r="BV231" s="13" t="n"/>
      <c r="BW231" s="13" t="n"/>
      <c r="BX231" s="13" t="n"/>
      <c r="BY231" s="13" t="n"/>
      <c r="BZ231" s="13" t="n"/>
      <c r="CA231" s="14" t="n"/>
      <c r="CB231" s="13" t="n"/>
      <c r="CC231" s="9" t="n"/>
      <c r="CD231" s="9" t="n"/>
      <c r="CE231" s="9" t="n"/>
      <c r="CF231" s="9" t="n"/>
      <c r="CG231" s="9" t="n"/>
      <c r="CH231" s="9" t="n"/>
    </row>
    <row r="232">
      <c r="A232" s="8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8" t="n"/>
      <c r="L232" s="9" t="n"/>
      <c r="M232" s="8" t="n"/>
      <c r="N232" s="8" t="n"/>
      <c r="O232" s="8" t="n"/>
      <c r="P232" s="8" t="n"/>
      <c r="Q232" s="8" t="n"/>
      <c r="R232" s="9" t="n"/>
      <c r="S232" s="9" t="n"/>
      <c r="T232" s="10" t="n"/>
      <c r="U232" s="10" t="n"/>
      <c r="V232" s="9" t="n"/>
      <c r="W232" s="9" t="n"/>
      <c r="X232" s="9" t="n"/>
      <c r="Y232" s="9" t="n"/>
      <c r="Z232" s="11" t="n"/>
      <c r="AA232" s="11" t="n"/>
      <c r="AB232" s="11" t="n"/>
      <c r="AC232" s="11" t="n"/>
      <c r="AD232" s="11" t="n"/>
      <c r="AE232" s="11" t="n"/>
      <c r="AF232" s="9" t="n"/>
      <c r="AG232" s="9" t="n"/>
      <c r="AH232" s="9" t="n"/>
      <c r="AI232" s="9" t="n"/>
      <c r="AJ232" s="8" t="n"/>
      <c r="AK232" s="9" t="n"/>
      <c r="AL232" s="9" t="n"/>
      <c r="AM232" s="9" t="n"/>
      <c r="AN232" s="9" t="n"/>
      <c r="AO232" s="9" t="n"/>
      <c r="AP232" s="9" t="n"/>
      <c r="AQ232" s="9" t="n"/>
      <c r="AR232" s="9" t="n"/>
      <c r="AS232" s="9" t="n"/>
      <c r="AT232" s="8" t="n"/>
      <c r="AU232" s="8" t="n"/>
      <c r="AV232" s="9" t="n"/>
      <c r="AW232" s="8" t="n"/>
      <c r="AX232" s="9" t="n"/>
      <c r="AY232" s="9" t="n"/>
      <c r="AZ232" s="9" t="n"/>
      <c r="BA232" s="9" t="n"/>
      <c r="BB232" s="9" t="n"/>
      <c r="BC232" s="9" t="n"/>
      <c r="BD232" s="9" t="n"/>
      <c r="BE232" s="9" t="n"/>
      <c r="BF232" s="9" t="n"/>
      <c r="BG232" s="9" t="n"/>
      <c r="BH232" s="9" t="n"/>
      <c r="BI232" s="9" t="n"/>
      <c r="BJ232" s="9" t="n"/>
      <c r="BK232" s="9" t="n"/>
      <c r="BL232" s="9" t="n"/>
      <c r="BM232" s="9" t="n"/>
      <c r="BN232" s="9" t="n"/>
      <c r="BO232" s="8" t="n"/>
      <c r="BP232" s="9" t="n"/>
      <c r="BQ232" s="9" t="n"/>
      <c r="BR232" s="12">
        <f>IF(AND(AI232="Y",AK232="Y",AL232="Y",AM232="Y",AY232="Y",AZ232="Y",BA232="Y",BB232="Y",BC232="Y",BE232&lt;&gt;"Y",AX232&lt;&gt;"Y",BL232&lt;&gt;"Y",IF(AS232="Y",AV232="Y",TRUE)),"Y","N")</f>
        <v/>
      </c>
      <c r="BS232" s="12">
        <f>IF(AND(BR232="Y",OR(AND(BJ232="Y",BM232="Y"),AND(BK232="Y",BN232="Y"),AND(BJ232&lt;&gt;"Y",BK232&lt;&gt;"Y",OR(BM232="Y",BN232="Y")))),"Y","N")</f>
        <v/>
      </c>
      <c r="BT232" s="10" t="n"/>
      <c r="BU232" s="13" t="n"/>
      <c r="BV232" s="13" t="n"/>
      <c r="BW232" s="13" t="n"/>
      <c r="BX232" s="13" t="n"/>
      <c r="BY232" s="13" t="n"/>
      <c r="BZ232" s="13" t="n"/>
      <c r="CA232" s="14" t="n"/>
      <c r="CB232" s="13" t="n"/>
      <c r="CC232" s="9" t="n"/>
      <c r="CD232" s="9" t="n"/>
      <c r="CE232" s="9" t="n"/>
      <c r="CF232" s="9" t="n"/>
      <c r="CG232" s="9" t="n"/>
      <c r="CH232" s="9" t="n"/>
    </row>
    <row r="233">
      <c r="A233" s="8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8" t="n"/>
      <c r="L233" s="9" t="n"/>
      <c r="M233" s="8" t="n"/>
      <c r="N233" s="8" t="n"/>
      <c r="O233" s="8" t="n"/>
      <c r="P233" s="8" t="n"/>
      <c r="Q233" s="8" t="n"/>
      <c r="R233" s="9" t="n"/>
      <c r="S233" s="9" t="n"/>
      <c r="T233" s="10" t="n"/>
      <c r="U233" s="10" t="n"/>
      <c r="V233" s="9" t="n"/>
      <c r="W233" s="9" t="n"/>
      <c r="X233" s="9" t="n"/>
      <c r="Y233" s="9" t="n"/>
      <c r="Z233" s="11" t="n"/>
      <c r="AA233" s="11" t="n"/>
      <c r="AB233" s="11" t="n"/>
      <c r="AC233" s="11" t="n"/>
      <c r="AD233" s="11" t="n"/>
      <c r="AE233" s="11" t="n"/>
      <c r="AF233" s="9" t="n"/>
      <c r="AG233" s="9" t="n"/>
      <c r="AH233" s="9" t="n"/>
      <c r="AI233" s="9" t="n"/>
      <c r="AJ233" s="8" t="n"/>
      <c r="AK233" s="9" t="n"/>
      <c r="AL233" s="9" t="n"/>
      <c r="AM233" s="9" t="n"/>
      <c r="AN233" s="9" t="n"/>
      <c r="AO233" s="9" t="n"/>
      <c r="AP233" s="9" t="n"/>
      <c r="AQ233" s="9" t="n"/>
      <c r="AR233" s="9" t="n"/>
      <c r="AS233" s="9" t="n"/>
      <c r="AT233" s="8" t="n"/>
      <c r="AU233" s="8" t="n"/>
      <c r="AV233" s="9" t="n"/>
      <c r="AW233" s="8" t="n"/>
      <c r="AX233" s="9" t="n"/>
      <c r="AY233" s="9" t="n"/>
      <c r="AZ233" s="9" t="n"/>
      <c r="BA233" s="9" t="n"/>
      <c r="BB233" s="9" t="n"/>
      <c r="BC233" s="9" t="n"/>
      <c r="BD233" s="9" t="n"/>
      <c r="BE233" s="9" t="n"/>
      <c r="BF233" s="9" t="n"/>
      <c r="BG233" s="9" t="n"/>
      <c r="BH233" s="9" t="n"/>
      <c r="BI233" s="9" t="n"/>
      <c r="BJ233" s="9" t="n"/>
      <c r="BK233" s="9" t="n"/>
      <c r="BL233" s="9" t="n"/>
      <c r="BM233" s="9" t="n"/>
      <c r="BN233" s="9" t="n"/>
      <c r="BO233" s="8" t="n"/>
      <c r="BP233" s="9" t="n"/>
      <c r="BQ233" s="9" t="n"/>
      <c r="BR233" s="12">
        <f>IF(AND(AI233="Y",AK233="Y",AL233="Y",AM233="Y",AY233="Y",AZ233="Y",BA233="Y",BB233="Y",BC233="Y",BE233&lt;&gt;"Y",AX233&lt;&gt;"Y",BL233&lt;&gt;"Y",IF(AS233="Y",AV233="Y",TRUE)),"Y","N")</f>
        <v/>
      </c>
      <c r="BS233" s="12">
        <f>IF(AND(BR233="Y",OR(AND(BJ233="Y",BM233="Y"),AND(BK233="Y",BN233="Y"),AND(BJ233&lt;&gt;"Y",BK233&lt;&gt;"Y",OR(BM233="Y",BN233="Y")))),"Y","N")</f>
        <v/>
      </c>
      <c r="BT233" s="10" t="n"/>
      <c r="BU233" s="13" t="n"/>
      <c r="BV233" s="13" t="n"/>
      <c r="BW233" s="13" t="n"/>
      <c r="BX233" s="13" t="n"/>
      <c r="BY233" s="13" t="n"/>
      <c r="BZ233" s="13" t="n"/>
      <c r="CA233" s="14" t="n"/>
      <c r="CB233" s="13" t="n"/>
      <c r="CC233" s="9" t="n"/>
      <c r="CD233" s="9" t="n"/>
      <c r="CE233" s="9" t="n"/>
      <c r="CF233" s="9" t="n"/>
      <c r="CG233" s="9" t="n"/>
      <c r="CH233" s="9" t="n"/>
    </row>
    <row r="234">
      <c r="A234" s="8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8" t="n"/>
      <c r="L234" s="9" t="n"/>
      <c r="M234" s="8" t="n"/>
      <c r="N234" s="8" t="n"/>
      <c r="O234" s="8" t="n"/>
      <c r="P234" s="8" t="n"/>
      <c r="Q234" s="8" t="n"/>
      <c r="R234" s="9" t="n"/>
      <c r="S234" s="9" t="n"/>
      <c r="T234" s="10" t="n"/>
      <c r="U234" s="10" t="n"/>
      <c r="V234" s="9" t="n"/>
      <c r="W234" s="9" t="n"/>
      <c r="X234" s="9" t="n"/>
      <c r="Y234" s="9" t="n"/>
      <c r="Z234" s="11" t="n"/>
      <c r="AA234" s="11" t="n"/>
      <c r="AB234" s="11" t="n"/>
      <c r="AC234" s="11" t="n"/>
      <c r="AD234" s="11" t="n"/>
      <c r="AE234" s="11" t="n"/>
      <c r="AF234" s="9" t="n"/>
      <c r="AG234" s="9" t="n"/>
      <c r="AH234" s="9" t="n"/>
      <c r="AI234" s="9" t="n"/>
      <c r="AJ234" s="8" t="n"/>
      <c r="AK234" s="9" t="n"/>
      <c r="AL234" s="9" t="n"/>
      <c r="AM234" s="9" t="n"/>
      <c r="AN234" s="9" t="n"/>
      <c r="AO234" s="9" t="n"/>
      <c r="AP234" s="9" t="n"/>
      <c r="AQ234" s="9" t="n"/>
      <c r="AR234" s="9" t="n"/>
      <c r="AS234" s="9" t="n"/>
      <c r="AT234" s="8" t="n"/>
      <c r="AU234" s="8" t="n"/>
      <c r="AV234" s="9" t="n"/>
      <c r="AW234" s="8" t="n"/>
      <c r="AX234" s="9" t="n"/>
      <c r="AY234" s="9" t="n"/>
      <c r="AZ234" s="9" t="n"/>
      <c r="BA234" s="9" t="n"/>
      <c r="BB234" s="9" t="n"/>
      <c r="BC234" s="9" t="n"/>
      <c r="BD234" s="9" t="n"/>
      <c r="BE234" s="9" t="n"/>
      <c r="BF234" s="9" t="n"/>
      <c r="BG234" s="9" t="n"/>
      <c r="BH234" s="9" t="n"/>
      <c r="BI234" s="9" t="n"/>
      <c r="BJ234" s="9" t="n"/>
      <c r="BK234" s="9" t="n"/>
      <c r="BL234" s="9" t="n"/>
      <c r="BM234" s="9" t="n"/>
      <c r="BN234" s="9" t="n"/>
      <c r="BO234" s="8" t="n"/>
      <c r="BP234" s="9" t="n"/>
      <c r="BQ234" s="9" t="n"/>
      <c r="BR234" s="12">
        <f>IF(AND(AI234="Y",AK234="Y",AL234="Y",AM234="Y",AY234="Y",AZ234="Y",BA234="Y",BB234="Y",BC234="Y",BE234&lt;&gt;"Y",AX234&lt;&gt;"Y",BL234&lt;&gt;"Y",IF(AS234="Y",AV234="Y",TRUE)),"Y","N")</f>
        <v/>
      </c>
      <c r="BS234" s="12">
        <f>IF(AND(BR234="Y",OR(AND(BJ234="Y",BM234="Y"),AND(BK234="Y",BN234="Y"),AND(BJ234&lt;&gt;"Y",BK234&lt;&gt;"Y",OR(BM234="Y",BN234="Y")))),"Y","N")</f>
        <v/>
      </c>
      <c r="BT234" s="10" t="n"/>
      <c r="BU234" s="13" t="n"/>
      <c r="BV234" s="13" t="n"/>
      <c r="BW234" s="13" t="n"/>
      <c r="BX234" s="13" t="n"/>
      <c r="BY234" s="13" t="n"/>
      <c r="BZ234" s="13" t="n"/>
      <c r="CA234" s="14" t="n"/>
      <c r="CB234" s="13" t="n"/>
      <c r="CC234" s="9" t="n"/>
      <c r="CD234" s="9" t="n"/>
      <c r="CE234" s="9" t="n"/>
      <c r="CF234" s="9" t="n"/>
      <c r="CG234" s="9" t="n"/>
      <c r="CH234" s="9" t="n"/>
    </row>
    <row r="235">
      <c r="A235" s="8" t="n"/>
      <c r="B235" s="9" t="n"/>
      <c r="C235" s="9" t="n"/>
      <c r="D235" s="9" t="n"/>
      <c r="E235" s="9" t="n"/>
      <c r="F235" s="9" t="n"/>
      <c r="G235" s="9" t="n"/>
      <c r="H235" s="9" t="n"/>
      <c r="I235" s="9" t="n"/>
      <c r="J235" s="9" t="n"/>
      <c r="K235" s="8" t="n"/>
      <c r="L235" s="9" t="n"/>
      <c r="M235" s="8" t="n"/>
      <c r="N235" s="8" t="n"/>
      <c r="O235" s="8" t="n"/>
      <c r="P235" s="8" t="n"/>
      <c r="Q235" s="8" t="n"/>
      <c r="R235" s="9" t="n"/>
      <c r="S235" s="9" t="n"/>
      <c r="T235" s="10" t="n"/>
      <c r="U235" s="10" t="n"/>
      <c r="V235" s="9" t="n"/>
      <c r="W235" s="9" t="n"/>
      <c r="X235" s="9" t="n"/>
      <c r="Y235" s="9" t="n"/>
      <c r="Z235" s="11" t="n"/>
      <c r="AA235" s="11" t="n"/>
      <c r="AB235" s="11" t="n"/>
      <c r="AC235" s="11" t="n"/>
      <c r="AD235" s="11" t="n"/>
      <c r="AE235" s="11" t="n"/>
      <c r="AF235" s="9" t="n"/>
      <c r="AG235" s="9" t="n"/>
      <c r="AH235" s="9" t="n"/>
      <c r="AI235" s="9" t="n"/>
      <c r="AJ235" s="8" t="n"/>
      <c r="AK235" s="9" t="n"/>
      <c r="AL235" s="9" t="n"/>
      <c r="AM235" s="9" t="n"/>
      <c r="AN235" s="9" t="n"/>
      <c r="AO235" s="9" t="n"/>
      <c r="AP235" s="9" t="n"/>
      <c r="AQ235" s="9" t="n"/>
      <c r="AR235" s="9" t="n"/>
      <c r="AS235" s="9" t="n"/>
      <c r="AT235" s="8" t="n"/>
      <c r="AU235" s="8" t="n"/>
      <c r="AV235" s="9" t="n"/>
      <c r="AW235" s="8" t="n"/>
      <c r="AX235" s="9" t="n"/>
      <c r="AY235" s="9" t="n"/>
      <c r="AZ235" s="9" t="n"/>
      <c r="BA235" s="9" t="n"/>
      <c r="BB235" s="9" t="n"/>
      <c r="BC235" s="9" t="n"/>
      <c r="BD235" s="9" t="n"/>
      <c r="BE235" s="9" t="n"/>
      <c r="BF235" s="9" t="n"/>
      <c r="BG235" s="9" t="n"/>
      <c r="BH235" s="9" t="n"/>
      <c r="BI235" s="9" t="n"/>
      <c r="BJ235" s="9" t="n"/>
      <c r="BK235" s="9" t="n"/>
      <c r="BL235" s="9" t="n"/>
      <c r="BM235" s="9" t="n"/>
      <c r="BN235" s="9" t="n"/>
      <c r="BO235" s="8" t="n"/>
      <c r="BP235" s="9" t="n"/>
      <c r="BQ235" s="9" t="n"/>
      <c r="BR235" s="12">
        <f>IF(AND(AI235="Y",AK235="Y",AL235="Y",AM235="Y",AY235="Y",AZ235="Y",BA235="Y",BB235="Y",BC235="Y",BE235&lt;&gt;"Y",AX235&lt;&gt;"Y",BL235&lt;&gt;"Y",IF(AS235="Y",AV235="Y",TRUE)),"Y","N")</f>
        <v/>
      </c>
      <c r="BS235" s="12">
        <f>IF(AND(BR235="Y",OR(AND(BJ235="Y",BM235="Y"),AND(BK235="Y",BN235="Y"),AND(BJ235&lt;&gt;"Y",BK235&lt;&gt;"Y",OR(BM235="Y",BN235="Y")))),"Y","N")</f>
        <v/>
      </c>
      <c r="BT235" s="10" t="n"/>
      <c r="BU235" s="13" t="n"/>
      <c r="BV235" s="13" t="n"/>
      <c r="BW235" s="13" t="n"/>
      <c r="BX235" s="13" t="n"/>
      <c r="BY235" s="13" t="n"/>
      <c r="BZ235" s="13" t="n"/>
      <c r="CA235" s="14" t="n"/>
      <c r="CB235" s="13" t="n"/>
      <c r="CC235" s="9" t="n"/>
      <c r="CD235" s="9" t="n"/>
      <c r="CE235" s="9" t="n"/>
      <c r="CF235" s="9" t="n"/>
      <c r="CG235" s="9" t="n"/>
      <c r="CH235" s="9" t="n"/>
    </row>
    <row r="236">
      <c r="A236" s="8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8" t="n"/>
      <c r="L236" s="9" t="n"/>
      <c r="M236" s="8" t="n"/>
      <c r="N236" s="8" t="n"/>
      <c r="O236" s="8" t="n"/>
      <c r="P236" s="8" t="n"/>
      <c r="Q236" s="8" t="n"/>
      <c r="R236" s="9" t="n"/>
      <c r="S236" s="9" t="n"/>
      <c r="T236" s="10" t="n"/>
      <c r="U236" s="10" t="n"/>
      <c r="V236" s="9" t="n"/>
      <c r="W236" s="9" t="n"/>
      <c r="X236" s="9" t="n"/>
      <c r="Y236" s="9" t="n"/>
      <c r="Z236" s="11" t="n"/>
      <c r="AA236" s="11" t="n"/>
      <c r="AB236" s="11" t="n"/>
      <c r="AC236" s="11" t="n"/>
      <c r="AD236" s="11" t="n"/>
      <c r="AE236" s="11" t="n"/>
      <c r="AF236" s="9" t="n"/>
      <c r="AG236" s="9" t="n"/>
      <c r="AH236" s="9" t="n"/>
      <c r="AI236" s="9" t="n"/>
      <c r="AJ236" s="8" t="n"/>
      <c r="AK236" s="9" t="n"/>
      <c r="AL236" s="9" t="n"/>
      <c r="AM236" s="9" t="n"/>
      <c r="AN236" s="9" t="n"/>
      <c r="AO236" s="9" t="n"/>
      <c r="AP236" s="9" t="n"/>
      <c r="AQ236" s="9" t="n"/>
      <c r="AR236" s="9" t="n"/>
      <c r="AS236" s="9" t="n"/>
      <c r="AT236" s="8" t="n"/>
      <c r="AU236" s="8" t="n"/>
      <c r="AV236" s="9" t="n"/>
      <c r="AW236" s="8" t="n"/>
      <c r="AX236" s="9" t="n"/>
      <c r="AY236" s="9" t="n"/>
      <c r="AZ236" s="9" t="n"/>
      <c r="BA236" s="9" t="n"/>
      <c r="BB236" s="9" t="n"/>
      <c r="BC236" s="9" t="n"/>
      <c r="BD236" s="9" t="n"/>
      <c r="BE236" s="9" t="n"/>
      <c r="BF236" s="9" t="n"/>
      <c r="BG236" s="9" t="n"/>
      <c r="BH236" s="9" t="n"/>
      <c r="BI236" s="9" t="n"/>
      <c r="BJ236" s="9" t="n"/>
      <c r="BK236" s="9" t="n"/>
      <c r="BL236" s="9" t="n"/>
      <c r="BM236" s="9" t="n"/>
      <c r="BN236" s="9" t="n"/>
      <c r="BO236" s="8" t="n"/>
      <c r="BP236" s="9" t="n"/>
      <c r="BQ236" s="9" t="n"/>
      <c r="BR236" s="12">
        <f>IF(AND(AI236="Y",AK236="Y",AL236="Y",AM236="Y",AY236="Y",AZ236="Y",BA236="Y",BB236="Y",BC236="Y",BE236&lt;&gt;"Y",AX236&lt;&gt;"Y",BL236&lt;&gt;"Y",IF(AS236="Y",AV236="Y",TRUE)),"Y","N")</f>
        <v/>
      </c>
      <c r="BS236" s="12">
        <f>IF(AND(BR236="Y",OR(AND(BJ236="Y",BM236="Y"),AND(BK236="Y",BN236="Y"),AND(BJ236&lt;&gt;"Y",BK236&lt;&gt;"Y",OR(BM236="Y",BN236="Y")))),"Y","N")</f>
        <v/>
      </c>
      <c r="BT236" s="10" t="n"/>
      <c r="BU236" s="13" t="n"/>
      <c r="BV236" s="13" t="n"/>
      <c r="BW236" s="13" t="n"/>
      <c r="BX236" s="13" t="n"/>
      <c r="BY236" s="13" t="n"/>
      <c r="BZ236" s="13" t="n"/>
      <c r="CA236" s="14" t="n"/>
      <c r="CB236" s="13" t="n"/>
      <c r="CC236" s="9" t="n"/>
      <c r="CD236" s="9" t="n"/>
      <c r="CE236" s="9" t="n"/>
      <c r="CF236" s="9" t="n"/>
      <c r="CG236" s="9" t="n"/>
      <c r="CH236" s="9" t="n"/>
    </row>
    <row r="237">
      <c r="A237" s="8" t="n"/>
      <c r="B237" s="9" t="n"/>
      <c r="C237" s="9" t="n"/>
      <c r="D237" s="9" t="n"/>
      <c r="E237" s="9" t="n"/>
      <c r="F237" s="9" t="n"/>
      <c r="G237" s="9" t="n"/>
      <c r="H237" s="9" t="n"/>
      <c r="I237" s="9" t="n"/>
      <c r="J237" s="9" t="n"/>
      <c r="K237" s="8" t="n"/>
      <c r="L237" s="9" t="n"/>
      <c r="M237" s="8" t="n"/>
      <c r="N237" s="8" t="n"/>
      <c r="O237" s="8" t="n"/>
      <c r="P237" s="8" t="n"/>
      <c r="Q237" s="8" t="n"/>
      <c r="R237" s="9" t="n"/>
      <c r="S237" s="9" t="n"/>
      <c r="T237" s="10" t="n"/>
      <c r="U237" s="10" t="n"/>
      <c r="V237" s="9" t="n"/>
      <c r="W237" s="9" t="n"/>
      <c r="X237" s="9" t="n"/>
      <c r="Y237" s="9" t="n"/>
      <c r="Z237" s="11" t="n"/>
      <c r="AA237" s="11" t="n"/>
      <c r="AB237" s="11" t="n"/>
      <c r="AC237" s="11" t="n"/>
      <c r="AD237" s="11" t="n"/>
      <c r="AE237" s="11" t="n"/>
      <c r="AF237" s="9" t="n"/>
      <c r="AG237" s="9" t="n"/>
      <c r="AH237" s="9" t="n"/>
      <c r="AI237" s="9" t="n"/>
      <c r="AJ237" s="8" t="n"/>
      <c r="AK237" s="9" t="n"/>
      <c r="AL237" s="9" t="n"/>
      <c r="AM237" s="9" t="n"/>
      <c r="AN237" s="9" t="n"/>
      <c r="AO237" s="9" t="n"/>
      <c r="AP237" s="9" t="n"/>
      <c r="AQ237" s="9" t="n"/>
      <c r="AR237" s="9" t="n"/>
      <c r="AS237" s="9" t="n"/>
      <c r="AT237" s="8" t="n"/>
      <c r="AU237" s="8" t="n"/>
      <c r="AV237" s="9" t="n"/>
      <c r="AW237" s="8" t="n"/>
      <c r="AX237" s="9" t="n"/>
      <c r="AY237" s="9" t="n"/>
      <c r="AZ237" s="9" t="n"/>
      <c r="BA237" s="9" t="n"/>
      <c r="BB237" s="9" t="n"/>
      <c r="BC237" s="9" t="n"/>
      <c r="BD237" s="9" t="n"/>
      <c r="BE237" s="9" t="n"/>
      <c r="BF237" s="9" t="n"/>
      <c r="BG237" s="9" t="n"/>
      <c r="BH237" s="9" t="n"/>
      <c r="BI237" s="9" t="n"/>
      <c r="BJ237" s="9" t="n"/>
      <c r="BK237" s="9" t="n"/>
      <c r="BL237" s="9" t="n"/>
      <c r="BM237" s="9" t="n"/>
      <c r="BN237" s="9" t="n"/>
      <c r="BO237" s="8" t="n"/>
      <c r="BP237" s="9" t="n"/>
      <c r="BQ237" s="9" t="n"/>
      <c r="BR237" s="12">
        <f>IF(AND(AI237="Y",AK237="Y",AL237="Y",AM237="Y",AY237="Y",AZ237="Y",BA237="Y",BB237="Y",BC237="Y",BE237&lt;&gt;"Y",AX237&lt;&gt;"Y",BL237&lt;&gt;"Y",IF(AS237="Y",AV237="Y",TRUE)),"Y","N")</f>
        <v/>
      </c>
      <c r="BS237" s="12">
        <f>IF(AND(BR237="Y",OR(AND(BJ237="Y",BM237="Y"),AND(BK237="Y",BN237="Y"),AND(BJ237&lt;&gt;"Y",BK237&lt;&gt;"Y",OR(BM237="Y",BN237="Y")))),"Y","N")</f>
        <v/>
      </c>
      <c r="BT237" s="10" t="n"/>
      <c r="BU237" s="13" t="n"/>
      <c r="BV237" s="13" t="n"/>
      <c r="BW237" s="13" t="n"/>
      <c r="BX237" s="13" t="n"/>
      <c r="BY237" s="13" t="n"/>
      <c r="BZ237" s="13" t="n"/>
      <c r="CA237" s="14" t="n"/>
      <c r="CB237" s="13" t="n"/>
      <c r="CC237" s="9" t="n"/>
      <c r="CD237" s="9" t="n"/>
      <c r="CE237" s="9" t="n"/>
      <c r="CF237" s="9" t="n"/>
      <c r="CG237" s="9" t="n"/>
      <c r="CH237" s="9" t="n"/>
    </row>
    <row r="238">
      <c r="A238" s="8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8" t="n"/>
      <c r="L238" s="9" t="n"/>
      <c r="M238" s="8" t="n"/>
      <c r="N238" s="8" t="n"/>
      <c r="O238" s="8" t="n"/>
      <c r="P238" s="8" t="n"/>
      <c r="Q238" s="8" t="n"/>
      <c r="R238" s="9" t="n"/>
      <c r="S238" s="9" t="n"/>
      <c r="T238" s="10" t="n"/>
      <c r="U238" s="10" t="n"/>
      <c r="V238" s="9" t="n"/>
      <c r="W238" s="9" t="n"/>
      <c r="X238" s="9" t="n"/>
      <c r="Y238" s="9" t="n"/>
      <c r="Z238" s="11" t="n"/>
      <c r="AA238" s="11" t="n"/>
      <c r="AB238" s="11" t="n"/>
      <c r="AC238" s="11" t="n"/>
      <c r="AD238" s="11" t="n"/>
      <c r="AE238" s="11" t="n"/>
      <c r="AF238" s="9" t="n"/>
      <c r="AG238" s="9" t="n"/>
      <c r="AH238" s="9" t="n"/>
      <c r="AI238" s="9" t="n"/>
      <c r="AJ238" s="8" t="n"/>
      <c r="AK238" s="9" t="n"/>
      <c r="AL238" s="9" t="n"/>
      <c r="AM238" s="9" t="n"/>
      <c r="AN238" s="9" t="n"/>
      <c r="AO238" s="9" t="n"/>
      <c r="AP238" s="9" t="n"/>
      <c r="AQ238" s="9" t="n"/>
      <c r="AR238" s="9" t="n"/>
      <c r="AS238" s="9" t="n"/>
      <c r="AT238" s="8" t="n"/>
      <c r="AU238" s="8" t="n"/>
      <c r="AV238" s="9" t="n"/>
      <c r="AW238" s="8" t="n"/>
      <c r="AX238" s="9" t="n"/>
      <c r="AY238" s="9" t="n"/>
      <c r="AZ238" s="9" t="n"/>
      <c r="BA238" s="9" t="n"/>
      <c r="BB238" s="9" t="n"/>
      <c r="BC238" s="9" t="n"/>
      <c r="BD238" s="9" t="n"/>
      <c r="BE238" s="9" t="n"/>
      <c r="BF238" s="9" t="n"/>
      <c r="BG238" s="9" t="n"/>
      <c r="BH238" s="9" t="n"/>
      <c r="BI238" s="9" t="n"/>
      <c r="BJ238" s="9" t="n"/>
      <c r="BK238" s="9" t="n"/>
      <c r="BL238" s="9" t="n"/>
      <c r="BM238" s="9" t="n"/>
      <c r="BN238" s="9" t="n"/>
      <c r="BO238" s="8" t="n"/>
      <c r="BP238" s="9" t="n"/>
      <c r="BQ238" s="9" t="n"/>
      <c r="BR238" s="12">
        <f>IF(AND(AI238="Y",AK238="Y",AL238="Y",AM238="Y",AY238="Y",AZ238="Y",BA238="Y",BB238="Y",BC238="Y",BE238&lt;&gt;"Y",AX238&lt;&gt;"Y",BL238&lt;&gt;"Y",IF(AS238="Y",AV238="Y",TRUE)),"Y","N")</f>
        <v/>
      </c>
      <c r="BS238" s="12">
        <f>IF(AND(BR238="Y",OR(AND(BJ238="Y",BM238="Y"),AND(BK238="Y",BN238="Y"),AND(BJ238&lt;&gt;"Y",BK238&lt;&gt;"Y",OR(BM238="Y",BN238="Y")))),"Y","N")</f>
        <v/>
      </c>
      <c r="BT238" s="10" t="n"/>
      <c r="BU238" s="13" t="n"/>
      <c r="BV238" s="13" t="n"/>
      <c r="BW238" s="13" t="n"/>
      <c r="BX238" s="13" t="n"/>
      <c r="BY238" s="13" t="n"/>
      <c r="BZ238" s="13" t="n"/>
      <c r="CA238" s="14" t="n"/>
      <c r="CB238" s="13" t="n"/>
      <c r="CC238" s="9" t="n"/>
      <c r="CD238" s="9" t="n"/>
      <c r="CE238" s="9" t="n"/>
      <c r="CF238" s="9" t="n"/>
      <c r="CG238" s="9" t="n"/>
      <c r="CH238" s="9" t="n"/>
    </row>
    <row r="239">
      <c r="A239" s="8" t="n"/>
      <c r="B239" s="9" t="n"/>
      <c r="C239" s="9" t="n"/>
      <c r="D239" s="9" t="n"/>
      <c r="E239" s="9" t="n"/>
      <c r="F239" s="9" t="n"/>
      <c r="G239" s="9" t="n"/>
      <c r="H239" s="9" t="n"/>
      <c r="I239" s="9" t="n"/>
      <c r="J239" s="9" t="n"/>
      <c r="K239" s="8" t="n"/>
      <c r="L239" s="9" t="n"/>
      <c r="M239" s="8" t="n"/>
      <c r="N239" s="8" t="n"/>
      <c r="O239" s="8" t="n"/>
      <c r="P239" s="8" t="n"/>
      <c r="Q239" s="8" t="n"/>
      <c r="R239" s="9" t="n"/>
      <c r="S239" s="9" t="n"/>
      <c r="T239" s="10" t="n"/>
      <c r="U239" s="10" t="n"/>
      <c r="V239" s="9" t="n"/>
      <c r="W239" s="9" t="n"/>
      <c r="X239" s="9" t="n"/>
      <c r="Y239" s="9" t="n"/>
      <c r="Z239" s="11" t="n"/>
      <c r="AA239" s="11" t="n"/>
      <c r="AB239" s="11" t="n"/>
      <c r="AC239" s="11" t="n"/>
      <c r="AD239" s="11" t="n"/>
      <c r="AE239" s="11" t="n"/>
      <c r="AF239" s="9" t="n"/>
      <c r="AG239" s="9" t="n"/>
      <c r="AH239" s="9" t="n"/>
      <c r="AI239" s="9" t="n"/>
      <c r="AJ239" s="8" t="n"/>
      <c r="AK239" s="9" t="n"/>
      <c r="AL239" s="9" t="n"/>
      <c r="AM239" s="9" t="n"/>
      <c r="AN239" s="9" t="n"/>
      <c r="AO239" s="9" t="n"/>
      <c r="AP239" s="9" t="n"/>
      <c r="AQ239" s="9" t="n"/>
      <c r="AR239" s="9" t="n"/>
      <c r="AS239" s="9" t="n"/>
      <c r="AT239" s="8" t="n"/>
      <c r="AU239" s="8" t="n"/>
      <c r="AV239" s="9" t="n"/>
      <c r="AW239" s="8" t="n"/>
      <c r="AX239" s="9" t="n"/>
      <c r="AY239" s="9" t="n"/>
      <c r="AZ239" s="9" t="n"/>
      <c r="BA239" s="9" t="n"/>
      <c r="BB239" s="9" t="n"/>
      <c r="BC239" s="9" t="n"/>
      <c r="BD239" s="9" t="n"/>
      <c r="BE239" s="9" t="n"/>
      <c r="BF239" s="9" t="n"/>
      <c r="BG239" s="9" t="n"/>
      <c r="BH239" s="9" t="n"/>
      <c r="BI239" s="9" t="n"/>
      <c r="BJ239" s="9" t="n"/>
      <c r="BK239" s="9" t="n"/>
      <c r="BL239" s="9" t="n"/>
      <c r="BM239" s="9" t="n"/>
      <c r="BN239" s="9" t="n"/>
      <c r="BO239" s="8" t="n"/>
      <c r="BP239" s="9" t="n"/>
      <c r="BQ239" s="9" t="n"/>
      <c r="BR239" s="12">
        <f>IF(AND(AI239="Y",AK239="Y",AL239="Y",AM239="Y",AY239="Y",AZ239="Y",BA239="Y",BB239="Y",BC239="Y",BE239&lt;&gt;"Y",AX239&lt;&gt;"Y",BL239&lt;&gt;"Y",IF(AS239="Y",AV239="Y",TRUE)),"Y","N")</f>
        <v/>
      </c>
      <c r="BS239" s="12">
        <f>IF(AND(BR239="Y",OR(AND(BJ239="Y",BM239="Y"),AND(BK239="Y",BN239="Y"),AND(BJ239&lt;&gt;"Y",BK239&lt;&gt;"Y",OR(BM239="Y",BN239="Y")))),"Y","N")</f>
        <v/>
      </c>
      <c r="BT239" s="10" t="n"/>
      <c r="BU239" s="13" t="n"/>
      <c r="BV239" s="13" t="n"/>
      <c r="BW239" s="13" t="n"/>
      <c r="BX239" s="13" t="n"/>
      <c r="BY239" s="13" t="n"/>
      <c r="BZ239" s="13" t="n"/>
      <c r="CA239" s="14" t="n"/>
      <c r="CB239" s="13" t="n"/>
      <c r="CC239" s="9" t="n"/>
      <c r="CD239" s="9" t="n"/>
      <c r="CE239" s="9" t="n"/>
      <c r="CF239" s="9" t="n"/>
      <c r="CG239" s="9" t="n"/>
      <c r="CH239" s="9" t="n"/>
    </row>
    <row r="240">
      <c r="A240" s="8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8" t="n"/>
      <c r="L240" s="9" t="n"/>
      <c r="M240" s="8" t="n"/>
      <c r="N240" s="8" t="n"/>
      <c r="O240" s="8" t="n"/>
      <c r="P240" s="8" t="n"/>
      <c r="Q240" s="8" t="n"/>
      <c r="R240" s="9" t="n"/>
      <c r="S240" s="9" t="n"/>
      <c r="T240" s="10" t="n"/>
      <c r="U240" s="10" t="n"/>
      <c r="V240" s="9" t="n"/>
      <c r="W240" s="9" t="n"/>
      <c r="X240" s="9" t="n"/>
      <c r="Y240" s="9" t="n"/>
      <c r="Z240" s="11" t="n"/>
      <c r="AA240" s="11" t="n"/>
      <c r="AB240" s="11" t="n"/>
      <c r="AC240" s="11" t="n"/>
      <c r="AD240" s="11" t="n"/>
      <c r="AE240" s="11" t="n"/>
      <c r="AF240" s="9" t="n"/>
      <c r="AG240" s="9" t="n"/>
      <c r="AH240" s="9" t="n"/>
      <c r="AI240" s="9" t="n"/>
      <c r="AJ240" s="8" t="n"/>
      <c r="AK240" s="9" t="n"/>
      <c r="AL240" s="9" t="n"/>
      <c r="AM240" s="9" t="n"/>
      <c r="AN240" s="9" t="n"/>
      <c r="AO240" s="9" t="n"/>
      <c r="AP240" s="9" t="n"/>
      <c r="AQ240" s="9" t="n"/>
      <c r="AR240" s="9" t="n"/>
      <c r="AS240" s="9" t="n"/>
      <c r="AT240" s="8" t="n"/>
      <c r="AU240" s="8" t="n"/>
      <c r="AV240" s="9" t="n"/>
      <c r="AW240" s="8" t="n"/>
      <c r="AX240" s="9" t="n"/>
      <c r="AY240" s="9" t="n"/>
      <c r="AZ240" s="9" t="n"/>
      <c r="BA240" s="9" t="n"/>
      <c r="BB240" s="9" t="n"/>
      <c r="BC240" s="9" t="n"/>
      <c r="BD240" s="9" t="n"/>
      <c r="BE240" s="9" t="n"/>
      <c r="BF240" s="9" t="n"/>
      <c r="BG240" s="9" t="n"/>
      <c r="BH240" s="9" t="n"/>
      <c r="BI240" s="9" t="n"/>
      <c r="BJ240" s="9" t="n"/>
      <c r="BK240" s="9" t="n"/>
      <c r="BL240" s="9" t="n"/>
      <c r="BM240" s="9" t="n"/>
      <c r="BN240" s="9" t="n"/>
      <c r="BO240" s="8" t="n"/>
      <c r="BP240" s="9" t="n"/>
      <c r="BQ240" s="9" t="n"/>
      <c r="BR240" s="12">
        <f>IF(AND(AI240="Y",AK240="Y",AL240="Y",AM240="Y",AY240="Y",AZ240="Y",BA240="Y",BB240="Y",BC240="Y",BE240&lt;&gt;"Y",AX240&lt;&gt;"Y",BL240&lt;&gt;"Y",IF(AS240="Y",AV240="Y",TRUE)),"Y","N")</f>
        <v/>
      </c>
      <c r="BS240" s="12">
        <f>IF(AND(BR240="Y",OR(AND(BJ240="Y",BM240="Y"),AND(BK240="Y",BN240="Y"),AND(BJ240&lt;&gt;"Y",BK240&lt;&gt;"Y",OR(BM240="Y",BN240="Y")))),"Y","N")</f>
        <v/>
      </c>
      <c r="BT240" s="10" t="n"/>
      <c r="BU240" s="13" t="n"/>
      <c r="BV240" s="13" t="n"/>
      <c r="BW240" s="13" t="n"/>
      <c r="BX240" s="13" t="n"/>
      <c r="BY240" s="13" t="n"/>
      <c r="BZ240" s="13" t="n"/>
      <c r="CA240" s="14" t="n"/>
      <c r="CB240" s="13" t="n"/>
      <c r="CC240" s="9" t="n"/>
      <c r="CD240" s="9" t="n"/>
      <c r="CE240" s="9" t="n"/>
      <c r="CF240" s="9" t="n"/>
      <c r="CG240" s="9" t="n"/>
      <c r="CH240" s="9" t="n"/>
    </row>
    <row r="241">
      <c r="A241" s="8" t="n"/>
      <c r="B241" s="9" t="n"/>
      <c r="C241" s="9" t="n"/>
      <c r="D241" s="9" t="n"/>
      <c r="E241" s="9" t="n"/>
      <c r="F241" s="9" t="n"/>
      <c r="G241" s="9" t="n"/>
      <c r="H241" s="9" t="n"/>
      <c r="I241" s="9" t="n"/>
      <c r="J241" s="9" t="n"/>
      <c r="K241" s="8" t="n"/>
      <c r="L241" s="9" t="n"/>
      <c r="M241" s="8" t="n"/>
      <c r="N241" s="8" t="n"/>
      <c r="O241" s="8" t="n"/>
      <c r="P241" s="8" t="n"/>
      <c r="Q241" s="8" t="n"/>
      <c r="R241" s="9" t="n"/>
      <c r="S241" s="9" t="n"/>
      <c r="T241" s="10" t="n"/>
      <c r="U241" s="10" t="n"/>
      <c r="V241" s="9" t="n"/>
      <c r="W241" s="9" t="n"/>
      <c r="X241" s="9" t="n"/>
      <c r="Y241" s="9" t="n"/>
      <c r="Z241" s="11" t="n"/>
      <c r="AA241" s="11" t="n"/>
      <c r="AB241" s="11" t="n"/>
      <c r="AC241" s="11" t="n"/>
      <c r="AD241" s="11" t="n"/>
      <c r="AE241" s="11" t="n"/>
      <c r="AF241" s="9" t="n"/>
      <c r="AG241" s="9" t="n"/>
      <c r="AH241" s="9" t="n"/>
      <c r="AI241" s="9" t="n"/>
      <c r="AJ241" s="8" t="n"/>
      <c r="AK241" s="9" t="n"/>
      <c r="AL241" s="9" t="n"/>
      <c r="AM241" s="9" t="n"/>
      <c r="AN241" s="9" t="n"/>
      <c r="AO241" s="9" t="n"/>
      <c r="AP241" s="9" t="n"/>
      <c r="AQ241" s="9" t="n"/>
      <c r="AR241" s="9" t="n"/>
      <c r="AS241" s="9" t="n"/>
      <c r="AT241" s="8" t="n"/>
      <c r="AU241" s="8" t="n"/>
      <c r="AV241" s="9" t="n"/>
      <c r="AW241" s="8" t="n"/>
      <c r="AX241" s="9" t="n"/>
      <c r="AY241" s="9" t="n"/>
      <c r="AZ241" s="9" t="n"/>
      <c r="BA241" s="9" t="n"/>
      <c r="BB241" s="9" t="n"/>
      <c r="BC241" s="9" t="n"/>
      <c r="BD241" s="9" t="n"/>
      <c r="BE241" s="9" t="n"/>
      <c r="BF241" s="9" t="n"/>
      <c r="BG241" s="9" t="n"/>
      <c r="BH241" s="9" t="n"/>
      <c r="BI241" s="9" t="n"/>
      <c r="BJ241" s="9" t="n"/>
      <c r="BK241" s="9" t="n"/>
      <c r="BL241" s="9" t="n"/>
      <c r="BM241" s="9" t="n"/>
      <c r="BN241" s="9" t="n"/>
      <c r="BO241" s="8" t="n"/>
      <c r="BP241" s="9" t="n"/>
      <c r="BQ241" s="9" t="n"/>
      <c r="BR241" s="12">
        <f>IF(AND(AI241="Y",AK241="Y",AL241="Y",AM241="Y",AY241="Y",AZ241="Y",BA241="Y",BB241="Y",BC241="Y",BE241&lt;&gt;"Y",AX241&lt;&gt;"Y",BL241&lt;&gt;"Y",IF(AS241="Y",AV241="Y",TRUE)),"Y","N")</f>
        <v/>
      </c>
      <c r="BS241" s="12">
        <f>IF(AND(BR241="Y",OR(AND(BJ241="Y",BM241="Y"),AND(BK241="Y",BN241="Y"),AND(BJ241&lt;&gt;"Y",BK241&lt;&gt;"Y",OR(BM241="Y",BN241="Y")))),"Y","N")</f>
        <v/>
      </c>
      <c r="BT241" s="10" t="n"/>
      <c r="BU241" s="13" t="n"/>
      <c r="BV241" s="13" t="n"/>
      <c r="BW241" s="13" t="n"/>
      <c r="BX241" s="13" t="n"/>
      <c r="BY241" s="13" t="n"/>
      <c r="BZ241" s="13" t="n"/>
      <c r="CA241" s="14" t="n"/>
      <c r="CB241" s="13" t="n"/>
      <c r="CC241" s="9" t="n"/>
      <c r="CD241" s="9" t="n"/>
      <c r="CE241" s="9" t="n"/>
      <c r="CF241" s="9" t="n"/>
      <c r="CG241" s="9" t="n"/>
      <c r="CH241" s="9" t="n"/>
    </row>
    <row r="242">
      <c r="A242" s="8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8" t="n"/>
      <c r="L242" s="9" t="n"/>
      <c r="M242" s="8" t="n"/>
      <c r="N242" s="8" t="n"/>
      <c r="O242" s="8" t="n"/>
      <c r="P242" s="8" t="n"/>
      <c r="Q242" s="8" t="n"/>
      <c r="R242" s="9" t="n"/>
      <c r="S242" s="9" t="n"/>
      <c r="T242" s="10" t="n"/>
      <c r="U242" s="10" t="n"/>
      <c r="V242" s="9" t="n"/>
      <c r="W242" s="9" t="n"/>
      <c r="X242" s="9" t="n"/>
      <c r="Y242" s="9" t="n"/>
      <c r="Z242" s="11" t="n"/>
      <c r="AA242" s="11" t="n"/>
      <c r="AB242" s="11" t="n"/>
      <c r="AC242" s="11" t="n"/>
      <c r="AD242" s="11" t="n"/>
      <c r="AE242" s="11" t="n"/>
      <c r="AF242" s="9" t="n"/>
      <c r="AG242" s="9" t="n"/>
      <c r="AH242" s="9" t="n"/>
      <c r="AI242" s="9" t="n"/>
      <c r="AJ242" s="8" t="n"/>
      <c r="AK242" s="9" t="n"/>
      <c r="AL242" s="9" t="n"/>
      <c r="AM242" s="9" t="n"/>
      <c r="AN242" s="9" t="n"/>
      <c r="AO242" s="9" t="n"/>
      <c r="AP242" s="9" t="n"/>
      <c r="AQ242" s="9" t="n"/>
      <c r="AR242" s="9" t="n"/>
      <c r="AS242" s="9" t="n"/>
      <c r="AT242" s="8" t="n"/>
      <c r="AU242" s="8" t="n"/>
      <c r="AV242" s="9" t="n"/>
      <c r="AW242" s="8" t="n"/>
      <c r="AX242" s="9" t="n"/>
      <c r="AY242" s="9" t="n"/>
      <c r="AZ242" s="9" t="n"/>
      <c r="BA242" s="9" t="n"/>
      <c r="BB242" s="9" t="n"/>
      <c r="BC242" s="9" t="n"/>
      <c r="BD242" s="9" t="n"/>
      <c r="BE242" s="9" t="n"/>
      <c r="BF242" s="9" t="n"/>
      <c r="BG242" s="9" t="n"/>
      <c r="BH242" s="9" t="n"/>
      <c r="BI242" s="9" t="n"/>
      <c r="BJ242" s="9" t="n"/>
      <c r="BK242" s="9" t="n"/>
      <c r="BL242" s="9" t="n"/>
      <c r="BM242" s="9" t="n"/>
      <c r="BN242" s="9" t="n"/>
      <c r="BO242" s="8" t="n"/>
      <c r="BP242" s="9" t="n"/>
      <c r="BQ242" s="9" t="n"/>
      <c r="BR242" s="12">
        <f>IF(AND(AI242="Y",AK242="Y",AL242="Y",AM242="Y",AY242="Y",AZ242="Y",BA242="Y",BB242="Y",BC242="Y",BE242&lt;&gt;"Y",AX242&lt;&gt;"Y",BL242&lt;&gt;"Y",IF(AS242="Y",AV242="Y",TRUE)),"Y","N")</f>
        <v/>
      </c>
      <c r="BS242" s="12">
        <f>IF(AND(BR242="Y",OR(AND(BJ242="Y",BM242="Y"),AND(BK242="Y",BN242="Y"),AND(BJ242&lt;&gt;"Y",BK242&lt;&gt;"Y",OR(BM242="Y",BN242="Y")))),"Y","N")</f>
        <v/>
      </c>
      <c r="BT242" s="10" t="n"/>
      <c r="BU242" s="13" t="n"/>
      <c r="BV242" s="13" t="n"/>
      <c r="BW242" s="13" t="n"/>
      <c r="BX242" s="13" t="n"/>
      <c r="BY242" s="13" t="n"/>
      <c r="BZ242" s="13" t="n"/>
      <c r="CA242" s="14" t="n"/>
      <c r="CB242" s="13" t="n"/>
      <c r="CC242" s="9" t="n"/>
      <c r="CD242" s="9" t="n"/>
      <c r="CE242" s="9" t="n"/>
      <c r="CF242" s="9" t="n"/>
      <c r="CG242" s="9" t="n"/>
      <c r="CH242" s="9" t="n"/>
    </row>
    <row r="243">
      <c r="A243" s="8" t="n"/>
      <c r="B243" s="9" t="n"/>
      <c r="C243" s="9" t="n"/>
      <c r="D243" s="9" t="n"/>
      <c r="E243" s="9" t="n"/>
      <c r="F243" s="9" t="n"/>
      <c r="G243" s="9" t="n"/>
      <c r="H243" s="9" t="n"/>
      <c r="I243" s="9" t="n"/>
      <c r="J243" s="9" t="n"/>
      <c r="K243" s="8" t="n"/>
      <c r="L243" s="9" t="n"/>
      <c r="M243" s="8" t="n"/>
      <c r="N243" s="8" t="n"/>
      <c r="O243" s="8" t="n"/>
      <c r="P243" s="8" t="n"/>
      <c r="Q243" s="8" t="n"/>
      <c r="R243" s="9" t="n"/>
      <c r="S243" s="9" t="n"/>
      <c r="T243" s="10" t="n"/>
      <c r="U243" s="10" t="n"/>
      <c r="V243" s="9" t="n"/>
      <c r="W243" s="9" t="n"/>
      <c r="X243" s="9" t="n"/>
      <c r="Y243" s="9" t="n"/>
      <c r="Z243" s="11" t="n"/>
      <c r="AA243" s="11" t="n"/>
      <c r="AB243" s="11" t="n"/>
      <c r="AC243" s="11" t="n"/>
      <c r="AD243" s="11" t="n"/>
      <c r="AE243" s="11" t="n"/>
      <c r="AF243" s="9" t="n"/>
      <c r="AG243" s="9" t="n"/>
      <c r="AH243" s="9" t="n"/>
      <c r="AI243" s="9" t="n"/>
      <c r="AJ243" s="8" t="n"/>
      <c r="AK243" s="9" t="n"/>
      <c r="AL243" s="9" t="n"/>
      <c r="AM243" s="9" t="n"/>
      <c r="AN243" s="9" t="n"/>
      <c r="AO243" s="9" t="n"/>
      <c r="AP243" s="9" t="n"/>
      <c r="AQ243" s="9" t="n"/>
      <c r="AR243" s="9" t="n"/>
      <c r="AS243" s="9" t="n"/>
      <c r="AT243" s="8" t="n"/>
      <c r="AU243" s="8" t="n"/>
      <c r="AV243" s="9" t="n"/>
      <c r="AW243" s="8" t="n"/>
      <c r="AX243" s="9" t="n"/>
      <c r="AY243" s="9" t="n"/>
      <c r="AZ243" s="9" t="n"/>
      <c r="BA243" s="9" t="n"/>
      <c r="BB243" s="9" t="n"/>
      <c r="BC243" s="9" t="n"/>
      <c r="BD243" s="9" t="n"/>
      <c r="BE243" s="9" t="n"/>
      <c r="BF243" s="9" t="n"/>
      <c r="BG243" s="9" t="n"/>
      <c r="BH243" s="9" t="n"/>
      <c r="BI243" s="9" t="n"/>
      <c r="BJ243" s="9" t="n"/>
      <c r="BK243" s="9" t="n"/>
      <c r="BL243" s="9" t="n"/>
      <c r="BM243" s="9" t="n"/>
      <c r="BN243" s="9" t="n"/>
      <c r="BO243" s="8" t="n"/>
      <c r="BP243" s="9" t="n"/>
      <c r="BQ243" s="9" t="n"/>
      <c r="BR243" s="12">
        <f>IF(AND(AI243="Y",AK243="Y",AL243="Y",AM243="Y",AY243="Y",AZ243="Y",BA243="Y",BB243="Y",BC243="Y",BE243&lt;&gt;"Y",AX243&lt;&gt;"Y",BL243&lt;&gt;"Y",IF(AS243="Y",AV243="Y",TRUE)),"Y","N")</f>
        <v/>
      </c>
      <c r="BS243" s="12">
        <f>IF(AND(BR243="Y",OR(AND(BJ243="Y",BM243="Y"),AND(BK243="Y",BN243="Y"),AND(BJ243&lt;&gt;"Y",BK243&lt;&gt;"Y",OR(BM243="Y",BN243="Y")))),"Y","N")</f>
        <v/>
      </c>
      <c r="BT243" s="10" t="n"/>
      <c r="BU243" s="13" t="n"/>
      <c r="BV243" s="13" t="n"/>
      <c r="BW243" s="13" t="n"/>
      <c r="BX243" s="13" t="n"/>
      <c r="BY243" s="13" t="n"/>
      <c r="BZ243" s="13" t="n"/>
      <c r="CA243" s="14" t="n"/>
      <c r="CB243" s="13" t="n"/>
      <c r="CC243" s="9" t="n"/>
      <c r="CD243" s="9" t="n"/>
      <c r="CE243" s="9" t="n"/>
      <c r="CF243" s="9" t="n"/>
      <c r="CG243" s="9" t="n"/>
      <c r="CH243" s="9" t="n"/>
    </row>
    <row r="244">
      <c r="A244" s="8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8" t="n"/>
      <c r="L244" s="9" t="n"/>
      <c r="M244" s="8" t="n"/>
      <c r="N244" s="8" t="n"/>
      <c r="O244" s="8" t="n"/>
      <c r="P244" s="8" t="n"/>
      <c r="Q244" s="8" t="n"/>
      <c r="R244" s="9" t="n"/>
      <c r="S244" s="9" t="n"/>
      <c r="T244" s="10" t="n"/>
      <c r="U244" s="10" t="n"/>
      <c r="V244" s="9" t="n"/>
      <c r="W244" s="9" t="n"/>
      <c r="X244" s="9" t="n"/>
      <c r="Y244" s="9" t="n"/>
      <c r="Z244" s="11" t="n"/>
      <c r="AA244" s="11" t="n"/>
      <c r="AB244" s="11" t="n"/>
      <c r="AC244" s="11" t="n"/>
      <c r="AD244" s="11" t="n"/>
      <c r="AE244" s="11" t="n"/>
      <c r="AF244" s="9" t="n"/>
      <c r="AG244" s="9" t="n"/>
      <c r="AH244" s="9" t="n"/>
      <c r="AI244" s="9" t="n"/>
      <c r="AJ244" s="8" t="n"/>
      <c r="AK244" s="9" t="n"/>
      <c r="AL244" s="9" t="n"/>
      <c r="AM244" s="9" t="n"/>
      <c r="AN244" s="9" t="n"/>
      <c r="AO244" s="9" t="n"/>
      <c r="AP244" s="9" t="n"/>
      <c r="AQ244" s="9" t="n"/>
      <c r="AR244" s="9" t="n"/>
      <c r="AS244" s="9" t="n"/>
      <c r="AT244" s="8" t="n"/>
      <c r="AU244" s="8" t="n"/>
      <c r="AV244" s="9" t="n"/>
      <c r="AW244" s="8" t="n"/>
      <c r="AX244" s="9" t="n"/>
      <c r="AY244" s="9" t="n"/>
      <c r="AZ244" s="9" t="n"/>
      <c r="BA244" s="9" t="n"/>
      <c r="BB244" s="9" t="n"/>
      <c r="BC244" s="9" t="n"/>
      <c r="BD244" s="9" t="n"/>
      <c r="BE244" s="9" t="n"/>
      <c r="BF244" s="9" t="n"/>
      <c r="BG244" s="9" t="n"/>
      <c r="BH244" s="9" t="n"/>
      <c r="BI244" s="9" t="n"/>
      <c r="BJ244" s="9" t="n"/>
      <c r="BK244" s="9" t="n"/>
      <c r="BL244" s="9" t="n"/>
      <c r="BM244" s="9" t="n"/>
      <c r="BN244" s="9" t="n"/>
      <c r="BO244" s="8" t="n"/>
      <c r="BP244" s="9" t="n"/>
      <c r="BQ244" s="9" t="n"/>
      <c r="BR244" s="12">
        <f>IF(AND(AI244="Y",AK244="Y",AL244="Y",AM244="Y",AY244="Y",AZ244="Y",BA244="Y",BB244="Y",BC244="Y",BE244&lt;&gt;"Y",AX244&lt;&gt;"Y",BL244&lt;&gt;"Y",IF(AS244="Y",AV244="Y",TRUE)),"Y","N")</f>
        <v/>
      </c>
      <c r="BS244" s="12">
        <f>IF(AND(BR244="Y",OR(AND(BJ244="Y",BM244="Y"),AND(BK244="Y",BN244="Y"),AND(BJ244&lt;&gt;"Y",BK244&lt;&gt;"Y",OR(BM244="Y",BN244="Y")))),"Y","N")</f>
        <v/>
      </c>
      <c r="BT244" s="10" t="n"/>
      <c r="BU244" s="13" t="n"/>
      <c r="BV244" s="13" t="n"/>
      <c r="BW244" s="13" t="n"/>
      <c r="BX244" s="13" t="n"/>
      <c r="BY244" s="13" t="n"/>
      <c r="BZ244" s="13" t="n"/>
      <c r="CA244" s="14" t="n"/>
      <c r="CB244" s="13" t="n"/>
      <c r="CC244" s="9" t="n"/>
      <c r="CD244" s="9" t="n"/>
      <c r="CE244" s="9" t="n"/>
      <c r="CF244" s="9" t="n"/>
      <c r="CG244" s="9" t="n"/>
      <c r="CH244" s="9" t="n"/>
    </row>
    <row r="245">
      <c r="A245" s="8" t="n"/>
      <c r="B245" s="9" t="n"/>
      <c r="C245" s="9" t="n"/>
      <c r="D245" s="9" t="n"/>
      <c r="E245" s="9" t="n"/>
      <c r="F245" s="9" t="n"/>
      <c r="G245" s="9" t="n"/>
      <c r="H245" s="9" t="n"/>
      <c r="I245" s="9" t="n"/>
      <c r="J245" s="9" t="n"/>
      <c r="K245" s="8" t="n"/>
      <c r="L245" s="9" t="n"/>
      <c r="M245" s="8" t="n"/>
      <c r="N245" s="8" t="n"/>
      <c r="O245" s="8" t="n"/>
      <c r="P245" s="8" t="n"/>
      <c r="Q245" s="8" t="n"/>
      <c r="R245" s="9" t="n"/>
      <c r="S245" s="9" t="n"/>
      <c r="T245" s="10" t="n"/>
      <c r="U245" s="10" t="n"/>
      <c r="V245" s="9" t="n"/>
      <c r="W245" s="9" t="n"/>
      <c r="X245" s="9" t="n"/>
      <c r="Y245" s="9" t="n"/>
      <c r="Z245" s="11" t="n"/>
      <c r="AA245" s="11" t="n"/>
      <c r="AB245" s="11" t="n"/>
      <c r="AC245" s="11" t="n"/>
      <c r="AD245" s="11" t="n"/>
      <c r="AE245" s="11" t="n"/>
      <c r="AF245" s="9" t="n"/>
      <c r="AG245" s="9" t="n"/>
      <c r="AH245" s="9" t="n"/>
      <c r="AI245" s="9" t="n"/>
      <c r="AJ245" s="8" t="n"/>
      <c r="AK245" s="9" t="n"/>
      <c r="AL245" s="9" t="n"/>
      <c r="AM245" s="9" t="n"/>
      <c r="AN245" s="9" t="n"/>
      <c r="AO245" s="9" t="n"/>
      <c r="AP245" s="9" t="n"/>
      <c r="AQ245" s="9" t="n"/>
      <c r="AR245" s="9" t="n"/>
      <c r="AS245" s="9" t="n"/>
      <c r="AT245" s="8" t="n"/>
      <c r="AU245" s="8" t="n"/>
      <c r="AV245" s="9" t="n"/>
      <c r="AW245" s="8" t="n"/>
      <c r="AX245" s="9" t="n"/>
      <c r="AY245" s="9" t="n"/>
      <c r="AZ245" s="9" t="n"/>
      <c r="BA245" s="9" t="n"/>
      <c r="BB245" s="9" t="n"/>
      <c r="BC245" s="9" t="n"/>
      <c r="BD245" s="9" t="n"/>
      <c r="BE245" s="9" t="n"/>
      <c r="BF245" s="9" t="n"/>
      <c r="BG245" s="9" t="n"/>
      <c r="BH245" s="9" t="n"/>
      <c r="BI245" s="9" t="n"/>
      <c r="BJ245" s="9" t="n"/>
      <c r="BK245" s="9" t="n"/>
      <c r="BL245" s="9" t="n"/>
      <c r="BM245" s="9" t="n"/>
      <c r="BN245" s="9" t="n"/>
      <c r="BO245" s="8" t="n"/>
      <c r="BP245" s="9" t="n"/>
      <c r="BQ245" s="9" t="n"/>
      <c r="BR245" s="12">
        <f>IF(AND(AI245="Y",AK245="Y",AL245="Y",AM245="Y",AY245="Y",AZ245="Y",BA245="Y",BB245="Y",BC245="Y",BE245&lt;&gt;"Y",AX245&lt;&gt;"Y",BL245&lt;&gt;"Y",IF(AS245="Y",AV245="Y",TRUE)),"Y","N")</f>
        <v/>
      </c>
      <c r="BS245" s="12">
        <f>IF(AND(BR245="Y",OR(AND(BJ245="Y",BM245="Y"),AND(BK245="Y",BN245="Y"),AND(BJ245&lt;&gt;"Y",BK245&lt;&gt;"Y",OR(BM245="Y",BN245="Y")))),"Y","N")</f>
        <v/>
      </c>
      <c r="BT245" s="10" t="n"/>
      <c r="BU245" s="13" t="n"/>
      <c r="BV245" s="13" t="n"/>
      <c r="BW245" s="13" t="n"/>
      <c r="BX245" s="13" t="n"/>
      <c r="BY245" s="13" t="n"/>
      <c r="BZ245" s="13" t="n"/>
      <c r="CA245" s="14" t="n"/>
      <c r="CB245" s="13" t="n"/>
      <c r="CC245" s="9" t="n"/>
      <c r="CD245" s="9" t="n"/>
      <c r="CE245" s="9" t="n"/>
      <c r="CF245" s="9" t="n"/>
      <c r="CG245" s="9" t="n"/>
      <c r="CH245" s="9" t="n"/>
    </row>
    <row r="246">
      <c r="A246" s="8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8" t="n"/>
      <c r="L246" s="9" t="n"/>
      <c r="M246" s="8" t="n"/>
      <c r="N246" s="8" t="n"/>
      <c r="O246" s="8" t="n"/>
      <c r="P246" s="8" t="n"/>
      <c r="Q246" s="8" t="n"/>
      <c r="R246" s="9" t="n"/>
      <c r="S246" s="9" t="n"/>
      <c r="T246" s="10" t="n"/>
      <c r="U246" s="10" t="n"/>
      <c r="V246" s="9" t="n"/>
      <c r="W246" s="9" t="n"/>
      <c r="X246" s="9" t="n"/>
      <c r="Y246" s="9" t="n"/>
      <c r="Z246" s="11" t="n"/>
      <c r="AA246" s="11" t="n"/>
      <c r="AB246" s="11" t="n"/>
      <c r="AC246" s="11" t="n"/>
      <c r="AD246" s="11" t="n"/>
      <c r="AE246" s="11" t="n"/>
      <c r="AF246" s="9" t="n"/>
      <c r="AG246" s="9" t="n"/>
      <c r="AH246" s="9" t="n"/>
      <c r="AI246" s="9" t="n"/>
      <c r="AJ246" s="8" t="n"/>
      <c r="AK246" s="9" t="n"/>
      <c r="AL246" s="9" t="n"/>
      <c r="AM246" s="9" t="n"/>
      <c r="AN246" s="9" t="n"/>
      <c r="AO246" s="9" t="n"/>
      <c r="AP246" s="9" t="n"/>
      <c r="AQ246" s="9" t="n"/>
      <c r="AR246" s="9" t="n"/>
      <c r="AS246" s="9" t="n"/>
      <c r="AT246" s="8" t="n"/>
      <c r="AU246" s="8" t="n"/>
      <c r="AV246" s="9" t="n"/>
      <c r="AW246" s="8" t="n"/>
      <c r="AX246" s="9" t="n"/>
      <c r="AY246" s="9" t="n"/>
      <c r="AZ246" s="9" t="n"/>
      <c r="BA246" s="9" t="n"/>
      <c r="BB246" s="9" t="n"/>
      <c r="BC246" s="9" t="n"/>
      <c r="BD246" s="9" t="n"/>
      <c r="BE246" s="9" t="n"/>
      <c r="BF246" s="9" t="n"/>
      <c r="BG246" s="9" t="n"/>
      <c r="BH246" s="9" t="n"/>
      <c r="BI246" s="9" t="n"/>
      <c r="BJ246" s="9" t="n"/>
      <c r="BK246" s="9" t="n"/>
      <c r="BL246" s="9" t="n"/>
      <c r="BM246" s="9" t="n"/>
      <c r="BN246" s="9" t="n"/>
      <c r="BO246" s="8" t="n"/>
      <c r="BP246" s="9" t="n"/>
      <c r="BQ246" s="9" t="n"/>
      <c r="BR246" s="12">
        <f>IF(AND(AI246="Y",AK246="Y",AL246="Y",AM246="Y",AY246="Y",AZ246="Y",BA246="Y",BB246="Y",BC246="Y",BE246&lt;&gt;"Y",AX246&lt;&gt;"Y",BL246&lt;&gt;"Y",IF(AS246="Y",AV246="Y",TRUE)),"Y","N")</f>
        <v/>
      </c>
      <c r="BS246" s="12">
        <f>IF(AND(BR246="Y",OR(AND(BJ246="Y",BM246="Y"),AND(BK246="Y",BN246="Y"),AND(BJ246&lt;&gt;"Y",BK246&lt;&gt;"Y",OR(BM246="Y",BN246="Y")))),"Y","N")</f>
        <v/>
      </c>
      <c r="BT246" s="10" t="n"/>
      <c r="BU246" s="13" t="n"/>
      <c r="BV246" s="13" t="n"/>
      <c r="BW246" s="13" t="n"/>
      <c r="BX246" s="13" t="n"/>
      <c r="BY246" s="13" t="n"/>
      <c r="BZ246" s="13" t="n"/>
      <c r="CA246" s="14" t="n"/>
      <c r="CB246" s="13" t="n"/>
      <c r="CC246" s="9" t="n"/>
      <c r="CD246" s="9" t="n"/>
      <c r="CE246" s="9" t="n"/>
      <c r="CF246" s="9" t="n"/>
      <c r="CG246" s="9" t="n"/>
      <c r="CH246" s="9" t="n"/>
    </row>
    <row r="247">
      <c r="A247" s="8" t="n"/>
      <c r="B247" s="9" t="n"/>
      <c r="C247" s="9" t="n"/>
      <c r="D247" s="9" t="n"/>
      <c r="E247" s="9" t="n"/>
      <c r="F247" s="9" t="n"/>
      <c r="G247" s="9" t="n"/>
      <c r="H247" s="9" t="n"/>
      <c r="I247" s="9" t="n"/>
      <c r="J247" s="9" t="n"/>
      <c r="K247" s="8" t="n"/>
      <c r="L247" s="9" t="n"/>
      <c r="M247" s="8" t="n"/>
      <c r="N247" s="8" t="n"/>
      <c r="O247" s="8" t="n"/>
      <c r="P247" s="8" t="n"/>
      <c r="Q247" s="8" t="n"/>
      <c r="R247" s="9" t="n"/>
      <c r="S247" s="9" t="n"/>
      <c r="T247" s="10" t="n"/>
      <c r="U247" s="10" t="n"/>
      <c r="V247" s="9" t="n"/>
      <c r="W247" s="9" t="n"/>
      <c r="X247" s="9" t="n"/>
      <c r="Y247" s="9" t="n"/>
      <c r="Z247" s="11" t="n"/>
      <c r="AA247" s="11" t="n"/>
      <c r="AB247" s="11" t="n"/>
      <c r="AC247" s="11" t="n"/>
      <c r="AD247" s="11" t="n"/>
      <c r="AE247" s="11" t="n"/>
      <c r="AF247" s="9" t="n"/>
      <c r="AG247" s="9" t="n"/>
      <c r="AH247" s="9" t="n"/>
      <c r="AI247" s="9" t="n"/>
      <c r="AJ247" s="8" t="n"/>
      <c r="AK247" s="9" t="n"/>
      <c r="AL247" s="9" t="n"/>
      <c r="AM247" s="9" t="n"/>
      <c r="AN247" s="9" t="n"/>
      <c r="AO247" s="9" t="n"/>
      <c r="AP247" s="9" t="n"/>
      <c r="AQ247" s="9" t="n"/>
      <c r="AR247" s="9" t="n"/>
      <c r="AS247" s="9" t="n"/>
      <c r="AT247" s="8" t="n"/>
      <c r="AU247" s="8" t="n"/>
      <c r="AV247" s="9" t="n"/>
      <c r="AW247" s="8" t="n"/>
      <c r="AX247" s="9" t="n"/>
      <c r="AY247" s="9" t="n"/>
      <c r="AZ247" s="9" t="n"/>
      <c r="BA247" s="9" t="n"/>
      <c r="BB247" s="9" t="n"/>
      <c r="BC247" s="9" t="n"/>
      <c r="BD247" s="9" t="n"/>
      <c r="BE247" s="9" t="n"/>
      <c r="BF247" s="9" t="n"/>
      <c r="BG247" s="9" t="n"/>
      <c r="BH247" s="9" t="n"/>
      <c r="BI247" s="9" t="n"/>
      <c r="BJ247" s="9" t="n"/>
      <c r="BK247" s="9" t="n"/>
      <c r="BL247" s="9" t="n"/>
      <c r="BM247" s="9" t="n"/>
      <c r="BN247" s="9" t="n"/>
      <c r="BO247" s="8" t="n"/>
      <c r="BP247" s="9" t="n"/>
      <c r="BQ247" s="9" t="n"/>
      <c r="BR247" s="12">
        <f>IF(AND(AI247="Y",AK247="Y",AL247="Y",AM247="Y",AY247="Y",AZ247="Y",BA247="Y",BB247="Y",BC247="Y",BE247&lt;&gt;"Y",AX247&lt;&gt;"Y",BL247&lt;&gt;"Y",IF(AS247="Y",AV247="Y",TRUE)),"Y","N")</f>
        <v/>
      </c>
      <c r="BS247" s="12">
        <f>IF(AND(BR247="Y",OR(AND(BJ247="Y",BM247="Y"),AND(BK247="Y",BN247="Y"),AND(BJ247&lt;&gt;"Y",BK247&lt;&gt;"Y",OR(BM247="Y",BN247="Y")))),"Y","N")</f>
        <v/>
      </c>
      <c r="BT247" s="10" t="n"/>
      <c r="BU247" s="13" t="n"/>
      <c r="BV247" s="13" t="n"/>
      <c r="BW247" s="13" t="n"/>
      <c r="BX247" s="13" t="n"/>
      <c r="BY247" s="13" t="n"/>
      <c r="BZ247" s="13" t="n"/>
      <c r="CA247" s="14" t="n"/>
      <c r="CB247" s="13" t="n"/>
      <c r="CC247" s="9" t="n"/>
      <c r="CD247" s="9" t="n"/>
      <c r="CE247" s="9" t="n"/>
      <c r="CF247" s="9" t="n"/>
      <c r="CG247" s="9" t="n"/>
      <c r="CH247" s="9" t="n"/>
    </row>
    <row r="248">
      <c r="A248" s="8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8" t="n"/>
      <c r="L248" s="9" t="n"/>
      <c r="M248" s="8" t="n"/>
      <c r="N248" s="8" t="n"/>
      <c r="O248" s="8" t="n"/>
      <c r="P248" s="8" t="n"/>
      <c r="Q248" s="8" t="n"/>
      <c r="R248" s="9" t="n"/>
      <c r="S248" s="9" t="n"/>
      <c r="T248" s="10" t="n"/>
      <c r="U248" s="10" t="n"/>
      <c r="V248" s="9" t="n"/>
      <c r="W248" s="9" t="n"/>
      <c r="X248" s="9" t="n"/>
      <c r="Y248" s="9" t="n"/>
      <c r="Z248" s="11" t="n"/>
      <c r="AA248" s="11" t="n"/>
      <c r="AB248" s="11" t="n"/>
      <c r="AC248" s="11" t="n"/>
      <c r="AD248" s="11" t="n"/>
      <c r="AE248" s="11" t="n"/>
      <c r="AF248" s="9" t="n"/>
      <c r="AG248" s="9" t="n"/>
      <c r="AH248" s="9" t="n"/>
      <c r="AI248" s="9" t="n"/>
      <c r="AJ248" s="8" t="n"/>
      <c r="AK248" s="9" t="n"/>
      <c r="AL248" s="9" t="n"/>
      <c r="AM248" s="9" t="n"/>
      <c r="AN248" s="9" t="n"/>
      <c r="AO248" s="9" t="n"/>
      <c r="AP248" s="9" t="n"/>
      <c r="AQ248" s="9" t="n"/>
      <c r="AR248" s="9" t="n"/>
      <c r="AS248" s="9" t="n"/>
      <c r="AT248" s="8" t="n"/>
      <c r="AU248" s="8" t="n"/>
      <c r="AV248" s="9" t="n"/>
      <c r="AW248" s="8" t="n"/>
      <c r="AX248" s="9" t="n"/>
      <c r="AY248" s="9" t="n"/>
      <c r="AZ248" s="9" t="n"/>
      <c r="BA248" s="9" t="n"/>
      <c r="BB248" s="9" t="n"/>
      <c r="BC248" s="9" t="n"/>
      <c r="BD248" s="9" t="n"/>
      <c r="BE248" s="9" t="n"/>
      <c r="BF248" s="9" t="n"/>
      <c r="BG248" s="9" t="n"/>
      <c r="BH248" s="9" t="n"/>
      <c r="BI248" s="9" t="n"/>
      <c r="BJ248" s="9" t="n"/>
      <c r="BK248" s="9" t="n"/>
      <c r="BL248" s="9" t="n"/>
      <c r="BM248" s="9" t="n"/>
      <c r="BN248" s="9" t="n"/>
      <c r="BO248" s="8" t="n"/>
      <c r="BP248" s="9" t="n"/>
      <c r="BQ248" s="9" t="n"/>
      <c r="BR248" s="12">
        <f>IF(AND(AI248="Y",AK248="Y",AL248="Y",AM248="Y",AY248="Y",AZ248="Y",BA248="Y",BB248="Y",BC248="Y",BE248&lt;&gt;"Y",AX248&lt;&gt;"Y",BL248&lt;&gt;"Y",IF(AS248="Y",AV248="Y",TRUE)),"Y","N")</f>
        <v/>
      </c>
      <c r="BS248" s="12">
        <f>IF(AND(BR248="Y",OR(AND(BJ248="Y",BM248="Y"),AND(BK248="Y",BN248="Y"),AND(BJ248&lt;&gt;"Y",BK248&lt;&gt;"Y",OR(BM248="Y",BN248="Y")))),"Y","N")</f>
        <v/>
      </c>
      <c r="BT248" s="10" t="n"/>
      <c r="BU248" s="13" t="n"/>
      <c r="BV248" s="13" t="n"/>
      <c r="BW248" s="13" t="n"/>
      <c r="BX248" s="13" t="n"/>
      <c r="BY248" s="13" t="n"/>
      <c r="BZ248" s="13" t="n"/>
      <c r="CA248" s="14" t="n"/>
      <c r="CB248" s="13" t="n"/>
      <c r="CC248" s="9" t="n"/>
      <c r="CD248" s="9" t="n"/>
      <c r="CE248" s="9" t="n"/>
      <c r="CF248" s="9" t="n"/>
      <c r="CG248" s="9" t="n"/>
      <c r="CH248" s="9" t="n"/>
    </row>
    <row r="249">
      <c r="A249" s="8" t="n"/>
      <c r="B249" s="9" t="n"/>
      <c r="C249" s="9" t="n"/>
      <c r="D249" s="9" t="n"/>
      <c r="E249" s="9" t="n"/>
      <c r="F249" s="9" t="n"/>
      <c r="G249" s="9" t="n"/>
      <c r="H249" s="9" t="n"/>
      <c r="I249" s="9" t="n"/>
      <c r="J249" s="9" t="n"/>
      <c r="K249" s="8" t="n"/>
      <c r="L249" s="9" t="n"/>
      <c r="M249" s="8" t="n"/>
      <c r="N249" s="8" t="n"/>
      <c r="O249" s="8" t="n"/>
      <c r="P249" s="8" t="n"/>
      <c r="Q249" s="8" t="n"/>
      <c r="R249" s="9" t="n"/>
      <c r="S249" s="9" t="n"/>
      <c r="T249" s="10" t="n"/>
      <c r="U249" s="10" t="n"/>
      <c r="V249" s="9" t="n"/>
      <c r="W249" s="9" t="n"/>
      <c r="X249" s="9" t="n"/>
      <c r="Y249" s="9" t="n"/>
      <c r="Z249" s="11" t="n"/>
      <c r="AA249" s="11" t="n"/>
      <c r="AB249" s="11" t="n"/>
      <c r="AC249" s="11" t="n"/>
      <c r="AD249" s="11" t="n"/>
      <c r="AE249" s="11" t="n"/>
      <c r="AF249" s="9" t="n"/>
      <c r="AG249" s="9" t="n"/>
      <c r="AH249" s="9" t="n"/>
      <c r="AI249" s="9" t="n"/>
      <c r="AJ249" s="8" t="n"/>
      <c r="AK249" s="9" t="n"/>
      <c r="AL249" s="9" t="n"/>
      <c r="AM249" s="9" t="n"/>
      <c r="AN249" s="9" t="n"/>
      <c r="AO249" s="9" t="n"/>
      <c r="AP249" s="9" t="n"/>
      <c r="AQ249" s="9" t="n"/>
      <c r="AR249" s="9" t="n"/>
      <c r="AS249" s="9" t="n"/>
      <c r="AT249" s="8" t="n"/>
      <c r="AU249" s="8" t="n"/>
      <c r="AV249" s="9" t="n"/>
      <c r="AW249" s="8" t="n"/>
      <c r="AX249" s="9" t="n"/>
      <c r="AY249" s="9" t="n"/>
      <c r="AZ249" s="9" t="n"/>
      <c r="BA249" s="9" t="n"/>
      <c r="BB249" s="9" t="n"/>
      <c r="BC249" s="9" t="n"/>
      <c r="BD249" s="9" t="n"/>
      <c r="BE249" s="9" t="n"/>
      <c r="BF249" s="9" t="n"/>
      <c r="BG249" s="9" t="n"/>
      <c r="BH249" s="9" t="n"/>
      <c r="BI249" s="9" t="n"/>
      <c r="BJ249" s="9" t="n"/>
      <c r="BK249" s="9" t="n"/>
      <c r="BL249" s="9" t="n"/>
      <c r="BM249" s="9" t="n"/>
      <c r="BN249" s="9" t="n"/>
      <c r="BO249" s="8" t="n"/>
      <c r="BP249" s="9" t="n"/>
      <c r="BQ249" s="9" t="n"/>
      <c r="BR249" s="12">
        <f>IF(AND(AI249="Y",AK249="Y",AL249="Y",AM249="Y",AY249="Y",AZ249="Y",BA249="Y",BB249="Y",BC249="Y",BE249&lt;&gt;"Y",AX249&lt;&gt;"Y",BL249&lt;&gt;"Y",IF(AS249="Y",AV249="Y",TRUE)),"Y","N")</f>
        <v/>
      </c>
      <c r="BS249" s="12">
        <f>IF(AND(BR249="Y",OR(AND(BJ249="Y",BM249="Y"),AND(BK249="Y",BN249="Y"),AND(BJ249&lt;&gt;"Y",BK249&lt;&gt;"Y",OR(BM249="Y",BN249="Y")))),"Y","N")</f>
        <v/>
      </c>
      <c r="BT249" s="10" t="n"/>
      <c r="BU249" s="13" t="n"/>
      <c r="BV249" s="13" t="n"/>
      <c r="BW249" s="13" t="n"/>
      <c r="BX249" s="13" t="n"/>
      <c r="BY249" s="13" t="n"/>
      <c r="BZ249" s="13" t="n"/>
      <c r="CA249" s="14" t="n"/>
      <c r="CB249" s="13" t="n"/>
      <c r="CC249" s="9" t="n"/>
      <c r="CD249" s="9" t="n"/>
      <c r="CE249" s="9" t="n"/>
      <c r="CF249" s="9" t="n"/>
      <c r="CG249" s="9" t="n"/>
      <c r="CH249" s="9" t="n"/>
    </row>
    <row r="250">
      <c r="A250" s="8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8" t="n"/>
      <c r="L250" s="9" t="n"/>
      <c r="M250" s="8" t="n"/>
      <c r="N250" s="8" t="n"/>
      <c r="O250" s="8" t="n"/>
      <c r="P250" s="8" t="n"/>
      <c r="Q250" s="8" t="n"/>
      <c r="R250" s="9" t="n"/>
      <c r="S250" s="9" t="n"/>
      <c r="T250" s="10" t="n"/>
      <c r="U250" s="10" t="n"/>
      <c r="V250" s="9" t="n"/>
      <c r="W250" s="9" t="n"/>
      <c r="X250" s="9" t="n"/>
      <c r="Y250" s="9" t="n"/>
      <c r="Z250" s="11" t="n"/>
      <c r="AA250" s="11" t="n"/>
      <c r="AB250" s="11" t="n"/>
      <c r="AC250" s="11" t="n"/>
      <c r="AD250" s="11" t="n"/>
      <c r="AE250" s="11" t="n"/>
      <c r="AF250" s="9" t="n"/>
      <c r="AG250" s="9" t="n"/>
      <c r="AH250" s="9" t="n"/>
      <c r="AI250" s="9" t="n"/>
      <c r="AJ250" s="8" t="n"/>
      <c r="AK250" s="9" t="n"/>
      <c r="AL250" s="9" t="n"/>
      <c r="AM250" s="9" t="n"/>
      <c r="AN250" s="9" t="n"/>
      <c r="AO250" s="9" t="n"/>
      <c r="AP250" s="9" t="n"/>
      <c r="AQ250" s="9" t="n"/>
      <c r="AR250" s="9" t="n"/>
      <c r="AS250" s="9" t="n"/>
      <c r="AT250" s="8" t="n"/>
      <c r="AU250" s="8" t="n"/>
      <c r="AV250" s="9" t="n"/>
      <c r="AW250" s="8" t="n"/>
      <c r="AX250" s="9" t="n"/>
      <c r="AY250" s="9" t="n"/>
      <c r="AZ250" s="9" t="n"/>
      <c r="BA250" s="9" t="n"/>
      <c r="BB250" s="9" t="n"/>
      <c r="BC250" s="9" t="n"/>
      <c r="BD250" s="9" t="n"/>
      <c r="BE250" s="9" t="n"/>
      <c r="BF250" s="9" t="n"/>
      <c r="BG250" s="9" t="n"/>
      <c r="BH250" s="9" t="n"/>
      <c r="BI250" s="9" t="n"/>
      <c r="BJ250" s="9" t="n"/>
      <c r="BK250" s="9" t="n"/>
      <c r="BL250" s="9" t="n"/>
      <c r="BM250" s="9" t="n"/>
      <c r="BN250" s="9" t="n"/>
      <c r="BO250" s="8" t="n"/>
      <c r="BP250" s="9" t="n"/>
      <c r="BQ250" s="9" t="n"/>
      <c r="BR250" s="12">
        <f>IF(AND(AI250="Y",AK250="Y",AL250="Y",AM250="Y",AY250="Y",AZ250="Y",BA250="Y",BB250="Y",BC250="Y",BE250&lt;&gt;"Y",AX250&lt;&gt;"Y",BL250&lt;&gt;"Y",IF(AS250="Y",AV250="Y",TRUE)),"Y","N")</f>
        <v/>
      </c>
      <c r="BS250" s="12">
        <f>IF(AND(BR250="Y",OR(AND(BJ250="Y",BM250="Y"),AND(BK250="Y",BN250="Y"),AND(BJ250&lt;&gt;"Y",BK250&lt;&gt;"Y",OR(BM250="Y",BN250="Y")))),"Y","N")</f>
        <v/>
      </c>
      <c r="BT250" s="10" t="n"/>
      <c r="BU250" s="13" t="n"/>
      <c r="BV250" s="13" t="n"/>
      <c r="BW250" s="13" t="n"/>
      <c r="BX250" s="13" t="n"/>
      <c r="BY250" s="13" t="n"/>
      <c r="BZ250" s="13" t="n"/>
      <c r="CA250" s="14" t="n"/>
      <c r="CB250" s="13" t="n"/>
      <c r="CC250" s="9" t="n"/>
      <c r="CD250" s="9" t="n"/>
      <c r="CE250" s="9" t="n"/>
      <c r="CF250" s="9" t="n"/>
      <c r="CG250" s="9" t="n"/>
      <c r="CH250" s="9" t="n"/>
    </row>
    <row r="251">
      <c r="A251" s="8" t="n"/>
      <c r="B251" s="9" t="n"/>
      <c r="C251" s="9" t="n"/>
      <c r="D251" s="9" t="n"/>
      <c r="E251" s="9" t="n"/>
      <c r="F251" s="9" t="n"/>
      <c r="G251" s="9" t="n"/>
      <c r="H251" s="9" t="n"/>
      <c r="I251" s="9" t="n"/>
      <c r="J251" s="9" t="n"/>
      <c r="K251" s="8" t="n"/>
      <c r="L251" s="9" t="n"/>
      <c r="M251" s="8" t="n"/>
      <c r="N251" s="8" t="n"/>
      <c r="O251" s="8" t="n"/>
      <c r="P251" s="8" t="n"/>
      <c r="Q251" s="8" t="n"/>
      <c r="R251" s="9" t="n"/>
      <c r="S251" s="9" t="n"/>
      <c r="T251" s="10" t="n"/>
      <c r="U251" s="10" t="n"/>
      <c r="V251" s="9" t="n"/>
      <c r="W251" s="9" t="n"/>
      <c r="X251" s="9" t="n"/>
      <c r="Y251" s="9" t="n"/>
      <c r="Z251" s="11" t="n"/>
      <c r="AA251" s="11" t="n"/>
      <c r="AB251" s="11" t="n"/>
      <c r="AC251" s="11" t="n"/>
      <c r="AD251" s="11" t="n"/>
      <c r="AE251" s="11" t="n"/>
      <c r="AF251" s="9" t="n"/>
      <c r="AG251" s="9" t="n"/>
      <c r="AH251" s="9" t="n"/>
      <c r="AI251" s="9" t="n"/>
      <c r="AJ251" s="8" t="n"/>
      <c r="AK251" s="9" t="n"/>
      <c r="AL251" s="9" t="n"/>
      <c r="AM251" s="9" t="n"/>
      <c r="AN251" s="9" t="n"/>
      <c r="AO251" s="9" t="n"/>
      <c r="AP251" s="9" t="n"/>
      <c r="AQ251" s="9" t="n"/>
      <c r="AR251" s="9" t="n"/>
      <c r="AS251" s="9" t="n"/>
      <c r="AT251" s="8" t="n"/>
      <c r="AU251" s="8" t="n"/>
      <c r="AV251" s="9" t="n"/>
      <c r="AW251" s="8" t="n"/>
      <c r="AX251" s="9" t="n"/>
      <c r="AY251" s="9" t="n"/>
      <c r="AZ251" s="9" t="n"/>
      <c r="BA251" s="9" t="n"/>
      <c r="BB251" s="9" t="n"/>
      <c r="BC251" s="9" t="n"/>
      <c r="BD251" s="9" t="n"/>
      <c r="BE251" s="9" t="n"/>
      <c r="BF251" s="9" t="n"/>
      <c r="BG251" s="9" t="n"/>
      <c r="BH251" s="9" t="n"/>
      <c r="BI251" s="9" t="n"/>
      <c r="BJ251" s="9" t="n"/>
      <c r="BK251" s="9" t="n"/>
      <c r="BL251" s="9" t="n"/>
      <c r="BM251" s="9" t="n"/>
      <c r="BN251" s="9" t="n"/>
      <c r="BO251" s="8" t="n"/>
      <c r="BP251" s="9" t="n"/>
      <c r="BQ251" s="9" t="n"/>
      <c r="BR251" s="12">
        <f>IF(AND(AI251="Y",AK251="Y",AL251="Y",AM251="Y",AY251="Y",AZ251="Y",BA251="Y",BB251="Y",BC251="Y",BE251&lt;&gt;"Y",AX251&lt;&gt;"Y",BL251&lt;&gt;"Y",IF(AS251="Y",AV251="Y",TRUE)),"Y","N")</f>
        <v/>
      </c>
      <c r="BS251" s="12">
        <f>IF(AND(BR251="Y",OR(AND(BJ251="Y",BM251="Y"),AND(BK251="Y",BN251="Y"),AND(BJ251&lt;&gt;"Y",BK251&lt;&gt;"Y",OR(BM251="Y",BN251="Y")))),"Y","N")</f>
        <v/>
      </c>
      <c r="BT251" s="10" t="n"/>
      <c r="BU251" s="13" t="n"/>
      <c r="BV251" s="13" t="n"/>
      <c r="BW251" s="13" t="n"/>
      <c r="BX251" s="13" t="n"/>
      <c r="BY251" s="13" t="n"/>
      <c r="BZ251" s="13" t="n"/>
      <c r="CA251" s="14" t="n"/>
      <c r="CB251" s="13" t="n"/>
      <c r="CC251" s="9" t="n"/>
      <c r="CD251" s="9" t="n"/>
      <c r="CE251" s="9" t="n"/>
      <c r="CF251" s="9" t="n"/>
      <c r="CG251" s="9" t="n"/>
      <c r="CH251" s="9" t="n"/>
    </row>
    <row r="252">
      <c r="A252" s="8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8" t="n"/>
      <c r="L252" s="9" t="n"/>
      <c r="M252" s="8" t="n"/>
      <c r="N252" s="8" t="n"/>
      <c r="O252" s="8" t="n"/>
      <c r="P252" s="8" t="n"/>
      <c r="Q252" s="8" t="n"/>
      <c r="R252" s="9" t="n"/>
      <c r="S252" s="9" t="n"/>
      <c r="T252" s="10" t="n"/>
      <c r="U252" s="10" t="n"/>
      <c r="V252" s="9" t="n"/>
      <c r="W252" s="9" t="n"/>
      <c r="X252" s="9" t="n"/>
      <c r="Y252" s="9" t="n"/>
      <c r="Z252" s="11" t="n"/>
      <c r="AA252" s="11" t="n"/>
      <c r="AB252" s="11" t="n"/>
      <c r="AC252" s="11" t="n"/>
      <c r="AD252" s="11" t="n"/>
      <c r="AE252" s="11" t="n"/>
      <c r="AF252" s="9" t="n"/>
      <c r="AG252" s="9" t="n"/>
      <c r="AH252" s="9" t="n"/>
      <c r="AI252" s="9" t="n"/>
      <c r="AJ252" s="8" t="n"/>
      <c r="AK252" s="9" t="n"/>
      <c r="AL252" s="9" t="n"/>
      <c r="AM252" s="9" t="n"/>
      <c r="AN252" s="9" t="n"/>
      <c r="AO252" s="9" t="n"/>
      <c r="AP252" s="9" t="n"/>
      <c r="AQ252" s="9" t="n"/>
      <c r="AR252" s="9" t="n"/>
      <c r="AS252" s="9" t="n"/>
      <c r="AT252" s="8" t="n"/>
      <c r="AU252" s="8" t="n"/>
      <c r="AV252" s="9" t="n"/>
      <c r="AW252" s="8" t="n"/>
      <c r="AX252" s="9" t="n"/>
      <c r="AY252" s="9" t="n"/>
      <c r="AZ252" s="9" t="n"/>
      <c r="BA252" s="9" t="n"/>
      <c r="BB252" s="9" t="n"/>
      <c r="BC252" s="9" t="n"/>
      <c r="BD252" s="9" t="n"/>
      <c r="BE252" s="9" t="n"/>
      <c r="BF252" s="9" t="n"/>
      <c r="BG252" s="9" t="n"/>
      <c r="BH252" s="9" t="n"/>
      <c r="BI252" s="9" t="n"/>
      <c r="BJ252" s="9" t="n"/>
      <c r="BK252" s="9" t="n"/>
      <c r="BL252" s="9" t="n"/>
      <c r="BM252" s="9" t="n"/>
      <c r="BN252" s="9" t="n"/>
      <c r="BO252" s="8" t="n"/>
      <c r="BP252" s="9" t="n"/>
      <c r="BQ252" s="9" t="n"/>
      <c r="BR252" s="12">
        <f>IF(AND(AI252="Y",AK252="Y",AL252="Y",AM252="Y",AY252="Y",AZ252="Y",BA252="Y",BB252="Y",BC252="Y",BE252&lt;&gt;"Y",AX252&lt;&gt;"Y",BL252&lt;&gt;"Y",IF(AS252="Y",AV252="Y",TRUE)),"Y","N")</f>
        <v/>
      </c>
      <c r="BS252" s="12">
        <f>IF(AND(BR252="Y",OR(AND(BJ252="Y",BM252="Y"),AND(BK252="Y",BN252="Y"),AND(BJ252&lt;&gt;"Y",BK252&lt;&gt;"Y",OR(BM252="Y",BN252="Y")))),"Y","N")</f>
        <v/>
      </c>
      <c r="BT252" s="10" t="n"/>
      <c r="BU252" s="13" t="n"/>
      <c r="BV252" s="13" t="n"/>
      <c r="BW252" s="13" t="n"/>
      <c r="BX252" s="13" t="n"/>
      <c r="BY252" s="13" t="n"/>
      <c r="BZ252" s="13" t="n"/>
      <c r="CA252" s="14" t="n"/>
      <c r="CB252" s="13" t="n"/>
      <c r="CC252" s="9" t="n"/>
      <c r="CD252" s="9" t="n"/>
      <c r="CE252" s="9" t="n"/>
      <c r="CF252" s="9" t="n"/>
      <c r="CG252" s="9" t="n"/>
      <c r="CH252" s="9" t="n"/>
    </row>
    <row r="253">
      <c r="A253" s="8" t="n"/>
      <c r="B253" s="9" t="n"/>
      <c r="C253" s="9" t="n"/>
      <c r="D253" s="9" t="n"/>
      <c r="E253" s="9" t="n"/>
      <c r="F253" s="9" t="n"/>
      <c r="G253" s="9" t="n"/>
      <c r="H253" s="9" t="n"/>
      <c r="I253" s="9" t="n"/>
      <c r="J253" s="9" t="n"/>
      <c r="K253" s="8" t="n"/>
      <c r="L253" s="9" t="n"/>
      <c r="M253" s="8" t="n"/>
      <c r="N253" s="8" t="n"/>
      <c r="O253" s="8" t="n"/>
      <c r="P253" s="8" t="n"/>
      <c r="Q253" s="8" t="n"/>
      <c r="R253" s="9" t="n"/>
      <c r="S253" s="9" t="n"/>
      <c r="T253" s="10" t="n"/>
      <c r="U253" s="10" t="n"/>
      <c r="V253" s="9" t="n"/>
      <c r="W253" s="9" t="n"/>
      <c r="X253" s="9" t="n"/>
      <c r="Y253" s="9" t="n"/>
      <c r="Z253" s="11" t="n"/>
      <c r="AA253" s="11" t="n"/>
      <c r="AB253" s="11" t="n"/>
      <c r="AC253" s="11" t="n"/>
      <c r="AD253" s="11" t="n"/>
      <c r="AE253" s="11" t="n"/>
      <c r="AF253" s="9" t="n"/>
      <c r="AG253" s="9" t="n"/>
      <c r="AH253" s="9" t="n"/>
      <c r="AI253" s="9" t="n"/>
      <c r="AJ253" s="8" t="n"/>
      <c r="AK253" s="9" t="n"/>
      <c r="AL253" s="9" t="n"/>
      <c r="AM253" s="9" t="n"/>
      <c r="AN253" s="9" t="n"/>
      <c r="AO253" s="9" t="n"/>
      <c r="AP253" s="9" t="n"/>
      <c r="AQ253" s="9" t="n"/>
      <c r="AR253" s="9" t="n"/>
      <c r="AS253" s="9" t="n"/>
      <c r="AT253" s="8" t="n"/>
      <c r="AU253" s="8" t="n"/>
      <c r="AV253" s="9" t="n"/>
      <c r="AW253" s="8" t="n"/>
      <c r="AX253" s="9" t="n"/>
      <c r="AY253" s="9" t="n"/>
      <c r="AZ253" s="9" t="n"/>
      <c r="BA253" s="9" t="n"/>
      <c r="BB253" s="9" t="n"/>
      <c r="BC253" s="9" t="n"/>
      <c r="BD253" s="9" t="n"/>
      <c r="BE253" s="9" t="n"/>
      <c r="BF253" s="9" t="n"/>
      <c r="BG253" s="9" t="n"/>
      <c r="BH253" s="9" t="n"/>
      <c r="BI253" s="9" t="n"/>
      <c r="BJ253" s="9" t="n"/>
      <c r="BK253" s="9" t="n"/>
      <c r="BL253" s="9" t="n"/>
      <c r="BM253" s="9" t="n"/>
      <c r="BN253" s="9" t="n"/>
      <c r="BO253" s="8" t="n"/>
      <c r="BP253" s="9" t="n"/>
      <c r="BQ253" s="9" t="n"/>
      <c r="BR253" s="12">
        <f>IF(AND(AI253="Y",AK253="Y",AL253="Y",AM253="Y",AY253="Y",AZ253="Y",BA253="Y",BB253="Y",BC253="Y",BE253&lt;&gt;"Y",AX253&lt;&gt;"Y",BL253&lt;&gt;"Y",IF(AS253="Y",AV253="Y",TRUE)),"Y","N")</f>
        <v/>
      </c>
      <c r="BS253" s="12">
        <f>IF(AND(BR253="Y",OR(AND(BJ253="Y",BM253="Y"),AND(BK253="Y",BN253="Y"),AND(BJ253&lt;&gt;"Y",BK253&lt;&gt;"Y",OR(BM253="Y",BN253="Y")))),"Y","N")</f>
        <v/>
      </c>
      <c r="BT253" s="10" t="n"/>
      <c r="BU253" s="13" t="n"/>
      <c r="BV253" s="13" t="n"/>
      <c r="BW253" s="13" t="n"/>
      <c r="BX253" s="13" t="n"/>
      <c r="BY253" s="13" t="n"/>
      <c r="BZ253" s="13" t="n"/>
      <c r="CA253" s="14" t="n"/>
      <c r="CB253" s="13" t="n"/>
      <c r="CC253" s="9" t="n"/>
      <c r="CD253" s="9" t="n"/>
      <c r="CE253" s="9" t="n"/>
      <c r="CF253" s="9" t="n"/>
      <c r="CG253" s="9" t="n"/>
      <c r="CH253" s="9" t="n"/>
    </row>
    <row r="254">
      <c r="A254" s="8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8" t="n"/>
      <c r="L254" s="9" t="n"/>
      <c r="M254" s="8" t="n"/>
      <c r="N254" s="8" t="n"/>
      <c r="O254" s="8" t="n"/>
      <c r="P254" s="8" t="n"/>
      <c r="Q254" s="8" t="n"/>
      <c r="R254" s="9" t="n"/>
      <c r="S254" s="9" t="n"/>
      <c r="T254" s="10" t="n"/>
      <c r="U254" s="10" t="n"/>
      <c r="V254" s="9" t="n"/>
      <c r="W254" s="9" t="n"/>
      <c r="X254" s="9" t="n"/>
      <c r="Y254" s="9" t="n"/>
      <c r="Z254" s="11" t="n"/>
      <c r="AA254" s="11" t="n"/>
      <c r="AB254" s="11" t="n"/>
      <c r="AC254" s="11" t="n"/>
      <c r="AD254" s="11" t="n"/>
      <c r="AE254" s="11" t="n"/>
      <c r="AF254" s="9" t="n"/>
      <c r="AG254" s="9" t="n"/>
      <c r="AH254" s="9" t="n"/>
      <c r="AI254" s="9" t="n"/>
      <c r="AJ254" s="8" t="n"/>
      <c r="AK254" s="9" t="n"/>
      <c r="AL254" s="9" t="n"/>
      <c r="AM254" s="9" t="n"/>
      <c r="AN254" s="9" t="n"/>
      <c r="AO254" s="9" t="n"/>
      <c r="AP254" s="9" t="n"/>
      <c r="AQ254" s="9" t="n"/>
      <c r="AR254" s="9" t="n"/>
      <c r="AS254" s="9" t="n"/>
      <c r="AT254" s="8" t="n"/>
      <c r="AU254" s="8" t="n"/>
      <c r="AV254" s="9" t="n"/>
      <c r="AW254" s="8" t="n"/>
      <c r="AX254" s="9" t="n"/>
      <c r="AY254" s="9" t="n"/>
      <c r="AZ254" s="9" t="n"/>
      <c r="BA254" s="9" t="n"/>
      <c r="BB254" s="9" t="n"/>
      <c r="BC254" s="9" t="n"/>
      <c r="BD254" s="9" t="n"/>
      <c r="BE254" s="9" t="n"/>
      <c r="BF254" s="9" t="n"/>
      <c r="BG254" s="9" t="n"/>
      <c r="BH254" s="9" t="n"/>
      <c r="BI254" s="9" t="n"/>
      <c r="BJ254" s="9" t="n"/>
      <c r="BK254" s="9" t="n"/>
      <c r="BL254" s="9" t="n"/>
      <c r="BM254" s="9" t="n"/>
      <c r="BN254" s="9" t="n"/>
      <c r="BO254" s="8" t="n"/>
      <c r="BP254" s="9" t="n"/>
      <c r="BQ254" s="9" t="n"/>
      <c r="BR254" s="12">
        <f>IF(AND(AI254="Y",AK254="Y",AL254="Y",AM254="Y",AY254="Y",AZ254="Y",BA254="Y",BB254="Y",BC254="Y",BE254&lt;&gt;"Y",AX254&lt;&gt;"Y",BL254&lt;&gt;"Y",IF(AS254="Y",AV254="Y",TRUE)),"Y","N")</f>
        <v/>
      </c>
      <c r="BS254" s="12">
        <f>IF(AND(BR254="Y",OR(AND(BJ254="Y",BM254="Y"),AND(BK254="Y",BN254="Y"),AND(BJ254&lt;&gt;"Y",BK254&lt;&gt;"Y",OR(BM254="Y",BN254="Y")))),"Y","N")</f>
        <v/>
      </c>
      <c r="BT254" s="10" t="n"/>
      <c r="BU254" s="13" t="n"/>
      <c r="BV254" s="13" t="n"/>
      <c r="BW254" s="13" t="n"/>
      <c r="BX254" s="13" t="n"/>
      <c r="BY254" s="13" t="n"/>
      <c r="BZ254" s="13" t="n"/>
      <c r="CA254" s="14" t="n"/>
      <c r="CB254" s="13" t="n"/>
      <c r="CC254" s="9" t="n"/>
      <c r="CD254" s="9" t="n"/>
      <c r="CE254" s="9" t="n"/>
      <c r="CF254" s="9" t="n"/>
      <c r="CG254" s="9" t="n"/>
      <c r="CH254" s="9" t="n"/>
    </row>
    <row r="255">
      <c r="A255" s="8" t="n"/>
      <c r="B255" s="9" t="n"/>
      <c r="C255" s="9" t="n"/>
      <c r="D255" s="9" t="n"/>
      <c r="E255" s="9" t="n"/>
      <c r="F255" s="9" t="n"/>
      <c r="G255" s="9" t="n"/>
      <c r="H255" s="9" t="n"/>
      <c r="I255" s="9" t="n"/>
      <c r="J255" s="9" t="n"/>
      <c r="K255" s="8" t="n"/>
      <c r="L255" s="9" t="n"/>
      <c r="M255" s="8" t="n"/>
      <c r="N255" s="8" t="n"/>
      <c r="O255" s="8" t="n"/>
      <c r="P255" s="8" t="n"/>
      <c r="Q255" s="8" t="n"/>
      <c r="R255" s="9" t="n"/>
      <c r="S255" s="9" t="n"/>
      <c r="T255" s="10" t="n"/>
      <c r="U255" s="10" t="n"/>
      <c r="V255" s="9" t="n"/>
      <c r="W255" s="9" t="n"/>
      <c r="X255" s="9" t="n"/>
      <c r="Y255" s="9" t="n"/>
      <c r="Z255" s="11" t="n"/>
      <c r="AA255" s="11" t="n"/>
      <c r="AB255" s="11" t="n"/>
      <c r="AC255" s="11" t="n"/>
      <c r="AD255" s="11" t="n"/>
      <c r="AE255" s="11" t="n"/>
      <c r="AF255" s="9" t="n"/>
      <c r="AG255" s="9" t="n"/>
      <c r="AH255" s="9" t="n"/>
      <c r="AI255" s="9" t="n"/>
      <c r="AJ255" s="8" t="n"/>
      <c r="AK255" s="9" t="n"/>
      <c r="AL255" s="9" t="n"/>
      <c r="AM255" s="9" t="n"/>
      <c r="AN255" s="9" t="n"/>
      <c r="AO255" s="9" t="n"/>
      <c r="AP255" s="9" t="n"/>
      <c r="AQ255" s="9" t="n"/>
      <c r="AR255" s="9" t="n"/>
      <c r="AS255" s="9" t="n"/>
      <c r="AT255" s="8" t="n"/>
      <c r="AU255" s="8" t="n"/>
      <c r="AV255" s="9" t="n"/>
      <c r="AW255" s="8" t="n"/>
      <c r="AX255" s="9" t="n"/>
      <c r="AY255" s="9" t="n"/>
      <c r="AZ255" s="9" t="n"/>
      <c r="BA255" s="9" t="n"/>
      <c r="BB255" s="9" t="n"/>
      <c r="BC255" s="9" t="n"/>
      <c r="BD255" s="9" t="n"/>
      <c r="BE255" s="9" t="n"/>
      <c r="BF255" s="9" t="n"/>
      <c r="BG255" s="9" t="n"/>
      <c r="BH255" s="9" t="n"/>
      <c r="BI255" s="9" t="n"/>
      <c r="BJ255" s="9" t="n"/>
      <c r="BK255" s="9" t="n"/>
      <c r="BL255" s="9" t="n"/>
      <c r="BM255" s="9" t="n"/>
      <c r="BN255" s="9" t="n"/>
      <c r="BO255" s="8" t="n"/>
      <c r="BP255" s="9" t="n"/>
      <c r="BQ255" s="9" t="n"/>
      <c r="BR255" s="12">
        <f>IF(AND(AI255="Y",AK255="Y",AL255="Y",AM255="Y",AY255="Y",AZ255="Y",BA255="Y",BB255="Y",BC255="Y",BE255&lt;&gt;"Y",AX255&lt;&gt;"Y",BL255&lt;&gt;"Y",IF(AS255="Y",AV255="Y",TRUE)),"Y","N")</f>
        <v/>
      </c>
      <c r="BS255" s="12">
        <f>IF(AND(BR255="Y",OR(AND(BJ255="Y",BM255="Y"),AND(BK255="Y",BN255="Y"),AND(BJ255&lt;&gt;"Y",BK255&lt;&gt;"Y",OR(BM255="Y",BN255="Y")))),"Y","N")</f>
        <v/>
      </c>
      <c r="BT255" s="10" t="n"/>
      <c r="BU255" s="13" t="n"/>
      <c r="BV255" s="13" t="n"/>
      <c r="BW255" s="13" t="n"/>
      <c r="BX255" s="13" t="n"/>
      <c r="BY255" s="13" t="n"/>
      <c r="BZ255" s="13" t="n"/>
      <c r="CA255" s="14" t="n"/>
      <c r="CB255" s="13" t="n"/>
      <c r="CC255" s="9" t="n"/>
      <c r="CD255" s="9" t="n"/>
      <c r="CE255" s="9" t="n"/>
      <c r="CF255" s="9" t="n"/>
      <c r="CG255" s="9" t="n"/>
      <c r="CH255" s="9" t="n"/>
    </row>
    <row r="256">
      <c r="A256" s="8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8" t="n"/>
      <c r="L256" s="9" t="n"/>
      <c r="M256" s="8" t="n"/>
      <c r="N256" s="8" t="n"/>
      <c r="O256" s="8" t="n"/>
      <c r="P256" s="8" t="n"/>
      <c r="Q256" s="8" t="n"/>
      <c r="R256" s="9" t="n"/>
      <c r="S256" s="9" t="n"/>
      <c r="T256" s="10" t="n"/>
      <c r="U256" s="10" t="n"/>
      <c r="V256" s="9" t="n"/>
      <c r="W256" s="9" t="n"/>
      <c r="X256" s="9" t="n"/>
      <c r="Y256" s="9" t="n"/>
      <c r="Z256" s="11" t="n"/>
      <c r="AA256" s="11" t="n"/>
      <c r="AB256" s="11" t="n"/>
      <c r="AC256" s="11" t="n"/>
      <c r="AD256" s="11" t="n"/>
      <c r="AE256" s="11" t="n"/>
      <c r="AF256" s="9" t="n"/>
      <c r="AG256" s="9" t="n"/>
      <c r="AH256" s="9" t="n"/>
      <c r="AI256" s="9" t="n"/>
      <c r="AJ256" s="8" t="n"/>
      <c r="AK256" s="9" t="n"/>
      <c r="AL256" s="9" t="n"/>
      <c r="AM256" s="9" t="n"/>
      <c r="AN256" s="9" t="n"/>
      <c r="AO256" s="9" t="n"/>
      <c r="AP256" s="9" t="n"/>
      <c r="AQ256" s="9" t="n"/>
      <c r="AR256" s="9" t="n"/>
      <c r="AS256" s="9" t="n"/>
      <c r="AT256" s="8" t="n"/>
      <c r="AU256" s="8" t="n"/>
      <c r="AV256" s="9" t="n"/>
      <c r="AW256" s="8" t="n"/>
      <c r="AX256" s="9" t="n"/>
      <c r="AY256" s="9" t="n"/>
      <c r="AZ256" s="9" t="n"/>
      <c r="BA256" s="9" t="n"/>
      <c r="BB256" s="9" t="n"/>
      <c r="BC256" s="9" t="n"/>
      <c r="BD256" s="9" t="n"/>
      <c r="BE256" s="9" t="n"/>
      <c r="BF256" s="9" t="n"/>
      <c r="BG256" s="9" t="n"/>
      <c r="BH256" s="9" t="n"/>
      <c r="BI256" s="9" t="n"/>
      <c r="BJ256" s="9" t="n"/>
      <c r="BK256" s="9" t="n"/>
      <c r="BL256" s="9" t="n"/>
      <c r="BM256" s="9" t="n"/>
      <c r="BN256" s="9" t="n"/>
      <c r="BO256" s="8" t="n"/>
      <c r="BP256" s="9" t="n"/>
      <c r="BQ256" s="9" t="n"/>
      <c r="BR256" s="12">
        <f>IF(AND(AI256="Y",AK256="Y",AL256="Y",AM256="Y",AY256="Y",AZ256="Y",BA256="Y",BB256="Y",BC256="Y",BE256&lt;&gt;"Y",AX256&lt;&gt;"Y",BL256&lt;&gt;"Y",IF(AS256="Y",AV256="Y",TRUE)),"Y","N")</f>
        <v/>
      </c>
      <c r="BS256" s="12">
        <f>IF(AND(BR256="Y",OR(AND(BJ256="Y",BM256="Y"),AND(BK256="Y",BN256="Y"),AND(BJ256&lt;&gt;"Y",BK256&lt;&gt;"Y",OR(BM256="Y",BN256="Y")))),"Y","N")</f>
        <v/>
      </c>
      <c r="BT256" s="10" t="n"/>
      <c r="BU256" s="13" t="n"/>
      <c r="BV256" s="13" t="n"/>
      <c r="BW256" s="13" t="n"/>
      <c r="BX256" s="13" t="n"/>
      <c r="BY256" s="13" t="n"/>
      <c r="BZ256" s="13" t="n"/>
      <c r="CA256" s="14" t="n"/>
      <c r="CB256" s="13" t="n"/>
      <c r="CC256" s="9" t="n"/>
      <c r="CD256" s="9" t="n"/>
      <c r="CE256" s="9" t="n"/>
      <c r="CF256" s="9" t="n"/>
      <c r="CG256" s="9" t="n"/>
      <c r="CH256" s="9" t="n"/>
    </row>
    <row r="257">
      <c r="A257" s="8" t="n"/>
      <c r="B257" s="9" t="n"/>
      <c r="C257" s="9" t="n"/>
      <c r="D257" s="9" t="n"/>
      <c r="E257" s="9" t="n"/>
      <c r="F257" s="9" t="n"/>
      <c r="G257" s="9" t="n"/>
      <c r="H257" s="9" t="n"/>
      <c r="I257" s="9" t="n"/>
      <c r="J257" s="9" t="n"/>
      <c r="K257" s="8" t="n"/>
      <c r="L257" s="9" t="n"/>
      <c r="M257" s="8" t="n"/>
      <c r="N257" s="8" t="n"/>
      <c r="O257" s="8" t="n"/>
      <c r="P257" s="8" t="n"/>
      <c r="Q257" s="8" t="n"/>
      <c r="R257" s="9" t="n"/>
      <c r="S257" s="9" t="n"/>
      <c r="T257" s="10" t="n"/>
      <c r="U257" s="10" t="n"/>
      <c r="V257" s="9" t="n"/>
      <c r="W257" s="9" t="n"/>
      <c r="X257" s="9" t="n"/>
      <c r="Y257" s="9" t="n"/>
      <c r="Z257" s="11" t="n"/>
      <c r="AA257" s="11" t="n"/>
      <c r="AB257" s="11" t="n"/>
      <c r="AC257" s="11" t="n"/>
      <c r="AD257" s="11" t="n"/>
      <c r="AE257" s="11" t="n"/>
      <c r="AF257" s="9" t="n"/>
      <c r="AG257" s="9" t="n"/>
      <c r="AH257" s="9" t="n"/>
      <c r="AI257" s="9" t="n"/>
      <c r="AJ257" s="8" t="n"/>
      <c r="AK257" s="9" t="n"/>
      <c r="AL257" s="9" t="n"/>
      <c r="AM257" s="9" t="n"/>
      <c r="AN257" s="9" t="n"/>
      <c r="AO257" s="9" t="n"/>
      <c r="AP257" s="9" t="n"/>
      <c r="AQ257" s="9" t="n"/>
      <c r="AR257" s="9" t="n"/>
      <c r="AS257" s="9" t="n"/>
      <c r="AT257" s="8" t="n"/>
      <c r="AU257" s="8" t="n"/>
      <c r="AV257" s="9" t="n"/>
      <c r="AW257" s="8" t="n"/>
      <c r="AX257" s="9" t="n"/>
      <c r="AY257" s="9" t="n"/>
      <c r="AZ257" s="9" t="n"/>
      <c r="BA257" s="9" t="n"/>
      <c r="BB257" s="9" t="n"/>
      <c r="BC257" s="9" t="n"/>
      <c r="BD257" s="9" t="n"/>
      <c r="BE257" s="9" t="n"/>
      <c r="BF257" s="9" t="n"/>
      <c r="BG257" s="9" t="n"/>
      <c r="BH257" s="9" t="n"/>
      <c r="BI257" s="9" t="n"/>
      <c r="BJ257" s="9" t="n"/>
      <c r="BK257" s="9" t="n"/>
      <c r="BL257" s="9" t="n"/>
      <c r="BM257" s="9" t="n"/>
      <c r="BN257" s="9" t="n"/>
      <c r="BO257" s="8" t="n"/>
      <c r="BP257" s="9" t="n"/>
      <c r="BQ257" s="9" t="n"/>
      <c r="BR257" s="12">
        <f>IF(AND(AI257="Y",AK257="Y",AL257="Y",AM257="Y",AY257="Y",AZ257="Y",BA257="Y",BB257="Y",BC257="Y",BE257&lt;&gt;"Y",AX257&lt;&gt;"Y",BL257&lt;&gt;"Y",IF(AS257="Y",AV257="Y",TRUE)),"Y","N")</f>
        <v/>
      </c>
      <c r="BS257" s="12">
        <f>IF(AND(BR257="Y",OR(AND(BJ257="Y",BM257="Y"),AND(BK257="Y",BN257="Y"),AND(BJ257&lt;&gt;"Y",BK257&lt;&gt;"Y",OR(BM257="Y",BN257="Y")))),"Y","N")</f>
        <v/>
      </c>
      <c r="BT257" s="10" t="n"/>
      <c r="BU257" s="13" t="n"/>
      <c r="BV257" s="13" t="n"/>
      <c r="BW257" s="13" t="n"/>
      <c r="BX257" s="13" t="n"/>
      <c r="BY257" s="13" t="n"/>
      <c r="BZ257" s="13" t="n"/>
      <c r="CA257" s="14" t="n"/>
      <c r="CB257" s="13" t="n"/>
      <c r="CC257" s="9" t="n"/>
      <c r="CD257" s="9" t="n"/>
      <c r="CE257" s="9" t="n"/>
      <c r="CF257" s="9" t="n"/>
      <c r="CG257" s="9" t="n"/>
      <c r="CH257" s="9" t="n"/>
    </row>
    <row r="258">
      <c r="A258" s="8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8" t="n"/>
      <c r="L258" s="9" t="n"/>
      <c r="M258" s="8" t="n"/>
      <c r="N258" s="8" t="n"/>
      <c r="O258" s="8" t="n"/>
      <c r="P258" s="8" t="n"/>
      <c r="Q258" s="8" t="n"/>
      <c r="R258" s="9" t="n"/>
      <c r="S258" s="9" t="n"/>
      <c r="T258" s="10" t="n"/>
      <c r="U258" s="10" t="n"/>
      <c r="V258" s="9" t="n"/>
      <c r="W258" s="9" t="n"/>
      <c r="X258" s="9" t="n"/>
      <c r="Y258" s="9" t="n"/>
      <c r="Z258" s="11" t="n"/>
      <c r="AA258" s="11" t="n"/>
      <c r="AB258" s="11" t="n"/>
      <c r="AC258" s="11" t="n"/>
      <c r="AD258" s="11" t="n"/>
      <c r="AE258" s="11" t="n"/>
      <c r="AF258" s="9" t="n"/>
      <c r="AG258" s="9" t="n"/>
      <c r="AH258" s="9" t="n"/>
      <c r="AI258" s="9" t="n"/>
      <c r="AJ258" s="8" t="n"/>
      <c r="AK258" s="9" t="n"/>
      <c r="AL258" s="9" t="n"/>
      <c r="AM258" s="9" t="n"/>
      <c r="AN258" s="9" t="n"/>
      <c r="AO258" s="9" t="n"/>
      <c r="AP258" s="9" t="n"/>
      <c r="AQ258" s="9" t="n"/>
      <c r="AR258" s="9" t="n"/>
      <c r="AS258" s="9" t="n"/>
      <c r="AT258" s="8" t="n"/>
      <c r="AU258" s="8" t="n"/>
      <c r="AV258" s="9" t="n"/>
      <c r="AW258" s="8" t="n"/>
      <c r="AX258" s="9" t="n"/>
      <c r="AY258" s="9" t="n"/>
      <c r="AZ258" s="9" t="n"/>
      <c r="BA258" s="9" t="n"/>
      <c r="BB258" s="9" t="n"/>
      <c r="BC258" s="9" t="n"/>
      <c r="BD258" s="9" t="n"/>
      <c r="BE258" s="9" t="n"/>
      <c r="BF258" s="9" t="n"/>
      <c r="BG258" s="9" t="n"/>
      <c r="BH258" s="9" t="n"/>
      <c r="BI258" s="9" t="n"/>
      <c r="BJ258" s="9" t="n"/>
      <c r="BK258" s="9" t="n"/>
      <c r="BL258" s="9" t="n"/>
      <c r="BM258" s="9" t="n"/>
      <c r="BN258" s="9" t="n"/>
      <c r="BO258" s="8" t="n"/>
      <c r="BP258" s="9" t="n"/>
      <c r="BQ258" s="9" t="n"/>
      <c r="BR258" s="12">
        <f>IF(AND(AI258="Y",AK258="Y",AL258="Y",AM258="Y",AY258="Y",AZ258="Y",BA258="Y",BB258="Y",BC258="Y",BE258&lt;&gt;"Y",AX258&lt;&gt;"Y",BL258&lt;&gt;"Y",IF(AS258="Y",AV258="Y",TRUE)),"Y","N")</f>
        <v/>
      </c>
      <c r="BS258" s="12">
        <f>IF(AND(BR258="Y",OR(AND(BJ258="Y",BM258="Y"),AND(BK258="Y",BN258="Y"),AND(BJ258&lt;&gt;"Y",BK258&lt;&gt;"Y",OR(BM258="Y",BN258="Y")))),"Y","N")</f>
        <v/>
      </c>
      <c r="BT258" s="10" t="n"/>
      <c r="BU258" s="13" t="n"/>
      <c r="BV258" s="13" t="n"/>
      <c r="BW258" s="13" t="n"/>
      <c r="BX258" s="13" t="n"/>
      <c r="BY258" s="13" t="n"/>
      <c r="BZ258" s="13" t="n"/>
      <c r="CA258" s="14" t="n"/>
      <c r="CB258" s="13" t="n"/>
      <c r="CC258" s="9" t="n"/>
      <c r="CD258" s="9" t="n"/>
      <c r="CE258" s="9" t="n"/>
      <c r="CF258" s="9" t="n"/>
      <c r="CG258" s="9" t="n"/>
      <c r="CH258" s="9" t="n"/>
    </row>
    <row r="259">
      <c r="A259" s="8" t="n"/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8" t="n"/>
      <c r="L259" s="9" t="n"/>
      <c r="M259" s="8" t="n"/>
      <c r="N259" s="8" t="n"/>
      <c r="O259" s="8" t="n"/>
      <c r="P259" s="8" t="n"/>
      <c r="Q259" s="8" t="n"/>
      <c r="R259" s="9" t="n"/>
      <c r="S259" s="9" t="n"/>
      <c r="T259" s="10" t="n"/>
      <c r="U259" s="10" t="n"/>
      <c r="V259" s="9" t="n"/>
      <c r="W259" s="9" t="n"/>
      <c r="X259" s="9" t="n"/>
      <c r="Y259" s="9" t="n"/>
      <c r="Z259" s="11" t="n"/>
      <c r="AA259" s="11" t="n"/>
      <c r="AB259" s="11" t="n"/>
      <c r="AC259" s="11" t="n"/>
      <c r="AD259" s="11" t="n"/>
      <c r="AE259" s="11" t="n"/>
      <c r="AF259" s="9" t="n"/>
      <c r="AG259" s="9" t="n"/>
      <c r="AH259" s="9" t="n"/>
      <c r="AI259" s="9" t="n"/>
      <c r="AJ259" s="8" t="n"/>
      <c r="AK259" s="9" t="n"/>
      <c r="AL259" s="9" t="n"/>
      <c r="AM259" s="9" t="n"/>
      <c r="AN259" s="9" t="n"/>
      <c r="AO259" s="9" t="n"/>
      <c r="AP259" s="9" t="n"/>
      <c r="AQ259" s="9" t="n"/>
      <c r="AR259" s="9" t="n"/>
      <c r="AS259" s="9" t="n"/>
      <c r="AT259" s="8" t="n"/>
      <c r="AU259" s="8" t="n"/>
      <c r="AV259" s="9" t="n"/>
      <c r="AW259" s="8" t="n"/>
      <c r="AX259" s="9" t="n"/>
      <c r="AY259" s="9" t="n"/>
      <c r="AZ259" s="9" t="n"/>
      <c r="BA259" s="9" t="n"/>
      <c r="BB259" s="9" t="n"/>
      <c r="BC259" s="9" t="n"/>
      <c r="BD259" s="9" t="n"/>
      <c r="BE259" s="9" t="n"/>
      <c r="BF259" s="9" t="n"/>
      <c r="BG259" s="9" t="n"/>
      <c r="BH259" s="9" t="n"/>
      <c r="BI259" s="9" t="n"/>
      <c r="BJ259" s="9" t="n"/>
      <c r="BK259" s="9" t="n"/>
      <c r="BL259" s="9" t="n"/>
      <c r="BM259" s="9" t="n"/>
      <c r="BN259" s="9" t="n"/>
      <c r="BO259" s="8" t="n"/>
      <c r="BP259" s="9" t="n"/>
      <c r="BQ259" s="9" t="n"/>
      <c r="BR259" s="12">
        <f>IF(AND(AI259="Y",AK259="Y",AL259="Y",AM259="Y",AY259="Y",AZ259="Y",BA259="Y",BB259="Y",BC259="Y",BE259&lt;&gt;"Y",AX259&lt;&gt;"Y",BL259&lt;&gt;"Y",IF(AS259="Y",AV259="Y",TRUE)),"Y","N")</f>
        <v/>
      </c>
      <c r="BS259" s="12">
        <f>IF(AND(BR259="Y",OR(AND(BJ259="Y",BM259="Y"),AND(BK259="Y",BN259="Y"),AND(BJ259&lt;&gt;"Y",BK259&lt;&gt;"Y",OR(BM259="Y",BN259="Y")))),"Y","N")</f>
        <v/>
      </c>
      <c r="BT259" s="10" t="n"/>
      <c r="BU259" s="13" t="n"/>
      <c r="BV259" s="13" t="n"/>
      <c r="BW259" s="13" t="n"/>
      <c r="BX259" s="13" t="n"/>
      <c r="BY259" s="13" t="n"/>
      <c r="BZ259" s="13" t="n"/>
      <c r="CA259" s="14" t="n"/>
      <c r="CB259" s="13" t="n"/>
      <c r="CC259" s="9" t="n"/>
      <c r="CD259" s="9" t="n"/>
      <c r="CE259" s="9" t="n"/>
      <c r="CF259" s="9" t="n"/>
      <c r="CG259" s="9" t="n"/>
      <c r="CH259" s="9" t="n"/>
    </row>
    <row r="260">
      <c r="A260" s="8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8" t="n"/>
      <c r="L260" s="9" t="n"/>
      <c r="M260" s="8" t="n"/>
      <c r="N260" s="8" t="n"/>
      <c r="O260" s="8" t="n"/>
      <c r="P260" s="8" t="n"/>
      <c r="Q260" s="8" t="n"/>
      <c r="R260" s="9" t="n"/>
      <c r="S260" s="9" t="n"/>
      <c r="T260" s="10" t="n"/>
      <c r="U260" s="10" t="n"/>
      <c r="V260" s="9" t="n"/>
      <c r="W260" s="9" t="n"/>
      <c r="X260" s="9" t="n"/>
      <c r="Y260" s="9" t="n"/>
      <c r="Z260" s="11" t="n"/>
      <c r="AA260" s="11" t="n"/>
      <c r="AB260" s="11" t="n"/>
      <c r="AC260" s="11" t="n"/>
      <c r="AD260" s="11" t="n"/>
      <c r="AE260" s="11" t="n"/>
      <c r="AF260" s="9" t="n"/>
      <c r="AG260" s="9" t="n"/>
      <c r="AH260" s="9" t="n"/>
      <c r="AI260" s="9" t="n"/>
      <c r="AJ260" s="8" t="n"/>
      <c r="AK260" s="9" t="n"/>
      <c r="AL260" s="9" t="n"/>
      <c r="AM260" s="9" t="n"/>
      <c r="AN260" s="9" t="n"/>
      <c r="AO260" s="9" t="n"/>
      <c r="AP260" s="9" t="n"/>
      <c r="AQ260" s="9" t="n"/>
      <c r="AR260" s="9" t="n"/>
      <c r="AS260" s="9" t="n"/>
      <c r="AT260" s="8" t="n"/>
      <c r="AU260" s="8" t="n"/>
      <c r="AV260" s="9" t="n"/>
      <c r="AW260" s="8" t="n"/>
      <c r="AX260" s="9" t="n"/>
      <c r="AY260" s="9" t="n"/>
      <c r="AZ260" s="9" t="n"/>
      <c r="BA260" s="9" t="n"/>
      <c r="BB260" s="9" t="n"/>
      <c r="BC260" s="9" t="n"/>
      <c r="BD260" s="9" t="n"/>
      <c r="BE260" s="9" t="n"/>
      <c r="BF260" s="9" t="n"/>
      <c r="BG260" s="9" t="n"/>
      <c r="BH260" s="9" t="n"/>
      <c r="BI260" s="9" t="n"/>
      <c r="BJ260" s="9" t="n"/>
      <c r="BK260" s="9" t="n"/>
      <c r="BL260" s="9" t="n"/>
      <c r="BM260" s="9" t="n"/>
      <c r="BN260" s="9" t="n"/>
      <c r="BO260" s="8" t="n"/>
      <c r="BP260" s="9" t="n"/>
      <c r="BQ260" s="9" t="n"/>
      <c r="BR260" s="12">
        <f>IF(AND(AI260="Y",AK260="Y",AL260="Y",AM260="Y",AY260="Y",AZ260="Y",BA260="Y",BB260="Y",BC260="Y",BE260&lt;&gt;"Y",AX260&lt;&gt;"Y",BL260&lt;&gt;"Y",IF(AS260="Y",AV260="Y",TRUE)),"Y","N")</f>
        <v/>
      </c>
      <c r="BS260" s="12">
        <f>IF(AND(BR260="Y",OR(AND(BJ260="Y",BM260="Y"),AND(BK260="Y",BN260="Y"),AND(BJ260&lt;&gt;"Y",BK260&lt;&gt;"Y",OR(BM260="Y",BN260="Y")))),"Y","N")</f>
        <v/>
      </c>
      <c r="BT260" s="10" t="n"/>
      <c r="BU260" s="13" t="n"/>
      <c r="BV260" s="13" t="n"/>
      <c r="BW260" s="13" t="n"/>
      <c r="BX260" s="13" t="n"/>
      <c r="BY260" s="13" t="n"/>
      <c r="BZ260" s="13" t="n"/>
      <c r="CA260" s="14" t="n"/>
      <c r="CB260" s="13" t="n"/>
      <c r="CC260" s="9" t="n"/>
      <c r="CD260" s="9" t="n"/>
      <c r="CE260" s="9" t="n"/>
      <c r="CF260" s="9" t="n"/>
      <c r="CG260" s="9" t="n"/>
      <c r="CH260" s="9" t="n"/>
    </row>
    <row r="261">
      <c r="A261" s="8" t="n"/>
      <c r="B261" s="9" t="n"/>
      <c r="C261" s="9" t="n"/>
      <c r="D261" s="9" t="n"/>
      <c r="E261" s="9" t="n"/>
      <c r="F261" s="9" t="n"/>
      <c r="G261" s="9" t="n"/>
      <c r="H261" s="9" t="n"/>
      <c r="I261" s="9" t="n"/>
      <c r="J261" s="9" t="n"/>
      <c r="K261" s="8" t="n"/>
      <c r="L261" s="9" t="n"/>
      <c r="M261" s="8" t="n"/>
      <c r="N261" s="8" t="n"/>
      <c r="O261" s="8" t="n"/>
      <c r="P261" s="8" t="n"/>
      <c r="Q261" s="8" t="n"/>
      <c r="R261" s="9" t="n"/>
      <c r="S261" s="9" t="n"/>
      <c r="T261" s="10" t="n"/>
      <c r="U261" s="10" t="n"/>
      <c r="V261" s="9" t="n"/>
      <c r="W261" s="9" t="n"/>
      <c r="X261" s="9" t="n"/>
      <c r="Y261" s="9" t="n"/>
      <c r="Z261" s="11" t="n"/>
      <c r="AA261" s="11" t="n"/>
      <c r="AB261" s="11" t="n"/>
      <c r="AC261" s="11" t="n"/>
      <c r="AD261" s="11" t="n"/>
      <c r="AE261" s="11" t="n"/>
      <c r="AF261" s="9" t="n"/>
      <c r="AG261" s="9" t="n"/>
      <c r="AH261" s="9" t="n"/>
      <c r="AI261" s="9" t="n"/>
      <c r="AJ261" s="8" t="n"/>
      <c r="AK261" s="9" t="n"/>
      <c r="AL261" s="9" t="n"/>
      <c r="AM261" s="9" t="n"/>
      <c r="AN261" s="9" t="n"/>
      <c r="AO261" s="9" t="n"/>
      <c r="AP261" s="9" t="n"/>
      <c r="AQ261" s="9" t="n"/>
      <c r="AR261" s="9" t="n"/>
      <c r="AS261" s="9" t="n"/>
      <c r="AT261" s="8" t="n"/>
      <c r="AU261" s="8" t="n"/>
      <c r="AV261" s="9" t="n"/>
      <c r="AW261" s="8" t="n"/>
      <c r="AX261" s="9" t="n"/>
      <c r="AY261" s="9" t="n"/>
      <c r="AZ261" s="9" t="n"/>
      <c r="BA261" s="9" t="n"/>
      <c r="BB261" s="9" t="n"/>
      <c r="BC261" s="9" t="n"/>
      <c r="BD261" s="9" t="n"/>
      <c r="BE261" s="9" t="n"/>
      <c r="BF261" s="9" t="n"/>
      <c r="BG261" s="9" t="n"/>
      <c r="BH261" s="9" t="n"/>
      <c r="BI261" s="9" t="n"/>
      <c r="BJ261" s="9" t="n"/>
      <c r="BK261" s="9" t="n"/>
      <c r="BL261" s="9" t="n"/>
      <c r="BM261" s="9" t="n"/>
      <c r="BN261" s="9" t="n"/>
      <c r="BO261" s="8" t="n"/>
      <c r="BP261" s="9" t="n"/>
      <c r="BQ261" s="9" t="n"/>
      <c r="BR261" s="12">
        <f>IF(AND(AI261="Y",AK261="Y",AL261="Y",AM261="Y",AY261="Y",AZ261="Y",BA261="Y",BB261="Y",BC261="Y",BE261&lt;&gt;"Y",AX261&lt;&gt;"Y",BL261&lt;&gt;"Y",IF(AS261="Y",AV261="Y",TRUE)),"Y","N")</f>
        <v/>
      </c>
      <c r="BS261" s="12">
        <f>IF(AND(BR261="Y",OR(AND(BJ261="Y",BM261="Y"),AND(BK261="Y",BN261="Y"),AND(BJ261&lt;&gt;"Y",BK261&lt;&gt;"Y",OR(BM261="Y",BN261="Y")))),"Y","N")</f>
        <v/>
      </c>
      <c r="BT261" s="10" t="n"/>
      <c r="BU261" s="13" t="n"/>
      <c r="BV261" s="13" t="n"/>
      <c r="BW261" s="13" t="n"/>
      <c r="BX261" s="13" t="n"/>
      <c r="BY261" s="13" t="n"/>
      <c r="BZ261" s="13" t="n"/>
      <c r="CA261" s="14" t="n"/>
      <c r="CB261" s="13" t="n"/>
      <c r="CC261" s="9" t="n"/>
      <c r="CD261" s="9" t="n"/>
      <c r="CE261" s="9" t="n"/>
      <c r="CF261" s="9" t="n"/>
      <c r="CG261" s="9" t="n"/>
      <c r="CH261" s="9" t="n"/>
    </row>
    <row r="262">
      <c r="A262" s="8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8" t="n"/>
      <c r="L262" s="9" t="n"/>
      <c r="M262" s="8" t="n"/>
      <c r="N262" s="8" t="n"/>
      <c r="O262" s="8" t="n"/>
      <c r="P262" s="8" t="n"/>
      <c r="Q262" s="8" t="n"/>
      <c r="R262" s="9" t="n"/>
      <c r="S262" s="9" t="n"/>
      <c r="T262" s="10" t="n"/>
      <c r="U262" s="10" t="n"/>
      <c r="V262" s="9" t="n"/>
      <c r="W262" s="9" t="n"/>
      <c r="X262" s="9" t="n"/>
      <c r="Y262" s="9" t="n"/>
      <c r="Z262" s="11" t="n"/>
      <c r="AA262" s="11" t="n"/>
      <c r="AB262" s="11" t="n"/>
      <c r="AC262" s="11" t="n"/>
      <c r="AD262" s="11" t="n"/>
      <c r="AE262" s="11" t="n"/>
      <c r="AF262" s="9" t="n"/>
      <c r="AG262" s="9" t="n"/>
      <c r="AH262" s="9" t="n"/>
      <c r="AI262" s="9" t="n"/>
      <c r="AJ262" s="8" t="n"/>
      <c r="AK262" s="9" t="n"/>
      <c r="AL262" s="9" t="n"/>
      <c r="AM262" s="9" t="n"/>
      <c r="AN262" s="9" t="n"/>
      <c r="AO262" s="9" t="n"/>
      <c r="AP262" s="9" t="n"/>
      <c r="AQ262" s="9" t="n"/>
      <c r="AR262" s="9" t="n"/>
      <c r="AS262" s="9" t="n"/>
      <c r="AT262" s="8" t="n"/>
      <c r="AU262" s="8" t="n"/>
      <c r="AV262" s="9" t="n"/>
      <c r="AW262" s="8" t="n"/>
      <c r="AX262" s="9" t="n"/>
      <c r="AY262" s="9" t="n"/>
      <c r="AZ262" s="9" t="n"/>
      <c r="BA262" s="9" t="n"/>
      <c r="BB262" s="9" t="n"/>
      <c r="BC262" s="9" t="n"/>
      <c r="BD262" s="9" t="n"/>
      <c r="BE262" s="9" t="n"/>
      <c r="BF262" s="9" t="n"/>
      <c r="BG262" s="9" t="n"/>
      <c r="BH262" s="9" t="n"/>
      <c r="BI262" s="9" t="n"/>
      <c r="BJ262" s="9" t="n"/>
      <c r="BK262" s="9" t="n"/>
      <c r="BL262" s="9" t="n"/>
      <c r="BM262" s="9" t="n"/>
      <c r="BN262" s="9" t="n"/>
      <c r="BO262" s="8" t="n"/>
      <c r="BP262" s="9" t="n"/>
      <c r="BQ262" s="9" t="n"/>
      <c r="BR262" s="12">
        <f>IF(AND(AI262="Y",AK262="Y",AL262="Y",AM262="Y",AY262="Y",AZ262="Y",BA262="Y",BB262="Y",BC262="Y",BE262&lt;&gt;"Y",AX262&lt;&gt;"Y",BL262&lt;&gt;"Y",IF(AS262="Y",AV262="Y",TRUE)),"Y","N")</f>
        <v/>
      </c>
      <c r="BS262" s="12">
        <f>IF(AND(BR262="Y",OR(AND(BJ262="Y",BM262="Y"),AND(BK262="Y",BN262="Y"),AND(BJ262&lt;&gt;"Y",BK262&lt;&gt;"Y",OR(BM262="Y",BN262="Y")))),"Y","N")</f>
        <v/>
      </c>
      <c r="BT262" s="10" t="n"/>
      <c r="BU262" s="13" t="n"/>
      <c r="BV262" s="13" t="n"/>
      <c r="BW262" s="13" t="n"/>
      <c r="BX262" s="13" t="n"/>
      <c r="BY262" s="13" t="n"/>
      <c r="BZ262" s="13" t="n"/>
      <c r="CA262" s="14" t="n"/>
      <c r="CB262" s="13" t="n"/>
      <c r="CC262" s="9" t="n"/>
      <c r="CD262" s="9" t="n"/>
      <c r="CE262" s="9" t="n"/>
      <c r="CF262" s="9" t="n"/>
      <c r="CG262" s="9" t="n"/>
      <c r="CH262" s="9" t="n"/>
    </row>
    <row r="263">
      <c r="A263" s="8" t="n"/>
      <c r="B263" s="9" t="n"/>
      <c r="C263" s="9" t="n"/>
      <c r="D263" s="9" t="n"/>
      <c r="E263" s="9" t="n"/>
      <c r="F263" s="9" t="n"/>
      <c r="G263" s="9" t="n"/>
      <c r="H263" s="9" t="n"/>
      <c r="I263" s="9" t="n"/>
      <c r="J263" s="9" t="n"/>
      <c r="K263" s="8" t="n"/>
      <c r="L263" s="9" t="n"/>
      <c r="M263" s="8" t="n"/>
      <c r="N263" s="8" t="n"/>
      <c r="O263" s="8" t="n"/>
      <c r="P263" s="8" t="n"/>
      <c r="Q263" s="8" t="n"/>
      <c r="R263" s="9" t="n"/>
      <c r="S263" s="9" t="n"/>
      <c r="T263" s="10" t="n"/>
      <c r="U263" s="10" t="n"/>
      <c r="V263" s="9" t="n"/>
      <c r="W263" s="9" t="n"/>
      <c r="X263" s="9" t="n"/>
      <c r="Y263" s="9" t="n"/>
      <c r="Z263" s="11" t="n"/>
      <c r="AA263" s="11" t="n"/>
      <c r="AB263" s="11" t="n"/>
      <c r="AC263" s="11" t="n"/>
      <c r="AD263" s="11" t="n"/>
      <c r="AE263" s="11" t="n"/>
      <c r="AF263" s="9" t="n"/>
      <c r="AG263" s="9" t="n"/>
      <c r="AH263" s="9" t="n"/>
      <c r="AI263" s="9" t="n"/>
      <c r="AJ263" s="8" t="n"/>
      <c r="AK263" s="9" t="n"/>
      <c r="AL263" s="9" t="n"/>
      <c r="AM263" s="9" t="n"/>
      <c r="AN263" s="9" t="n"/>
      <c r="AO263" s="9" t="n"/>
      <c r="AP263" s="9" t="n"/>
      <c r="AQ263" s="9" t="n"/>
      <c r="AR263" s="9" t="n"/>
      <c r="AS263" s="9" t="n"/>
      <c r="AT263" s="8" t="n"/>
      <c r="AU263" s="8" t="n"/>
      <c r="AV263" s="9" t="n"/>
      <c r="AW263" s="8" t="n"/>
      <c r="AX263" s="9" t="n"/>
      <c r="AY263" s="9" t="n"/>
      <c r="AZ263" s="9" t="n"/>
      <c r="BA263" s="9" t="n"/>
      <c r="BB263" s="9" t="n"/>
      <c r="BC263" s="9" t="n"/>
      <c r="BD263" s="9" t="n"/>
      <c r="BE263" s="9" t="n"/>
      <c r="BF263" s="9" t="n"/>
      <c r="BG263" s="9" t="n"/>
      <c r="BH263" s="9" t="n"/>
      <c r="BI263" s="9" t="n"/>
      <c r="BJ263" s="9" t="n"/>
      <c r="BK263" s="9" t="n"/>
      <c r="BL263" s="9" t="n"/>
      <c r="BM263" s="9" t="n"/>
      <c r="BN263" s="9" t="n"/>
      <c r="BO263" s="8" t="n"/>
      <c r="BP263" s="9" t="n"/>
      <c r="BQ263" s="9" t="n"/>
      <c r="BR263" s="12">
        <f>IF(AND(AI263="Y",AK263="Y",AL263="Y",AM263="Y",AY263="Y",AZ263="Y",BA263="Y",BB263="Y",BC263="Y",BE263&lt;&gt;"Y",AX263&lt;&gt;"Y",BL263&lt;&gt;"Y",IF(AS263="Y",AV263="Y",TRUE)),"Y","N")</f>
        <v/>
      </c>
      <c r="BS263" s="12">
        <f>IF(AND(BR263="Y",OR(AND(BJ263="Y",BM263="Y"),AND(BK263="Y",BN263="Y"),AND(BJ263&lt;&gt;"Y",BK263&lt;&gt;"Y",OR(BM263="Y",BN263="Y")))),"Y","N")</f>
        <v/>
      </c>
      <c r="BT263" s="10" t="n"/>
      <c r="BU263" s="13" t="n"/>
      <c r="BV263" s="13" t="n"/>
      <c r="BW263" s="13" t="n"/>
      <c r="BX263" s="13" t="n"/>
      <c r="BY263" s="13" t="n"/>
      <c r="BZ263" s="13" t="n"/>
      <c r="CA263" s="14" t="n"/>
      <c r="CB263" s="13" t="n"/>
      <c r="CC263" s="9" t="n"/>
      <c r="CD263" s="9" t="n"/>
      <c r="CE263" s="9" t="n"/>
      <c r="CF263" s="9" t="n"/>
      <c r="CG263" s="9" t="n"/>
      <c r="CH263" s="9" t="n"/>
    </row>
    <row r="264">
      <c r="A264" s="8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8" t="n"/>
      <c r="L264" s="9" t="n"/>
      <c r="M264" s="8" t="n"/>
      <c r="N264" s="8" t="n"/>
      <c r="O264" s="8" t="n"/>
      <c r="P264" s="8" t="n"/>
      <c r="Q264" s="8" t="n"/>
      <c r="R264" s="9" t="n"/>
      <c r="S264" s="9" t="n"/>
      <c r="T264" s="10" t="n"/>
      <c r="U264" s="10" t="n"/>
      <c r="V264" s="9" t="n"/>
      <c r="W264" s="9" t="n"/>
      <c r="X264" s="9" t="n"/>
      <c r="Y264" s="9" t="n"/>
      <c r="Z264" s="11" t="n"/>
      <c r="AA264" s="11" t="n"/>
      <c r="AB264" s="11" t="n"/>
      <c r="AC264" s="11" t="n"/>
      <c r="AD264" s="11" t="n"/>
      <c r="AE264" s="11" t="n"/>
      <c r="AF264" s="9" t="n"/>
      <c r="AG264" s="9" t="n"/>
      <c r="AH264" s="9" t="n"/>
      <c r="AI264" s="9" t="n"/>
      <c r="AJ264" s="8" t="n"/>
      <c r="AK264" s="9" t="n"/>
      <c r="AL264" s="9" t="n"/>
      <c r="AM264" s="9" t="n"/>
      <c r="AN264" s="9" t="n"/>
      <c r="AO264" s="9" t="n"/>
      <c r="AP264" s="9" t="n"/>
      <c r="AQ264" s="9" t="n"/>
      <c r="AR264" s="9" t="n"/>
      <c r="AS264" s="9" t="n"/>
      <c r="AT264" s="8" t="n"/>
      <c r="AU264" s="8" t="n"/>
      <c r="AV264" s="9" t="n"/>
      <c r="AW264" s="8" t="n"/>
      <c r="AX264" s="9" t="n"/>
      <c r="AY264" s="9" t="n"/>
      <c r="AZ264" s="9" t="n"/>
      <c r="BA264" s="9" t="n"/>
      <c r="BB264" s="9" t="n"/>
      <c r="BC264" s="9" t="n"/>
      <c r="BD264" s="9" t="n"/>
      <c r="BE264" s="9" t="n"/>
      <c r="BF264" s="9" t="n"/>
      <c r="BG264" s="9" t="n"/>
      <c r="BH264" s="9" t="n"/>
      <c r="BI264" s="9" t="n"/>
      <c r="BJ264" s="9" t="n"/>
      <c r="BK264" s="9" t="n"/>
      <c r="BL264" s="9" t="n"/>
      <c r="BM264" s="9" t="n"/>
      <c r="BN264" s="9" t="n"/>
      <c r="BO264" s="8" t="n"/>
      <c r="BP264" s="9" t="n"/>
      <c r="BQ264" s="9" t="n"/>
      <c r="BR264" s="12">
        <f>IF(AND(AI264="Y",AK264="Y",AL264="Y",AM264="Y",AY264="Y",AZ264="Y",BA264="Y",BB264="Y",BC264="Y",BE264&lt;&gt;"Y",AX264&lt;&gt;"Y",BL264&lt;&gt;"Y",IF(AS264="Y",AV264="Y",TRUE)),"Y","N")</f>
        <v/>
      </c>
      <c r="BS264" s="12">
        <f>IF(AND(BR264="Y",OR(AND(BJ264="Y",BM264="Y"),AND(BK264="Y",BN264="Y"),AND(BJ264&lt;&gt;"Y",BK264&lt;&gt;"Y",OR(BM264="Y",BN264="Y")))),"Y","N")</f>
        <v/>
      </c>
      <c r="BT264" s="10" t="n"/>
      <c r="BU264" s="13" t="n"/>
      <c r="BV264" s="13" t="n"/>
      <c r="BW264" s="13" t="n"/>
      <c r="BX264" s="13" t="n"/>
      <c r="BY264" s="13" t="n"/>
      <c r="BZ264" s="13" t="n"/>
      <c r="CA264" s="14" t="n"/>
      <c r="CB264" s="13" t="n"/>
      <c r="CC264" s="9" t="n"/>
      <c r="CD264" s="9" t="n"/>
      <c r="CE264" s="9" t="n"/>
      <c r="CF264" s="9" t="n"/>
      <c r="CG264" s="9" t="n"/>
      <c r="CH264" s="9" t="n"/>
    </row>
    <row r="265">
      <c r="A265" s="8" t="n"/>
      <c r="B265" s="9" t="n"/>
      <c r="C265" s="9" t="n"/>
      <c r="D265" s="9" t="n"/>
      <c r="E265" s="9" t="n"/>
      <c r="F265" s="9" t="n"/>
      <c r="G265" s="9" t="n"/>
      <c r="H265" s="9" t="n"/>
      <c r="I265" s="9" t="n"/>
      <c r="J265" s="9" t="n"/>
      <c r="K265" s="8" t="n"/>
      <c r="L265" s="9" t="n"/>
      <c r="M265" s="8" t="n"/>
      <c r="N265" s="8" t="n"/>
      <c r="O265" s="8" t="n"/>
      <c r="P265" s="8" t="n"/>
      <c r="Q265" s="8" t="n"/>
      <c r="R265" s="9" t="n"/>
      <c r="S265" s="9" t="n"/>
      <c r="T265" s="10" t="n"/>
      <c r="U265" s="10" t="n"/>
      <c r="V265" s="9" t="n"/>
      <c r="W265" s="9" t="n"/>
      <c r="X265" s="9" t="n"/>
      <c r="Y265" s="9" t="n"/>
      <c r="Z265" s="11" t="n"/>
      <c r="AA265" s="11" t="n"/>
      <c r="AB265" s="11" t="n"/>
      <c r="AC265" s="11" t="n"/>
      <c r="AD265" s="11" t="n"/>
      <c r="AE265" s="11" t="n"/>
      <c r="AF265" s="9" t="n"/>
      <c r="AG265" s="9" t="n"/>
      <c r="AH265" s="9" t="n"/>
      <c r="AI265" s="9" t="n"/>
      <c r="AJ265" s="8" t="n"/>
      <c r="AK265" s="9" t="n"/>
      <c r="AL265" s="9" t="n"/>
      <c r="AM265" s="9" t="n"/>
      <c r="AN265" s="9" t="n"/>
      <c r="AO265" s="9" t="n"/>
      <c r="AP265" s="9" t="n"/>
      <c r="AQ265" s="9" t="n"/>
      <c r="AR265" s="9" t="n"/>
      <c r="AS265" s="9" t="n"/>
      <c r="AT265" s="8" t="n"/>
      <c r="AU265" s="8" t="n"/>
      <c r="AV265" s="9" t="n"/>
      <c r="AW265" s="8" t="n"/>
      <c r="AX265" s="9" t="n"/>
      <c r="AY265" s="9" t="n"/>
      <c r="AZ265" s="9" t="n"/>
      <c r="BA265" s="9" t="n"/>
      <c r="BB265" s="9" t="n"/>
      <c r="BC265" s="9" t="n"/>
      <c r="BD265" s="9" t="n"/>
      <c r="BE265" s="9" t="n"/>
      <c r="BF265" s="9" t="n"/>
      <c r="BG265" s="9" t="n"/>
      <c r="BH265" s="9" t="n"/>
      <c r="BI265" s="9" t="n"/>
      <c r="BJ265" s="9" t="n"/>
      <c r="BK265" s="9" t="n"/>
      <c r="BL265" s="9" t="n"/>
      <c r="BM265" s="9" t="n"/>
      <c r="BN265" s="9" t="n"/>
      <c r="BO265" s="8" t="n"/>
      <c r="BP265" s="9" t="n"/>
      <c r="BQ265" s="9" t="n"/>
      <c r="BR265" s="12">
        <f>IF(AND(AI265="Y",AK265="Y",AL265="Y",AM265="Y",AY265="Y",AZ265="Y",BA265="Y",BB265="Y",BC265="Y",BE265&lt;&gt;"Y",AX265&lt;&gt;"Y",BL265&lt;&gt;"Y",IF(AS265="Y",AV265="Y",TRUE)),"Y","N")</f>
        <v/>
      </c>
      <c r="BS265" s="12">
        <f>IF(AND(BR265="Y",OR(AND(BJ265="Y",BM265="Y"),AND(BK265="Y",BN265="Y"),AND(BJ265&lt;&gt;"Y",BK265&lt;&gt;"Y",OR(BM265="Y",BN265="Y")))),"Y","N")</f>
        <v/>
      </c>
      <c r="BT265" s="10" t="n"/>
      <c r="BU265" s="13" t="n"/>
      <c r="BV265" s="13" t="n"/>
      <c r="BW265" s="13" t="n"/>
      <c r="BX265" s="13" t="n"/>
      <c r="BY265" s="13" t="n"/>
      <c r="BZ265" s="13" t="n"/>
      <c r="CA265" s="14" t="n"/>
      <c r="CB265" s="13" t="n"/>
      <c r="CC265" s="9" t="n"/>
      <c r="CD265" s="9" t="n"/>
      <c r="CE265" s="9" t="n"/>
      <c r="CF265" s="9" t="n"/>
      <c r="CG265" s="9" t="n"/>
      <c r="CH265" s="9" t="n"/>
    </row>
    <row r="266">
      <c r="A266" s="8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8" t="n"/>
      <c r="L266" s="9" t="n"/>
      <c r="M266" s="8" t="n"/>
      <c r="N266" s="8" t="n"/>
      <c r="O266" s="8" t="n"/>
      <c r="P266" s="8" t="n"/>
      <c r="Q266" s="8" t="n"/>
      <c r="R266" s="9" t="n"/>
      <c r="S266" s="9" t="n"/>
      <c r="T266" s="10" t="n"/>
      <c r="U266" s="10" t="n"/>
      <c r="V266" s="9" t="n"/>
      <c r="W266" s="9" t="n"/>
      <c r="X266" s="9" t="n"/>
      <c r="Y266" s="9" t="n"/>
      <c r="Z266" s="11" t="n"/>
      <c r="AA266" s="11" t="n"/>
      <c r="AB266" s="11" t="n"/>
      <c r="AC266" s="11" t="n"/>
      <c r="AD266" s="11" t="n"/>
      <c r="AE266" s="11" t="n"/>
      <c r="AF266" s="9" t="n"/>
      <c r="AG266" s="9" t="n"/>
      <c r="AH266" s="9" t="n"/>
      <c r="AI266" s="9" t="n"/>
      <c r="AJ266" s="8" t="n"/>
      <c r="AK266" s="9" t="n"/>
      <c r="AL266" s="9" t="n"/>
      <c r="AM266" s="9" t="n"/>
      <c r="AN266" s="9" t="n"/>
      <c r="AO266" s="9" t="n"/>
      <c r="AP266" s="9" t="n"/>
      <c r="AQ266" s="9" t="n"/>
      <c r="AR266" s="9" t="n"/>
      <c r="AS266" s="9" t="n"/>
      <c r="AT266" s="8" t="n"/>
      <c r="AU266" s="8" t="n"/>
      <c r="AV266" s="9" t="n"/>
      <c r="AW266" s="8" t="n"/>
      <c r="AX266" s="9" t="n"/>
      <c r="AY266" s="9" t="n"/>
      <c r="AZ266" s="9" t="n"/>
      <c r="BA266" s="9" t="n"/>
      <c r="BB266" s="9" t="n"/>
      <c r="BC266" s="9" t="n"/>
      <c r="BD266" s="9" t="n"/>
      <c r="BE266" s="9" t="n"/>
      <c r="BF266" s="9" t="n"/>
      <c r="BG266" s="9" t="n"/>
      <c r="BH266" s="9" t="n"/>
      <c r="BI266" s="9" t="n"/>
      <c r="BJ266" s="9" t="n"/>
      <c r="BK266" s="9" t="n"/>
      <c r="BL266" s="9" t="n"/>
      <c r="BM266" s="9" t="n"/>
      <c r="BN266" s="9" t="n"/>
      <c r="BO266" s="8" t="n"/>
      <c r="BP266" s="9" t="n"/>
      <c r="BQ266" s="9" t="n"/>
      <c r="BR266" s="12">
        <f>IF(AND(AI266="Y",AK266="Y",AL266="Y",AM266="Y",AY266="Y",AZ266="Y",BA266="Y",BB266="Y",BC266="Y",BE266&lt;&gt;"Y",AX266&lt;&gt;"Y",BL266&lt;&gt;"Y",IF(AS266="Y",AV266="Y",TRUE)),"Y","N")</f>
        <v/>
      </c>
      <c r="BS266" s="12">
        <f>IF(AND(BR266="Y",OR(AND(BJ266="Y",BM266="Y"),AND(BK266="Y",BN266="Y"),AND(BJ266&lt;&gt;"Y",BK266&lt;&gt;"Y",OR(BM266="Y",BN266="Y")))),"Y","N")</f>
        <v/>
      </c>
      <c r="BT266" s="10" t="n"/>
      <c r="BU266" s="13" t="n"/>
      <c r="BV266" s="13" t="n"/>
      <c r="BW266" s="13" t="n"/>
      <c r="BX266" s="13" t="n"/>
      <c r="BY266" s="13" t="n"/>
      <c r="BZ266" s="13" t="n"/>
      <c r="CA266" s="14" t="n"/>
      <c r="CB266" s="13" t="n"/>
      <c r="CC266" s="9" t="n"/>
      <c r="CD266" s="9" t="n"/>
      <c r="CE266" s="9" t="n"/>
      <c r="CF266" s="9" t="n"/>
      <c r="CG266" s="9" t="n"/>
      <c r="CH266" s="9" t="n"/>
    </row>
    <row r="267">
      <c r="A267" s="8" t="n"/>
      <c r="B267" s="9" t="n"/>
      <c r="C267" s="9" t="n"/>
      <c r="D267" s="9" t="n"/>
      <c r="E267" s="9" t="n"/>
      <c r="F267" s="9" t="n"/>
      <c r="G267" s="9" t="n"/>
      <c r="H267" s="9" t="n"/>
      <c r="I267" s="9" t="n"/>
      <c r="J267" s="9" t="n"/>
      <c r="K267" s="8" t="n"/>
      <c r="L267" s="9" t="n"/>
      <c r="M267" s="8" t="n"/>
      <c r="N267" s="8" t="n"/>
      <c r="O267" s="8" t="n"/>
      <c r="P267" s="8" t="n"/>
      <c r="Q267" s="8" t="n"/>
      <c r="R267" s="9" t="n"/>
      <c r="S267" s="9" t="n"/>
      <c r="T267" s="10" t="n"/>
      <c r="U267" s="10" t="n"/>
      <c r="V267" s="9" t="n"/>
      <c r="W267" s="9" t="n"/>
      <c r="X267" s="9" t="n"/>
      <c r="Y267" s="9" t="n"/>
      <c r="Z267" s="11" t="n"/>
      <c r="AA267" s="11" t="n"/>
      <c r="AB267" s="11" t="n"/>
      <c r="AC267" s="11" t="n"/>
      <c r="AD267" s="11" t="n"/>
      <c r="AE267" s="11" t="n"/>
      <c r="AF267" s="9" t="n"/>
      <c r="AG267" s="9" t="n"/>
      <c r="AH267" s="9" t="n"/>
      <c r="AI267" s="9" t="n"/>
      <c r="AJ267" s="8" t="n"/>
      <c r="AK267" s="9" t="n"/>
      <c r="AL267" s="9" t="n"/>
      <c r="AM267" s="9" t="n"/>
      <c r="AN267" s="9" t="n"/>
      <c r="AO267" s="9" t="n"/>
      <c r="AP267" s="9" t="n"/>
      <c r="AQ267" s="9" t="n"/>
      <c r="AR267" s="9" t="n"/>
      <c r="AS267" s="9" t="n"/>
      <c r="AT267" s="8" t="n"/>
      <c r="AU267" s="8" t="n"/>
      <c r="AV267" s="9" t="n"/>
      <c r="AW267" s="8" t="n"/>
      <c r="AX267" s="9" t="n"/>
      <c r="AY267" s="9" t="n"/>
      <c r="AZ267" s="9" t="n"/>
      <c r="BA267" s="9" t="n"/>
      <c r="BB267" s="9" t="n"/>
      <c r="BC267" s="9" t="n"/>
      <c r="BD267" s="9" t="n"/>
      <c r="BE267" s="9" t="n"/>
      <c r="BF267" s="9" t="n"/>
      <c r="BG267" s="9" t="n"/>
      <c r="BH267" s="9" t="n"/>
      <c r="BI267" s="9" t="n"/>
      <c r="BJ267" s="9" t="n"/>
      <c r="BK267" s="9" t="n"/>
      <c r="BL267" s="9" t="n"/>
      <c r="BM267" s="9" t="n"/>
      <c r="BN267" s="9" t="n"/>
      <c r="BO267" s="8" t="n"/>
      <c r="BP267" s="9" t="n"/>
      <c r="BQ267" s="9" t="n"/>
      <c r="BR267" s="12">
        <f>IF(AND(AI267="Y",AK267="Y",AL267="Y",AM267="Y",AY267="Y",AZ267="Y",BA267="Y",BB267="Y",BC267="Y",BE267&lt;&gt;"Y",AX267&lt;&gt;"Y",BL267&lt;&gt;"Y",IF(AS267="Y",AV267="Y",TRUE)),"Y","N")</f>
        <v/>
      </c>
      <c r="BS267" s="12">
        <f>IF(AND(BR267="Y",OR(AND(BJ267="Y",BM267="Y"),AND(BK267="Y",BN267="Y"),AND(BJ267&lt;&gt;"Y",BK267&lt;&gt;"Y",OR(BM267="Y",BN267="Y")))),"Y","N")</f>
        <v/>
      </c>
      <c r="BT267" s="10" t="n"/>
      <c r="BU267" s="13" t="n"/>
      <c r="BV267" s="13" t="n"/>
      <c r="BW267" s="13" t="n"/>
      <c r="BX267" s="13" t="n"/>
      <c r="BY267" s="13" t="n"/>
      <c r="BZ267" s="13" t="n"/>
      <c r="CA267" s="14" t="n"/>
      <c r="CB267" s="13" t="n"/>
      <c r="CC267" s="9" t="n"/>
      <c r="CD267" s="9" t="n"/>
      <c r="CE267" s="9" t="n"/>
      <c r="CF267" s="9" t="n"/>
      <c r="CG267" s="9" t="n"/>
      <c r="CH267" s="9" t="n"/>
    </row>
    <row r="268">
      <c r="A268" s="8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8" t="n"/>
      <c r="L268" s="9" t="n"/>
      <c r="M268" s="8" t="n"/>
      <c r="N268" s="8" t="n"/>
      <c r="O268" s="8" t="n"/>
      <c r="P268" s="8" t="n"/>
      <c r="Q268" s="8" t="n"/>
      <c r="R268" s="9" t="n"/>
      <c r="S268" s="9" t="n"/>
      <c r="T268" s="10" t="n"/>
      <c r="U268" s="10" t="n"/>
      <c r="V268" s="9" t="n"/>
      <c r="W268" s="9" t="n"/>
      <c r="X268" s="9" t="n"/>
      <c r="Y268" s="9" t="n"/>
      <c r="Z268" s="11" t="n"/>
      <c r="AA268" s="11" t="n"/>
      <c r="AB268" s="11" t="n"/>
      <c r="AC268" s="11" t="n"/>
      <c r="AD268" s="11" t="n"/>
      <c r="AE268" s="11" t="n"/>
      <c r="AF268" s="9" t="n"/>
      <c r="AG268" s="9" t="n"/>
      <c r="AH268" s="9" t="n"/>
      <c r="AI268" s="9" t="n"/>
      <c r="AJ268" s="8" t="n"/>
      <c r="AK268" s="9" t="n"/>
      <c r="AL268" s="9" t="n"/>
      <c r="AM268" s="9" t="n"/>
      <c r="AN268" s="9" t="n"/>
      <c r="AO268" s="9" t="n"/>
      <c r="AP268" s="9" t="n"/>
      <c r="AQ268" s="9" t="n"/>
      <c r="AR268" s="9" t="n"/>
      <c r="AS268" s="9" t="n"/>
      <c r="AT268" s="8" t="n"/>
      <c r="AU268" s="8" t="n"/>
      <c r="AV268" s="9" t="n"/>
      <c r="AW268" s="8" t="n"/>
      <c r="AX268" s="9" t="n"/>
      <c r="AY268" s="9" t="n"/>
      <c r="AZ268" s="9" t="n"/>
      <c r="BA268" s="9" t="n"/>
      <c r="BB268" s="9" t="n"/>
      <c r="BC268" s="9" t="n"/>
      <c r="BD268" s="9" t="n"/>
      <c r="BE268" s="9" t="n"/>
      <c r="BF268" s="9" t="n"/>
      <c r="BG268" s="9" t="n"/>
      <c r="BH268" s="9" t="n"/>
      <c r="BI268" s="9" t="n"/>
      <c r="BJ268" s="9" t="n"/>
      <c r="BK268" s="9" t="n"/>
      <c r="BL268" s="9" t="n"/>
      <c r="BM268" s="9" t="n"/>
      <c r="BN268" s="9" t="n"/>
      <c r="BO268" s="8" t="n"/>
      <c r="BP268" s="9" t="n"/>
      <c r="BQ268" s="9" t="n"/>
      <c r="BR268" s="12">
        <f>IF(AND(AI268="Y",AK268="Y",AL268="Y",AM268="Y",AY268="Y",AZ268="Y",BA268="Y",BB268="Y",BC268="Y",BE268&lt;&gt;"Y",AX268&lt;&gt;"Y",BL268&lt;&gt;"Y",IF(AS268="Y",AV268="Y",TRUE)),"Y","N")</f>
        <v/>
      </c>
      <c r="BS268" s="12">
        <f>IF(AND(BR268="Y",OR(AND(BJ268="Y",BM268="Y"),AND(BK268="Y",BN268="Y"),AND(BJ268&lt;&gt;"Y",BK268&lt;&gt;"Y",OR(BM268="Y",BN268="Y")))),"Y","N")</f>
        <v/>
      </c>
      <c r="BT268" s="10" t="n"/>
      <c r="BU268" s="13" t="n"/>
      <c r="BV268" s="13" t="n"/>
      <c r="BW268" s="13" t="n"/>
      <c r="BX268" s="13" t="n"/>
      <c r="BY268" s="13" t="n"/>
      <c r="BZ268" s="13" t="n"/>
      <c r="CA268" s="14" t="n"/>
      <c r="CB268" s="13" t="n"/>
      <c r="CC268" s="9" t="n"/>
      <c r="CD268" s="9" t="n"/>
      <c r="CE268" s="9" t="n"/>
      <c r="CF268" s="9" t="n"/>
      <c r="CG268" s="9" t="n"/>
      <c r="CH268" s="9" t="n"/>
    </row>
    <row r="269">
      <c r="A269" s="8" t="n"/>
      <c r="B269" s="9" t="n"/>
      <c r="C269" s="9" t="n"/>
      <c r="D269" s="9" t="n"/>
      <c r="E269" s="9" t="n"/>
      <c r="F269" s="9" t="n"/>
      <c r="G269" s="9" t="n"/>
      <c r="H269" s="9" t="n"/>
      <c r="I269" s="9" t="n"/>
      <c r="J269" s="9" t="n"/>
      <c r="K269" s="8" t="n"/>
      <c r="L269" s="9" t="n"/>
      <c r="M269" s="8" t="n"/>
      <c r="N269" s="8" t="n"/>
      <c r="O269" s="8" t="n"/>
      <c r="P269" s="8" t="n"/>
      <c r="Q269" s="8" t="n"/>
      <c r="R269" s="9" t="n"/>
      <c r="S269" s="9" t="n"/>
      <c r="T269" s="10" t="n"/>
      <c r="U269" s="10" t="n"/>
      <c r="V269" s="9" t="n"/>
      <c r="W269" s="9" t="n"/>
      <c r="X269" s="9" t="n"/>
      <c r="Y269" s="9" t="n"/>
      <c r="Z269" s="11" t="n"/>
      <c r="AA269" s="11" t="n"/>
      <c r="AB269" s="11" t="n"/>
      <c r="AC269" s="11" t="n"/>
      <c r="AD269" s="11" t="n"/>
      <c r="AE269" s="11" t="n"/>
      <c r="AF269" s="9" t="n"/>
      <c r="AG269" s="9" t="n"/>
      <c r="AH269" s="9" t="n"/>
      <c r="AI269" s="9" t="n"/>
      <c r="AJ269" s="8" t="n"/>
      <c r="AK269" s="9" t="n"/>
      <c r="AL269" s="9" t="n"/>
      <c r="AM269" s="9" t="n"/>
      <c r="AN269" s="9" t="n"/>
      <c r="AO269" s="9" t="n"/>
      <c r="AP269" s="9" t="n"/>
      <c r="AQ269" s="9" t="n"/>
      <c r="AR269" s="9" t="n"/>
      <c r="AS269" s="9" t="n"/>
      <c r="AT269" s="8" t="n"/>
      <c r="AU269" s="8" t="n"/>
      <c r="AV269" s="9" t="n"/>
      <c r="AW269" s="8" t="n"/>
      <c r="AX269" s="9" t="n"/>
      <c r="AY269" s="9" t="n"/>
      <c r="AZ269" s="9" t="n"/>
      <c r="BA269" s="9" t="n"/>
      <c r="BB269" s="9" t="n"/>
      <c r="BC269" s="9" t="n"/>
      <c r="BD269" s="9" t="n"/>
      <c r="BE269" s="9" t="n"/>
      <c r="BF269" s="9" t="n"/>
      <c r="BG269" s="9" t="n"/>
      <c r="BH269" s="9" t="n"/>
      <c r="BI269" s="9" t="n"/>
      <c r="BJ269" s="9" t="n"/>
      <c r="BK269" s="9" t="n"/>
      <c r="BL269" s="9" t="n"/>
      <c r="BM269" s="9" t="n"/>
      <c r="BN269" s="9" t="n"/>
      <c r="BO269" s="8" t="n"/>
      <c r="BP269" s="9" t="n"/>
      <c r="BQ269" s="9" t="n"/>
      <c r="BR269" s="12">
        <f>IF(AND(AI269="Y",AK269="Y",AL269="Y",AM269="Y",AY269="Y",AZ269="Y",BA269="Y",BB269="Y",BC269="Y",BE269&lt;&gt;"Y",AX269&lt;&gt;"Y",BL269&lt;&gt;"Y",IF(AS269="Y",AV269="Y",TRUE)),"Y","N")</f>
        <v/>
      </c>
      <c r="BS269" s="12">
        <f>IF(AND(BR269="Y",OR(AND(BJ269="Y",BM269="Y"),AND(BK269="Y",BN269="Y"),AND(BJ269&lt;&gt;"Y",BK269&lt;&gt;"Y",OR(BM269="Y",BN269="Y")))),"Y","N")</f>
        <v/>
      </c>
      <c r="BT269" s="10" t="n"/>
      <c r="BU269" s="13" t="n"/>
      <c r="BV269" s="13" t="n"/>
      <c r="BW269" s="13" t="n"/>
      <c r="BX269" s="13" t="n"/>
      <c r="BY269" s="13" t="n"/>
      <c r="BZ269" s="13" t="n"/>
      <c r="CA269" s="14" t="n"/>
      <c r="CB269" s="13" t="n"/>
      <c r="CC269" s="9" t="n"/>
      <c r="CD269" s="9" t="n"/>
      <c r="CE269" s="9" t="n"/>
      <c r="CF269" s="9" t="n"/>
      <c r="CG269" s="9" t="n"/>
      <c r="CH269" s="9" t="n"/>
    </row>
    <row r="270">
      <c r="A270" s="8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8" t="n"/>
      <c r="L270" s="9" t="n"/>
      <c r="M270" s="8" t="n"/>
      <c r="N270" s="8" t="n"/>
      <c r="O270" s="8" t="n"/>
      <c r="P270" s="8" t="n"/>
      <c r="Q270" s="8" t="n"/>
      <c r="R270" s="9" t="n"/>
      <c r="S270" s="9" t="n"/>
      <c r="T270" s="10" t="n"/>
      <c r="U270" s="10" t="n"/>
      <c r="V270" s="9" t="n"/>
      <c r="W270" s="9" t="n"/>
      <c r="X270" s="9" t="n"/>
      <c r="Y270" s="9" t="n"/>
      <c r="Z270" s="11" t="n"/>
      <c r="AA270" s="11" t="n"/>
      <c r="AB270" s="11" t="n"/>
      <c r="AC270" s="11" t="n"/>
      <c r="AD270" s="11" t="n"/>
      <c r="AE270" s="11" t="n"/>
      <c r="AF270" s="9" t="n"/>
      <c r="AG270" s="9" t="n"/>
      <c r="AH270" s="9" t="n"/>
      <c r="AI270" s="9" t="n"/>
      <c r="AJ270" s="8" t="n"/>
      <c r="AK270" s="9" t="n"/>
      <c r="AL270" s="9" t="n"/>
      <c r="AM270" s="9" t="n"/>
      <c r="AN270" s="9" t="n"/>
      <c r="AO270" s="9" t="n"/>
      <c r="AP270" s="9" t="n"/>
      <c r="AQ270" s="9" t="n"/>
      <c r="AR270" s="9" t="n"/>
      <c r="AS270" s="9" t="n"/>
      <c r="AT270" s="8" t="n"/>
      <c r="AU270" s="8" t="n"/>
      <c r="AV270" s="9" t="n"/>
      <c r="AW270" s="8" t="n"/>
      <c r="AX270" s="9" t="n"/>
      <c r="AY270" s="9" t="n"/>
      <c r="AZ270" s="9" t="n"/>
      <c r="BA270" s="9" t="n"/>
      <c r="BB270" s="9" t="n"/>
      <c r="BC270" s="9" t="n"/>
      <c r="BD270" s="9" t="n"/>
      <c r="BE270" s="9" t="n"/>
      <c r="BF270" s="9" t="n"/>
      <c r="BG270" s="9" t="n"/>
      <c r="BH270" s="9" t="n"/>
      <c r="BI270" s="9" t="n"/>
      <c r="BJ270" s="9" t="n"/>
      <c r="BK270" s="9" t="n"/>
      <c r="BL270" s="9" t="n"/>
      <c r="BM270" s="9" t="n"/>
      <c r="BN270" s="9" t="n"/>
      <c r="BO270" s="8" t="n"/>
      <c r="BP270" s="9" t="n"/>
      <c r="BQ270" s="9" t="n"/>
      <c r="BR270" s="12">
        <f>IF(AND(AI270="Y",AK270="Y",AL270="Y",AM270="Y",AY270="Y",AZ270="Y",BA270="Y",BB270="Y",BC270="Y",BE270&lt;&gt;"Y",AX270&lt;&gt;"Y",BL270&lt;&gt;"Y",IF(AS270="Y",AV270="Y",TRUE)),"Y","N")</f>
        <v/>
      </c>
      <c r="BS270" s="12">
        <f>IF(AND(BR270="Y",OR(AND(BJ270="Y",BM270="Y"),AND(BK270="Y",BN270="Y"),AND(BJ270&lt;&gt;"Y",BK270&lt;&gt;"Y",OR(BM270="Y",BN270="Y")))),"Y","N")</f>
        <v/>
      </c>
      <c r="BT270" s="10" t="n"/>
      <c r="BU270" s="13" t="n"/>
      <c r="BV270" s="13" t="n"/>
      <c r="BW270" s="13" t="n"/>
      <c r="BX270" s="13" t="n"/>
      <c r="BY270" s="13" t="n"/>
      <c r="BZ270" s="13" t="n"/>
      <c r="CA270" s="14" t="n"/>
      <c r="CB270" s="13" t="n"/>
      <c r="CC270" s="9" t="n"/>
      <c r="CD270" s="9" t="n"/>
      <c r="CE270" s="9" t="n"/>
      <c r="CF270" s="9" t="n"/>
      <c r="CG270" s="9" t="n"/>
      <c r="CH270" s="9" t="n"/>
    </row>
    <row r="271">
      <c r="A271" s="8" t="n"/>
      <c r="B271" s="9" t="n"/>
      <c r="C271" s="9" t="n"/>
      <c r="D271" s="9" t="n"/>
      <c r="E271" s="9" t="n"/>
      <c r="F271" s="9" t="n"/>
      <c r="G271" s="9" t="n"/>
      <c r="H271" s="9" t="n"/>
      <c r="I271" s="9" t="n"/>
      <c r="J271" s="9" t="n"/>
      <c r="K271" s="8" t="n"/>
      <c r="L271" s="9" t="n"/>
      <c r="M271" s="8" t="n"/>
      <c r="N271" s="8" t="n"/>
      <c r="O271" s="8" t="n"/>
      <c r="P271" s="8" t="n"/>
      <c r="Q271" s="8" t="n"/>
      <c r="R271" s="9" t="n"/>
      <c r="S271" s="9" t="n"/>
      <c r="T271" s="10" t="n"/>
      <c r="U271" s="10" t="n"/>
      <c r="V271" s="9" t="n"/>
      <c r="W271" s="9" t="n"/>
      <c r="X271" s="9" t="n"/>
      <c r="Y271" s="9" t="n"/>
      <c r="Z271" s="11" t="n"/>
      <c r="AA271" s="11" t="n"/>
      <c r="AB271" s="11" t="n"/>
      <c r="AC271" s="11" t="n"/>
      <c r="AD271" s="11" t="n"/>
      <c r="AE271" s="11" t="n"/>
      <c r="AF271" s="9" t="n"/>
      <c r="AG271" s="9" t="n"/>
      <c r="AH271" s="9" t="n"/>
      <c r="AI271" s="9" t="n"/>
      <c r="AJ271" s="8" t="n"/>
      <c r="AK271" s="9" t="n"/>
      <c r="AL271" s="9" t="n"/>
      <c r="AM271" s="9" t="n"/>
      <c r="AN271" s="9" t="n"/>
      <c r="AO271" s="9" t="n"/>
      <c r="AP271" s="9" t="n"/>
      <c r="AQ271" s="9" t="n"/>
      <c r="AR271" s="9" t="n"/>
      <c r="AS271" s="9" t="n"/>
      <c r="AT271" s="8" t="n"/>
      <c r="AU271" s="8" t="n"/>
      <c r="AV271" s="9" t="n"/>
      <c r="AW271" s="8" t="n"/>
      <c r="AX271" s="9" t="n"/>
      <c r="AY271" s="9" t="n"/>
      <c r="AZ271" s="9" t="n"/>
      <c r="BA271" s="9" t="n"/>
      <c r="BB271" s="9" t="n"/>
      <c r="BC271" s="9" t="n"/>
      <c r="BD271" s="9" t="n"/>
      <c r="BE271" s="9" t="n"/>
      <c r="BF271" s="9" t="n"/>
      <c r="BG271" s="9" t="n"/>
      <c r="BH271" s="9" t="n"/>
      <c r="BI271" s="9" t="n"/>
      <c r="BJ271" s="9" t="n"/>
      <c r="BK271" s="9" t="n"/>
      <c r="BL271" s="9" t="n"/>
      <c r="BM271" s="9" t="n"/>
      <c r="BN271" s="9" t="n"/>
      <c r="BO271" s="8" t="n"/>
      <c r="BP271" s="9" t="n"/>
      <c r="BQ271" s="9" t="n"/>
      <c r="BR271" s="12">
        <f>IF(AND(AI271="Y",AK271="Y",AL271="Y",AM271="Y",AY271="Y",AZ271="Y",BA271="Y",BB271="Y",BC271="Y",BE271&lt;&gt;"Y",AX271&lt;&gt;"Y",BL271&lt;&gt;"Y",IF(AS271="Y",AV271="Y",TRUE)),"Y","N")</f>
        <v/>
      </c>
      <c r="BS271" s="12">
        <f>IF(AND(BR271="Y",OR(AND(BJ271="Y",BM271="Y"),AND(BK271="Y",BN271="Y"),AND(BJ271&lt;&gt;"Y",BK271&lt;&gt;"Y",OR(BM271="Y",BN271="Y")))),"Y","N")</f>
        <v/>
      </c>
      <c r="BT271" s="10" t="n"/>
      <c r="BU271" s="13" t="n"/>
      <c r="BV271" s="13" t="n"/>
      <c r="BW271" s="13" t="n"/>
      <c r="BX271" s="13" t="n"/>
      <c r="BY271" s="13" t="n"/>
      <c r="BZ271" s="13" t="n"/>
      <c r="CA271" s="14" t="n"/>
      <c r="CB271" s="13" t="n"/>
      <c r="CC271" s="9" t="n"/>
      <c r="CD271" s="9" t="n"/>
      <c r="CE271" s="9" t="n"/>
      <c r="CF271" s="9" t="n"/>
      <c r="CG271" s="9" t="n"/>
      <c r="CH271" s="9" t="n"/>
    </row>
    <row r="272">
      <c r="A272" s="8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8" t="n"/>
      <c r="L272" s="9" t="n"/>
      <c r="M272" s="8" t="n"/>
      <c r="N272" s="8" t="n"/>
      <c r="O272" s="8" t="n"/>
      <c r="P272" s="8" t="n"/>
      <c r="Q272" s="8" t="n"/>
      <c r="R272" s="9" t="n"/>
      <c r="S272" s="9" t="n"/>
      <c r="T272" s="10" t="n"/>
      <c r="U272" s="10" t="n"/>
      <c r="V272" s="9" t="n"/>
      <c r="W272" s="9" t="n"/>
      <c r="X272" s="9" t="n"/>
      <c r="Y272" s="9" t="n"/>
      <c r="Z272" s="11" t="n"/>
      <c r="AA272" s="11" t="n"/>
      <c r="AB272" s="11" t="n"/>
      <c r="AC272" s="11" t="n"/>
      <c r="AD272" s="11" t="n"/>
      <c r="AE272" s="11" t="n"/>
      <c r="AF272" s="9" t="n"/>
      <c r="AG272" s="9" t="n"/>
      <c r="AH272" s="9" t="n"/>
      <c r="AI272" s="9" t="n"/>
      <c r="AJ272" s="8" t="n"/>
      <c r="AK272" s="9" t="n"/>
      <c r="AL272" s="9" t="n"/>
      <c r="AM272" s="9" t="n"/>
      <c r="AN272" s="9" t="n"/>
      <c r="AO272" s="9" t="n"/>
      <c r="AP272" s="9" t="n"/>
      <c r="AQ272" s="9" t="n"/>
      <c r="AR272" s="9" t="n"/>
      <c r="AS272" s="9" t="n"/>
      <c r="AT272" s="8" t="n"/>
      <c r="AU272" s="8" t="n"/>
      <c r="AV272" s="9" t="n"/>
      <c r="AW272" s="8" t="n"/>
      <c r="AX272" s="9" t="n"/>
      <c r="AY272" s="9" t="n"/>
      <c r="AZ272" s="9" t="n"/>
      <c r="BA272" s="9" t="n"/>
      <c r="BB272" s="9" t="n"/>
      <c r="BC272" s="9" t="n"/>
      <c r="BD272" s="9" t="n"/>
      <c r="BE272" s="9" t="n"/>
      <c r="BF272" s="9" t="n"/>
      <c r="BG272" s="9" t="n"/>
      <c r="BH272" s="9" t="n"/>
      <c r="BI272" s="9" t="n"/>
      <c r="BJ272" s="9" t="n"/>
      <c r="BK272" s="9" t="n"/>
      <c r="BL272" s="9" t="n"/>
      <c r="BM272" s="9" t="n"/>
      <c r="BN272" s="9" t="n"/>
      <c r="BO272" s="8" t="n"/>
      <c r="BP272" s="9" t="n"/>
      <c r="BQ272" s="9" t="n"/>
      <c r="BR272" s="12">
        <f>IF(AND(AI272="Y",AK272="Y",AL272="Y",AM272="Y",AY272="Y",AZ272="Y",BA272="Y",BB272="Y",BC272="Y",BE272&lt;&gt;"Y",AX272&lt;&gt;"Y",BL272&lt;&gt;"Y",IF(AS272="Y",AV272="Y",TRUE)),"Y","N")</f>
        <v/>
      </c>
      <c r="BS272" s="12">
        <f>IF(AND(BR272="Y",OR(AND(BJ272="Y",BM272="Y"),AND(BK272="Y",BN272="Y"),AND(BJ272&lt;&gt;"Y",BK272&lt;&gt;"Y",OR(BM272="Y",BN272="Y")))),"Y","N")</f>
        <v/>
      </c>
      <c r="BT272" s="10" t="n"/>
      <c r="BU272" s="13" t="n"/>
      <c r="BV272" s="13" t="n"/>
      <c r="BW272" s="13" t="n"/>
      <c r="BX272" s="13" t="n"/>
      <c r="BY272" s="13" t="n"/>
      <c r="BZ272" s="13" t="n"/>
      <c r="CA272" s="14" t="n"/>
      <c r="CB272" s="13" t="n"/>
      <c r="CC272" s="9" t="n"/>
      <c r="CD272" s="9" t="n"/>
      <c r="CE272" s="9" t="n"/>
      <c r="CF272" s="9" t="n"/>
      <c r="CG272" s="9" t="n"/>
      <c r="CH272" s="9" t="n"/>
    </row>
    <row r="273">
      <c r="A273" s="8" t="n"/>
      <c r="B273" s="9" t="n"/>
      <c r="C273" s="9" t="n"/>
      <c r="D273" s="9" t="n"/>
      <c r="E273" s="9" t="n"/>
      <c r="F273" s="9" t="n"/>
      <c r="G273" s="9" t="n"/>
      <c r="H273" s="9" t="n"/>
      <c r="I273" s="9" t="n"/>
      <c r="J273" s="9" t="n"/>
      <c r="K273" s="8" t="n"/>
      <c r="L273" s="9" t="n"/>
      <c r="M273" s="8" t="n"/>
      <c r="N273" s="8" t="n"/>
      <c r="O273" s="8" t="n"/>
      <c r="P273" s="8" t="n"/>
      <c r="Q273" s="8" t="n"/>
      <c r="R273" s="9" t="n"/>
      <c r="S273" s="9" t="n"/>
      <c r="T273" s="10" t="n"/>
      <c r="U273" s="10" t="n"/>
      <c r="V273" s="9" t="n"/>
      <c r="W273" s="9" t="n"/>
      <c r="X273" s="9" t="n"/>
      <c r="Y273" s="9" t="n"/>
      <c r="Z273" s="11" t="n"/>
      <c r="AA273" s="11" t="n"/>
      <c r="AB273" s="11" t="n"/>
      <c r="AC273" s="11" t="n"/>
      <c r="AD273" s="11" t="n"/>
      <c r="AE273" s="11" t="n"/>
      <c r="AF273" s="9" t="n"/>
      <c r="AG273" s="9" t="n"/>
      <c r="AH273" s="9" t="n"/>
      <c r="AI273" s="9" t="n"/>
      <c r="AJ273" s="8" t="n"/>
      <c r="AK273" s="9" t="n"/>
      <c r="AL273" s="9" t="n"/>
      <c r="AM273" s="9" t="n"/>
      <c r="AN273" s="9" t="n"/>
      <c r="AO273" s="9" t="n"/>
      <c r="AP273" s="9" t="n"/>
      <c r="AQ273" s="9" t="n"/>
      <c r="AR273" s="9" t="n"/>
      <c r="AS273" s="9" t="n"/>
      <c r="AT273" s="8" t="n"/>
      <c r="AU273" s="8" t="n"/>
      <c r="AV273" s="9" t="n"/>
      <c r="AW273" s="8" t="n"/>
      <c r="AX273" s="9" t="n"/>
      <c r="AY273" s="9" t="n"/>
      <c r="AZ273" s="9" t="n"/>
      <c r="BA273" s="9" t="n"/>
      <c r="BB273" s="9" t="n"/>
      <c r="BC273" s="9" t="n"/>
      <c r="BD273" s="9" t="n"/>
      <c r="BE273" s="9" t="n"/>
      <c r="BF273" s="9" t="n"/>
      <c r="BG273" s="9" t="n"/>
      <c r="BH273" s="9" t="n"/>
      <c r="BI273" s="9" t="n"/>
      <c r="BJ273" s="9" t="n"/>
      <c r="BK273" s="9" t="n"/>
      <c r="BL273" s="9" t="n"/>
      <c r="BM273" s="9" t="n"/>
      <c r="BN273" s="9" t="n"/>
      <c r="BO273" s="8" t="n"/>
      <c r="BP273" s="9" t="n"/>
      <c r="BQ273" s="9" t="n"/>
      <c r="BR273" s="12">
        <f>IF(AND(AI273="Y",AK273="Y",AL273="Y",AM273="Y",AY273="Y",AZ273="Y",BA273="Y",BB273="Y",BC273="Y",BE273&lt;&gt;"Y",AX273&lt;&gt;"Y",BL273&lt;&gt;"Y",IF(AS273="Y",AV273="Y",TRUE)),"Y","N")</f>
        <v/>
      </c>
      <c r="BS273" s="12">
        <f>IF(AND(BR273="Y",OR(AND(BJ273="Y",BM273="Y"),AND(BK273="Y",BN273="Y"),AND(BJ273&lt;&gt;"Y",BK273&lt;&gt;"Y",OR(BM273="Y",BN273="Y")))),"Y","N")</f>
        <v/>
      </c>
      <c r="BT273" s="10" t="n"/>
      <c r="BU273" s="13" t="n"/>
      <c r="BV273" s="13" t="n"/>
      <c r="BW273" s="13" t="n"/>
      <c r="BX273" s="13" t="n"/>
      <c r="BY273" s="13" t="n"/>
      <c r="BZ273" s="13" t="n"/>
      <c r="CA273" s="14" t="n"/>
      <c r="CB273" s="13" t="n"/>
      <c r="CC273" s="9" t="n"/>
      <c r="CD273" s="9" t="n"/>
      <c r="CE273" s="9" t="n"/>
      <c r="CF273" s="9" t="n"/>
      <c r="CG273" s="9" t="n"/>
      <c r="CH273" s="9" t="n"/>
    </row>
    <row r="274">
      <c r="A274" s="8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8" t="n"/>
      <c r="L274" s="9" t="n"/>
      <c r="M274" s="8" t="n"/>
      <c r="N274" s="8" t="n"/>
      <c r="O274" s="8" t="n"/>
      <c r="P274" s="8" t="n"/>
      <c r="Q274" s="8" t="n"/>
      <c r="R274" s="9" t="n"/>
      <c r="S274" s="9" t="n"/>
      <c r="T274" s="10" t="n"/>
      <c r="U274" s="10" t="n"/>
      <c r="V274" s="9" t="n"/>
      <c r="W274" s="9" t="n"/>
      <c r="X274" s="9" t="n"/>
      <c r="Y274" s="9" t="n"/>
      <c r="Z274" s="11" t="n"/>
      <c r="AA274" s="11" t="n"/>
      <c r="AB274" s="11" t="n"/>
      <c r="AC274" s="11" t="n"/>
      <c r="AD274" s="11" t="n"/>
      <c r="AE274" s="11" t="n"/>
      <c r="AF274" s="9" t="n"/>
      <c r="AG274" s="9" t="n"/>
      <c r="AH274" s="9" t="n"/>
      <c r="AI274" s="9" t="n"/>
      <c r="AJ274" s="8" t="n"/>
      <c r="AK274" s="9" t="n"/>
      <c r="AL274" s="9" t="n"/>
      <c r="AM274" s="9" t="n"/>
      <c r="AN274" s="9" t="n"/>
      <c r="AO274" s="9" t="n"/>
      <c r="AP274" s="9" t="n"/>
      <c r="AQ274" s="9" t="n"/>
      <c r="AR274" s="9" t="n"/>
      <c r="AS274" s="9" t="n"/>
      <c r="AT274" s="8" t="n"/>
      <c r="AU274" s="8" t="n"/>
      <c r="AV274" s="9" t="n"/>
      <c r="AW274" s="8" t="n"/>
      <c r="AX274" s="9" t="n"/>
      <c r="AY274" s="9" t="n"/>
      <c r="AZ274" s="9" t="n"/>
      <c r="BA274" s="9" t="n"/>
      <c r="BB274" s="9" t="n"/>
      <c r="BC274" s="9" t="n"/>
      <c r="BD274" s="9" t="n"/>
      <c r="BE274" s="9" t="n"/>
      <c r="BF274" s="9" t="n"/>
      <c r="BG274" s="9" t="n"/>
      <c r="BH274" s="9" t="n"/>
      <c r="BI274" s="9" t="n"/>
      <c r="BJ274" s="9" t="n"/>
      <c r="BK274" s="9" t="n"/>
      <c r="BL274" s="9" t="n"/>
      <c r="BM274" s="9" t="n"/>
      <c r="BN274" s="9" t="n"/>
      <c r="BO274" s="8" t="n"/>
      <c r="BP274" s="9" t="n"/>
      <c r="BQ274" s="9" t="n"/>
      <c r="BR274" s="12">
        <f>IF(AND(AI274="Y",AK274="Y",AL274="Y",AM274="Y",AY274="Y",AZ274="Y",BA274="Y",BB274="Y",BC274="Y",BE274&lt;&gt;"Y",AX274&lt;&gt;"Y",BL274&lt;&gt;"Y",IF(AS274="Y",AV274="Y",TRUE)),"Y","N")</f>
        <v/>
      </c>
      <c r="BS274" s="12">
        <f>IF(AND(BR274="Y",OR(AND(BJ274="Y",BM274="Y"),AND(BK274="Y",BN274="Y"),AND(BJ274&lt;&gt;"Y",BK274&lt;&gt;"Y",OR(BM274="Y",BN274="Y")))),"Y","N")</f>
        <v/>
      </c>
      <c r="BT274" s="10" t="n"/>
      <c r="BU274" s="13" t="n"/>
      <c r="BV274" s="13" t="n"/>
      <c r="BW274" s="13" t="n"/>
      <c r="BX274" s="13" t="n"/>
      <c r="BY274" s="13" t="n"/>
      <c r="BZ274" s="13" t="n"/>
      <c r="CA274" s="14" t="n"/>
      <c r="CB274" s="13" t="n"/>
      <c r="CC274" s="9" t="n"/>
      <c r="CD274" s="9" t="n"/>
      <c r="CE274" s="9" t="n"/>
      <c r="CF274" s="9" t="n"/>
      <c r="CG274" s="9" t="n"/>
      <c r="CH274" s="9" t="n"/>
    </row>
    <row r="275">
      <c r="A275" s="8" t="n"/>
      <c r="B275" s="9" t="n"/>
      <c r="C275" s="9" t="n"/>
      <c r="D275" s="9" t="n"/>
      <c r="E275" s="9" t="n"/>
      <c r="F275" s="9" t="n"/>
      <c r="G275" s="9" t="n"/>
      <c r="H275" s="9" t="n"/>
      <c r="I275" s="9" t="n"/>
      <c r="J275" s="9" t="n"/>
      <c r="K275" s="8" t="n"/>
      <c r="L275" s="9" t="n"/>
      <c r="M275" s="8" t="n"/>
      <c r="N275" s="8" t="n"/>
      <c r="O275" s="8" t="n"/>
      <c r="P275" s="8" t="n"/>
      <c r="Q275" s="8" t="n"/>
      <c r="R275" s="9" t="n"/>
      <c r="S275" s="9" t="n"/>
      <c r="T275" s="10" t="n"/>
      <c r="U275" s="10" t="n"/>
      <c r="V275" s="9" t="n"/>
      <c r="W275" s="9" t="n"/>
      <c r="X275" s="9" t="n"/>
      <c r="Y275" s="9" t="n"/>
      <c r="Z275" s="11" t="n"/>
      <c r="AA275" s="11" t="n"/>
      <c r="AB275" s="11" t="n"/>
      <c r="AC275" s="11" t="n"/>
      <c r="AD275" s="11" t="n"/>
      <c r="AE275" s="11" t="n"/>
      <c r="AF275" s="9" t="n"/>
      <c r="AG275" s="9" t="n"/>
      <c r="AH275" s="9" t="n"/>
      <c r="AI275" s="9" t="n"/>
      <c r="AJ275" s="8" t="n"/>
      <c r="AK275" s="9" t="n"/>
      <c r="AL275" s="9" t="n"/>
      <c r="AM275" s="9" t="n"/>
      <c r="AN275" s="9" t="n"/>
      <c r="AO275" s="9" t="n"/>
      <c r="AP275" s="9" t="n"/>
      <c r="AQ275" s="9" t="n"/>
      <c r="AR275" s="9" t="n"/>
      <c r="AS275" s="9" t="n"/>
      <c r="AT275" s="8" t="n"/>
      <c r="AU275" s="8" t="n"/>
      <c r="AV275" s="9" t="n"/>
      <c r="AW275" s="8" t="n"/>
      <c r="AX275" s="9" t="n"/>
      <c r="AY275" s="9" t="n"/>
      <c r="AZ275" s="9" t="n"/>
      <c r="BA275" s="9" t="n"/>
      <c r="BB275" s="9" t="n"/>
      <c r="BC275" s="9" t="n"/>
      <c r="BD275" s="9" t="n"/>
      <c r="BE275" s="9" t="n"/>
      <c r="BF275" s="9" t="n"/>
      <c r="BG275" s="9" t="n"/>
      <c r="BH275" s="9" t="n"/>
      <c r="BI275" s="9" t="n"/>
      <c r="BJ275" s="9" t="n"/>
      <c r="BK275" s="9" t="n"/>
      <c r="BL275" s="9" t="n"/>
      <c r="BM275" s="9" t="n"/>
      <c r="BN275" s="9" t="n"/>
      <c r="BO275" s="8" t="n"/>
      <c r="BP275" s="9" t="n"/>
      <c r="BQ275" s="9" t="n"/>
      <c r="BR275" s="12">
        <f>IF(AND(AI275="Y",AK275="Y",AL275="Y",AM275="Y",AY275="Y",AZ275="Y",BA275="Y",BB275="Y",BC275="Y",BE275&lt;&gt;"Y",AX275&lt;&gt;"Y",BL275&lt;&gt;"Y",IF(AS275="Y",AV275="Y",TRUE)),"Y","N")</f>
        <v/>
      </c>
      <c r="BS275" s="12">
        <f>IF(AND(BR275="Y",OR(AND(BJ275="Y",BM275="Y"),AND(BK275="Y",BN275="Y"),AND(BJ275&lt;&gt;"Y",BK275&lt;&gt;"Y",OR(BM275="Y",BN275="Y")))),"Y","N")</f>
        <v/>
      </c>
      <c r="BT275" s="10" t="n"/>
      <c r="BU275" s="13" t="n"/>
      <c r="BV275" s="13" t="n"/>
      <c r="BW275" s="13" t="n"/>
      <c r="BX275" s="13" t="n"/>
      <c r="BY275" s="13" t="n"/>
      <c r="BZ275" s="13" t="n"/>
      <c r="CA275" s="14" t="n"/>
      <c r="CB275" s="13" t="n"/>
      <c r="CC275" s="9" t="n"/>
      <c r="CD275" s="9" t="n"/>
      <c r="CE275" s="9" t="n"/>
      <c r="CF275" s="9" t="n"/>
      <c r="CG275" s="9" t="n"/>
      <c r="CH275" s="9" t="n"/>
    </row>
    <row r="276">
      <c r="A276" s="8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8" t="n"/>
      <c r="L276" s="9" t="n"/>
      <c r="M276" s="8" t="n"/>
      <c r="N276" s="8" t="n"/>
      <c r="O276" s="8" t="n"/>
      <c r="P276" s="8" t="n"/>
      <c r="Q276" s="8" t="n"/>
      <c r="R276" s="9" t="n"/>
      <c r="S276" s="9" t="n"/>
      <c r="T276" s="10" t="n"/>
      <c r="U276" s="10" t="n"/>
      <c r="V276" s="9" t="n"/>
      <c r="W276" s="9" t="n"/>
      <c r="X276" s="9" t="n"/>
      <c r="Y276" s="9" t="n"/>
      <c r="Z276" s="11" t="n"/>
      <c r="AA276" s="11" t="n"/>
      <c r="AB276" s="11" t="n"/>
      <c r="AC276" s="11" t="n"/>
      <c r="AD276" s="11" t="n"/>
      <c r="AE276" s="11" t="n"/>
      <c r="AF276" s="9" t="n"/>
      <c r="AG276" s="9" t="n"/>
      <c r="AH276" s="9" t="n"/>
      <c r="AI276" s="9" t="n"/>
      <c r="AJ276" s="8" t="n"/>
      <c r="AK276" s="9" t="n"/>
      <c r="AL276" s="9" t="n"/>
      <c r="AM276" s="9" t="n"/>
      <c r="AN276" s="9" t="n"/>
      <c r="AO276" s="9" t="n"/>
      <c r="AP276" s="9" t="n"/>
      <c r="AQ276" s="9" t="n"/>
      <c r="AR276" s="9" t="n"/>
      <c r="AS276" s="9" t="n"/>
      <c r="AT276" s="8" t="n"/>
      <c r="AU276" s="8" t="n"/>
      <c r="AV276" s="9" t="n"/>
      <c r="AW276" s="8" t="n"/>
      <c r="AX276" s="9" t="n"/>
      <c r="AY276" s="9" t="n"/>
      <c r="AZ276" s="9" t="n"/>
      <c r="BA276" s="9" t="n"/>
      <c r="BB276" s="9" t="n"/>
      <c r="BC276" s="9" t="n"/>
      <c r="BD276" s="9" t="n"/>
      <c r="BE276" s="9" t="n"/>
      <c r="BF276" s="9" t="n"/>
      <c r="BG276" s="9" t="n"/>
      <c r="BH276" s="9" t="n"/>
      <c r="BI276" s="9" t="n"/>
      <c r="BJ276" s="9" t="n"/>
      <c r="BK276" s="9" t="n"/>
      <c r="BL276" s="9" t="n"/>
      <c r="BM276" s="9" t="n"/>
      <c r="BN276" s="9" t="n"/>
      <c r="BO276" s="8" t="n"/>
      <c r="BP276" s="9" t="n"/>
      <c r="BQ276" s="9" t="n"/>
      <c r="BR276" s="12">
        <f>IF(AND(AI276="Y",AK276="Y",AL276="Y",AM276="Y",AY276="Y",AZ276="Y",BA276="Y",BB276="Y",BC276="Y",BE276&lt;&gt;"Y",AX276&lt;&gt;"Y",BL276&lt;&gt;"Y",IF(AS276="Y",AV276="Y",TRUE)),"Y","N")</f>
        <v/>
      </c>
      <c r="BS276" s="12">
        <f>IF(AND(BR276="Y",OR(AND(BJ276="Y",BM276="Y"),AND(BK276="Y",BN276="Y"),AND(BJ276&lt;&gt;"Y",BK276&lt;&gt;"Y",OR(BM276="Y",BN276="Y")))),"Y","N")</f>
        <v/>
      </c>
      <c r="BT276" s="10" t="n"/>
      <c r="BU276" s="13" t="n"/>
      <c r="BV276" s="13" t="n"/>
      <c r="BW276" s="13" t="n"/>
      <c r="BX276" s="13" t="n"/>
      <c r="BY276" s="13" t="n"/>
      <c r="BZ276" s="13" t="n"/>
      <c r="CA276" s="14" t="n"/>
      <c r="CB276" s="13" t="n"/>
      <c r="CC276" s="9" t="n"/>
      <c r="CD276" s="9" t="n"/>
      <c r="CE276" s="9" t="n"/>
      <c r="CF276" s="9" t="n"/>
      <c r="CG276" s="9" t="n"/>
      <c r="CH276" s="9" t="n"/>
    </row>
    <row r="277">
      <c r="A277" s="8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8" t="n"/>
      <c r="L277" s="9" t="n"/>
      <c r="M277" s="8" t="n"/>
      <c r="N277" s="8" t="n"/>
      <c r="O277" s="8" t="n"/>
      <c r="P277" s="8" t="n"/>
      <c r="Q277" s="8" t="n"/>
      <c r="R277" s="9" t="n"/>
      <c r="S277" s="9" t="n"/>
      <c r="T277" s="10" t="n"/>
      <c r="U277" s="10" t="n"/>
      <c r="V277" s="9" t="n"/>
      <c r="W277" s="9" t="n"/>
      <c r="X277" s="9" t="n"/>
      <c r="Y277" s="9" t="n"/>
      <c r="Z277" s="11" t="n"/>
      <c r="AA277" s="11" t="n"/>
      <c r="AB277" s="11" t="n"/>
      <c r="AC277" s="11" t="n"/>
      <c r="AD277" s="11" t="n"/>
      <c r="AE277" s="11" t="n"/>
      <c r="AF277" s="9" t="n"/>
      <c r="AG277" s="9" t="n"/>
      <c r="AH277" s="9" t="n"/>
      <c r="AI277" s="9" t="n"/>
      <c r="AJ277" s="8" t="n"/>
      <c r="AK277" s="9" t="n"/>
      <c r="AL277" s="9" t="n"/>
      <c r="AM277" s="9" t="n"/>
      <c r="AN277" s="9" t="n"/>
      <c r="AO277" s="9" t="n"/>
      <c r="AP277" s="9" t="n"/>
      <c r="AQ277" s="9" t="n"/>
      <c r="AR277" s="9" t="n"/>
      <c r="AS277" s="9" t="n"/>
      <c r="AT277" s="8" t="n"/>
      <c r="AU277" s="8" t="n"/>
      <c r="AV277" s="9" t="n"/>
      <c r="AW277" s="8" t="n"/>
      <c r="AX277" s="9" t="n"/>
      <c r="AY277" s="9" t="n"/>
      <c r="AZ277" s="9" t="n"/>
      <c r="BA277" s="9" t="n"/>
      <c r="BB277" s="9" t="n"/>
      <c r="BC277" s="9" t="n"/>
      <c r="BD277" s="9" t="n"/>
      <c r="BE277" s="9" t="n"/>
      <c r="BF277" s="9" t="n"/>
      <c r="BG277" s="9" t="n"/>
      <c r="BH277" s="9" t="n"/>
      <c r="BI277" s="9" t="n"/>
      <c r="BJ277" s="9" t="n"/>
      <c r="BK277" s="9" t="n"/>
      <c r="BL277" s="9" t="n"/>
      <c r="BM277" s="9" t="n"/>
      <c r="BN277" s="9" t="n"/>
      <c r="BO277" s="8" t="n"/>
      <c r="BP277" s="9" t="n"/>
      <c r="BQ277" s="9" t="n"/>
      <c r="BR277" s="12">
        <f>IF(AND(AI277="Y",AK277="Y",AL277="Y",AM277="Y",AY277="Y",AZ277="Y",BA277="Y",BB277="Y",BC277="Y",BE277&lt;&gt;"Y",AX277&lt;&gt;"Y",BL277&lt;&gt;"Y",IF(AS277="Y",AV277="Y",TRUE)),"Y","N")</f>
        <v/>
      </c>
      <c r="BS277" s="12">
        <f>IF(AND(BR277="Y",OR(AND(BJ277="Y",BM277="Y"),AND(BK277="Y",BN277="Y"),AND(BJ277&lt;&gt;"Y",BK277&lt;&gt;"Y",OR(BM277="Y",BN277="Y")))),"Y","N")</f>
        <v/>
      </c>
      <c r="BT277" s="10" t="n"/>
      <c r="BU277" s="13" t="n"/>
      <c r="BV277" s="13" t="n"/>
      <c r="BW277" s="13" t="n"/>
      <c r="BX277" s="13" t="n"/>
      <c r="BY277" s="13" t="n"/>
      <c r="BZ277" s="13" t="n"/>
      <c r="CA277" s="14" t="n"/>
      <c r="CB277" s="13" t="n"/>
      <c r="CC277" s="9" t="n"/>
      <c r="CD277" s="9" t="n"/>
      <c r="CE277" s="9" t="n"/>
      <c r="CF277" s="9" t="n"/>
      <c r="CG277" s="9" t="n"/>
      <c r="CH277" s="9" t="n"/>
    </row>
    <row r="278">
      <c r="A278" s="8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8" t="n"/>
      <c r="L278" s="9" t="n"/>
      <c r="M278" s="8" t="n"/>
      <c r="N278" s="8" t="n"/>
      <c r="O278" s="8" t="n"/>
      <c r="P278" s="8" t="n"/>
      <c r="Q278" s="8" t="n"/>
      <c r="R278" s="9" t="n"/>
      <c r="S278" s="9" t="n"/>
      <c r="T278" s="10" t="n"/>
      <c r="U278" s="10" t="n"/>
      <c r="V278" s="9" t="n"/>
      <c r="W278" s="9" t="n"/>
      <c r="X278" s="9" t="n"/>
      <c r="Y278" s="9" t="n"/>
      <c r="Z278" s="11" t="n"/>
      <c r="AA278" s="11" t="n"/>
      <c r="AB278" s="11" t="n"/>
      <c r="AC278" s="11" t="n"/>
      <c r="AD278" s="11" t="n"/>
      <c r="AE278" s="11" t="n"/>
      <c r="AF278" s="9" t="n"/>
      <c r="AG278" s="9" t="n"/>
      <c r="AH278" s="9" t="n"/>
      <c r="AI278" s="9" t="n"/>
      <c r="AJ278" s="8" t="n"/>
      <c r="AK278" s="9" t="n"/>
      <c r="AL278" s="9" t="n"/>
      <c r="AM278" s="9" t="n"/>
      <c r="AN278" s="9" t="n"/>
      <c r="AO278" s="9" t="n"/>
      <c r="AP278" s="9" t="n"/>
      <c r="AQ278" s="9" t="n"/>
      <c r="AR278" s="9" t="n"/>
      <c r="AS278" s="9" t="n"/>
      <c r="AT278" s="8" t="n"/>
      <c r="AU278" s="8" t="n"/>
      <c r="AV278" s="9" t="n"/>
      <c r="AW278" s="8" t="n"/>
      <c r="AX278" s="9" t="n"/>
      <c r="AY278" s="9" t="n"/>
      <c r="AZ278" s="9" t="n"/>
      <c r="BA278" s="9" t="n"/>
      <c r="BB278" s="9" t="n"/>
      <c r="BC278" s="9" t="n"/>
      <c r="BD278" s="9" t="n"/>
      <c r="BE278" s="9" t="n"/>
      <c r="BF278" s="9" t="n"/>
      <c r="BG278" s="9" t="n"/>
      <c r="BH278" s="9" t="n"/>
      <c r="BI278" s="9" t="n"/>
      <c r="BJ278" s="9" t="n"/>
      <c r="BK278" s="9" t="n"/>
      <c r="BL278" s="9" t="n"/>
      <c r="BM278" s="9" t="n"/>
      <c r="BN278" s="9" t="n"/>
      <c r="BO278" s="8" t="n"/>
      <c r="BP278" s="9" t="n"/>
      <c r="BQ278" s="9" t="n"/>
      <c r="BR278" s="12">
        <f>IF(AND(AI278="Y",AK278="Y",AL278="Y",AM278="Y",AY278="Y",AZ278="Y",BA278="Y",BB278="Y",BC278="Y",BE278&lt;&gt;"Y",AX278&lt;&gt;"Y",BL278&lt;&gt;"Y",IF(AS278="Y",AV278="Y",TRUE)),"Y","N")</f>
        <v/>
      </c>
      <c r="BS278" s="12">
        <f>IF(AND(BR278="Y",OR(AND(BJ278="Y",BM278="Y"),AND(BK278="Y",BN278="Y"),AND(BJ278&lt;&gt;"Y",BK278&lt;&gt;"Y",OR(BM278="Y",BN278="Y")))),"Y","N")</f>
        <v/>
      </c>
      <c r="BT278" s="10" t="n"/>
      <c r="BU278" s="13" t="n"/>
      <c r="BV278" s="13" t="n"/>
      <c r="BW278" s="13" t="n"/>
      <c r="BX278" s="13" t="n"/>
      <c r="BY278" s="13" t="n"/>
      <c r="BZ278" s="13" t="n"/>
      <c r="CA278" s="14" t="n"/>
      <c r="CB278" s="13" t="n"/>
      <c r="CC278" s="9" t="n"/>
      <c r="CD278" s="9" t="n"/>
      <c r="CE278" s="9" t="n"/>
      <c r="CF278" s="9" t="n"/>
      <c r="CG278" s="9" t="n"/>
      <c r="CH278" s="9" t="n"/>
    </row>
    <row r="279">
      <c r="A279" s="8" t="n"/>
      <c r="B279" s="9" t="n"/>
      <c r="C279" s="9" t="n"/>
      <c r="D279" s="9" t="n"/>
      <c r="E279" s="9" t="n"/>
      <c r="F279" s="9" t="n"/>
      <c r="G279" s="9" t="n"/>
      <c r="H279" s="9" t="n"/>
      <c r="I279" s="9" t="n"/>
      <c r="J279" s="9" t="n"/>
      <c r="K279" s="8" t="n"/>
      <c r="L279" s="9" t="n"/>
      <c r="M279" s="8" t="n"/>
      <c r="N279" s="8" t="n"/>
      <c r="O279" s="8" t="n"/>
      <c r="P279" s="8" t="n"/>
      <c r="Q279" s="8" t="n"/>
      <c r="R279" s="9" t="n"/>
      <c r="S279" s="9" t="n"/>
      <c r="T279" s="10" t="n"/>
      <c r="U279" s="10" t="n"/>
      <c r="V279" s="9" t="n"/>
      <c r="W279" s="9" t="n"/>
      <c r="X279" s="9" t="n"/>
      <c r="Y279" s="9" t="n"/>
      <c r="Z279" s="11" t="n"/>
      <c r="AA279" s="11" t="n"/>
      <c r="AB279" s="11" t="n"/>
      <c r="AC279" s="11" t="n"/>
      <c r="AD279" s="11" t="n"/>
      <c r="AE279" s="11" t="n"/>
      <c r="AF279" s="9" t="n"/>
      <c r="AG279" s="9" t="n"/>
      <c r="AH279" s="9" t="n"/>
      <c r="AI279" s="9" t="n"/>
      <c r="AJ279" s="8" t="n"/>
      <c r="AK279" s="9" t="n"/>
      <c r="AL279" s="9" t="n"/>
      <c r="AM279" s="9" t="n"/>
      <c r="AN279" s="9" t="n"/>
      <c r="AO279" s="9" t="n"/>
      <c r="AP279" s="9" t="n"/>
      <c r="AQ279" s="9" t="n"/>
      <c r="AR279" s="9" t="n"/>
      <c r="AS279" s="9" t="n"/>
      <c r="AT279" s="8" t="n"/>
      <c r="AU279" s="8" t="n"/>
      <c r="AV279" s="9" t="n"/>
      <c r="AW279" s="8" t="n"/>
      <c r="AX279" s="9" t="n"/>
      <c r="AY279" s="9" t="n"/>
      <c r="AZ279" s="9" t="n"/>
      <c r="BA279" s="9" t="n"/>
      <c r="BB279" s="9" t="n"/>
      <c r="BC279" s="9" t="n"/>
      <c r="BD279" s="9" t="n"/>
      <c r="BE279" s="9" t="n"/>
      <c r="BF279" s="9" t="n"/>
      <c r="BG279" s="9" t="n"/>
      <c r="BH279" s="9" t="n"/>
      <c r="BI279" s="9" t="n"/>
      <c r="BJ279" s="9" t="n"/>
      <c r="BK279" s="9" t="n"/>
      <c r="BL279" s="9" t="n"/>
      <c r="BM279" s="9" t="n"/>
      <c r="BN279" s="9" t="n"/>
      <c r="BO279" s="8" t="n"/>
      <c r="BP279" s="9" t="n"/>
      <c r="BQ279" s="9" t="n"/>
      <c r="BR279" s="12">
        <f>IF(AND(AI279="Y",AK279="Y",AL279="Y",AM279="Y",AY279="Y",AZ279="Y",BA279="Y",BB279="Y",BC279="Y",BE279&lt;&gt;"Y",AX279&lt;&gt;"Y",BL279&lt;&gt;"Y",IF(AS279="Y",AV279="Y",TRUE)),"Y","N")</f>
        <v/>
      </c>
      <c r="BS279" s="12">
        <f>IF(AND(BR279="Y",OR(AND(BJ279="Y",BM279="Y"),AND(BK279="Y",BN279="Y"),AND(BJ279&lt;&gt;"Y",BK279&lt;&gt;"Y",OR(BM279="Y",BN279="Y")))),"Y","N")</f>
        <v/>
      </c>
      <c r="BT279" s="10" t="n"/>
      <c r="BU279" s="13" t="n"/>
      <c r="BV279" s="13" t="n"/>
      <c r="BW279" s="13" t="n"/>
      <c r="BX279" s="13" t="n"/>
      <c r="BY279" s="13" t="n"/>
      <c r="BZ279" s="13" t="n"/>
      <c r="CA279" s="14" t="n"/>
      <c r="CB279" s="13" t="n"/>
      <c r="CC279" s="9" t="n"/>
      <c r="CD279" s="9" t="n"/>
      <c r="CE279" s="9" t="n"/>
      <c r="CF279" s="9" t="n"/>
      <c r="CG279" s="9" t="n"/>
      <c r="CH279" s="9" t="n"/>
    </row>
    <row r="280">
      <c r="A280" s="8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8" t="n"/>
      <c r="L280" s="9" t="n"/>
      <c r="M280" s="8" t="n"/>
      <c r="N280" s="8" t="n"/>
      <c r="O280" s="8" t="n"/>
      <c r="P280" s="8" t="n"/>
      <c r="Q280" s="8" t="n"/>
      <c r="R280" s="9" t="n"/>
      <c r="S280" s="9" t="n"/>
      <c r="T280" s="10" t="n"/>
      <c r="U280" s="10" t="n"/>
      <c r="V280" s="9" t="n"/>
      <c r="W280" s="9" t="n"/>
      <c r="X280" s="9" t="n"/>
      <c r="Y280" s="9" t="n"/>
      <c r="Z280" s="11" t="n"/>
      <c r="AA280" s="11" t="n"/>
      <c r="AB280" s="11" t="n"/>
      <c r="AC280" s="11" t="n"/>
      <c r="AD280" s="11" t="n"/>
      <c r="AE280" s="11" t="n"/>
      <c r="AF280" s="9" t="n"/>
      <c r="AG280" s="9" t="n"/>
      <c r="AH280" s="9" t="n"/>
      <c r="AI280" s="9" t="n"/>
      <c r="AJ280" s="8" t="n"/>
      <c r="AK280" s="9" t="n"/>
      <c r="AL280" s="9" t="n"/>
      <c r="AM280" s="9" t="n"/>
      <c r="AN280" s="9" t="n"/>
      <c r="AO280" s="9" t="n"/>
      <c r="AP280" s="9" t="n"/>
      <c r="AQ280" s="9" t="n"/>
      <c r="AR280" s="9" t="n"/>
      <c r="AS280" s="9" t="n"/>
      <c r="AT280" s="8" t="n"/>
      <c r="AU280" s="8" t="n"/>
      <c r="AV280" s="9" t="n"/>
      <c r="AW280" s="8" t="n"/>
      <c r="AX280" s="9" t="n"/>
      <c r="AY280" s="9" t="n"/>
      <c r="AZ280" s="9" t="n"/>
      <c r="BA280" s="9" t="n"/>
      <c r="BB280" s="9" t="n"/>
      <c r="BC280" s="9" t="n"/>
      <c r="BD280" s="9" t="n"/>
      <c r="BE280" s="9" t="n"/>
      <c r="BF280" s="9" t="n"/>
      <c r="BG280" s="9" t="n"/>
      <c r="BH280" s="9" t="n"/>
      <c r="BI280" s="9" t="n"/>
      <c r="BJ280" s="9" t="n"/>
      <c r="BK280" s="9" t="n"/>
      <c r="BL280" s="9" t="n"/>
      <c r="BM280" s="9" t="n"/>
      <c r="BN280" s="9" t="n"/>
      <c r="BO280" s="8" t="n"/>
      <c r="BP280" s="9" t="n"/>
      <c r="BQ280" s="9" t="n"/>
      <c r="BR280" s="12">
        <f>IF(AND(AI280="Y",AK280="Y",AL280="Y",AM280="Y",AY280="Y",AZ280="Y",BA280="Y",BB280="Y",BC280="Y",BE280&lt;&gt;"Y",AX280&lt;&gt;"Y",BL280&lt;&gt;"Y",IF(AS280="Y",AV280="Y",TRUE)),"Y","N")</f>
        <v/>
      </c>
      <c r="BS280" s="12">
        <f>IF(AND(BR280="Y",OR(AND(BJ280="Y",BM280="Y"),AND(BK280="Y",BN280="Y"),AND(BJ280&lt;&gt;"Y",BK280&lt;&gt;"Y",OR(BM280="Y",BN280="Y")))),"Y","N")</f>
        <v/>
      </c>
      <c r="BT280" s="10" t="n"/>
      <c r="BU280" s="13" t="n"/>
      <c r="BV280" s="13" t="n"/>
      <c r="BW280" s="13" t="n"/>
      <c r="BX280" s="13" t="n"/>
      <c r="BY280" s="13" t="n"/>
      <c r="BZ280" s="13" t="n"/>
      <c r="CA280" s="14" t="n"/>
      <c r="CB280" s="13" t="n"/>
      <c r="CC280" s="9" t="n"/>
      <c r="CD280" s="9" t="n"/>
      <c r="CE280" s="9" t="n"/>
      <c r="CF280" s="9" t="n"/>
      <c r="CG280" s="9" t="n"/>
      <c r="CH280" s="9" t="n"/>
    </row>
    <row r="281">
      <c r="A281" s="8" t="n"/>
      <c r="B281" s="9" t="n"/>
      <c r="C281" s="9" t="n"/>
      <c r="D281" s="9" t="n"/>
      <c r="E281" s="9" t="n"/>
      <c r="F281" s="9" t="n"/>
      <c r="G281" s="9" t="n"/>
      <c r="H281" s="9" t="n"/>
      <c r="I281" s="9" t="n"/>
      <c r="J281" s="9" t="n"/>
      <c r="K281" s="8" t="n"/>
      <c r="L281" s="9" t="n"/>
      <c r="M281" s="8" t="n"/>
      <c r="N281" s="8" t="n"/>
      <c r="O281" s="8" t="n"/>
      <c r="P281" s="8" t="n"/>
      <c r="Q281" s="8" t="n"/>
      <c r="R281" s="9" t="n"/>
      <c r="S281" s="9" t="n"/>
      <c r="T281" s="10" t="n"/>
      <c r="U281" s="10" t="n"/>
      <c r="V281" s="9" t="n"/>
      <c r="W281" s="9" t="n"/>
      <c r="X281" s="9" t="n"/>
      <c r="Y281" s="9" t="n"/>
      <c r="Z281" s="11" t="n"/>
      <c r="AA281" s="11" t="n"/>
      <c r="AB281" s="11" t="n"/>
      <c r="AC281" s="11" t="n"/>
      <c r="AD281" s="11" t="n"/>
      <c r="AE281" s="11" t="n"/>
      <c r="AF281" s="9" t="n"/>
      <c r="AG281" s="9" t="n"/>
      <c r="AH281" s="9" t="n"/>
      <c r="AI281" s="9" t="n"/>
      <c r="AJ281" s="8" t="n"/>
      <c r="AK281" s="9" t="n"/>
      <c r="AL281" s="9" t="n"/>
      <c r="AM281" s="9" t="n"/>
      <c r="AN281" s="9" t="n"/>
      <c r="AO281" s="9" t="n"/>
      <c r="AP281" s="9" t="n"/>
      <c r="AQ281" s="9" t="n"/>
      <c r="AR281" s="9" t="n"/>
      <c r="AS281" s="9" t="n"/>
      <c r="AT281" s="8" t="n"/>
      <c r="AU281" s="8" t="n"/>
      <c r="AV281" s="9" t="n"/>
      <c r="AW281" s="8" t="n"/>
      <c r="AX281" s="9" t="n"/>
      <c r="AY281" s="9" t="n"/>
      <c r="AZ281" s="9" t="n"/>
      <c r="BA281" s="9" t="n"/>
      <c r="BB281" s="9" t="n"/>
      <c r="BC281" s="9" t="n"/>
      <c r="BD281" s="9" t="n"/>
      <c r="BE281" s="9" t="n"/>
      <c r="BF281" s="9" t="n"/>
      <c r="BG281" s="9" t="n"/>
      <c r="BH281" s="9" t="n"/>
      <c r="BI281" s="9" t="n"/>
      <c r="BJ281" s="9" t="n"/>
      <c r="BK281" s="9" t="n"/>
      <c r="BL281" s="9" t="n"/>
      <c r="BM281" s="9" t="n"/>
      <c r="BN281" s="9" t="n"/>
      <c r="BO281" s="8" t="n"/>
      <c r="BP281" s="9" t="n"/>
      <c r="BQ281" s="9" t="n"/>
      <c r="BR281" s="12">
        <f>IF(AND(AI281="Y",AK281="Y",AL281="Y",AM281="Y",AY281="Y",AZ281="Y",BA281="Y",BB281="Y",BC281="Y",BE281&lt;&gt;"Y",AX281&lt;&gt;"Y",BL281&lt;&gt;"Y",IF(AS281="Y",AV281="Y",TRUE)),"Y","N")</f>
        <v/>
      </c>
      <c r="BS281" s="12">
        <f>IF(AND(BR281="Y",OR(AND(BJ281="Y",BM281="Y"),AND(BK281="Y",BN281="Y"),AND(BJ281&lt;&gt;"Y",BK281&lt;&gt;"Y",OR(BM281="Y",BN281="Y")))),"Y","N")</f>
        <v/>
      </c>
      <c r="BT281" s="10" t="n"/>
      <c r="BU281" s="13" t="n"/>
      <c r="BV281" s="13" t="n"/>
      <c r="BW281" s="13" t="n"/>
      <c r="BX281" s="13" t="n"/>
      <c r="BY281" s="13" t="n"/>
      <c r="BZ281" s="13" t="n"/>
      <c r="CA281" s="14" t="n"/>
      <c r="CB281" s="13" t="n"/>
      <c r="CC281" s="9" t="n"/>
      <c r="CD281" s="9" t="n"/>
      <c r="CE281" s="9" t="n"/>
      <c r="CF281" s="9" t="n"/>
      <c r="CG281" s="9" t="n"/>
      <c r="CH281" s="9" t="n"/>
    </row>
    <row r="282">
      <c r="A282" s="8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8" t="n"/>
      <c r="L282" s="9" t="n"/>
      <c r="M282" s="8" t="n"/>
      <c r="N282" s="8" t="n"/>
      <c r="O282" s="8" t="n"/>
      <c r="P282" s="8" t="n"/>
      <c r="Q282" s="8" t="n"/>
      <c r="R282" s="9" t="n"/>
      <c r="S282" s="9" t="n"/>
      <c r="T282" s="10" t="n"/>
      <c r="U282" s="10" t="n"/>
      <c r="V282" s="9" t="n"/>
      <c r="W282" s="9" t="n"/>
      <c r="X282" s="9" t="n"/>
      <c r="Y282" s="9" t="n"/>
      <c r="Z282" s="11" t="n"/>
      <c r="AA282" s="11" t="n"/>
      <c r="AB282" s="11" t="n"/>
      <c r="AC282" s="11" t="n"/>
      <c r="AD282" s="11" t="n"/>
      <c r="AE282" s="11" t="n"/>
      <c r="AF282" s="9" t="n"/>
      <c r="AG282" s="9" t="n"/>
      <c r="AH282" s="9" t="n"/>
      <c r="AI282" s="9" t="n"/>
      <c r="AJ282" s="8" t="n"/>
      <c r="AK282" s="9" t="n"/>
      <c r="AL282" s="9" t="n"/>
      <c r="AM282" s="9" t="n"/>
      <c r="AN282" s="9" t="n"/>
      <c r="AO282" s="9" t="n"/>
      <c r="AP282" s="9" t="n"/>
      <c r="AQ282" s="9" t="n"/>
      <c r="AR282" s="9" t="n"/>
      <c r="AS282" s="9" t="n"/>
      <c r="AT282" s="8" t="n"/>
      <c r="AU282" s="8" t="n"/>
      <c r="AV282" s="9" t="n"/>
      <c r="AW282" s="8" t="n"/>
      <c r="AX282" s="9" t="n"/>
      <c r="AY282" s="9" t="n"/>
      <c r="AZ282" s="9" t="n"/>
      <c r="BA282" s="9" t="n"/>
      <c r="BB282" s="9" t="n"/>
      <c r="BC282" s="9" t="n"/>
      <c r="BD282" s="9" t="n"/>
      <c r="BE282" s="9" t="n"/>
      <c r="BF282" s="9" t="n"/>
      <c r="BG282" s="9" t="n"/>
      <c r="BH282" s="9" t="n"/>
      <c r="BI282" s="9" t="n"/>
      <c r="BJ282" s="9" t="n"/>
      <c r="BK282" s="9" t="n"/>
      <c r="BL282" s="9" t="n"/>
      <c r="BM282" s="9" t="n"/>
      <c r="BN282" s="9" t="n"/>
      <c r="BO282" s="8" t="n"/>
      <c r="BP282" s="9" t="n"/>
      <c r="BQ282" s="9" t="n"/>
      <c r="BR282" s="12">
        <f>IF(AND(AI282="Y",AK282="Y",AL282="Y",AM282="Y",AY282="Y",AZ282="Y",BA282="Y",BB282="Y",BC282="Y",BE282&lt;&gt;"Y",AX282&lt;&gt;"Y",BL282&lt;&gt;"Y",IF(AS282="Y",AV282="Y",TRUE)),"Y","N")</f>
        <v/>
      </c>
      <c r="BS282" s="12">
        <f>IF(AND(BR282="Y",OR(AND(BJ282="Y",BM282="Y"),AND(BK282="Y",BN282="Y"),AND(BJ282&lt;&gt;"Y",BK282&lt;&gt;"Y",OR(BM282="Y",BN282="Y")))),"Y","N")</f>
        <v/>
      </c>
      <c r="BT282" s="10" t="n"/>
      <c r="BU282" s="13" t="n"/>
      <c r="BV282" s="13" t="n"/>
      <c r="BW282" s="13" t="n"/>
      <c r="BX282" s="13" t="n"/>
      <c r="BY282" s="13" t="n"/>
      <c r="BZ282" s="13" t="n"/>
      <c r="CA282" s="14" t="n"/>
      <c r="CB282" s="13" t="n"/>
      <c r="CC282" s="9" t="n"/>
      <c r="CD282" s="9" t="n"/>
      <c r="CE282" s="9" t="n"/>
      <c r="CF282" s="9" t="n"/>
      <c r="CG282" s="9" t="n"/>
      <c r="CH282" s="9" t="n"/>
    </row>
    <row r="283">
      <c r="A283" s="8" t="n"/>
      <c r="B283" s="9" t="n"/>
      <c r="C283" s="9" t="n"/>
      <c r="D283" s="9" t="n"/>
      <c r="E283" s="9" t="n"/>
      <c r="F283" s="9" t="n"/>
      <c r="G283" s="9" t="n"/>
      <c r="H283" s="9" t="n"/>
      <c r="I283" s="9" t="n"/>
      <c r="J283" s="9" t="n"/>
      <c r="K283" s="8" t="n"/>
      <c r="L283" s="9" t="n"/>
      <c r="M283" s="8" t="n"/>
      <c r="N283" s="8" t="n"/>
      <c r="O283" s="8" t="n"/>
      <c r="P283" s="8" t="n"/>
      <c r="Q283" s="8" t="n"/>
      <c r="R283" s="9" t="n"/>
      <c r="S283" s="9" t="n"/>
      <c r="T283" s="10" t="n"/>
      <c r="U283" s="10" t="n"/>
      <c r="V283" s="9" t="n"/>
      <c r="W283" s="9" t="n"/>
      <c r="X283" s="9" t="n"/>
      <c r="Y283" s="9" t="n"/>
      <c r="Z283" s="11" t="n"/>
      <c r="AA283" s="11" t="n"/>
      <c r="AB283" s="11" t="n"/>
      <c r="AC283" s="11" t="n"/>
      <c r="AD283" s="11" t="n"/>
      <c r="AE283" s="11" t="n"/>
      <c r="AF283" s="9" t="n"/>
      <c r="AG283" s="9" t="n"/>
      <c r="AH283" s="9" t="n"/>
      <c r="AI283" s="9" t="n"/>
      <c r="AJ283" s="8" t="n"/>
      <c r="AK283" s="9" t="n"/>
      <c r="AL283" s="9" t="n"/>
      <c r="AM283" s="9" t="n"/>
      <c r="AN283" s="9" t="n"/>
      <c r="AO283" s="9" t="n"/>
      <c r="AP283" s="9" t="n"/>
      <c r="AQ283" s="9" t="n"/>
      <c r="AR283" s="9" t="n"/>
      <c r="AS283" s="9" t="n"/>
      <c r="AT283" s="8" t="n"/>
      <c r="AU283" s="8" t="n"/>
      <c r="AV283" s="9" t="n"/>
      <c r="AW283" s="8" t="n"/>
      <c r="AX283" s="9" t="n"/>
      <c r="AY283" s="9" t="n"/>
      <c r="AZ283" s="9" t="n"/>
      <c r="BA283" s="9" t="n"/>
      <c r="BB283" s="9" t="n"/>
      <c r="BC283" s="9" t="n"/>
      <c r="BD283" s="9" t="n"/>
      <c r="BE283" s="9" t="n"/>
      <c r="BF283" s="9" t="n"/>
      <c r="BG283" s="9" t="n"/>
      <c r="BH283" s="9" t="n"/>
      <c r="BI283" s="9" t="n"/>
      <c r="BJ283" s="9" t="n"/>
      <c r="BK283" s="9" t="n"/>
      <c r="BL283" s="9" t="n"/>
      <c r="BM283" s="9" t="n"/>
      <c r="BN283" s="9" t="n"/>
      <c r="BO283" s="8" t="n"/>
      <c r="BP283" s="9" t="n"/>
      <c r="BQ283" s="9" t="n"/>
      <c r="BR283" s="12">
        <f>IF(AND(AI283="Y",AK283="Y",AL283="Y",AM283="Y",AY283="Y",AZ283="Y",BA283="Y",BB283="Y",BC283="Y",BE283&lt;&gt;"Y",AX283&lt;&gt;"Y",BL283&lt;&gt;"Y",IF(AS283="Y",AV283="Y",TRUE)),"Y","N")</f>
        <v/>
      </c>
      <c r="BS283" s="12">
        <f>IF(AND(BR283="Y",OR(AND(BJ283="Y",BM283="Y"),AND(BK283="Y",BN283="Y"),AND(BJ283&lt;&gt;"Y",BK283&lt;&gt;"Y",OR(BM283="Y",BN283="Y")))),"Y","N")</f>
        <v/>
      </c>
      <c r="BT283" s="10" t="n"/>
      <c r="BU283" s="13" t="n"/>
      <c r="BV283" s="13" t="n"/>
      <c r="BW283" s="13" t="n"/>
      <c r="BX283" s="13" t="n"/>
      <c r="BY283" s="13" t="n"/>
      <c r="BZ283" s="13" t="n"/>
      <c r="CA283" s="14" t="n"/>
      <c r="CB283" s="13" t="n"/>
      <c r="CC283" s="9" t="n"/>
      <c r="CD283" s="9" t="n"/>
      <c r="CE283" s="9" t="n"/>
      <c r="CF283" s="9" t="n"/>
      <c r="CG283" s="9" t="n"/>
      <c r="CH283" s="9" t="n"/>
    </row>
    <row r="284">
      <c r="A284" s="8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8" t="n"/>
      <c r="L284" s="9" t="n"/>
      <c r="M284" s="8" t="n"/>
      <c r="N284" s="8" t="n"/>
      <c r="O284" s="8" t="n"/>
      <c r="P284" s="8" t="n"/>
      <c r="Q284" s="8" t="n"/>
      <c r="R284" s="9" t="n"/>
      <c r="S284" s="9" t="n"/>
      <c r="T284" s="10" t="n"/>
      <c r="U284" s="10" t="n"/>
      <c r="V284" s="9" t="n"/>
      <c r="W284" s="9" t="n"/>
      <c r="X284" s="9" t="n"/>
      <c r="Y284" s="9" t="n"/>
      <c r="Z284" s="11" t="n"/>
      <c r="AA284" s="11" t="n"/>
      <c r="AB284" s="11" t="n"/>
      <c r="AC284" s="11" t="n"/>
      <c r="AD284" s="11" t="n"/>
      <c r="AE284" s="11" t="n"/>
      <c r="AF284" s="9" t="n"/>
      <c r="AG284" s="9" t="n"/>
      <c r="AH284" s="9" t="n"/>
      <c r="AI284" s="9" t="n"/>
      <c r="AJ284" s="8" t="n"/>
      <c r="AK284" s="9" t="n"/>
      <c r="AL284" s="9" t="n"/>
      <c r="AM284" s="9" t="n"/>
      <c r="AN284" s="9" t="n"/>
      <c r="AO284" s="9" t="n"/>
      <c r="AP284" s="9" t="n"/>
      <c r="AQ284" s="9" t="n"/>
      <c r="AR284" s="9" t="n"/>
      <c r="AS284" s="9" t="n"/>
      <c r="AT284" s="8" t="n"/>
      <c r="AU284" s="8" t="n"/>
      <c r="AV284" s="9" t="n"/>
      <c r="AW284" s="8" t="n"/>
      <c r="AX284" s="9" t="n"/>
      <c r="AY284" s="9" t="n"/>
      <c r="AZ284" s="9" t="n"/>
      <c r="BA284" s="9" t="n"/>
      <c r="BB284" s="9" t="n"/>
      <c r="BC284" s="9" t="n"/>
      <c r="BD284" s="9" t="n"/>
      <c r="BE284" s="9" t="n"/>
      <c r="BF284" s="9" t="n"/>
      <c r="BG284" s="9" t="n"/>
      <c r="BH284" s="9" t="n"/>
      <c r="BI284" s="9" t="n"/>
      <c r="BJ284" s="9" t="n"/>
      <c r="BK284" s="9" t="n"/>
      <c r="BL284" s="9" t="n"/>
      <c r="BM284" s="9" t="n"/>
      <c r="BN284" s="9" t="n"/>
      <c r="BO284" s="8" t="n"/>
      <c r="BP284" s="9" t="n"/>
      <c r="BQ284" s="9" t="n"/>
      <c r="BR284" s="12">
        <f>IF(AND(AI284="Y",AK284="Y",AL284="Y",AM284="Y",AY284="Y",AZ284="Y",BA284="Y",BB284="Y",BC284="Y",BE284&lt;&gt;"Y",AX284&lt;&gt;"Y",BL284&lt;&gt;"Y",IF(AS284="Y",AV284="Y",TRUE)),"Y","N")</f>
        <v/>
      </c>
      <c r="BS284" s="12">
        <f>IF(AND(BR284="Y",OR(AND(BJ284="Y",BM284="Y"),AND(BK284="Y",BN284="Y"),AND(BJ284&lt;&gt;"Y",BK284&lt;&gt;"Y",OR(BM284="Y",BN284="Y")))),"Y","N")</f>
        <v/>
      </c>
      <c r="BT284" s="10" t="n"/>
      <c r="BU284" s="13" t="n"/>
      <c r="BV284" s="13" t="n"/>
      <c r="BW284" s="13" t="n"/>
      <c r="BX284" s="13" t="n"/>
      <c r="BY284" s="13" t="n"/>
      <c r="BZ284" s="13" t="n"/>
      <c r="CA284" s="14" t="n"/>
      <c r="CB284" s="13" t="n"/>
      <c r="CC284" s="9" t="n"/>
      <c r="CD284" s="9" t="n"/>
      <c r="CE284" s="9" t="n"/>
      <c r="CF284" s="9" t="n"/>
      <c r="CG284" s="9" t="n"/>
      <c r="CH284" s="9" t="n"/>
    </row>
    <row r="285">
      <c r="A285" s="8" t="n"/>
      <c r="B285" s="9" t="n"/>
      <c r="C285" s="9" t="n"/>
      <c r="D285" s="9" t="n"/>
      <c r="E285" s="9" t="n"/>
      <c r="F285" s="9" t="n"/>
      <c r="G285" s="9" t="n"/>
      <c r="H285" s="9" t="n"/>
      <c r="I285" s="9" t="n"/>
      <c r="J285" s="9" t="n"/>
      <c r="K285" s="8" t="n"/>
      <c r="L285" s="9" t="n"/>
      <c r="M285" s="8" t="n"/>
      <c r="N285" s="8" t="n"/>
      <c r="O285" s="8" t="n"/>
      <c r="P285" s="8" t="n"/>
      <c r="Q285" s="8" t="n"/>
      <c r="R285" s="9" t="n"/>
      <c r="S285" s="9" t="n"/>
      <c r="T285" s="10" t="n"/>
      <c r="U285" s="10" t="n"/>
      <c r="V285" s="9" t="n"/>
      <c r="W285" s="9" t="n"/>
      <c r="X285" s="9" t="n"/>
      <c r="Y285" s="9" t="n"/>
      <c r="Z285" s="11" t="n"/>
      <c r="AA285" s="11" t="n"/>
      <c r="AB285" s="11" t="n"/>
      <c r="AC285" s="11" t="n"/>
      <c r="AD285" s="11" t="n"/>
      <c r="AE285" s="11" t="n"/>
      <c r="AF285" s="9" t="n"/>
      <c r="AG285" s="9" t="n"/>
      <c r="AH285" s="9" t="n"/>
      <c r="AI285" s="9" t="n"/>
      <c r="AJ285" s="8" t="n"/>
      <c r="AK285" s="9" t="n"/>
      <c r="AL285" s="9" t="n"/>
      <c r="AM285" s="9" t="n"/>
      <c r="AN285" s="9" t="n"/>
      <c r="AO285" s="9" t="n"/>
      <c r="AP285" s="9" t="n"/>
      <c r="AQ285" s="9" t="n"/>
      <c r="AR285" s="9" t="n"/>
      <c r="AS285" s="9" t="n"/>
      <c r="AT285" s="8" t="n"/>
      <c r="AU285" s="8" t="n"/>
      <c r="AV285" s="9" t="n"/>
      <c r="AW285" s="8" t="n"/>
      <c r="AX285" s="9" t="n"/>
      <c r="AY285" s="9" t="n"/>
      <c r="AZ285" s="9" t="n"/>
      <c r="BA285" s="9" t="n"/>
      <c r="BB285" s="9" t="n"/>
      <c r="BC285" s="9" t="n"/>
      <c r="BD285" s="9" t="n"/>
      <c r="BE285" s="9" t="n"/>
      <c r="BF285" s="9" t="n"/>
      <c r="BG285" s="9" t="n"/>
      <c r="BH285" s="9" t="n"/>
      <c r="BI285" s="9" t="n"/>
      <c r="BJ285" s="9" t="n"/>
      <c r="BK285" s="9" t="n"/>
      <c r="BL285" s="9" t="n"/>
      <c r="BM285" s="9" t="n"/>
      <c r="BN285" s="9" t="n"/>
      <c r="BO285" s="8" t="n"/>
      <c r="BP285" s="9" t="n"/>
      <c r="BQ285" s="9" t="n"/>
      <c r="BR285" s="12">
        <f>IF(AND(AI285="Y",AK285="Y",AL285="Y",AM285="Y",AY285="Y",AZ285="Y",BA285="Y",BB285="Y",BC285="Y",BE285&lt;&gt;"Y",AX285&lt;&gt;"Y",BL285&lt;&gt;"Y",IF(AS285="Y",AV285="Y",TRUE)),"Y","N")</f>
        <v/>
      </c>
      <c r="BS285" s="12">
        <f>IF(AND(BR285="Y",OR(AND(BJ285="Y",BM285="Y"),AND(BK285="Y",BN285="Y"),AND(BJ285&lt;&gt;"Y",BK285&lt;&gt;"Y",OR(BM285="Y",BN285="Y")))),"Y","N")</f>
        <v/>
      </c>
      <c r="BT285" s="10" t="n"/>
      <c r="BU285" s="13" t="n"/>
      <c r="BV285" s="13" t="n"/>
      <c r="BW285" s="13" t="n"/>
      <c r="BX285" s="13" t="n"/>
      <c r="BY285" s="13" t="n"/>
      <c r="BZ285" s="13" t="n"/>
      <c r="CA285" s="14" t="n"/>
      <c r="CB285" s="13" t="n"/>
      <c r="CC285" s="9" t="n"/>
      <c r="CD285" s="9" t="n"/>
      <c r="CE285" s="9" t="n"/>
      <c r="CF285" s="9" t="n"/>
      <c r="CG285" s="9" t="n"/>
      <c r="CH285" s="9" t="n"/>
    </row>
    <row r="286">
      <c r="A286" s="8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8" t="n"/>
      <c r="L286" s="9" t="n"/>
      <c r="M286" s="8" t="n"/>
      <c r="N286" s="8" t="n"/>
      <c r="O286" s="8" t="n"/>
      <c r="P286" s="8" t="n"/>
      <c r="Q286" s="8" t="n"/>
      <c r="R286" s="9" t="n"/>
      <c r="S286" s="9" t="n"/>
      <c r="T286" s="10" t="n"/>
      <c r="U286" s="10" t="n"/>
      <c r="V286" s="9" t="n"/>
      <c r="W286" s="9" t="n"/>
      <c r="X286" s="9" t="n"/>
      <c r="Y286" s="9" t="n"/>
      <c r="Z286" s="11" t="n"/>
      <c r="AA286" s="11" t="n"/>
      <c r="AB286" s="11" t="n"/>
      <c r="AC286" s="11" t="n"/>
      <c r="AD286" s="11" t="n"/>
      <c r="AE286" s="11" t="n"/>
      <c r="AF286" s="9" t="n"/>
      <c r="AG286" s="9" t="n"/>
      <c r="AH286" s="9" t="n"/>
      <c r="AI286" s="9" t="n"/>
      <c r="AJ286" s="8" t="n"/>
      <c r="AK286" s="9" t="n"/>
      <c r="AL286" s="9" t="n"/>
      <c r="AM286" s="9" t="n"/>
      <c r="AN286" s="9" t="n"/>
      <c r="AO286" s="9" t="n"/>
      <c r="AP286" s="9" t="n"/>
      <c r="AQ286" s="9" t="n"/>
      <c r="AR286" s="9" t="n"/>
      <c r="AS286" s="9" t="n"/>
      <c r="AT286" s="8" t="n"/>
      <c r="AU286" s="8" t="n"/>
      <c r="AV286" s="9" t="n"/>
      <c r="AW286" s="8" t="n"/>
      <c r="AX286" s="9" t="n"/>
      <c r="AY286" s="9" t="n"/>
      <c r="AZ286" s="9" t="n"/>
      <c r="BA286" s="9" t="n"/>
      <c r="BB286" s="9" t="n"/>
      <c r="BC286" s="9" t="n"/>
      <c r="BD286" s="9" t="n"/>
      <c r="BE286" s="9" t="n"/>
      <c r="BF286" s="9" t="n"/>
      <c r="BG286" s="9" t="n"/>
      <c r="BH286" s="9" t="n"/>
      <c r="BI286" s="9" t="n"/>
      <c r="BJ286" s="9" t="n"/>
      <c r="BK286" s="9" t="n"/>
      <c r="BL286" s="9" t="n"/>
      <c r="BM286" s="9" t="n"/>
      <c r="BN286" s="9" t="n"/>
      <c r="BO286" s="8" t="n"/>
      <c r="BP286" s="9" t="n"/>
      <c r="BQ286" s="9" t="n"/>
      <c r="BR286" s="12">
        <f>IF(AND(AI286="Y",AK286="Y",AL286="Y",AM286="Y",AY286="Y",AZ286="Y",BA286="Y",BB286="Y",BC286="Y",BE286&lt;&gt;"Y",AX286&lt;&gt;"Y",BL286&lt;&gt;"Y",IF(AS286="Y",AV286="Y",TRUE)),"Y","N")</f>
        <v/>
      </c>
      <c r="BS286" s="12">
        <f>IF(AND(BR286="Y",OR(AND(BJ286="Y",BM286="Y"),AND(BK286="Y",BN286="Y"),AND(BJ286&lt;&gt;"Y",BK286&lt;&gt;"Y",OR(BM286="Y",BN286="Y")))),"Y","N")</f>
        <v/>
      </c>
      <c r="BT286" s="10" t="n"/>
      <c r="BU286" s="13" t="n"/>
      <c r="BV286" s="13" t="n"/>
      <c r="BW286" s="13" t="n"/>
      <c r="BX286" s="13" t="n"/>
      <c r="BY286" s="13" t="n"/>
      <c r="BZ286" s="13" t="n"/>
      <c r="CA286" s="14" t="n"/>
      <c r="CB286" s="13" t="n"/>
      <c r="CC286" s="9" t="n"/>
      <c r="CD286" s="9" t="n"/>
      <c r="CE286" s="9" t="n"/>
      <c r="CF286" s="9" t="n"/>
      <c r="CG286" s="9" t="n"/>
      <c r="CH286" s="9" t="n"/>
    </row>
    <row r="287">
      <c r="A287" s="8" t="n"/>
      <c r="B287" s="9" t="n"/>
      <c r="C287" s="9" t="n"/>
      <c r="D287" s="9" t="n"/>
      <c r="E287" s="9" t="n"/>
      <c r="F287" s="9" t="n"/>
      <c r="G287" s="9" t="n"/>
      <c r="H287" s="9" t="n"/>
      <c r="I287" s="9" t="n"/>
      <c r="J287" s="9" t="n"/>
      <c r="K287" s="8" t="n"/>
      <c r="L287" s="9" t="n"/>
      <c r="M287" s="8" t="n"/>
      <c r="N287" s="8" t="n"/>
      <c r="O287" s="8" t="n"/>
      <c r="P287" s="8" t="n"/>
      <c r="Q287" s="8" t="n"/>
      <c r="R287" s="9" t="n"/>
      <c r="S287" s="9" t="n"/>
      <c r="T287" s="10" t="n"/>
      <c r="U287" s="10" t="n"/>
      <c r="V287" s="9" t="n"/>
      <c r="W287" s="9" t="n"/>
      <c r="X287" s="9" t="n"/>
      <c r="Y287" s="9" t="n"/>
      <c r="Z287" s="11" t="n"/>
      <c r="AA287" s="11" t="n"/>
      <c r="AB287" s="11" t="n"/>
      <c r="AC287" s="11" t="n"/>
      <c r="AD287" s="11" t="n"/>
      <c r="AE287" s="11" t="n"/>
      <c r="AF287" s="9" t="n"/>
      <c r="AG287" s="9" t="n"/>
      <c r="AH287" s="9" t="n"/>
      <c r="AI287" s="9" t="n"/>
      <c r="AJ287" s="8" t="n"/>
      <c r="AK287" s="9" t="n"/>
      <c r="AL287" s="9" t="n"/>
      <c r="AM287" s="9" t="n"/>
      <c r="AN287" s="9" t="n"/>
      <c r="AO287" s="9" t="n"/>
      <c r="AP287" s="9" t="n"/>
      <c r="AQ287" s="9" t="n"/>
      <c r="AR287" s="9" t="n"/>
      <c r="AS287" s="9" t="n"/>
      <c r="AT287" s="8" t="n"/>
      <c r="AU287" s="8" t="n"/>
      <c r="AV287" s="9" t="n"/>
      <c r="AW287" s="8" t="n"/>
      <c r="AX287" s="9" t="n"/>
      <c r="AY287" s="9" t="n"/>
      <c r="AZ287" s="9" t="n"/>
      <c r="BA287" s="9" t="n"/>
      <c r="BB287" s="9" t="n"/>
      <c r="BC287" s="9" t="n"/>
      <c r="BD287" s="9" t="n"/>
      <c r="BE287" s="9" t="n"/>
      <c r="BF287" s="9" t="n"/>
      <c r="BG287" s="9" t="n"/>
      <c r="BH287" s="9" t="n"/>
      <c r="BI287" s="9" t="n"/>
      <c r="BJ287" s="9" t="n"/>
      <c r="BK287" s="9" t="n"/>
      <c r="BL287" s="9" t="n"/>
      <c r="BM287" s="9" t="n"/>
      <c r="BN287" s="9" t="n"/>
      <c r="BO287" s="8" t="n"/>
      <c r="BP287" s="9" t="n"/>
      <c r="BQ287" s="9" t="n"/>
      <c r="BR287" s="12">
        <f>IF(AND(AI287="Y",AK287="Y",AL287="Y",AM287="Y",AY287="Y",AZ287="Y",BA287="Y",BB287="Y",BC287="Y",BE287&lt;&gt;"Y",AX287&lt;&gt;"Y",BL287&lt;&gt;"Y",IF(AS287="Y",AV287="Y",TRUE)),"Y","N")</f>
        <v/>
      </c>
      <c r="BS287" s="12">
        <f>IF(AND(BR287="Y",OR(AND(BJ287="Y",BM287="Y"),AND(BK287="Y",BN287="Y"),AND(BJ287&lt;&gt;"Y",BK287&lt;&gt;"Y",OR(BM287="Y",BN287="Y")))),"Y","N")</f>
        <v/>
      </c>
      <c r="BT287" s="10" t="n"/>
      <c r="BU287" s="13" t="n"/>
      <c r="BV287" s="13" t="n"/>
      <c r="BW287" s="13" t="n"/>
      <c r="BX287" s="13" t="n"/>
      <c r="BY287" s="13" t="n"/>
      <c r="BZ287" s="13" t="n"/>
      <c r="CA287" s="14" t="n"/>
      <c r="CB287" s="13" t="n"/>
      <c r="CC287" s="9" t="n"/>
      <c r="CD287" s="9" t="n"/>
      <c r="CE287" s="9" t="n"/>
      <c r="CF287" s="9" t="n"/>
      <c r="CG287" s="9" t="n"/>
      <c r="CH287" s="9" t="n"/>
    </row>
    <row r="288">
      <c r="A288" s="8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8" t="n"/>
      <c r="L288" s="9" t="n"/>
      <c r="M288" s="8" t="n"/>
      <c r="N288" s="8" t="n"/>
      <c r="O288" s="8" t="n"/>
      <c r="P288" s="8" t="n"/>
      <c r="Q288" s="8" t="n"/>
      <c r="R288" s="9" t="n"/>
      <c r="S288" s="9" t="n"/>
      <c r="T288" s="10" t="n"/>
      <c r="U288" s="10" t="n"/>
      <c r="V288" s="9" t="n"/>
      <c r="W288" s="9" t="n"/>
      <c r="X288" s="9" t="n"/>
      <c r="Y288" s="9" t="n"/>
      <c r="Z288" s="11" t="n"/>
      <c r="AA288" s="11" t="n"/>
      <c r="AB288" s="11" t="n"/>
      <c r="AC288" s="11" t="n"/>
      <c r="AD288" s="11" t="n"/>
      <c r="AE288" s="11" t="n"/>
      <c r="AF288" s="9" t="n"/>
      <c r="AG288" s="9" t="n"/>
      <c r="AH288" s="9" t="n"/>
      <c r="AI288" s="9" t="n"/>
      <c r="AJ288" s="8" t="n"/>
      <c r="AK288" s="9" t="n"/>
      <c r="AL288" s="9" t="n"/>
      <c r="AM288" s="9" t="n"/>
      <c r="AN288" s="9" t="n"/>
      <c r="AO288" s="9" t="n"/>
      <c r="AP288" s="9" t="n"/>
      <c r="AQ288" s="9" t="n"/>
      <c r="AR288" s="9" t="n"/>
      <c r="AS288" s="9" t="n"/>
      <c r="AT288" s="8" t="n"/>
      <c r="AU288" s="8" t="n"/>
      <c r="AV288" s="9" t="n"/>
      <c r="AW288" s="8" t="n"/>
      <c r="AX288" s="9" t="n"/>
      <c r="AY288" s="9" t="n"/>
      <c r="AZ288" s="9" t="n"/>
      <c r="BA288" s="9" t="n"/>
      <c r="BB288" s="9" t="n"/>
      <c r="BC288" s="9" t="n"/>
      <c r="BD288" s="9" t="n"/>
      <c r="BE288" s="9" t="n"/>
      <c r="BF288" s="9" t="n"/>
      <c r="BG288" s="9" t="n"/>
      <c r="BH288" s="9" t="n"/>
      <c r="BI288" s="9" t="n"/>
      <c r="BJ288" s="9" t="n"/>
      <c r="BK288" s="9" t="n"/>
      <c r="BL288" s="9" t="n"/>
      <c r="BM288" s="9" t="n"/>
      <c r="BN288" s="9" t="n"/>
      <c r="BO288" s="8" t="n"/>
      <c r="BP288" s="9" t="n"/>
      <c r="BQ288" s="9" t="n"/>
      <c r="BR288" s="12">
        <f>IF(AND(AI288="Y",AK288="Y",AL288="Y",AM288="Y",AY288="Y",AZ288="Y",BA288="Y",BB288="Y",BC288="Y",BE288&lt;&gt;"Y",AX288&lt;&gt;"Y",BL288&lt;&gt;"Y",IF(AS288="Y",AV288="Y",TRUE)),"Y","N")</f>
        <v/>
      </c>
      <c r="BS288" s="12">
        <f>IF(AND(BR288="Y",OR(AND(BJ288="Y",BM288="Y"),AND(BK288="Y",BN288="Y"),AND(BJ288&lt;&gt;"Y",BK288&lt;&gt;"Y",OR(BM288="Y",BN288="Y")))),"Y","N")</f>
        <v/>
      </c>
      <c r="BT288" s="10" t="n"/>
      <c r="BU288" s="13" t="n"/>
      <c r="BV288" s="13" t="n"/>
      <c r="BW288" s="13" t="n"/>
      <c r="BX288" s="13" t="n"/>
      <c r="BY288" s="13" t="n"/>
      <c r="BZ288" s="13" t="n"/>
      <c r="CA288" s="14" t="n"/>
      <c r="CB288" s="13" t="n"/>
      <c r="CC288" s="9" t="n"/>
      <c r="CD288" s="9" t="n"/>
      <c r="CE288" s="9" t="n"/>
      <c r="CF288" s="9" t="n"/>
      <c r="CG288" s="9" t="n"/>
      <c r="CH288" s="9" t="n"/>
    </row>
    <row r="289">
      <c r="A289" s="8" t="n"/>
      <c r="B289" s="9" t="n"/>
      <c r="C289" s="9" t="n"/>
      <c r="D289" s="9" t="n"/>
      <c r="E289" s="9" t="n"/>
      <c r="F289" s="9" t="n"/>
      <c r="G289" s="9" t="n"/>
      <c r="H289" s="9" t="n"/>
      <c r="I289" s="9" t="n"/>
      <c r="J289" s="9" t="n"/>
      <c r="K289" s="8" t="n"/>
      <c r="L289" s="9" t="n"/>
      <c r="M289" s="8" t="n"/>
      <c r="N289" s="8" t="n"/>
      <c r="O289" s="8" t="n"/>
      <c r="P289" s="8" t="n"/>
      <c r="Q289" s="8" t="n"/>
      <c r="R289" s="9" t="n"/>
      <c r="S289" s="9" t="n"/>
      <c r="T289" s="10" t="n"/>
      <c r="U289" s="10" t="n"/>
      <c r="V289" s="9" t="n"/>
      <c r="W289" s="9" t="n"/>
      <c r="X289" s="9" t="n"/>
      <c r="Y289" s="9" t="n"/>
      <c r="Z289" s="11" t="n"/>
      <c r="AA289" s="11" t="n"/>
      <c r="AB289" s="11" t="n"/>
      <c r="AC289" s="11" t="n"/>
      <c r="AD289" s="11" t="n"/>
      <c r="AE289" s="11" t="n"/>
      <c r="AF289" s="9" t="n"/>
      <c r="AG289" s="9" t="n"/>
      <c r="AH289" s="9" t="n"/>
      <c r="AI289" s="9" t="n"/>
      <c r="AJ289" s="8" t="n"/>
      <c r="AK289" s="9" t="n"/>
      <c r="AL289" s="9" t="n"/>
      <c r="AM289" s="9" t="n"/>
      <c r="AN289" s="9" t="n"/>
      <c r="AO289" s="9" t="n"/>
      <c r="AP289" s="9" t="n"/>
      <c r="AQ289" s="9" t="n"/>
      <c r="AR289" s="9" t="n"/>
      <c r="AS289" s="9" t="n"/>
      <c r="AT289" s="8" t="n"/>
      <c r="AU289" s="8" t="n"/>
      <c r="AV289" s="9" t="n"/>
      <c r="AW289" s="8" t="n"/>
      <c r="AX289" s="9" t="n"/>
      <c r="AY289" s="9" t="n"/>
      <c r="AZ289" s="9" t="n"/>
      <c r="BA289" s="9" t="n"/>
      <c r="BB289" s="9" t="n"/>
      <c r="BC289" s="9" t="n"/>
      <c r="BD289" s="9" t="n"/>
      <c r="BE289" s="9" t="n"/>
      <c r="BF289" s="9" t="n"/>
      <c r="BG289" s="9" t="n"/>
      <c r="BH289" s="9" t="n"/>
      <c r="BI289" s="9" t="n"/>
      <c r="BJ289" s="9" t="n"/>
      <c r="BK289" s="9" t="n"/>
      <c r="BL289" s="9" t="n"/>
      <c r="BM289" s="9" t="n"/>
      <c r="BN289" s="9" t="n"/>
      <c r="BO289" s="8" t="n"/>
      <c r="BP289" s="9" t="n"/>
      <c r="BQ289" s="9" t="n"/>
      <c r="BR289" s="12">
        <f>IF(AND(AI289="Y",AK289="Y",AL289="Y",AM289="Y",AY289="Y",AZ289="Y",BA289="Y",BB289="Y",BC289="Y",BE289&lt;&gt;"Y",AX289&lt;&gt;"Y",BL289&lt;&gt;"Y",IF(AS289="Y",AV289="Y",TRUE)),"Y","N")</f>
        <v/>
      </c>
      <c r="BS289" s="12">
        <f>IF(AND(BR289="Y",OR(AND(BJ289="Y",BM289="Y"),AND(BK289="Y",BN289="Y"),AND(BJ289&lt;&gt;"Y",BK289&lt;&gt;"Y",OR(BM289="Y",BN289="Y")))),"Y","N")</f>
        <v/>
      </c>
      <c r="BT289" s="10" t="n"/>
      <c r="BU289" s="13" t="n"/>
      <c r="BV289" s="13" t="n"/>
      <c r="BW289" s="13" t="n"/>
      <c r="BX289" s="13" t="n"/>
      <c r="BY289" s="13" t="n"/>
      <c r="BZ289" s="13" t="n"/>
      <c r="CA289" s="14" t="n"/>
      <c r="CB289" s="13" t="n"/>
      <c r="CC289" s="9" t="n"/>
      <c r="CD289" s="9" t="n"/>
      <c r="CE289" s="9" t="n"/>
      <c r="CF289" s="9" t="n"/>
      <c r="CG289" s="9" t="n"/>
      <c r="CH289" s="9" t="n"/>
    </row>
    <row r="290">
      <c r="A290" s="8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8" t="n"/>
      <c r="L290" s="9" t="n"/>
      <c r="M290" s="8" t="n"/>
      <c r="N290" s="8" t="n"/>
      <c r="O290" s="8" t="n"/>
      <c r="P290" s="8" t="n"/>
      <c r="Q290" s="8" t="n"/>
      <c r="R290" s="9" t="n"/>
      <c r="S290" s="9" t="n"/>
      <c r="T290" s="10" t="n"/>
      <c r="U290" s="10" t="n"/>
      <c r="V290" s="9" t="n"/>
      <c r="W290" s="9" t="n"/>
      <c r="X290" s="9" t="n"/>
      <c r="Y290" s="9" t="n"/>
      <c r="Z290" s="11" t="n"/>
      <c r="AA290" s="11" t="n"/>
      <c r="AB290" s="11" t="n"/>
      <c r="AC290" s="11" t="n"/>
      <c r="AD290" s="11" t="n"/>
      <c r="AE290" s="11" t="n"/>
      <c r="AF290" s="9" t="n"/>
      <c r="AG290" s="9" t="n"/>
      <c r="AH290" s="9" t="n"/>
      <c r="AI290" s="9" t="n"/>
      <c r="AJ290" s="8" t="n"/>
      <c r="AK290" s="9" t="n"/>
      <c r="AL290" s="9" t="n"/>
      <c r="AM290" s="9" t="n"/>
      <c r="AN290" s="9" t="n"/>
      <c r="AO290" s="9" t="n"/>
      <c r="AP290" s="9" t="n"/>
      <c r="AQ290" s="9" t="n"/>
      <c r="AR290" s="9" t="n"/>
      <c r="AS290" s="9" t="n"/>
      <c r="AT290" s="8" t="n"/>
      <c r="AU290" s="8" t="n"/>
      <c r="AV290" s="9" t="n"/>
      <c r="AW290" s="8" t="n"/>
      <c r="AX290" s="9" t="n"/>
      <c r="AY290" s="9" t="n"/>
      <c r="AZ290" s="9" t="n"/>
      <c r="BA290" s="9" t="n"/>
      <c r="BB290" s="9" t="n"/>
      <c r="BC290" s="9" t="n"/>
      <c r="BD290" s="9" t="n"/>
      <c r="BE290" s="9" t="n"/>
      <c r="BF290" s="9" t="n"/>
      <c r="BG290" s="9" t="n"/>
      <c r="BH290" s="9" t="n"/>
      <c r="BI290" s="9" t="n"/>
      <c r="BJ290" s="9" t="n"/>
      <c r="BK290" s="9" t="n"/>
      <c r="BL290" s="9" t="n"/>
      <c r="BM290" s="9" t="n"/>
      <c r="BN290" s="9" t="n"/>
      <c r="BO290" s="8" t="n"/>
      <c r="BP290" s="9" t="n"/>
      <c r="BQ290" s="9" t="n"/>
      <c r="BR290" s="12">
        <f>IF(AND(AI290="Y",AK290="Y",AL290="Y",AM290="Y",AY290="Y",AZ290="Y",BA290="Y",BB290="Y",BC290="Y",BE290&lt;&gt;"Y",AX290&lt;&gt;"Y",BL290&lt;&gt;"Y",IF(AS290="Y",AV290="Y",TRUE)),"Y","N")</f>
        <v/>
      </c>
      <c r="BS290" s="12">
        <f>IF(AND(BR290="Y",OR(AND(BJ290="Y",BM290="Y"),AND(BK290="Y",BN290="Y"),AND(BJ290&lt;&gt;"Y",BK290&lt;&gt;"Y",OR(BM290="Y",BN290="Y")))),"Y","N")</f>
        <v/>
      </c>
      <c r="BT290" s="10" t="n"/>
      <c r="BU290" s="13" t="n"/>
      <c r="BV290" s="13" t="n"/>
      <c r="BW290" s="13" t="n"/>
      <c r="BX290" s="13" t="n"/>
      <c r="BY290" s="13" t="n"/>
      <c r="BZ290" s="13" t="n"/>
      <c r="CA290" s="14" t="n"/>
      <c r="CB290" s="13" t="n"/>
      <c r="CC290" s="9" t="n"/>
      <c r="CD290" s="9" t="n"/>
      <c r="CE290" s="9" t="n"/>
      <c r="CF290" s="9" t="n"/>
      <c r="CG290" s="9" t="n"/>
      <c r="CH290" s="9" t="n"/>
    </row>
    <row r="291">
      <c r="A291" s="8" t="n"/>
      <c r="B291" s="9" t="n"/>
      <c r="C291" s="9" t="n"/>
      <c r="D291" s="9" t="n"/>
      <c r="E291" s="9" t="n"/>
      <c r="F291" s="9" t="n"/>
      <c r="G291" s="9" t="n"/>
      <c r="H291" s="9" t="n"/>
      <c r="I291" s="9" t="n"/>
      <c r="J291" s="9" t="n"/>
      <c r="K291" s="8" t="n"/>
      <c r="L291" s="9" t="n"/>
      <c r="M291" s="8" t="n"/>
      <c r="N291" s="8" t="n"/>
      <c r="O291" s="8" t="n"/>
      <c r="P291" s="8" t="n"/>
      <c r="Q291" s="8" t="n"/>
      <c r="R291" s="9" t="n"/>
      <c r="S291" s="9" t="n"/>
      <c r="T291" s="10" t="n"/>
      <c r="U291" s="10" t="n"/>
      <c r="V291" s="9" t="n"/>
      <c r="W291" s="9" t="n"/>
      <c r="X291" s="9" t="n"/>
      <c r="Y291" s="9" t="n"/>
      <c r="Z291" s="11" t="n"/>
      <c r="AA291" s="11" t="n"/>
      <c r="AB291" s="11" t="n"/>
      <c r="AC291" s="11" t="n"/>
      <c r="AD291" s="11" t="n"/>
      <c r="AE291" s="11" t="n"/>
      <c r="AF291" s="9" t="n"/>
      <c r="AG291" s="9" t="n"/>
      <c r="AH291" s="9" t="n"/>
      <c r="AI291" s="9" t="n"/>
      <c r="AJ291" s="8" t="n"/>
      <c r="AK291" s="9" t="n"/>
      <c r="AL291" s="9" t="n"/>
      <c r="AM291" s="9" t="n"/>
      <c r="AN291" s="9" t="n"/>
      <c r="AO291" s="9" t="n"/>
      <c r="AP291" s="9" t="n"/>
      <c r="AQ291" s="9" t="n"/>
      <c r="AR291" s="9" t="n"/>
      <c r="AS291" s="9" t="n"/>
      <c r="AT291" s="8" t="n"/>
      <c r="AU291" s="8" t="n"/>
      <c r="AV291" s="9" t="n"/>
      <c r="AW291" s="8" t="n"/>
      <c r="AX291" s="9" t="n"/>
      <c r="AY291" s="9" t="n"/>
      <c r="AZ291" s="9" t="n"/>
      <c r="BA291" s="9" t="n"/>
      <c r="BB291" s="9" t="n"/>
      <c r="BC291" s="9" t="n"/>
      <c r="BD291" s="9" t="n"/>
      <c r="BE291" s="9" t="n"/>
      <c r="BF291" s="9" t="n"/>
      <c r="BG291" s="9" t="n"/>
      <c r="BH291" s="9" t="n"/>
      <c r="BI291" s="9" t="n"/>
      <c r="BJ291" s="9" t="n"/>
      <c r="BK291" s="9" t="n"/>
      <c r="BL291" s="9" t="n"/>
      <c r="BM291" s="9" t="n"/>
      <c r="BN291" s="9" t="n"/>
      <c r="BO291" s="8" t="n"/>
      <c r="BP291" s="9" t="n"/>
      <c r="BQ291" s="9" t="n"/>
      <c r="BR291" s="12">
        <f>IF(AND(AI291="Y",AK291="Y",AL291="Y",AM291="Y",AY291="Y",AZ291="Y",BA291="Y",BB291="Y",BC291="Y",BE291&lt;&gt;"Y",AX291&lt;&gt;"Y",BL291&lt;&gt;"Y",IF(AS291="Y",AV291="Y",TRUE)),"Y","N")</f>
        <v/>
      </c>
      <c r="BS291" s="12">
        <f>IF(AND(BR291="Y",OR(AND(BJ291="Y",BM291="Y"),AND(BK291="Y",BN291="Y"),AND(BJ291&lt;&gt;"Y",BK291&lt;&gt;"Y",OR(BM291="Y",BN291="Y")))),"Y","N")</f>
        <v/>
      </c>
      <c r="BT291" s="10" t="n"/>
      <c r="BU291" s="13" t="n"/>
      <c r="BV291" s="13" t="n"/>
      <c r="BW291" s="13" t="n"/>
      <c r="BX291" s="13" t="n"/>
      <c r="BY291" s="13" t="n"/>
      <c r="BZ291" s="13" t="n"/>
      <c r="CA291" s="14" t="n"/>
      <c r="CB291" s="13" t="n"/>
      <c r="CC291" s="9" t="n"/>
      <c r="CD291" s="9" t="n"/>
      <c r="CE291" s="9" t="n"/>
      <c r="CF291" s="9" t="n"/>
      <c r="CG291" s="9" t="n"/>
      <c r="CH291" s="9" t="n"/>
    </row>
    <row r="292">
      <c r="A292" s="8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8" t="n"/>
      <c r="L292" s="9" t="n"/>
      <c r="M292" s="8" t="n"/>
      <c r="N292" s="8" t="n"/>
      <c r="O292" s="8" t="n"/>
      <c r="P292" s="8" t="n"/>
      <c r="Q292" s="8" t="n"/>
      <c r="R292" s="9" t="n"/>
      <c r="S292" s="9" t="n"/>
      <c r="T292" s="10" t="n"/>
      <c r="U292" s="10" t="n"/>
      <c r="V292" s="9" t="n"/>
      <c r="W292" s="9" t="n"/>
      <c r="X292" s="9" t="n"/>
      <c r="Y292" s="9" t="n"/>
      <c r="Z292" s="11" t="n"/>
      <c r="AA292" s="11" t="n"/>
      <c r="AB292" s="11" t="n"/>
      <c r="AC292" s="11" t="n"/>
      <c r="AD292" s="11" t="n"/>
      <c r="AE292" s="11" t="n"/>
      <c r="AF292" s="9" t="n"/>
      <c r="AG292" s="9" t="n"/>
      <c r="AH292" s="9" t="n"/>
      <c r="AI292" s="9" t="n"/>
      <c r="AJ292" s="8" t="n"/>
      <c r="AK292" s="9" t="n"/>
      <c r="AL292" s="9" t="n"/>
      <c r="AM292" s="9" t="n"/>
      <c r="AN292" s="9" t="n"/>
      <c r="AO292" s="9" t="n"/>
      <c r="AP292" s="9" t="n"/>
      <c r="AQ292" s="9" t="n"/>
      <c r="AR292" s="9" t="n"/>
      <c r="AS292" s="9" t="n"/>
      <c r="AT292" s="8" t="n"/>
      <c r="AU292" s="8" t="n"/>
      <c r="AV292" s="9" t="n"/>
      <c r="AW292" s="8" t="n"/>
      <c r="AX292" s="9" t="n"/>
      <c r="AY292" s="9" t="n"/>
      <c r="AZ292" s="9" t="n"/>
      <c r="BA292" s="9" t="n"/>
      <c r="BB292" s="9" t="n"/>
      <c r="BC292" s="9" t="n"/>
      <c r="BD292" s="9" t="n"/>
      <c r="BE292" s="9" t="n"/>
      <c r="BF292" s="9" t="n"/>
      <c r="BG292" s="9" t="n"/>
      <c r="BH292" s="9" t="n"/>
      <c r="BI292" s="9" t="n"/>
      <c r="BJ292" s="9" t="n"/>
      <c r="BK292" s="9" t="n"/>
      <c r="BL292" s="9" t="n"/>
      <c r="BM292" s="9" t="n"/>
      <c r="BN292" s="9" t="n"/>
      <c r="BO292" s="8" t="n"/>
      <c r="BP292" s="9" t="n"/>
      <c r="BQ292" s="9" t="n"/>
      <c r="BR292" s="12">
        <f>IF(AND(AI292="Y",AK292="Y",AL292="Y",AM292="Y",AY292="Y",AZ292="Y",BA292="Y",BB292="Y",BC292="Y",BE292&lt;&gt;"Y",AX292&lt;&gt;"Y",BL292&lt;&gt;"Y",IF(AS292="Y",AV292="Y",TRUE)),"Y","N")</f>
        <v/>
      </c>
      <c r="BS292" s="12">
        <f>IF(AND(BR292="Y",OR(AND(BJ292="Y",BM292="Y"),AND(BK292="Y",BN292="Y"),AND(BJ292&lt;&gt;"Y",BK292&lt;&gt;"Y",OR(BM292="Y",BN292="Y")))),"Y","N")</f>
        <v/>
      </c>
      <c r="BT292" s="10" t="n"/>
      <c r="BU292" s="13" t="n"/>
      <c r="BV292" s="13" t="n"/>
      <c r="BW292" s="13" t="n"/>
      <c r="BX292" s="13" t="n"/>
      <c r="BY292" s="13" t="n"/>
      <c r="BZ292" s="13" t="n"/>
      <c r="CA292" s="14" t="n"/>
      <c r="CB292" s="13" t="n"/>
      <c r="CC292" s="9" t="n"/>
      <c r="CD292" s="9" t="n"/>
      <c r="CE292" s="9" t="n"/>
      <c r="CF292" s="9" t="n"/>
      <c r="CG292" s="9" t="n"/>
      <c r="CH292" s="9" t="n"/>
    </row>
    <row r="293">
      <c r="A293" s="8" t="n"/>
      <c r="B293" s="9" t="n"/>
      <c r="C293" s="9" t="n"/>
      <c r="D293" s="9" t="n"/>
      <c r="E293" s="9" t="n"/>
      <c r="F293" s="9" t="n"/>
      <c r="G293" s="9" t="n"/>
      <c r="H293" s="9" t="n"/>
      <c r="I293" s="9" t="n"/>
      <c r="J293" s="9" t="n"/>
      <c r="K293" s="8" t="n"/>
      <c r="L293" s="9" t="n"/>
      <c r="M293" s="8" t="n"/>
      <c r="N293" s="8" t="n"/>
      <c r="O293" s="8" t="n"/>
      <c r="P293" s="8" t="n"/>
      <c r="Q293" s="8" t="n"/>
      <c r="R293" s="9" t="n"/>
      <c r="S293" s="9" t="n"/>
      <c r="T293" s="10" t="n"/>
      <c r="U293" s="10" t="n"/>
      <c r="V293" s="9" t="n"/>
      <c r="W293" s="9" t="n"/>
      <c r="X293" s="9" t="n"/>
      <c r="Y293" s="9" t="n"/>
      <c r="Z293" s="11" t="n"/>
      <c r="AA293" s="11" t="n"/>
      <c r="AB293" s="11" t="n"/>
      <c r="AC293" s="11" t="n"/>
      <c r="AD293" s="11" t="n"/>
      <c r="AE293" s="11" t="n"/>
      <c r="AF293" s="9" t="n"/>
      <c r="AG293" s="9" t="n"/>
      <c r="AH293" s="9" t="n"/>
      <c r="AI293" s="9" t="n"/>
      <c r="AJ293" s="8" t="n"/>
      <c r="AK293" s="9" t="n"/>
      <c r="AL293" s="9" t="n"/>
      <c r="AM293" s="9" t="n"/>
      <c r="AN293" s="9" t="n"/>
      <c r="AO293" s="9" t="n"/>
      <c r="AP293" s="9" t="n"/>
      <c r="AQ293" s="9" t="n"/>
      <c r="AR293" s="9" t="n"/>
      <c r="AS293" s="9" t="n"/>
      <c r="AT293" s="8" t="n"/>
      <c r="AU293" s="8" t="n"/>
      <c r="AV293" s="9" t="n"/>
      <c r="AW293" s="8" t="n"/>
      <c r="AX293" s="9" t="n"/>
      <c r="AY293" s="9" t="n"/>
      <c r="AZ293" s="9" t="n"/>
      <c r="BA293" s="9" t="n"/>
      <c r="BB293" s="9" t="n"/>
      <c r="BC293" s="9" t="n"/>
      <c r="BD293" s="9" t="n"/>
      <c r="BE293" s="9" t="n"/>
      <c r="BF293" s="9" t="n"/>
      <c r="BG293" s="9" t="n"/>
      <c r="BH293" s="9" t="n"/>
      <c r="BI293" s="9" t="n"/>
      <c r="BJ293" s="9" t="n"/>
      <c r="BK293" s="9" t="n"/>
      <c r="BL293" s="9" t="n"/>
      <c r="BM293" s="9" t="n"/>
      <c r="BN293" s="9" t="n"/>
      <c r="BO293" s="8" t="n"/>
      <c r="BP293" s="9" t="n"/>
      <c r="BQ293" s="9" t="n"/>
      <c r="BR293" s="12">
        <f>IF(AND(AI293="Y",AK293="Y",AL293="Y",AM293="Y",AY293="Y",AZ293="Y",BA293="Y",BB293="Y",BC293="Y",BE293&lt;&gt;"Y",AX293&lt;&gt;"Y",BL293&lt;&gt;"Y",IF(AS293="Y",AV293="Y",TRUE)),"Y","N")</f>
        <v/>
      </c>
      <c r="BS293" s="12">
        <f>IF(AND(BR293="Y",OR(AND(BJ293="Y",BM293="Y"),AND(BK293="Y",BN293="Y"),AND(BJ293&lt;&gt;"Y",BK293&lt;&gt;"Y",OR(BM293="Y",BN293="Y")))),"Y","N")</f>
        <v/>
      </c>
      <c r="BT293" s="10" t="n"/>
      <c r="BU293" s="13" t="n"/>
      <c r="BV293" s="13" t="n"/>
      <c r="BW293" s="13" t="n"/>
      <c r="BX293" s="13" t="n"/>
      <c r="BY293" s="13" t="n"/>
      <c r="BZ293" s="13" t="n"/>
      <c r="CA293" s="14" t="n"/>
      <c r="CB293" s="13" t="n"/>
      <c r="CC293" s="9" t="n"/>
      <c r="CD293" s="9" t="n"/>
      <c r="CE293" s="9" t="n"/>
      <c r="CF293" s="9" t="n"/>
      <c r="CG293" s="9" t="n"/>
      <c r="CH293" s="9" t="n"/>
    </row>
    <row r="294">
      <c r="A294" s="8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8" t="n"/>
      <c r="L294" s="9" t="n"/>
      <c r="M294" s="8" t="n"/>
      <c r="N294" s="8" t="n"/>
      <c r="O294" s="8" t="n"/>
      <c r="P294" s="8" t="n"/>
      <c r="Q294" s="8" t="n"/>
      <c r="R294" s="9" t="n"/>
      <c r="S294" s="9" t="n"/>
      <c r="T294" s="10" t="n"/>
      <c r="U294" s="10" t="n"/>
      <c r="V294" s="9" t="n"/>
      <c r="W294" s="9" t="n"/>
      <c r="X294" s="9" t="n"/>
      <c r="Y294" s="9" t="n"/>
      <c r="Z294" s="11" t="n"/>
      <c r="AA294" s="11" t="n"/>
      <c r="AB294" s="11" t="n"/>
      <c r="AC294" s="11" t="n"/>
      <c r="AD294" s="11" t="n"/>
      <c r="AE294" s="11" t="n"/>
      <c r="AF294" s="9" t="n"/>
      <c r="AG294" s="9" t="n"/>
      <c r="AH294" s="9" t="n"/>
      <c r="AI294" s="9" t="n"/>
      <c r="AJ294" s="8" t="n"/>
      <c r="AK294" s="9" t="n"/>
      <c r="AL294" s="9" t="n"/>
      <c r="AM294" s="9" t="n"/>
      <c r="AN294" s="9" t="n"/>
      <c r="AO294" s="9" t="n"/>
      <c r="AP294" s="9" t="n"/>
      <c r="AQ294" s="9" t="n"/>
      <c r="AR294" s="9" t="n"/>
      <c r="AS294" s="9" t="n"/>
      <c r="AT294" s="8" t="n"/>
      <c r="AU294" s="8" t="n"/>
      <c r="AV294" s="9" t="n"/>
      <c r="AW294" s="8" t="n"/>
      <c r="AX294" s="9" t="n"/>
      <c r="AY294" s="9" t="n"/>
      <c r="AZ294" s="9" t="n"/>
      <c r="BA294" s="9" t="n"/>
      <c r="BB294" s="9" t="n"/>
      <c r="BC294" s="9" t="n"/>
      <c r="BD294" s="9" t="n"/>
      <c r="BE294" s="9" t="n"/>
      <c r="BF294" s="9" t="n"/>
      <c r="BG294" s="9" t="n"/>
      <c r="BH294" s="9" t="n"/>
      <c r="BI294" s="9" t="n"/>
      <c r="BJ294" s="9" t="n"/>
      <c r="BK294" s="9" t="n"/>
      <c r="BL294" s="9" t="n"/>
      <c r="BM294" s="9" t="n"/>
      <c r="BN294" s="9" t="n"/>
      <c r="BO294" s="8" t="n"/>
      <c r="BP294" s="9" t="n"/>
      <c r="BQ294" s="9" t="n"/>
      <c r="BR294" s="12">
        <f>IF(AND(AI294="Y",AK294="Y",AL294="Y",AM294="Y",AY294="Y",AZ294="Y",BA294="Y",BB294="Y",BC294="Y",BE294&lt;&gt;"Y",AX294&lt;&gt;"Y",BL294&lt;&gt;"Y",IF(AS294="Y",AV294="Y",TRUE)),"Y","N")</f>
        <v/>
      </c>
      <c r="BS294" s="12">
        <f>IF(AND(BR294="Y",OR(AND(BJ294="Y",BM294="Y"),AND(BK294="Y",BN294="Y"),AND(BJ294&lt;&gt;"Y",BK294&lt;&gt;"Y",OR(BM294="Y",BN294="Y")))),"Y","N")</f>
        <v/>
      </c>
      <c r="BT294" s="10" t="n"/>
      <c r="BU294" s="13" t="n"/>
      <c r="BV294" s="13" t="n"/>
      <c r="BW294" s="13" t="n"/>
      <c r="BX294" s="13" t="n"/>
      <c r="BY294" s="13" t="n"/>
      <c r="BZ294" s="13" t="n"/>
      <c r="CA294" s="14" t="n"/>
      <c r="CB294" s="13" t="n"/>
      <c r="CC294" s="9" t="n"/>
      <c r="CD294" s="9" t="n"/>
      <c r="CE294" s="9" t="n"/>
      <c r="CF294" s="9" t="n"/>
      <c r="CG294" s="9" t="n"/>
      <c r="CH294" s="9" t="n"/>
    </row>
    <row r="295">
      <c r="A295" s="8" t="n"/>
      <c r="B295" s="9" t="n"/>
      <c r="C295" s="9" t="n"/>
      <c r="D295" s="9" t="n"/>
      <c r="E295" s="9" t="n"/>
      <c r="F295" s="9" t="n"/>
      <c r="G295" s="9" t="n"/>
      <c r="H295" s="9" t="n"/>
      <c r="I295" s="9" t="n"/>
      <c r="J295" s="9" t="n"/>
      <c r="K295" s="8" t="n"/>
      <c r="L295" s="9" t="n"/>
      <c r="M295" s="8" t="n"/>
      <c r="N295" s="8" t="n"/>
      <c r="O295" s="8" t="n"/>
      <c r="P295" s="8" t="n"/>
      <c r="Q295" s="8" t="n"/>
      <c r="R295" s="9" t="n"/>
      <c r="S295" s="9" t="n"/>
      <c r="T295" s="10" t="n"/>
      <c r="U295" s="10" t="n"/>
      <c r="V295" s="9" t="n"/>
      <c r="W295" s="9" t="n"/>
      <c r="X295" s="9" t="n"/>
      <c r="Y295" s="9" t="n"/>
      <c r="Z295" s="11" t="n"/>
      <c r="AA295" s="11" t="n"/>
      <c r="AB295" s="11" t="n"/>
      <c r="AC295" s="11" t="n"/>
      <c r="AD295" s="11" t="n"/>
      <c r="AE295" s="11" t="n"/>
      <c r="AF295" s="9" t="n"/>
      <c r="AG295" s="9" t="n"/>
      <c r="AH295" s="9" t="n"/>
      <c r="AI295" s="9" t="n"/>
      <c r="AJ295" s="8" t="n"/>
      <c r="AK295" s="9" t="n"/>
      <c r="AL295" s="9" t="n"/>
      <c r="AM295" s="9" t="n"/>
      <c r="AN295" s="9" t="n"/>
      <c r="AO295" s="9" t="n"/>
      <c r="AP295" s="9" t="n"/>
      <c r="AQ295" s="9" t="n"/>
      <c r="AR295" s="9" t="n"/>
      <c r="AS295" s="9" t="n"/>
      <c r="AT295" s="8" t="n"/>
      <c r="AU295" s="8" t="n"/>
      <c r="AV295" s="9" t="n"/>
      <c r="AW295" s="8" t="n"/>
      <c r="AX295" s="9" t="n"/>
      <c r="AY295" s="9" t="n"/>
      <c r="AZ295" s="9" t="n"/>
      <c r="BA295" s="9" t="n"/>
      <c r="BB295" s="9" t="n"/>
      <c r="BC295" s="9" t="n"/>
      <c r="BD295" s="9" t="n"/>
      <c r="BE295" s="9" t="n"/>
      <c r="BF295" s="9" t="n"/>
      <c r="BG295" s="9" t="n"/>
      <c r="BH295" s="9" t="n"/>
      <c r="BI295" s="9" t="n"/>
      <c r="BJ295" s="9" t="n"/>
      <c r="BK295" s="9" t="n"/>
      <c r="BL295" s="9" t="n"/>
      <c r="BM295" s="9" t="n"/>
      <c r="BN295" s="9" t="n"/>
      <c r="BO295" s="8" t="n"/>
      <c r="BP295" s="9" t="n"/>
      <c r="BQ295" s="9" t="n"/>
      <c r="BR295" s="12">
        <f>IF(AND(AI295="Y",AK295="Y",AL295="Y",AM295="Y",AY295="Y",AZ295="Y",BA295="Y",BB295="Y",BC295="Y",BE295&lt;&gt;"Y",AX295&lt;&gt;"Y",BL295&lt;&gt;"Y",IF(AS295="Y",AV295="Y",TRUE)),"Y","N")</f>
        <v/>
      </c>
      <c r="BS295" s="12">
        <f>IF(AND(BR295="Y",OR(AND(BJ295="Y",BM295="Y"),AND(BK295="Y",BN295="Y"),AND(BJ295&lt;&gt;"Y",BK295&lt;&gt;"Y",OR(BM295="Y",BN295="Y")))),"Y","N")</f>
        <v/>
      </c>
      <c r="BT295" s="10" t="n"/>
      <c r="BU295" s="13" t="n"/>
      <c r="BV295" s="13" t="n"/>
      <c r="BW295" s="13" t="n"/>
      <c r="BX295" s="13" t="n"/>
      <c r="BY295" s="13" t="n"/>
      <c r="BZ295" s="13" t="n"/>
      <c r="CA295" s="14" t="n"/>
      <c r="CB295" s="13" t="n"/>
      <c r="CC295" s="9" t="n"/>
      <c r="CD295" s="9" t="n"/>
      <c r="CE295" s="9" t="n"/>
      <c r="CF295" s="9" t="n"/>
      <c r="CG295" s="9" t="n"/>
      <c r="CH295" s="9" t="n"/>
    </row>
    <row r="296">
      <c r="A296" s="8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8" t="n"/>
      <c r="L296" s="9" t="n"/>
      <c r="M296" s="8" t="n"/>
      <c r="N296" s="8" t="n"/>
      <c r="O296" s="8" t="n"/>
      <c r="P296" s="8" t="n"/>
      <c r="Q296" s="8" t="n"/>
      <c r="R296" s="9" t="n"/>
      <c r="S296" s="9" t="n"/>
      <c r="T296" s="10" t="n"/>
      <c r="U296" s="10" t="n"/>
      <c r="V296" s="9" t="n"/>
      <c r="W296" s="9" t="n"/>
      <c r="X296" s="9" t="n"/>
      <c r="Y296" s="9" t="n"/>
      <c r="Z296" s="11" t="n"/>
      <c r="AA296" s="11" t="n"/>
      <c r="AB296" s="11" t="n"/>
      <c r="AC296" s="11" t="n"/>
      <c r="AD296" s="11" t="n"/>
      <c r="AE296" s="11" t="n"/>
      <c r="AF296" s="9" t="n"/>
      <c r="AG296" s="9" t="n"/>
      <c r="AH296" s="9" t="n"/>
      <c r="AI296" s="9" t="n"/>
      <c r="AJ296" s="8" t="n"/>
      <c r="AK296" s="9" t="n"/>
      <c r="AL296" s="9" t="n"/>
      <c r="AM296" s="9" t="n"/>
      <c r="AN296" s="9" t="n"/>
      <c r="AO296" s="9" t="n"/>
      <c r="AP296" s="9" t="n"/>
      <c r="AQ296" s="9" t="n"/>
      <c r="AR296" s="9" t="n"/>
      <c r="AS296" s="9" t="n"/>
      <c r="AT296" s="8" t="n"/>
      <c r="AU296" s="8" t="n"/>
      <c r="AV296" s="9" t="n"/>
      <c r="AW296" s="8" t="n"/>
      <c r="AX296" s="9" t="n"/>
      <c r="AY296" s="9" t="n"/>
      <c r="AZ296" s="9" t="n"/>
      <c r="BA296" s="9" t="n"/>
      <c r="BB296" s="9" t="n"/>
      <c r="BC296" s="9" t="n"/>
      <c r="BD296" s="9" t="n"/>
      <c r="BE296" s="9" t="n"/>
      <c r="BF296" s="9" t="n"/>
      <c r="BG296" s="9" t="n"/>
      <c r="BH296" s="9" t="n"/>
      <c r="BI296" s="9" t="n"/>
      <c r="BJ296" s="9" t="n"/>
      <c r="BK296" s="9" t="n"/>
      <c r="BL296" s="9" t="n"/>
      <c r="BM296" s="9" t="n"/>
      <c r="BN296" s="9" t="n"/>
      <c r="BO296" s="8" t="n"/>
      <c r="BP296" s="9" t="n"/>
      <c r="BQ296" s="9" t="n"/>
      <c r="BR296" s="12">
        <f>IF(AND(AI296="Y",AK296="Y",AL296="Y",AM296="Y",AY296="Y",AZ296="Y",BA296="Y",BB296="Y",BC296="Y",BE296&lt;&gt;"Y",AX296&lt;&gt;"Y",BL296&lt;&gt;"Y",IF(AS296="Y",AV296="Y",TRUE)),"Y","N")</f>
        <v/>
      </c>
      <c r="BS296" s="12">
        <f>IF(AND(BR296="Y",OR(AND(BJ296="Y",BM296="Y"),AND(BK296="Y",BN296="Y"),AND(BJ296&lt;&gt;"Y",BK296&lt;&gt;"Y",OR(BM296="Y",BN296="Y")))),"Y","N")</f>
        <v/>
      </c>
      <c r="BT296" s="10" t="n"/>
      <c r="BU296" s="13" t="n"/>
      <c r="BV296" s="13" t="n"/>
      <c r="BW296" s="13" t="n"/>
      <c r="BX296" s="13" t="n"/>
      <c r="BY296" s="13" t="n"/>
      <c r="BZ296" s="13" t="n"/>
      <c r="CA296" s="14" t="n"/>
      <c r="CB296" s="13" t="n"/>
      <c r="CC296" s="9" t="n"/>
      <c r="CD296" s="9" t="n"/>
      <c r="CE296" s="9" t="n"/>
      <c r="CF296" s="9" t="n"/>
      <c r="CG296" s="9" t="n"/>
      <c r="CH296" s="9" t="n"/>
    </row>
    <row r="297">
      <c r="A297" s="8" t="n"/>
      <c r="B297" s="9" t="n"/>
      <c r="C297" s="9" t="n"/>
      <c r="D297" s="9" t="n"/>
      <c r="E297" s="9" t="n"/>
      <c r="F297" s="9" t="n"/>
      <c r="G297" s="9" t="n"/>
      <c r="H297" s="9" t="n"/>
      <c r="I297" s="9" t="n"/>
      <c r="J297" s="9" t="n"/>
      <c r="K297" s="8" t="n"/>
      <c r="L297" s="9" t="n"/>
      <c r="M297" s="8" t="n"/>
      <c r="N297" s="8" t="n"/>
      <c r="O297" s="8" t="n"/>
      <c r="P297" s="8" t="n"/>
      <c r="Q297" s="8" t="n"/>
      <c r="R297" s="9" t="n"/>
      <c r="S297" s="9" t="n"/>
      <c r="T297" s="10" t="n"/>
      <c r="U297" s="10" t="n"/>
      <c r="V297" s="9" t="n"/>
      <c r="W297" s="9" t="n"/>
      <c r="X297" s="9" t="n"/>
      <c r="Y297" s="9" t="n"/>
      <c r="Z297" s="11" t="n"/>
      <c r="AA297" s="11" t="n"/>
      <c r="AB297" s="11" t="n"/>
      <c r="AC297" s="11" t="n"/>
      <c r="AD297" s="11" t="n"/>
      <c r="AE297" s="11" t="n"/>
      <c r="AF297" s="9" t="n"/>
      <c r="AG297" s="9" t="n"/>
      <c r="AH297" s="9" t="n"/>
      <c r="AI297" s="9" t="n"/>
      <c r="AJ297" s="8" t="n"/>
      <c r="AK297" s="9" t="n"/>
      <c r="AL297" s="9" t="n"/>
      <c r="AM297" s="9" t="n"/>
      <c r="AN297" s="9" t="n"/>
      <c r="AO297" s="9" t="n"/>
      <c r="AP297" s="9" t="n"/>
      <c r="AQ297" s="9" t="n"/>
      <c r="AR297" s="9" t="n"/>
      <c r="AS297" s="9" t="n"/>
      <c r="AT297" s="8" t="n"/>
      <c r="AU297" s="8" t="n"/>
      <c r="AV297" s="9" t="n"/>
      <c r="AW297" s="8" t="n"/>
      <c r="AX297" s="9" t="n"/>
      <c r="AY297" s="9" t="n"/>
      <c r="AZ297" s="9" t="n"/>
      <c r="BA297" s="9" t="n"/>
      <c r="BB297" s="9" t="n"/>
      <c r="BC297" s="9" t="n"/>
      <c r="BD297" s="9" t="n"/>
      <c r="BE297" s="9" t="n"/>
      <c r="BF297" s="9" t="n"/>
      <c r="BG297" s="9" t="n"/>
      <c r="BH297" s="9" t="n"/>
      <c r="BI297" s="9" t="n"/>
      <c r="BJ297" s="9" t="n"/>
      <c r="BK297" s="9" t="n"/>
      <c r="BL297" s="9" t="n"/>
      <c r="BM297" s="9" t="n"/>
      <c r="BN297" s="9" t="n"/>
      <c r="BO297" s="8" t="n"/>
      <c r="BP297" s="9" t="n"/>
      <c r="BQ297" s="9" t="n"/>
      <c r="BR297" s="12">
        <f>IF(AND(AI297="Y",AK297="Y",AL297="Y",AM297="Y",AY297="Y",AZ297="Y",BA297="Y",BB297="Y",BC297="Y",BE297&lt;&gt;"Y",AX297&lt;&gt;"Y",BL297&lt;&gt;"Y",IF(AS297="Y",AV297="Y",TRUE)),"Y","N")</f>
        <v/>
      </c>
      <c r="BS297" s="12">
        <f>IF(AND(BR297="Y",OR(AND(BJ297="Y",BM297="Y"),AND(BK297="Y",BN297="Y"),AND(BJ297&lt;&gt;"Y",BK297&lt;&gt;"Y",OR(BM297="Y",BN297="Y")))),"Y","N")</f>
        <v/>
      </c>
      <c r="BT297" s="10" t="n"/>
      <c r="BU297" s="13" t="n"/>
      <c r="BV297" s="13" t="n"/>
      <c r="BW297" s="13" t="n"/>
      <c r="BX297" s="13" t="n"/>
      <c r="BY297" s="13" t="n"/>
      <c r="BZ297" s="13" t="n"/>
      <c r="CA297" s="14" t="n"/>
      <c r="CB297" s="13" t="n"/>
      <c r="CC297" s="9" t="n"/>
      <c r="CD297" s="9" t="n"/>
      <c r="CE297" s="9" t="n"/>
      <c r="CF297" s="9" t="n"/>
      <c r="CG297" s="9" t="n"/>
      <c r="CH297" s="9" t="n"/>
    </row>
    <row r="298">
      <c r="A298" s="8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8" t="n"/>
      <c r="L298" s="9" t="n"/>
      <c r="M298" s="8" t="n"/>
      <c r="N298" s="8" t="n"/>
      <c r="O298" s="8" t="n"/>
      <c r="P298" s="8" t="n"/>
      <c r="Q298" s="8" t="n"/>
      <c r="R298" s="9" t="n"/>
      <c r="S298" s="9" t="n"/>
      <c r="T298" s="10" t="n"/>
      <c r="U298" s="10" t="n"/>
      <c r="V298" s="9" t="n"/>
      <c r="W298" s="9" t="n"/>
      <c r="X298" s="9" t="n"/>
      <c r="Y298" s="9" t="n"/>
      <c r="Z298" s="11" t="n"/>
      <c r="AA298" s="11" t="n"/>
      <c r="AB298" s="11" t="n"/>
      <c r="AC298" s="11" t="n"/>
      <c r="AD298" s="11" t="n"/>
      <c r="AE298" s="11" t="n"/>
      <c r="AF298" s="9" t="n"/>
      <c r="AG298" s="9" t="n"/>
      <c r="AH298" s="9" t="n"/>
      <c r="AI298" s="9" t="n"/>
      <c r="AJ298" s="8" t="n"/>
      <c r="AK298" s="9" t="n"/>
      <c r="AL298" s="9" t="n"/>
      <c r="AM298" s="9" t="n"/>
      <c r="AN298" s="9" t="n"/>
      <c r="AO298" s="9" t="n"/>
      <c r="AP298" s="9" t="n"/>
      <c r="AQ298" s="9" t="n"/>
      <c r="AR298" s="9" t="n"/>
      <c r="AS298" s="9" t="n"/>
      <c r="AT298" s="8" t="n"/>
      <c r="AU298" s="8" t="n"/>
      <c r="AV298" s="9" t="n"/>
      <c r="AW298" s="8" t="n"/>
      <c r="AX298" s="9" t="n"/>
      <c r="AY298" s="9" t="n"/>
      <c r="AZ298" s="9" t="n"/>
      <c r="BA298" s="9" t="n"/>
      <c r="BB298" s="9" t="n"/>
      <c r="BC298" s="9" t="n"/>
      <c r="BD298" s="9" t="n"/>
      <c r="BE298" s="9" t="n"/>
      <c r="BF298" s="9" t="n"/>
      <c r="BG298" s="9" t="n"/>
      <c r="BH298" s="9" t="n"/>
      <c r="BI298" s="9" t="n"/>
      <c r="BJ298" s="9" t="n"/>
      <c r="BK298" s="9" t="n"/>
      <c r="BL298" s="9" t="n"/>
      <c r="BM298" s="9" t="n"/>
      <c r="BN298" s="9" t="n"/>
      <c r="BO298" s="8" t="n"/>
      <c r="BP298" s="9" t="n"/>
      <c r="BQ298" s="9" t="n"/>
      <c r="BR298" s="12">
        <f>IF(AND(AI298="Y",AK298="Y",AL298="Y",AM298="Y",AY298="Y",AZ298="Y",BA298="Y",BB298="Y",BC298="Y",BE298&lt;&gt;"Y",AX298&lt;&gt;"Y",BL298&lt;&gt;"Y",IF(AS298="Y",AV298="Y",TRUE)),"Y","N")</f>
        <v/>
      </c>
      <c r="BS298" s="12">
        <f>IF(AND(BR298="Y",OR(AND(BJ298="Y",BM298="Y"),AND(BK298="Y",BN298="Y"),AND(BJ298&lt;&gt;"Y",BK298&lt;&gt;"Y",OR(BM298="Y",BN298="Y")))),"Y","N")</f>
        <v/>
      </c>
      <c r="BT298" s="10" t="n"/>
      <c r="BU298" s="13" t="n"/>
      <c r="BV298" s="13" t="n"/>
      <c r="BW298" s="13" t="n"/>
      <c r="BX298" s="13" t="n"/>
      <c r="BY298" s="13" t="n"/>
      <c r="BZ298" s="13" t="n"/>
      <c r="CA298" s="14" t="n"/>
      <c r="CB298" s="13" t="n"/>
      <c r="CC298" s="9" t="n"/>
      <c r="CD298" s="9" t="n"/>
      <c r="CE298" s="9" t="n"/>
      <c r="CF298" s="9" t="n"/>
      <c r="CG298" s="9" t="n"/>
      <c r="CH298" s="9" t="n"/>
    </row>
    <row r="299">
      <c r="A299" s="8" t="n"/>
      <c r="B299" s="9" t="n"/>
      <c r="C299" s="9" t="n"/>
      <c r="D299" s="9" t="n"/>
      <c r="E299" s="9" t="n"/>
      <c r="F299" s="9" t="n"/>
      <c r="G299" s="9" t="n"/>
      <c r="H299" s="9" t="n"/>
      <c r="I299" s="9" t="n"/>
      <c r="J299" s="9" t="n"/>
      <c r="K299" s="8" t="n"/>
      <c r="L299" s="9" t="n"/>
      <c r="M299" s="8" t="n"/>
      <c r="N299" s="8" t="n"/>
      <c r="O299" s="8" t="n"/>
      <c r="P299" s="8" t="n"/>
      <c r="Q299" s="8" t="n"/>
      <c r="R299" s="9" t="n"/>
      <c r="S299" s="9" t="n"/>
      <c r="T299" s="10" t="n"/>
      <c r="U299" s="10" t="n"/>
      <c r="V299" s="9" t="n"/>
      <c r="W299" s="9" t="n"/>
      <c r="X299" s="9" t="n"/>
      <c r="Y299" s="9" t="n"/>
      <c r="Z299" s="11" t="n"/>
      <c r="AA299" s="11" t="n"/>
      <c r="AB299" s="11" t="n"/>
      <c r="AC299" s="11" t="n"/>
      <c r="AD299" s="11" t="n"/>
      <c r="AE299" s="11" t="n"/>
      <c r="AF299" s="9" t="n"/>
      <c r="AG299" s="9" t="n"/>
      <c r="AH299" s="9" t="n"/>
      <c r="AI299" s="9" t="n"/>
      <c r="AJ299" s="8" t="n"/>
      <c r="AK299" s="9" t="n"/>
      <c r="AL299" s="9" t="n"/>
      <c r="AM299" s="9" t="n"/>
      <c r="AN299" s="9" t="n"/>
      <c r="AO299" s="9" t="n"/>
      <c r="AP299" s="9" t="n"/>
      <c r="AQ299" s="9" t="n"/>
      <c r="AR299" s="9" t="n"/>
      <c r="AS299" s="9" t="n"/>
      <c r="AT299" s="8" t="n"/>
      <c r="AU299" s="8" t="n"/>
      <c r="AV299" s="9" t="n"/>
      <c r="AW299" s="8" t="n"/>
      <c r="AX299" s="9" t="n"/>
      <c r="AY299" s="9" t="n"/>
      <c r="AZ299" s="9" t="n"/>
      <c r="BA299" s="9" t="n"/>
      <c r="BB299" s="9" t="n"/>
      <c r="BC299" s="9" t="n"/>
      <c r="BD299" s="9" t="n"/>
      <c r="BE299" s="9" t="n"/>
      <c r="BF299" s="9" t="n"/>
      <c r="BG299" s="9" t="n"/>
      <c r="BH299" s="9" t="n"/>
      <c r="BI299" s="9" t="n"/>
      <c r="BJ299" s="9" t="n"/>
      <c r="BK299" s="9" t="n"/>
      <c r="BL299" s="9" t="n"/>
      <c r="BM299" s="9" t="n"/>
      <c r="BN299" s="9" t="n"/>
      <c r="BO299" s="8" t="n"/>
      <c r="BP299" s="9" t="n"/>
      <c r="BQ299" s="9" t="n"/>
      <c r="BR299" s="12">
        <f>IF(AND(AI299="Y",AK299="Y",AL299="Y",AM299="Y",AY299="Y",AZ299="Y",BA299="Y",BB299="Y",BC299="Y",BE299&lt;&gt;"Y",AX299&lt;&gt;"Y",BL299&lt;&gt;"Y",IF(AS299="Y",AV299="Y",TRUE)),"Y","N")</f>
        <v/>
      </c>
      <c r="BS299" s="12">
        <f>IF(AND(BR299="Y",OR(AND(BJ299="Y",BM299="Y"),AND(BK299="Y",BN299="Y"),AND(BJ299&lt;&gt;"Y",BK299&lt;&gt;"Y",OR(BM299="Y",BN299="Y")))),"Y","N")</f>
        <v/>
      </c>
      <c r="BT299" s="10" t="n"/>
      <c r="BU299" s="13" t="n"/>
      <c r="BV299" s="13" t="n"/>
      <c r="BW299" s="13" t="n"/>
      <c r="BX299" s="13" t="n"/>
      <c r="BY299" s="13" t="n"/>
      <c r="BZ299" s="13" t="n"/>
      <c r="CA299" s="14" t="n"/>
      <c r="CB299" s="13" t="n"/>
      <c r="CC299" s="9" t="n"/>
      <c r="CD299" s="9" t="n"/>
      <c r="CE299" s="9" t="n"/>
      <c r="CF299" s="9" t="n"/>
      <c r="CG299" s="9" t="n"/>
      <c r="CH299" s="9" t="n"/>
    </row>
    <row r="300">
      <c r="A300" s="8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8" t="n"/>
      <c r="L300" s="9" t="n"/>
      <c r="M300" s="8" t="n"/>
      <c r="N300" s="8" t="n"/>
      <c r="O300" s="8" t="n"/>
      <c r="P300" s="8" t="n"/>
      <c r="Q300" s="8" t="n"/>
      <c r="R300" s="9" t="n"/>
      <c r="S300" s="9" t="n"/>
      <c r="T300" s="10" t="n"/>
      <c r="U300" s="10" t="n"/>
      <c r="V300" s="9" t="n"/>
      <c r="W300" s="9" t="n"/>
      <c r="X300" s="9" t="n"/>
      <c r="Y300" s="9" t="n"/>
      <c r="Z300" s="11" t="n"/>
      <c r="AA300" s="11" t="n"/>
      <c r="AB300" s="11" t="n"/>
      <c r="AC300" s="11" t="n"/>
      <c r="AD300" s="11" t="n"/>
      <c r="AE300" s="11" t="n"/>
      <c r="AF300" s="9" t="n"/>
      <c r="AG300" s="9" t="n"/>
      <c r="AH300" s="9" t="n"/>
      <c r="AI300" s="9" t="n"/>
      <c r="AJ300" s="8" t="n"/>
      <c r="AK300" s="9" t="n"/>
      <c r="AL300" s="9" t="n"/>
      <c r="AM300" s="9" t="n"/>
      <c r="AN300" s="9" t="n"/>
      <c r="AO300" s="9" t="n"/>
      <c r="AP300" s="9" t="n"/>
      <c r="AQ300" s="9" t="n"/>
      <c r="AR300" s="9" t="n"/>
      <c r="AS300" s="9" t="n"/>
      <c r="AT300" s="8" t="n"/>
      <c r="AU300" s="8" t="n"/>
      <c r="AV300" s="9" t="n"/>
      <c r="AW300" s="8" t="n"/>
      <c r="AX300" s="9" t="n"/>
      <c r="AY300" s="9" t="n"/>
      <c r="AZ300" s="9" t="n"/>
      <c r="BA300" s="9" t="n"/>
      <c r="BB300" s="9" t="n"/>
      <c r="BC300" s="9" t="n"/>
      <c r="BD300" s="9" t="n"/>
      <c r="BE300" s="9" t="n"/>
      <c r="BF300" s="9" t="n"/>
      <c r="BG300" s="9" t="n"/>
      <c r="BH300" s="9" t="n"/>
      <c r="BI300" s="9" t="n"/>
      <c r="BJ300" s="9" t="n"/>
      <c r="BK300" s="9" t="n"/>
      <c r="BL300" s="9" t="n"/>
      <c r="BM300" s="9" t="n"/>
      <c r="BN300" s="9" t="n"/>
      <c r="BO300" s="8" t="n"/>
      <c r="BP300" s="9" t="n"/>
      <c r="BQ300" s="9" t="n"/>
      <c r="BR300" s="12">
        <f>IF(AND(AI300="Y",AK300="Y",AL300="Y",AM300="Y",AY300="Y",AZ300="Y",BA300="Y",BB300="Y",BC300="Y",BE300&lt;&gt;"Y",AX300&lt;&gt;"Y",BL300&lt;&gt;"Y",IF(AS300="Y",AV300="Y",TRUE)),"Y","N")</f>
        <v/>
      </c>
      <c r="BS300" s="12">
        <f>IF(AND(BR300="Y",OR(AND(BJ300="Y",BM300="Y"),AND(BK300="Y",BN300="Y"),AND(BJ300&lt;&gt;"Y",BK300&lt;&gt;"Y",OR(BM300="Y",BN300="Y")))),"Y","N")</f>
        <v/>
      </c>
      <c r="BT300" s="10" t="n"/>
      <c r="BU300" s="13" t="n"/>
      <c r="BV300" s="13" t="n"/>
      <c r="BW300" s="13" t="n"/>
      <c r="BX300" s="13" t="n"/>
      <c r="BY300" s="13" t="n"/>
      <c r="BZ300" s="13" t="n"/>
      <c r="CA300" s="14" t="n"/>
      <c r="CB300" s="13" t="n"/>
      <c r="CC300" s="9" t="n"/>
      <c r="CD300" s="9" t="n"/>
      <c r="CE300" s="9" t="n"/>
      <c r="CF300" s="9" t="n"/>
      <c r="CG300" s="9" t="n"/>
      <c r="CH300" s="9" t="n"/>
    </row>
    <row r="301">
      <c r="A301" s="8" t="n"/>
      <c r="B301" s="9" t="n"/>
      <c r="C301" s="9" t="n"/>
      <c r="D301" s="9" t="n"/>
      <c r="E301" s="9" t="n"/>
      <c r="F301" s="9" t="n"/>
      <c r="G301" s="9" t="n"/>
      <c r="H301" s="9" t="n"/>
      <c r="I301" s="9" t="n"/>
      <c r="J301" s="9" t="n"/>
      <c r="K301" s="8" t="n"/>
      <c r="L301" s="9" t="n"/>
      <c r="M301" s="8" t="n"/>
      <c r="N301" s="8" t="n"/>
      <c r="O301" s="8" t="n"/>
      <c r="P301" s="8" t="n"/>
      <c r="Q301" s="8" t="n"/>
      <c r="R301" s="9" t="n"/>
      <c r="S301" s="9" t="n"/>
      <c r="T301" s="10" t="n"/>
      <c r="U301" s="10" t="n"/>
      <c r="V301" s="9" t="n"/>
      <c r="W301" s="9" t="n"/>
      <c r="X301" s="9" t="n"/>
      <c r="Y301" s="9" t="n"/>
      <c r="Z301" s="11" t="n"/>
      <c r="AA301" s="11" t="n"/>
      <c r="AB301" s="11" t="n"/>
      <c r="AC301" s="11" t="n"/>
      <c r="AD301" s="11" t="n"/>
      <c r="AE301" s="11" t="n"/>
      <c r="AF301" s="9" t="n"/>
      <c r="AG301" s="9" t="n"/>
      <c r="AH301" s="9" t="n"/>
      <c r="AI301" s="9" t="n"/>
      <c r="AJ301" s="8" t="n"/>
      <c r="AK301" s="9" t="n"/>
      <c r="AL301" s="9" t="n"/>
      <c r="AM301" s="9" t="n"/>
      <c r="AN301" s="9" t="n"/>
      <c r="AO301" s="9" t="n"/>
      <c r="AP301" s="9" t="n"/>
      <c r="AQ301" s="9" t="n"/>
      <c r="AR301" s="9" t="n"/>
      <c r="AS301" s="9" t="n"/>
      <c r="AT301" s="8" t="n"/>
      <c r="AU301" s="8" t="n"/>
      <c r="AV301" s="9" t="n"/>
      <c r="AW301" s="8" t="n"/>
      <c r="AX301" s="9" t="n"/>
      <c r="AY301" s="9" t="n"/>
      <c r="AZ301" s="9" t="n"/>
      <c r="BA301" s="9" t="n"/>
      <c r="BB301" s="9" t="n"/>
      <c r="BC301" s="9" t="n"/>
      <c r="BD301" s="9" t="n"/>
      <c r="BE301" s="9" t="n"/>
      <c r="BF301" s="9" t="n"/>
      <c r="BG301" s="9" t="n"/>
      <c r="BH301" s="9" t="n"/>
      <c r="BI301" s="9" t="n"/>
      <c r="BJ301" s="9" t="n"/>
      <c r="BK301" s="9" t="n"/>
      <c r="BL301" s="9" t="n"/>
      <c r="BM301" s="9" t="n"/>
      <c r="BN301" s="9" t="n"/>
      <c r="BO301" s="8" t="n"/>
      <c r="BP301" s="9" t="n"/>
      <c r="BQ301" s="9" t="n"/>
      <c r="BR301" s="12">
        <f>IF(AND(AI301="Y",AK301="Y",AL301="Y",AM301="Y",AY301="Y",AZ301="Y",BA301="Y",BB301="Y",BC301="Y",BE301&lt;&gt;"Y",AX301&lt;&gt;"Y",BL301&lt;&gt;"Y",IF(AS301="Y",AV301="Y",TRUE)),"Y","N")</f>
        <v/>
      </c>
      <c r="BS301" s="12">
        <f>IF(AND(BR301="Y",OR(AND(BJ301="Y",BM301="Y"),AND(BK301="Y",BN301="Y"),AND(BJ301&lt;&gt;"Y",BK301&lt;&gt;"Y",OR(BM301="Y",BN301="Y")))),"Y","N")</f>
        <v/>
      </c>
      <c r="BT301" s="10" t="n"/>
      <c r="BU301" s="13" t="n"/>
      <c r="BV301" s="13" t="n"/>
      <c r="BW301" s="13" t="n"/>
      <c r="BX301" s="13" t="n"/>
      <c r="BY301" s="13" t="n"/>
      <c r="BZ301" s="13" t="n"/>
      <c r="CA301" s="14" t="n"/>
      <c r="CB301" s="13" t="n"/>
      <c r="CC301" s="9" t="n"/>
      <c r="CD301" s="9" t="n"/>
      <c r="CE301" s="9" t="n"/>
      <c r="CF301" s="9" t="n"/>
      <c r="CG301" s="9" t="n"/>
      <c r="CH301" s="9" t="n"/>
    </row>
    <row r="302">
      <c r="A302" s="8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8" t="n"/>
      <c r="L302" s="9" t="n"/>
      <c r="M302" s="8" t="n"/>
      <c r="N302" s="8" t="n"/>
      <c r="O302" s="8" t="n"/>
      <c r="P302" s="8" t="n"/>
      <c r="Q302" s="8" t="n"/>
      <c r="R302" s="9" t="n"/>
      <c r="S302" s="9" t="n"/>
      <c r="T302" s="10" t="n"/>
      <c r="U302" s="10" t="n"/>
      <c r="V302" s="9" t="n"/>
      <c r="W302" s="9" t="n"/>
      <c r="X302" s="9" t="n"/>
      <c r="Y302" s="9" t="n"/>
      <c r="Z302" s="11" t="n"/>
      <c r="AA302" s="11" t="n"/>
      <c r="AB302" s="11" t="n"/>
      <c r="AC302" s="11" t="n"/>
      <c r="AD302" s="11" t="n"/>
      <c r="AE302" s="11" t="n"/>
      <c r="AF302" s="9" t="n"/>
      <c r="AG302" s="9" t="n"/>
      <c r="AH302" s="9" t="n"/>
      <c r="AI302" s="9" t="n"/>
      <c r="AJ302" s="8" t="n"/>
      <c r="AK302" s="9" t="n"/>
      <c r="AL302" s="9" t="n"/>
      <c r="AM302" s="9" t="n"/>
      <c r="AN302" s="9" t="n"/>
      <c r="AO302" s="9" t="n"/>
      <c r="AP302" s="9" t="n"/>
      <c r="AQ302" s="9" t="n"/>
      <c r="AR302" s="9" t="n"/>
      <c r="AS302" s="9" t="n"/>
      <c r="AT302" s="8" t="n"/>
      <c r="AU302" s="8" t="n"/>
      <c r="AV302" s="9" t="n"/>
      <c r="AW302" s="8" t="n"/>
      <c r="AX302" s="9" t="n"/>
      <c r="AY302" s="9" t="n"/>
      <c r="AZ302" s="9" t="n"/>
      <c r="BA302" s="9" t="n"/>
      <c r="BB302" s="9" t="n"/>
      <c r="BC302" s="9" t="n"/>
      <c r="BD302" s="9" t="n"/>
      <c r="BE302" s="9" t="n"/>
      <c r="BF302" s="9" t="n"/>
      <c r="BG302" s="9" t="n"/>
      <c r="BH302" s="9" t="n"/>
      <c r="BI302" s="9" t="n"/>
      <c r="BJ302" s="9" t="n"/>
      <c r="BK302" s="9" t="n"/>
      <c r="BL302" s="9" t="n"/>
      <c r="BM302" s="9" t="n"/>
      <c r="BN302" s="9" t="n"/>
      <c r="BO302" s="8" t="n"/>
      <c r="BP302" s="9" t="n"/>
      <c r="BQ302" s="9" t="n"/>
      <c r="BR302" s="12">
        <f>IF(AND(AI302="Y",AK302="Y",AL302="Y",AM302="Y",AY302="Y",AZ302="Y",BA302="Y",BB302="Y",BC302="Y",BE302&lt;&gt;"Y",AX302&lt;&gt;"Y",BL302&lt;&gt;"Y",IF(AS302="Y",AV302="Y",TRUE)),"Y","N")</f>
        <v/>
      </c>
      <c r="BS302" s="12">
        <f>IF(AND(BR302="Y",OR(AND(BJ302="Y",BM302="Y"),AND(BK302="Y",BN302="Y"),AND(BJ302&lt;&gt;"Y",BK302&lt;&gt;"Y",OR(BM302="Y",BN302="Y")))),"Y","N")</f>
        <v/>
      </c>
      <c r="BT302" s="10" t="n"/>
      <c r="BU302" s="13" t="n"/>
      <c r="BV302" s="13" t="n"/>
      <c r="BW302" s="13" t="n"/>
      <c r="BX302" s="13" t="n"/>
      <c r="BY302" s="13" t="n"/>
      <c r="BZ302" s="13" t="n"/>
      <c r="CA302" s="14" t="n"/>
      <c r="CB302" s="13" t="n"/>
      <c r="CC302" s="9" t="n"/>
      <c r="CD302" s="9" t="n"/>
      <c r="CE302" s="9" t="n"/>
      <c r="CF302" s="9" t="n"/>
      <c r="CG302" s="9" t="n"/>
      <c r="CH302" s="9" t="n"/>
    </row>
    <row r="303">
      <c r="A303" s="8" t="n"/>
      <c r="B303" s="9" t="n"/>
      <c r="C303" s="9" t="n"/>
      <c r="D303" s="9" t="n"/>
      <c r="E303" s="9" t="n"/>
      <c r="F303" s="9" t="n"/>
      <c r="G303" s="9" t="n"/>
      <c r="H303" s="9" t="n"/>
      <c r="I303" s="9" t="n"/>
      <c r="J303" s="9" t="n"/>
      <c r="K303" s="8" t="n"/>
      <c r="L303" s="9" t="n"/>
      <c r="M303" s="8" t="n"/>
      <c r="N303" s="8" t="n"/>
      <c r="O303" s="8" t="n"/>
      <c r="P303" s="8" t="n"/>
      <c r="Q303" s="8" t="n"/>
      <c r="R303" s="9" t="n"/>
      <c r="S303" s="9" t="n"/>
      <c r="T303" s="10" t="n"/>
      <c r="U303" s="10" t="n"/>
      <c r="V303" s="9" t="n"/>
      <c r="W303" s="9" t="n"/>
      <c r="X303" s="9" t="n"/>
      <c r="Y303" s="9" t="n"/>
      <c r="Z303" s="11" t="n"/>
      <c r="AA303" s="11" t="n"/>
      <c r="AB303" s="11" t="n"/>
      <c r="AC303" s="11" t="n"/>
      <c r="AD303" s="11" t="n"/>
      <c r="AE303" s="11" t="n"/>
      <c r="AF303" s="9" t="n"/>
      <c r="AG303" s="9" t="n"/>
      <c r="AH303" s="9" t="n"/>
      <c r="AI303" s="9" t="n"/>
      <c r="AJ303" s="8" t="n"/>
      <c r="AK303" s="9" t="n"/>
      <c r="AL303" s="9" t="n"/>
      <c r="AM303" s="9" t="n"/>
      <c r="AN303" s="9" t="n"/>
      <c r="AO303" s="9" t="n"/>
      <c r="AP303" s="9" t="n"/>
      <c r="AQ303" s="9" t="n"/>
      <c r="AR303" s="9" t="n"/>
      <c r="AS303" s="9" t="n"/>
      <c r="AT303" s="8" t="n"/>
      <c r="AU303" s="8" t="n"/>
      <c r="AV303" s="9" t="n"/>
      <c r="AW303" s="8" t="n"/>
      <c r="AX303" s="9" t="n"/>
      <c r="AY303" s="9" t="n"/>
      <c r="AZ303" s="9" t="n"/>
      <c r="BA303" s="9" t="n"/>
      <c r="BB303" s="9" t="n"/>
      <c r="BC303" s="9" t="n"/>
      <c r="BD303" s="9" t="n"/>
      <c r="BE303" s="9" t="n"/>
      <c r="BF303" s="9" t="n"/>
      <c r="BG303" s="9" t="n"/>
      <c r="BH303" s="9" t="n"/>
      <c r="BI303" s="9" t="n"/>
      <c r="BJ303" s="9" t="n"/>
      <c r="BK303" s="9" t="n"/>
      <c r="BL303" s="9" t="n"/>
      <c r="BM303" s="9" t="n"/>
      <c r="BN303" s="9" t="n"/>
      <c r="BO303" s="8" t="n"/>
      <c r="BP303" s="9" t="n"/>
      <c r="BQ303" s="9" t="n"/>
      <c r="BR303" s="12">
        <f>IF(AND(AI303="Y",AK303="Y",AL303="Y",AM303="Y",AY303="Y",AZ303="Y",BA303="Y",BB303="Y",BC303="Y",BE303&lt;&gt;"Y",AX303&lt;&gt;"Y",BL303&lt;&gt;"Y",IF(AS303="Y",AV303="Y",TRUE)),"Y","N")</f>
        <v/>
      </c>
      <c r="BS303" s="12">
        <f>IF(AND(BR303="Y",OR(AND(BJ303="Y",BM303="Y"),AND(BK303="Y",BN303="Y"),AND(BJ303&lt;&gt;"Y",BK303&lt;&gt;"Y",OR(BM303="Y",BN303="Y")))),"Y","N")</f>
        <v/>
      </c>
      <c r="BT303" s="10" t="n"/>
      <c r="BU303" s="13" t="n"/>
      <c r="BV303" s="13" t="n"/>
      <c r="BW303" s="13" t="n"/>
      <c r="BX303" s="13" t="n"/>
      <c r="BY303" s="13" t="n"/>
      <c r="BZ303" s="13" t="n"/>
      <c r="CA303" s="14" t="n"/>
      <c r="CB303" s="13" t="n"/>
      <c r="CC303" s="9" t="n"/>
      <c r="CD303" s="9" t="n"/>
      <c r="CE303" s="9" t="n"/>
      <c r="CF303" s="9" t="n"/>
      <c r="CG303" s="9" t="n"/>
      <c r="CH303" s="9" t="n"/>
    </row>
    <row r="304">
      <c r="A304" s="8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8" t="n"/>
      <c r="L304" s="9" t="n"/>
      <c r="M304" s="8" t="n"/>
      <c r="N304" s="8" t="n"/>
      <c r="O304" s="8" t="n"/>
      <c r="P304" s="8" t="n"/>
      <c r="Q304" s="8" t="n"/>
      <c r="R304" s="9" t="n"/>
      <c r="S304" s="9" t="n"/>
      <c r="T304" s="10" t="n"/>
      <c r="U304" s="10" t="n"/>
      <c r="V304" s="9" t="n"/>
      <c r="W304" s="9" t="n"/>
      <c r="X304" s="9" t="n"/>
      <c r="Y304" s="9" t="n"/>
      <c r="Z304" s="11" t="n"/>
      <c r="AA304" s="11" t="n"/>
      <c r="AB304" s="11" t="n"/>
      <c r="AC304" s="11" t="n"/>
      <c r="AD304" s="11" t="n"/>
      <c r="AE304" s="11" t="n"/>
      <c r="AF304" s="9" t="n"/>
      <c r="AG304" s="9" t="n"/>
      <c r="AH304" s="9" t="n"/>
      <c r="AI304" s="9" t="n"/>
      <c r="AJ304" s="8" t="n"/>
      <c r="AK304" s="9" t="n"/>
      <c r="AL304" s="9" t="n"/>
      <c r="AM304" s="9" t="n"/>
      <c r="AN304" s="9" t="n"/>
      <c r="AO304" s="9" t="n"/>
      <c r="AP304" s="9" t="n"/>
      <c r="AQ304" s="9" t="n"/>
      <c r="AR304" s="9" t="n"/>
      <c r="AS304" s="9" t="n"/>
      <c r="AT304" s="8" t="n"/>
      <c r="AU304" s="8" t="n"/>
      <c r="AV304" s="9" t="n"/>
      <c r="AW304" s="8" t="n"/>
      <c r="AX304" s="9" t="n"/>
      <c r="AY304" s="9" t="n"/>
      <c r="AZ304" s="9" t="n"/>
      <c r="BA304" s="9" t="n"/>
      <c r="BB304" s="9" t="n"/>
      <c r="BC304" s="9" t="n"/>
      <c r="BD304" s="9" t="n"/>
      <c r="BE304" s="9" t="n"/>
      <c r="BF304" s="9" t="n"/>
      <c r="BG304" s="9" t="n"/>
      <c r="BH304" s="9" t="n"/>
      <c r="BI304" s="9" t="n"/>
      <c r="BJ304" s="9" t="n"/>
      <c r="BK304" s="9" t="n"/>
      <c r="BL304" s="9" t="n"/>
      <c r="BM304" s="9" t="n"/>
      <c r="BN304" s="9" t="n"/>
      <c r="BO304" s="8" t="n"/>
      <c r="BP304" s="9" t="n"/>
      <c r="BQ304" s="9" t="n"/>
      <c r="BR304" s="12">
        <f>IF(AND(AI304="Y",AK304="Y",AL304="Y",AM304="Y",AY304="Y",AZ304="Y",BA304="Y",BB304="Y",BC304="Y",BE304&lt;&gt;"Y",AX304&lt;&gt;"Y",BL304&lt;&gt;"Y",IF(AS304="Y",AV304="Y",TRUE)),"Y","N")</f>
        <v/>
      </c>
      <c r="BS304" s="12">
        <f>IF(AND(BR304="Y",OR(AND(BJ304="Y",BM304="Y"),AND(BK304="Y",BN304="Y"),AND(BJ304&lt;&gt;"Y",BK304&lt;&gt;"Y",OR(BM304="Y",BN304="Y")))),"Y","N")</f>
        <v/>
      </c>
      <c r="BT304" s="10" t="n"/>
      <c r="BU304" s="13" t="n"/>
      <c r="BV304" s="13" t="n"/>
      <c r="BW304" s="13" t="n"/>
      <c r="BX304" s="13" t="n"/>
      <c r="BY304" s="13" t="n"/>
      <c r="BZ304" s="13" t="n"/>
      <c r="CA304" s="14" t="n"/>
      <c r="CB304" s="13" t="n"/>
      <c r="CC304" s="9" t="n"/>
      <c r="CD304" s="9" t="n"/>
      <c r="CE304" s="9" t="n"/>
      <c r="CF304" s="9" t="n"/>
      <c r="CG304" s="9" t="n"/>
      <c r="CH304" s="9" t="n"/>
    </row>
    <row r="305">
      <c r="A305" s="8" t="n"/>
      <c r="B305" s="9" t="n"/>
      <c r="C305" s="9" t="n"/>
      <c r="D305" s="9" t="n"/>
      <c r="E305" s="9" t="n"/>
      <c r="F305" s="9" t="n"/>
      <c r="G305" s="9" t="n"/>
      <c r="H305" s="9" t="n"/>
      <c r="I305" s="9" t="n"/>
      <c r="J305" s="9" t="n"/>
      <c r="K305" s="8" t="n"/>
      <c r="L305" s="9" t="n"/>
      <c r="M305" s="8" t="n"/>
      <c r="N305" s="8" t="n"/>
      <c r="O305" s="8" t="n"/>
      <c r="P305" s="8" t="n"/>
      <c r="Q305" s="8" t="n"/>
      <c r="R305" s="9" t="n"/>
      <c r="S305" s="9" t="n"/>
      <c r="T305" s="10" t="n"/>
      <c r="U305" s="10" t="n"/>
      <c r="V305" s="9" t="n"/>
      <c r="W305" s="9" t="n"/>
      <c r="X305" s="9" t="n"/>
      <c r="Y305" s="9" t="n"/>
      <c r="Z305" s="11" t="n"/>
      <c r="AA305" s="11" t="n"/>
      <c r="AB305" s="11" t="n"/>
      <c r="AC305" s="11" t="n"/>
      <c r="AD305" s="11" t="n"/>
      <c r="AE305" s="11" t="n"/>
      <c r="AF305" s="9" t="n"/>
      <c r="AG305" s="9" t="n"/>
      <c r="AH305" s="9" t="n"/>
      <c r="AI305" s="9" t="n"/>
      <c r="AJ305" s="8" t="n"/>
      <c r="AK305" s="9" t="n"/>
      <c r="AL305" s="9" t="n"/>
      <c r="AM305" s="9" t="n"/>
      <c r="AN305" s="9" t="n"/>
      <c r="AO305" s="9" t="n"/>
      <c r="AP305" s="9" t="n"/>
      <c r="AQ305" s="9" t="n"/>
      <c r="AR305" s="9" t="n"/>
      <c r="AS305" s="9" t="n"/>
      <c r="AT305" s="8" t="n"/>
      <c r="AU305" s="8" t="n"/>
      <c r="AV305" s="9" t="n"/>
      <c r="AW305" s="8" t="n"/>
      <c r="AX305" s="9" t="n"/>
      <c r="AY305" s="9" t="n"/>
      <c r="AZ305" s="9" t="n"/>
      <c r="BA305" s="9" t="n"/>
      <c r="BB305" s="9" t="n"/>
      <c r="BC305" s="9" t="n"/>
      <c r="BD305" s="9" t="n"/>
      <c r="BE305" s="9" t="n"/>
      <c r="BF305" s="9" t="n"/>
      <c r="BG305" s="9" t="n"/>
      <c r="BH305" s="9" t="n"/>
      <c r="BI305" s="9" t="n"/>
      <c r="BJ305" s="9" t="n"/>
      <c r="BK305" s="9" t="n"/>
      <c r="BL305" s="9" t="n"/>
      <c r="BM305" s="9" t="n"/>
      <c r="BN305" s="9" t="n"/>
      <c r="BO305" s="8" t="n"/>
      <c r="BP305" s="9" t="n"/>
      <c r="BQ305" s="9" t="n"/>
      <c r="BR305" s="12">
        <f>IF(AND(AI305="Y",AK305="Y",AL305="Y",AM305="Y",AY305="Y",AZ305="Y",BA305="Y",BB305="Y",BC305="Y",BE305&lt;&gt;"Y",AX305&lt;&gt;"Y",BL305&lt;&gt;"Y",IF(AS305="Y",AV305="Y",TRUE)),"Y","N")</f>
        <v/>
      </c>
      <c r="BS305" s="12">
        <f>IF(AND(BR305="Y",OR(AND(BJ305="Y",BM305="Y"),AND(BK305="Y",BN305="Y"),AND(BJ305&lt;&gt;"Y",BK305&lt;&gt;"Y",OR(BM305="Y",BN305="Y")))),"Y","N")</f>
        <v/>
      </c>
      <c r="BT305" s="10" t="n"/>
      <c r="BU305" s="13" t="n"/>
      <c r="BV305" s="13" t="n"/>
      <c r="BW305" s="13" t="n"/>
      <c r="BX305" s="13" t="n"/>
      <c r="BY305" s="13" t="n"/>
      <c r="BZ305" s="13" t="n"/>
      <c r="CA305" s="14" t="n"/>
      <c r="CB305" s="13" t="n"/>
      <c r="CC305" s="9" t="n"/>
      <c r="CD305" s="9" t="n"/>
      <c r="CE305" s="9" t="n"/>
      <c r="CF305" s="9" t="n"/>
      <c r="CG305" s="9" t="n"/>
      <c r="CH305" s="9" t="n"/>
    </row>
    <row r="306">
      <c r="A306" s="8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8" t="n"/>
      <c r="L306" s="9" t="n"/>
      <c r="M306" s="8" t="n"/>
      <c r="N306" s="8" t="n"/>
      <c r="O306" s="8" t="n"/>
      <c r="P306" s="8" t="n"/>
      <c r="Q306" s="8" t="n"/>
      <c r="R306" s="9" t="n"/>
      <c r="S306" s="9" t="n"/>
      <c r="T306" s="10" t="n"/>
      <c r="U306" s="10" t="n"/>
      <c r="V306" s="9" t="n"/>
      <c r="W306" s="9" t="n"/>
      <c r="X306" s="9" t="n"/>
      <c r="Y306" s="9" t="n"/>
      <c r="Z306" s="11" t="n"/>
      <c r="AA306" s="11" t="n"/>
      <c r="AB306" s="11" t="n"/>
      <c r="AC306" s="11" t="n"/>
      <c r="AD306" s="11" t="n"/>
      <c r="AE306" s="11" t="n"/>
      <c r="AF306" s="9" t="n"/>
      <c r="AG306" s="9" t="n"/>
      <c r="AH306" s="9" t="n"/>
      <c r="AI306" s="9" t="n"/>
      <c r="AJ306" s="8" t="n"/>
      <c r="AK306" s="9" t="n"/>
      <c r="AL306" s="9" t="n"/>
      <c r="AM306" s="9" t="n"/>
      <c r="AN306" s="9" t="n"/>
      <c r="AO306" s="9" t="n"/>
      <c r="AP306" s="9" t="n"/>
      <c r="AQ306" s="9" t="n"/>
      <c r="AR306" s="9" t="n"/>
      <c r="AS306" s="9" t="n"/>
      <c r="AT306" s="8" t="n"/>
      <c r="AU306" s="8" t="n"/>
      <c r="AV306" s="9" t="n"/>
      <c r="AW306" s="8" t="n"/>
      <c r="AX306" s="9" t="n"/>
      <c r="AY306" s="9" t="n"/>
      <c r="AZ306" s="9" t="n"/>
      <c r="BA306" s="9" t="n"/>
      <c r="BB306" s="9" t="n"/>
      <c r="BC306" s="9" t="n"/>
      <c r="BD306" s="9" t="n"/>
      <c r="BE306" s="9" t="n"/>
      <c r="BF306" s="9" t="n"/>
      <c r="BG306" s="9" t="n"/>
      <c r="BH306" s="9" t="n"/>
      <c r="BI306" s="9" t="n"/>
      <c r="BJ306" s="9" t="n"/>
      <c r="BK306" s="9" t="n"/>
      <c r="BL306" s="9" t="n"/>
      <c r="BM306" s="9" t="n"/>
      <c r="BN306" s="9" t="n"/>
      <c r="BO306" s="8" t="n"/>
      <c r="BP306" s="9" t="n"/>
      <c r="BQ306" s="9" t="n"/>
      <c r="BR306" s="12">
        <f>IF(AND(AI306="Y",AK306="Y",AL306="Y",AM306="Y",AY306="Y",AZ306="Y",BA306="Y",BB306="Y",BC306="Y",BE306&lt;&gt;"Y",AX306&lt;&gt;"Y",BL306&lt;&gt;"Y",IF(AS306="Y",AV306="Y",TRUE)),"Y","N")</f>
        <v/>
      </c>
      <c r="BS306" s="12">
        <f>IF(AND(BR306="Y",OR(AND(BJ306="Y",BM306="Y"),AND(BK306="Y",BN306="Y"),AND(BJ306&lt;&gt;"Y",BK306&lt;&gt;"Y",OR(BM306="Y",BN306="Y")))),"Y","N")</f>
        <v/>
      </c>
      <c r="BT306" s="10" t="n"/>
      <c r="BU306" s="13" t="n"/>
      <c r="BV306" s="13" t="n"/>
      <c r="BW306" s="13" t="n"/>
      <c r="BX306" s="13" t="n"/>
      <c r="BY306" s="13" t="n"/>
      <c r="BZ306" s="13" t="n"/>
      <c r="CA306" s="14" t="n"/>
      <c r="CB306" s="13" t="n"/>
      <c r="CC306" s="9" t="n"/>
      <c r="CD306" s="9" t="n"/>
      <c r="CE306" s="9" t="n"/>
      <c r="CF306" s="9" t="n"/>
      <c r="CG306" s="9" t="n"/>
      <c r="CH306" s="9" t="n"/>
    </row>
    <row r="307">
      <c r="A307" s="8" t="n"/>
      <c r="B307" s="9" t="n"/>
      <c r="C307" s="9" t="n"/>
      <c r="D307" s="9" t="n"/>
      <c r="E307" s="9" t="n"/>
      <c r="F307" s="9" t="n"/>
      <c r="G307" s="9" t="n"/>
      <c r="H307" s="9" t="n"/>
      <c r="I307" s="9" t="n"/>
      <c r="J307" s="9" t="n"/>
      <c r="K307" s="8" t="n"/>
      <c r="L307" s="9" t="n"/>
      <c r="M307" s="8" t="n"/>
      <c r="N307" s="8" t="n"/>
      <c r="O307" s="8" t="n"/>
      <c r="P307" s="8" t="n"/>
      <c r="Q307" s="8" t="n"/>
      <c r="R307" s="9" t="n"/>
      <c r="S307" s="9" t="n"/>
      <c r="T307" s="10" t="n"/>
      <c r="U307" s="10" t="n"/>
      <c r="V307" s="9" t="n"/>
      <c r="W307" s="9" t="n"/>
      <c r="X307" s="9" t="n"/>
      <c r="Y307" s="9" t="n"/>
      <c r="Z307" s="11" t="n"/>
      <c r="AA307" s="11" t="n"/>
      <c r="AB307" s="11" t="n"/>
      <c r="AC307" s="11" t="n"/>
      <c r="AD307" s="11" t="n"/>
      <c r="AE307" s="11" t="n"/>
      <c r="AF307" s="9" t="n"/>
      <c r="AG307" s="9" t="n"/>
      <c r="AH307" s="9" t="n"/>
      <c r="AI307" s="9" t="n"/>
      <c r="AJ307" s="8" t="n"/>
      <c r="AK307" s="9" t="n"/>
      <c r="AL307" s="9" t="n"/>
      <c r="AM307" s="9" t="n"/>
      <c r="AN307" s="9" t="n"/>
      <c r="AO307" s="9" t="n"/>
      <c r="AP307" s="9" t="n"/>
      <c r="AQ307" s="9" t="n"/>
      <c r="AR307" s="9" t="n"/>
      <c r="AS307" s="9" t="n"/>
      <c r="AT307" s="8" t="n"/>
      <c r="AU307" s="8" t="n"/>
      <c r="AV307" s="9" t="n"/>
      <c r="AW307" s="8" t="n"/>
      <c r="AX307" s="9" t="n"/>
      <c r="AY307" s="9" t="n"/>
      <c r="AZ307" s="9" t="n"/>
      <c r="BA307" s="9" t="n"/>
      <c r="BB307" s="9" t="n"/>
      <c r="BC307" s="9" t="n"/>
      <c r="BD307" s="9" t="n"/>
      <c r="BE307" s="9" t="n"/>
      <c r="BF307" s="9" t="n"/>
      <c r="BG307" s="9" t="n"/>
      <c r="BH307" s="9" t="n"/>
      <c r="BI307" s="9" t="n"/>
      <c r="BJ307" s="9" t="n"/>
      <c r="BK307" s="9" t="n"/>
      <c r="BL307" s="9" t="n"/>
      <c r="BM307" s="9" t="n"/>
      <c r="BN307" s="9" t="n"/>
      <c r="BO307" s="8" t="n"/>
      <c r="BP307" s="9" t="n"/>
      <c r="BQ307" s="9" t="n"/>
      <c r="BR307" s="12">
        <f>IF(AND(AI307="Y",AK307="Y",AL307="Y",AM307="Y",AY307="Y",AZ307="Y",BA307="Y",BB307="Y",BC307="Y",BE307&lt;&gt;"Y",AX307&lt;&gt;"Y",BL307&lt;&gt;"Y",IF(AS307="Y",AV307="Y",TRUE)),"Y","N")</f>
        <v/>
      </c>
      <c r="BS307" s="12">
        <f>IF(AND(BR307="Y",OR(AND(BJ307="Y",BM307="Y"),AND(BK307="Y",BN307="Y"),AND(BJ307&lt;&gt;"Y",BK307&lt;&gt;"Y",OR(BM307="Y",BN307="Y")))),"Y","N")</f>
        <v/>
      </c>
      <c r="BT307" s="10" t="n"/>
      <c r="BU307" s="13" t="n"/>
      <c r="BV307" s="13" t="n"/>
      <c r="BW307" s="13" t="n"/>
      <c r="BX307" s="13" t="n"/>
      <c r="BY307" s="13" t="n"/>
      <c r="BZ307" s="13" t="n"/>
      <c r="CA307" s="14" t="n"/>
      <c r="CB307" s="13" t="n"/>
      <c r="CC307" s="9" t="n"/>
      <c r="CD307" s="9" t="n"/>
      <c r="CE307" s="9" t="n"/>
      <c r="CF307" s="9" t="n"/>
      <c r="CG307" s="9" t="n"/>
      <c r="CH307" s="9" t="n"/>
    </row>
    <row r="308">
      <c r="A308" s="8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8" t="n"/>
      <c r="L308" s="9" t="n"/>
      <c r="M308" s="8" t="n"/>
      <c r="N308" s="8" t="n"/>
      <c r="O308" s="8" t="n"/>
      <c r="P308" s="8" t="n"/>
      <c r="Q308" s="8" t="n"/>
      <c r="R308" s="9" t="n"/>
      <c r="S308" s="9" t="n"/>
      <c r="T308" s="10" t="n"/>
      <c r="U308" s="10" t="n"/>
      <c r="V308" s="9" t="n"/>
      <c r="W308" s="9" t="n"/>
      <c r="X308" s="9" t="n"/>
      <c r="Y308" s="9" t="n"/>
      <c r="Z308" s="11" t="n"/>
      <c r="AA308" s="11" t="n"/>
      <c r="AB308" s="11" t="n"/>
      <c r="AC308" s="11" t="n"/>
      <c r="AD308" s="11" t="n"/>
      <c r="AE308" s="11" t="n"/>
      <c r="AF308" s="9" t="n"/>
      <c r="AG308" s="9" t="n"/>
      <c r="AH308" s="9" t="n"/>
      <c r="AI308" s="9" t="n"/>
      <c r="AJ308" s="8" t="n"/>
      <c r="AK308" s="9" t="n"/>
      <c r="AL308" s="9" t="n"/>
      <c r="AM308" s="9" t="n"/>
      <c r="AN308" s="9" t="n"/>
      <c r="AO308" s="9" t="n"/>
      <c r="AP308" s="9" t="n"/>
      <c r="AQ308" s="9" t="n"/>
      <c r="AR308" s="9" t="n"/>
      <c r="AS308" s="9" t="n"/>
      <c r="AT308" s="8" t="n"/>
      <c r="AU308" s="8" t="n"/>
      <c r="AV308" s="9" t="n"/>
      <c r="AW308" s="8" t="n"/>
      <c r="AX308" s="9" t="n"/>
      <c r="AY308" s="9" t="n"/>
      <c r="AZ308" s="9" t="n"/>
      <c r="BA308" s="9" t="n"/>
      <c r="BB308" s="9" t="n"/>
      <c r="BC308" s="9" t="n"/>
      <c r="BD308" s="9" t="n"/>
      <c r="BE308" s="9" t="n"/>
      <c r="BF308" s="9" t="n"/>
      <c r="BG308" s="9" t="n"/>
      <c r="BH308" s="9" t="n"/>
      <c r="BI308" s="9" t="n"/>
      <c r="BJ308" s="9" t="n"/>
      <c r="BK308" s="9" t="n"/>
      <c r="BL308" s="9" t="n"/>
      <c r="BM308" s="9" t="n"/>
      <c r="BN308" s="9" t="n"/>
      <c r="BO308" s="8" t="n"/>
      <c r="BP308" s="9" t="n"/>
      <c r="BQ308" s="9" t="n"/>
      <c r="BR308" s="12">
        <f>IF(AND(AI308="Y",AK308="Y",AL308="Y",AM308="Y",AY308="Y",AZ308="Y",BA308="Y",BB308="Y",BC308="Y",BE308&lt;&gt;"Y",AX308&lt;&gt;"Y",BL308&lt;&gt;"Y",IF(AS308="Y",AV308="Y",TRUE)),"Y","N")</f>
        <v/>
      </c>
      <c r="BS308" s="12">
        <f>IF(AND(BR308="Y",OR(AND(BJ308="Y",BM308="Y"),AND(BK308="Y",BN308="Y"),AND(BJ308&lt;&gt;"Y",BK308&lt;&gt;"Y",OR(BM308="Y",BN308="Y")))),"Y","N")</f>
        <v/>
      </c>
      <c r="BT308" s="10" t="n"/>
      <c r="BU308" s="13" t="n"/>
      <c r="BV308" s="13" t="n"/>
      <c r="BW308" s="13" t="n"/>
      <c r="BX308" s="13" t="n"/>
      <c r="BY308" s="13" t="n"/>
      <c r="BZ308" s="13" t="n"/>
      <c r="CA308" s="14" t="n"/>
      <c r="CB308" s="13" t="n"/>
      <c r="CC308" s="9" t="n"/>
      <c r="CD308" s="9" t="n"/>
      <c r="CE308" s="9" t="n"/>
      <c r="CF308" s="9" t="n"/>
      <c r="CG308" s="9" t="n"/>
      <c r="CH308" s="9" t="n"/>
    </row>
    <row r="309">
      <c r="A309" s="8" t="n"/>
      <c r="B309" s="9" t="n"/>
      <c r="C309" s="9" t="n"/>
      <c r="D309" s="9" t="n"/>
      <c r="E309" s="9" t="n"/>
      <c r="F309" s="9" t="n"/>
      <c r="G309" s="9" t="n"/>
      <c r="H309" s="9" t="n"/>
      <c r="I309" s="9" t="n"/>
      <c r="J309" s="9" t="n"/>
      <c r="K309" s="8" t="n"/>
      <c r="L309" s="9" t="n"/>
      <c r="M309" s="8" t="n"/>
      <c r="N309" s="8" t="n"/>
      <c r="O309" s="8" t="n"/>
      <c r="P309" s="8" t="n"/>
      <c r="Q309" s="8" t="n"/>
      <c r="R309" s="9" t="n"/>
      <c r="S309" s="9" t="n"/>
      <c r="T309" s="10" t="n"/>
      <c r="U309" s="10" t="n"/>
      <c r="V309" s="9" t="n"/>
      <c r="W309" s="9" t="n"/>
      <c r="X309" s="9" t="n"/>
      <c r="Y309" s="9" t="n"/>
      <c r="Z309" s="11" t="n"/>
      <c r="AA309" s="11" t="n"/>
      <c r="AB309" s="11" t="n"/>
      <c r="AC309" s="11" t="n"/>
      <c r="AD309" s="11" t="n"/>
      <c r="AE309" s="11" t="n"/>
      <c r="AF309" s="9" t="n"/>
      <c r="AG309" s="9" t="n"/>
      <c r="AH309" s="9" t="n"/>
      <c r="AI309" s="9" t="n"/>
      <c r="AJ309" s="8" t="n"/>
      <c r="AK309" s="9" t="n"/>
      <c r="AL309" s="9" t="n"/>
      <c r="AM309" s="9" t="n"/>
      <c r="AN309" s="9" t="n"/>
      <c r="AO309" s="9" t="n"/>
      <c r="AP309" s="9" t="n"/>
      <c r="AQ309" s="9" t="n"/>
      <c r="AR309" s="9" t="n"/>
      <c r="AS309" s="9" t="n"/>
      <c r="AT309" s="8" t="n"/>
      <c r="AU309" s="8" t="n"/>
      <c r="AV309" s="9" t="n"/>
      <c r="AW309" s="8" t="n"/>
      <c r="AX309" s="9" t="n"/>
      <c r="AY309" s="9" t="n"/>
      <c r="AZ309" s="9" t="n"/>
      <c r="BA309" s="9" t="n"/>
      <c r="BB309" s="9" t="n"/>
      <c r="BC309" s="9" t="n"/>
      <c r="BD309" s="9" t="n"/>
      <c r="BE309" s="9" t="n"/>
      <c r="BF309" s="9" t="n"/>
      <c r="BG309" s="9" t="n"/>
      <c r="BH309" s="9" t="n"/>
      <c r="BI309" s="9" t="n"/>
      <c r="BJ309" s="9" t="n"/>
      <c r="BK309" s="9" t="n"/>
      <c r="BL309" s="9" t="n"/>
      <c r="BM309" s="9" t="n"/>
      <c r="BN309" s="9" t="n"/>
      <c r="BO309" s="8" t="n"/>
      <c r="BP309" s="9" t="n"/>
      <c r="BQ309" s="9" t="n"/>
      <c r="BR309" s="12">
        <f>IF(AND(AI309="Y",AK309="Y",AL309="Y",AM309="Y",AY309="Y",AZ309="Y",BA309="Y",BB309="Y",BC309="Y",BE309&lt;&gt;"Y",AX309&lt;&gt;"Y",BL309&lt;&gt;"Y",IF(AS309="Y",AV309="Y",TRUE)),"Y","N")</f>
        <v/>
      </c>
      <c r="BS309" s="12">
        <f>IF(AND(BR309="Y",OR(AND(BJ309="Y",BM309="Y"),AND(BK309="Y",BN309="Y"),AND(BJ309&lt;&gt;"Y",BK309&lt;&gt;"Y",OR(BM309="Y",BN309="Y")))),"Y","N")</f>
        <v/>
      </c>
      <c r="BT309" s="10" t="n"/>
      <c r="BU309" s="13" t="n"/>
      <c r="BV309" s="13" t="n"/>
      <c r="BW309" s="13" t="n"/>
      <c r="BX309" s="13" t="n"/>
      <c r="BY309" s="13" t="n"/>
      <c r="BZ309" s="13" t="n"/>
      <c r="CA309" s="14" t="n"/>
      <c r="CB309" s="13" t="n"/>
      <c r="CC309" s="9" t="n"/>
      <c r="CD309" s="9" t="n"/>
      <c r="CE309" s="9" t="n"/>
      <c r="CF309" s="9" t="n"/>
      <c r="CG309" s="9" t="n"/>
      <c r="CH309" s="9" t="n"/>
    </row>
    <row r="310">
      <c r="A310" s="8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8" t="n"/>
      <c r="L310" s="9" t="n"/>
      <c r="M310" s="8" t="n"/>
      <c r="N310" s="8" t="n"/>
      <c r="O310" s="8" t="n"/>
      <c r="P310" s="8" t="n"/>
      <c r="Q310" s="8" t="n"/>
      <c r="R310" s="9" t="n"/>
      <c r="S310" s="9" t="n"/>
      <c r="T310" s="10" t="n"/>
      <c r="U310" s="10" t="n"/>
      <c r="V310" s="9" t="n"/>
      <c r="W310" s="9" t="n"/>
      <c r="X310" s="9" t="n"/>
      <c r="Y310" s="9" t="n"/>
      <c r="Z310" s="11" t="n"/>
      <c r="AA310" s="11" t="n"/>
      <c r="AB310" s="11" t="n"/>
      <c r="AC310" s="11" t="n"/>
      <c r="AD310" s="11" t="n"/>
      <c r="AE310" s="11" t="n"/>
      <c r="AF310" s="9" t="n"/>
      <c r="AG310" s="9" t="n"/>
      <c r="AH310" s="9" t="n"/>
      <c r="AI310" s="9" t="n"/>
      <c r="AJ310" s="8" t="n"/>
      <c r="AK310" s="9" t="n"/>
      <c r="AL310" s="9" t="n"/>
      <c r="AM310" s="9" t="n"/>
      <c r="AN310" s="9" t="n"/>
      <c r="AO310" s="9" t="n"/>
      <c r="AP310" s="9" t="n"/>
      <c r="AQ310" s="9" t="n"/>
      <c r="AR310" s="9" t="n"/>
      <c r="AS310" s="9" t="n"/>
      <c r="AT310" s="8" t="n"/>
      <c r="AU310" s="8" t="n"/>
      <c r="AV310" s="9" t="n"/>
      <c r="AW310" s="8" t="n"/>
      <c r="AX310" s="9" t="n"/>
      <c r="AY310" s="9" t="n"/>
      <c r="AZ310" s="9" t="n"/>
      <c r="BA310" s="9" t="n"/>
      <c r="BB310" s="9" t="n"/>
      <c r="BC310" s="9" t="n"/>
      <c r="BD310" s="9" t="n"/>
      <c r="BE310" s="9" t="n"/>
      <c r="BF310" s="9" t="n"/>
      <c r="BG310" s="9" t="n"/>
      <c r="BH310" s="9" t="n"/>
      <c r="BI310" s="9" t="n"/>
      <c r="BJ310" s="9" t="n"/>
      <c r="BK310" s="9" t="n"/>
      <c r="BL310" s="9" t="n"/>
      <c r="BM310" s="9" t="n"/>
      <c r="BN310" s="9" t="n"/>
      <c r="BO310" s="8" t="n"/>
      <c r="BP310" s="9" t="n"/>
      <c r="BQ310" s="9" t="n"/>
      <c r="BR310" s="12">
        <f>IF(AND(AI310="Y",AK310="Y",AL310="Y",AM310="Y",AY310="Y",AZ310="Y",BA310="Y",BB310="Y",BC310="Y",BE310&lt;&gt;"Y",AX310&lt;&gt;"Y",BL310&lt;&gt;"Y",IF(AS310="Y",AV310="Y",TRUE)),"Y","N")</f>
        <v/>
      </c>
      <c r="BS310" s="12">
        <f>IF(AND(BR310="Y",OR(AND(BJ310="Y",BM310="Y"),AND(BK310="Y",BN310="Y"),AND(BJ310&lt;&gt;"Y",BK310&lt;&gt;"Y",OR(BM310="Y",BN310="Y")))),"Y","N")</f>
        <v/>
      </c>
      <c r="BT310" s="10" t="n"/>
      <c r="BU310" s="13" t="n"/>
      <c r="BV310" s="13" t="n"/>
      <c r="BW310" s="13" t="n"/>
      <c r="BX310" s="13" t="n"/>
      <c r="BY310" s="13" t="n"/>
      <c r="BZ310" s="13" t="n"/>
      <c r="CA310" s="14" t="n"/>
      <c r="CB310" s="13" t="n"/>
      <c r="CC310" s="9" t="n"/>
      <c r="CD310" s="9" t="n"/>
      <c r="CE310" s="9" t="n"/>
      <c r="CF310" s="9" t="n"/>
      <c r="CG310" s="9" t="n"/>
      <c r="CH310" s="9" t="n"/>
    </row>
    <row r="311">
      <c r="A311" s="8" t="n"/>
      <c r="B311" s="9" t="n"/>
      <c r="C311" s="9" t="n"/>
      <c r="D311" s="9" t="n"/>
      <c r="E311" s="9" t="n"/>
      <c r="F311" s="9" t="n"/>
      <c r="G311" s="9" t="n"/>
      <c r="H311" s="9" t="n"/>
      <c r="I311" s="9" t="n"/>
      <c r="J311" s="9" t="n"/>
      <c r="K311" s="8" t="n"/>
      <c r="L311" s="9" t="n"/>
      <c r="M311" s="8" t="n"/>
      <c r="N311" s="8" t="n"/>
      <c r="O311" s="8" t="n"/>
      <c r="P311" s="8" t="n"/>
      <c r="Q311" s="8" t="n"/>
      <c r="R311" s="9" t="n"/>
      <c r="S311" s="9" t="n"/>
      <c r="T311" s="10" t="n"/>
      <c r="U311" s="10" t="n"/>
      <c r="V311" s="9" t="n"/>
      <c r="W311" s="9" t="n"/>
      <c r="X311" s="9" t="n"/>
      <c r="Y311" s="9" t="n"/>
      <c r="Z311" s="11" t="n"/>
      <c r="AA311" s="11" t="n"/>
      <c r="AB311" s="11" t="n"/>
      <c r="AC311" s="11" t="n"/>
      <c r="AD311" s="11" t="n"/>
      <c r="AE311" s="11" t="n"/>
      <c r="AF311" s="9" t="n"/>
      <c r="AG311" s="9" t="n"/>
      <c r="AH311" s="9" t="n"/>
      <c r="AI311" s="9" t="n"/>
      <c r="AJ311" s="8" t="n"/>
      <c r="AK311" s="9" t="n"/>
      <c r="AL311" s="9" t="n"/>
      <c r="AM311" s="9" t="n"/>
      <c r="AN311" s="9" t="n"/>
      <c r="AO311" s="9" t="n"/>
      <c r="AP311" s="9" t="n"/>
      <c r="AQ311" s="9" t="n"/>
      <c r="AR311" s="9" t="n"/>
      <c r="AS311" s="9" t="n"/>
      <c r="AT311" s="8" t="n"/>
      <c r="AU311" s="8" t="n"/>
      <c r="AV311" s="9" t="n"/>
      <c r="AW311" s="8" t="n"/>
      <c r="AX311" s="9" t="n"/>
      <c r="AY311" s="9" t="n"/>
      <c r="AZ311" s="9" t="n"/>
      <c r="BA311" s="9" t="n"/>
      <c r="BB311" s="9" t="n"/>
      <c r="BC311" s="9" t="n"/>
      <c r="BD311" s="9" t="n"/>
      <c r="BE311" s="9" t="n"/>
      <c r="BF311" s="9" t="n"/>
      <c r="BG311" s="9" t="n"/>
      <c r="BH311" s="9" t="n"/>
      <c r="BI311" s="9" t="n"/>
      <c r="BJ311" s="9" t="n"/>
      <c r="BK311" s="9" t="n"/>
      <c r="BL311" s="9" t="n"/>
      <c r="BM311" s="9" t="n"/>
      <c r="BN311" s="9" t="n"/>
      <c r="BO311" s="8" t="n"/>
      <c r="BP311" s="9" t="n"/>
      <c r="BQ311" s="9" t="n"/>
      <c r="BR311" s="12">
        <f>IF(AND(AI311="Y",AK311="Y",AL311="Y",AM311="Y",AY311="Y",AZ311="Y",BA311="Y",BB311="Y",BC311="Y",BE311&lt;&gt;"Y",AX311&lt;&gt;"Y",BL311&lt;&gt;"Y",IF(AS311="Y",AV311="Y",TRUE)),"Y","N")</f>
        <v/>
      </c>
      <c r="BS311" s="12">
        <f>IF(AND(BR311="Y",OR(AND(BJ311="Y",BM311="Y"),AND(BK311="Y",BN311="Y"),AND(BJ311&lt;&gt;"Y",BK311&lt;&gt;"Y",OR(BM311="Y",BN311="Y")))),"Y","N")</f>
        <v/>
      </c>
      <c r="BT311" s="10" t="n"/>
      <c r="BU311" s="13" t="n"/>
      <c r="BV311" s="13" t="n"/>
      <c r="BW311" s="13" t="n"/>
      <c r="BX311" s="13" t="n"/>
      <c r="BY311" s="13" t="n"/>
      <c r="BZ311" s="13" t="n"/>
      <c r="CA311" s="14" t="n"/>
      <c r="CB311" s="13" t="n"/>
      <c r="CC311" s="9" t="n"/>
      <c r="CD311" s="9" t="n"/>
      <c r="CE311" s="9" t="n"/>
      <c r="CF311" s="9" t="n"/>
      <c r="CG311" s="9" t="n"/>
      <c r="CH311" s="9" t="n"/>
    </row>
    <row r="312">
      <c r="A312" s="8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8" t="n"/>
      <c r="L312" s="9" t="n"/>
      <c r="M312" s="8" t="n"/>
      <c r="N312" s="8" t="n"/>
      <c r="O312" s="8" t="n"/>
      <c r="P312" s="8" t="n"/>
      <c r="Q312" s="8" t="n"/>
      <c r="R312" s="9" t="n"/>
      <c r="S312" s="9" t="n"/>
      <c r="T312" s="10" t="n"/>
      <c r="U312" s="10" t="n"/>
      <c r="V312" s="9" t="n"/>
      <c r="W312" s="9" t="n"/>
      <c r="X312" s="9" t="n"/>
      <c r="Y312" s="9" t="n"/>
      <c r="Z312" s="11" t="n"/>
      <c r="AA312" s="11" t="n"/>
      <c r="AB312" s="11" t="n"/>
      <c r="AC312" s="11" t="n"/>
      <c r="AD312" s="11" t="n"/>
      <c r="AE312" s="11" t="n"/>
      <c r="AF312" s="9" t="n"/>
      <c r="AG312" s="9" t="n"/>
      <c r="AH312" s="9" t="n"/>
      <c r="AI312" s="9" t="n"/>
      <c r="AJ312" s="8" t="n"/>
      <c r="AK312" s="9" t="n"/>
      <c r="AL312" s="9" t="n"/>
      <c r="AM312" s="9" t="n"/>
      <c r="AN312" s="9" t="n"/>
      <c r="AO312" s="9" t="n"/>
      <c r="AP312" s="9" t="n"/>
      <c r="AQ312" s="9" t="n"/>
      <c r="AR312" s="9" t="n"/>
      <c r="AS312" s="9" t="n"/>
      <c r="AT312" s="8" t="n"/>
      <c r="AU312" s="8" t="n"/>
      <c r="AV312" s="9" t="n"/>
      <c r="AW312" s="8" t="n"/>
      <c r="AX312" s="9" t="n"/>
      <c r="AY312" s="9" t="n"/>
      <c r="AZ312" s="9" t="n"/>
      <c r="BA312" s="9" t="n"/>
      <c r="BB312" s="9" t="n"/>
      <c r="BC312" s="9" t="n"/>
      <c r="BD312" s="9" t="n"/>
      <c r="BE312" s="9" t="n"/>
      <c r="BF312" s="9" t="n"/>
      <c r="BG312" s="9" t="n"/>
      <c r="BH312" s="9" t="n"/>
      <c r="BI312" s="9" t="n"/>
      <c r="BJ312" s="9" t="n"/>
      <c r="BK312" s="9" t="n"/>
      <c r="BL312" s="9" t="n"/>
      <c r="BM312" s="9" t="n"/>
      <c r="BN312" s="9" t="n"/>
      <c r="BO312" s="8" t="n"/>
      <c r="BP312" s="9" t="n"/>
      <c r="BQ312" s="9" t="n"/>
      <c r="BR312" s="12">
        <f>IF(AND(AI312="Y",AK312="Y",AL312="Y",AM312="Y",AY312="Y",AZ312="Y",BA312="Y",BB312="Y",BC312="Y",BE312&lt;&gt;"Y",AX312&lt;&gt;"Y",BL312&lt;&gt;"Y",IF(AS312="Y",AV312="Y",TRUE)),"Y","N")</f>
        <v/>
      </c>
      <c r="BS312" s="12">
        <f>IF(AND(BR312="Y",OR(AND(BJ312="Y",BM312="Y"),AND(BK312="Y",BN312="Y"),AND(BJ312&lt;&gt;"Y",BK312&lt;&gt;"Y",OR(BM312="Y",BN312="Y")))),"Y","N")</f>
        <v/>
      </c>
      <c r="BT312" s="10" t="n"/>
      <c r="BU312" s="13" t="n"/>
      <c r="BV312" s="13" t="n"/>
      <c r="BW312" s="13" t="n"/>
      <c r="BX312" s="13" t="n"/>
      <c r="BY312" s="13" t="n"/>
      <c r="BZ312" s="13" t="n"/>
      <c r="CA312" s="14" t="n"/>
      <c r="CB312" s="13" t="n"/>
      <c r="CC312" s="9" t="n"/>
      <c r="CD312" s="9" t="n"/>
      <c r="CE312" s="9" t="n"/>
      <c r="CF312" s="9" t="n"/>
      <c r="CG312" s="9" t="n"/>
      <c r="CH312" s="9" t="n"/>
    </row>
    <row r="313">
      <c r="A313" s="8" t="n"/>
      <c r="B313" s="9" t="n"/>
      <c r="C313" s="9" t="n"/>
      <c r="D313" s="9" t="n"/>
      <c r="E313" s="9" t="n"/>
      <c r="F313" s="9" t="n"/>
      <c r="G313" s="9" t="n"/>
      <c r="H313" s="9" t="n"/>
      <c r="I313" s="9" t="n"/>
      <c r="J313" s="9" t="n"/>
      <c r="K313" s="8" t="n"/>
      <c r="L313" s="9" t="n"/>
      <c r="M313" s="8" t="n"/>
      <c r="N313" s="8" t="n"/>
      <c r="O313" s="8" t="n"/>
      <c r="P313" s="8" t="n"/>
      <c r="Q313" s="8" t="n"/>
      <c r="R313" s="9" t="n"/>
      <c r="S313" s="9" t="n"/>
      <c r="T313" s="10" t="n"/>
      <c r="U313" s="10" t="n"/>
      <c r="V313" s="9" t="n"/>
      <c r="W313" s="9" t="n"/>
      <c r="X313" s="9" t="n"/>
      <c r="Y313" s="9" t="n"/>
      <c r="Z313" s="11" t="n"/>
      <c r="AA313" s="11" t="n"/>
      <c r="AB313" s="11" t="n"/>
      <c r="AC313" s="11" t="n"/>
      <c r="AD313" s="11" t="n"/>
      <c r="AE313" s="11" t="n"/>
      <c r="AF313" s="9" t="n"/>
      <c r="AG313" s="9" t="n"/>
      <c r="AH313" s="9" t="n"/>
      <c r="AI313" s="9" t="n"/>
      <c r="AJ313" s="8" t="n"/>
      <c r="AK313" s="9" t="n"/>
      <c r="AL313" s="9" t="n"/>
      <c r="AM313" s="9" t="n"/>
      <c r="AN313" s="9" t="n"/>
      <c r="AO313" s="9" t="n"/>
      <c r="AP313" s="9" t="n"/>
      <c r="AQ313" s="9" t="n"/>
      <c r="AR313" s="9" t="n"/>
      <c r="AS313" s="9" t="n"/>
      <c r="AT313" s="8" t="n"/>
      <c r="AU313" s="8" t="n"/>
      <c r="AV313" s="9" t="n"/>
      <c r="AW313" s="8" t="n"/>
      <c r="AX313" s="9" t="n"/>
      <c r="AY313" s="9" t="n"/>
      <c r="AZ313" s="9" t="n"/>
      <c r="BA313" s="9" t="n"/>
      <c r="BB313" s="9" t="n"/>
      <c r="BC313" s="9" t="n"/>
      <c r="BD313" s="9" t="n"/>
      <c r="BE313" s="9" t="n"/>
      <c r="BF313" s="9" t="n"/>
      <c r="BG313" s="9" t="n"/>
      <c r="BH313" s="9" t="n"/>
      <c r="BI313" s="9" t="n"/>
      <c r="BJ313" s="9" t="n"/>
      <c r="BK313" s="9" t="n"/>
      <c r="BL313" s="9" t="n"/>
      <c r="BM313" s="9" t="n"/>
      <c r="BN313" s="9" t="n"/>
      <c r="BO313" s="8" t="n"/>
      <c r="BP313" s="9" t="n"/>
      <c r="BQ313" s="9" t="n"/>
      <c r="BR313" s="12">
        <f>IF(AND(AI313="Y",AK313="Y",AL313="Y",AM313="Y",AY313="Y",AZ313="Y",BA313="Y",BB313="Y",BC313="Y",BE313&lt;&gt;"Y",AX313&lt;&gt;"Y",BL313&lt;&gt;"Y",IF(AS313="Y",AV313="Y",TRUE)),"Y","N")</f>
        <v/>
      </c>
      <c r="BS313" s="12">
        <f>IF(AND(BR313="Y",OR(AND(BJ313="Y",BM313="Y"),AND(BK313="Y",BN313="Y"),AND(BJ313&lt;&gt;"Y",BK313&lt;&gt;"Y",OR(BM313="Y",BN313="Y")))),"Y","N")</f>
        <v/>
      </c>
      <c r="BT313" s="10" t="n"/>
      <c r="BU313" s="13" t="n"/>
      <c r="BV313" s="13" t="n"/>
      <c r="BW313" s="13" t="n"/>
      <c r="BX313" s="13" t="n"/>
      <c r="BY313" s="13" t="n"/>
      <c r="BZ313" s="13" t="n"/>
      <c r="CA313" s="14" t="n"/>
      <c r="CB313" s="13" t="n"/>
      <c r="CC313" s="9" t="n"/>
      <c r="CD313" s="9" t="n"/>
      <c r="CE313" s="9" t="n"/>
      <c r="CF313" s="9" t="n"/>
      <c r="CG313" s="9" t="n"/>
      <c r="CH313" s="9" t="n"/>
    </row>
    <row r="314">
      <c r="A314" s="8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8" t="n"/>
      <c r="L314" s="9" t="n"/>
      <c r="M314" s="8" t="n"/>
      <c r="N314" s="8" t="n"/>
      <c r="O314" s="8" t="n"/>
      <c r="P314" s="8" t="n"/>
      <c r="Q314" s="8" t="n"/>
      <c r="R314" s="9" t="n"/>
      <c r="S314" s="9" t="n"/>
      <c r="T314" s="10" t="n"/>
      <c r="U314" s="10" t="n"/>
      <c r="V314" s="9" t="n"/>
      <c r="W314" s="9" t="n"/>
      <c r="X314" s="9" t="n"/>
      <c r="Y314" s="9" t="n"/>
      <c r="Z314" s="11" t="n"/>
      <c r="AA314" s="11" t="n"/>
      <c r="AB314" s="11" t="n"/>
      <c r="AC314" s="11" t="n"/>
      <c r="AD314" s="11" t="n"/>
      <c r="AE314" s="11" t="n"/>
      <c r="AF314" s="9" t="n"/>
      <c r="AG314" s="9" t="n"/>
      <c r="AH314" s="9" t="n"/>
      <c r="AI314" s="9" t="n"/>
      <c r="AJ314" s="8" t="n"/>
      <c r="AK314" s="9" t="n"/>
      <c r="AL314" s="9" t="n"/>
      <c r="AM314" s="9" t="n"/>
      <c r="AN314" s="9" t="n"/>
      <c r="AO314" s="9" t="n"/>
      <c r="AP314" s="9" t="n"/>
      <c r="AQ314" s="9" t="n"/>
      <c r="AR314" s="9" t="n"/>
      <c r="AS314" s="9" t="n"/>
      <c r="AT314" s="8" t="n"/>
      <c r="AU314" s="8" t="n"/>
      <c r="AV314" s="9" t="n"/>
      <c r="AW314" s="8" t="n"/>
      <c r="AX314" s="9" t="n"/>
      <c r="AY314" s="9" t="n"/>
      <c r="AZ314" s="9" t="n"/>
      <c r="BA314" s="9" t="n"/>
      <c r="BB314" s="9" t="n"/>
      <c r="BC314" s="9" t="n"/>
      <c r="BD314" s="9" t="n"/>
      <c r="BE314" s="9" t="n"/>
      <c r="BF314" s="9" t="n"/>
      <c r="BG314" s="9" t="n"/>
      <c r="BH314" s="9" t="n"/>
      <c r="BI314" s="9" t="n"/>
      <c r="BJ314" s="9" t="n"/>
      <c r="BK314" s="9" t="n"/>
      <c r="BL314" s="9" t="n"/>
      <c r="BM314" s="9" t="n"/>
      <c r="BN314" s="9" t="n"/>
      <c r="BO314" s="8" t="n"/>
      <c r="BP314" s="9" t="n"/>
      <c r="BQ314" s="9" t="n"/>
      <c r="BR314" s="12">
        <f>IF(AND(AI314="Y",AK314="Y",AL314="Y",AM314="Y",AY314="Y",AZ314="Y",BA314="Y",BB314="Y",BC314="Y",BE314&lt;&gt;"Y",AX314&lt;&gt;"Y",BL314&lt;&gt;"Y",IF(AS314="Y",AV314="Y",TRUE)),"Y","N")</f>
        <v/>
      </c>
      <c r="BS314" s="12">
        <f>IF(AND(BR314="Y",OR(AND(BJ314="Y",BM314="Y"),AND(BK314="Y",BN314="Y"),AND(BJ314&lt;&gt;"Y",BK314&lt;&gt;"Y",OR(BM314="Y",BN314="Y")))),"Y","N")</f>
        <v/>
      </c>
      <c r="BT314" s="10" t="n"/>
      <c r="BU314" s="13" t="n"/>
      <c r="BV314" s="13" t="n"/>
      <c r="BW314" s="13" t="n"/>
      <c r="BX314" s="13" t="n"/>
      <c r="BY314" s="13" t="n"/>
      <c r="BZ314" s="13" t="n"/>
      <c r="CA314" s="14" t="n"/>
      <c r="CB314" s="13" t="n"/>
      <c r="CC314" s="9" t="n"/>
      <c r="CD314" s="9" t="n"/>
      <c r="CE314" s="9" t="n"/>
      <c r="CF314" s="9" t="n"/>
      <c r="CG314" s="9" t="n"/>
      <c r="CH314" s="9" t="n"/>
    </row>
    <row r="315">
      <c r="A315" s="8" t="n"/>
      <c r="B315" s="9" t="n"/>
      <c r="C315" s="9" t="n"/>
      <c r="D315" s="9" t="n"/>
      <c r="E315" s="9" t="n"/>
      <c r="F315" s="9" t="n"/>
      <c r="G315" s="9" t="n"/>
      <c r="H315" s="9" t="n"/>
      <c r="I315" s="9" t="n"/>
      <c r="J315" s="9" t="n"/>
      <c r="K315" s="8" t="n"/>
      <c r="L315" s="9" t="n"/>
      <c r="M315" s="8" t="n"/>
      <c r="N315" s="8" t="n"/>
      <c r="O315" s="8" t="n"/>
      <c r="P315" s="8" t="n"/>
      <c r="Q315" s="8" t="n"/>
      <c r="R315" s="9" t="n"/>
      <c r="S315" s="9" t="n"/>
      <c r="T315" s="10" t="n"/>
      <c r="U315" s="10" t="n"/>
      <c r="V315" s="9" t="n"/>
      <c r="W315" s="9" t="n"/>
      <c r="X315" s="9" t="n"/>
      <c r="Y315" s="9" t="n"/>
      <c r="Z315" s="11" t="n"/>
      <c r="AA315" s="11" t="n"/>
      <c r="AB315" s="11" t="n"/>
      <c r="AC315" s="11" t="n"/>
      <c r="AD315" s="11" t="n"/>
      <c r="AE315" s="11" t="n"/>
      <c r="AF315" s="9" t="n"/>
      <c r="AG315" s="9" t="n"/>
      <c r="AH315" s="9" t="n"/>
      <c r="AI315" s="9" t="n"/>
      <c r="AJ315" s="8" t="n"/>
      <c r="AK315" s="9" t="n"/>
      <c r="AL315" s="9" t="n"/>
      <c r="AM315" s="9" t="n"/>
      <c r="AN315" s="9" t="n"/>
      <c r="AO315" s="9" t="n"/>
      <c r="AP315" s="9" t="n"/>
      <c r="AQ315" s="9" t="n"/>
      <c r="AR315" s="9" t="n"/>
      <c r="AS315" s="9" t="n"/>
      <c r="AT315" s="8" t="n"/>
      <c r="AU315" s="8" t="n"/>
      <c r="AV315" s="9" t="n"/>
      <c r="AW315" s="8" t="n"/>
      <c r="AX315" s="9" t="n"/>
      <c r="AY315" s="9" t="n"/>
      <c r="AZ315" s="9" t="n"/>
      <c r="BA315" s="9" t="n"/>
      <c r="BB315" s="9" t="n"/>
      <c r="BC315" s="9" t="n"/>
      <c r="BD315" s="9" t="n"/>
      <c r="BE315" s="9" t="n"/>
      <c r="BF315" s="9" t="n"/>
      <c r="BG315" s="9" t="n"/>
      <c r="BH315" s="9" t="n"/>
      <c r="BI315" s="9" t="n"/>
      <c r="BJ315" s="9" t="n"/>
      <c r="BK315" s="9" t="n"/>
      <c r="BL315" s="9" t="n"/>
      <c r="BM315" s="9" t="n"/>
      <c r="BN315" s="9" t="n"/>
      <c r="BO315" s="8" t="n"/>
      <c r="BP315" s="9" t="n"/>
      <c r="BQ315" s="9" t="n"/>
      <c r="BR315" s="12">
        <f>IF(AND(AI315="Y",AK315="Y",AL315="Y",AM315="Y",AY315="Y",AZ315="Y",BA315="Y",BB315="Y",BC315="Y",BE315&lt;&gt;"Y",AX315&lt;&gt;"Y",BL315&lt;&gt;"Y",IF(AS315="Y",AV315="Y",TRUE)),"Y","N")</f>
        <v/>
      </c>
      <c r="BS315" s="12">
        <f>IF(AND(BR315="Y",OR(AND(BJ315="Y",BM315="Y"),AND(BK315="Y",BN315="Y"),AND(BJ315&lt;&gt;"Y",BK315&lt;&gt;"Y",OR(BM315="Y",BN315="Y")))),"Y","N")</f>
        <v/>
      </c>
      <c r="BT315" s="10" t="n"/>
      <c r="BU315" s="13" t="n"/>
      <c r="BV315" s="13" t="n"/>
      <c r="BW315" s="13" t="n"/>
      <c r="BX315" s="13" t="n"/>
      <c r="BY315" s="13" t="n"/>
      <c r="BZ315" s="13" t="n"/>
      <c r="CA315" s="14" t="n"/>
      <c r="CB315" s="13" t="n"/>
      <c r="CC315" s="9" t="n"/>
      <c r="CD315" s="9" t="n"/>
      <c r="CE315" s="9" t="n"/>
      <c r="CF315" s="9" t="n"/>
      <c r="CG315" s="9" t="n"/>
      <c r="CH315" s="9" t="n"/>
    </row>
    <row r="316">
      <c r="A316" s="8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8" t="n"/>
      <c r="L316" s="9" t="n"/>
      <c r="M316" s="8" t="n"/>
      <c r="N316" s="8" t="n"/>
      <c r="O316" s="8" t="n"/>
      <c r="P316" s="8" t="n"/>
      <c r="Q316" s="8" t="n"/>
      <c r="R316" s="9" t="n"/>
      <c r="S316" s="9" t="n"/>
      <c r="T316" s="10" t="n"/>
      <c r="U316" s="10" t="n"/>
      <c r="V316" s="9" t="n"/>
      <c r="W316" s="9" t="n"/>
      <c r="X316" s="9" t="n"/>
      <c r="Y316" s="9" t="n"/>
      <c r="Z316" s="11" t="n"/>
      <c r="AA316" s="11" t="n"/>
      <c r="AB316" s="11" t="n"/>
      <c r="AC316" s="11" t="n"/>
      <c r="AD316" s="11" t="n"/>
      <c r="AE316" s="11" t="n"/>
      <c r="AF316" s="9" t="n"/>
      <c r="AG316" s="9" t="n"/>
      <c r="AH316" s="9" t="n"/>
      <c r="AI316" s="9" t="n"/>
      <c r="AJ316" s="8" t="n"/>
      <c r="AK316" s="9" t="n"/>
      <c r="AL316" s="9" t="n"/>
      <c r="AM316" s="9" t="n"/>
      <c r="AN316" s="9" t="n"/>
      <c r="AO316" s="9" t="n"/>
      <c r="AP316" s="9" t="n"/>
      <c r="AQ316" s="9" t="n"/>
      <c r="AR316" s="9" t="n"/>
      <c r="AS316" s="9" t="n"/>
      <c r="AT316" s="8" t="n"/>
      <c r="AU316" s="8" t="n"/>
      <c r="AV316" s="9" t="n"/>
      <c r="AW316" s="8" t="n"/>
      <c r="AX316" s="9" t="n"/>
      <c r="AY316" s="9" t="n"/>
      <c r="AZ316" s="9" t="n"/>
      <c r="BA316" s="9" t="n"/>
      <c r="BB316" s="9" t="n"/>
      <c r="BC316" s="9" t="n"/>
      <c r="BD316" s="9" t="n"/>
      <c r="BE316" s="9" t="n"/>
      <c r="BF316" s="9" t="n"/>
      <c r="BG316" s="9" t="n"/>
      <c r="BH316" s="9" t="n"/>
      <c r="BI316" s="9" t="n"/>
      <c r="BJ316" s="9" t="n"/>
      <c r="BK316" s="9" t="n"/>
      <c r="BL316" s="9" t="n"/>
      <c r="BM316" s="9" t="n"/>
      <c r="BN316" s="9" t="n"/>
      <c r="BO316" s="8" t="n"/>
      <c r="BP316" s="9" t="n"/>
      <c r="BQ316" s="9" t="n"/>
      <c r="BR316" s="12">
        <f>IF(AND(AI316="Y",AK316="Y",AL316="Y",AM316="Y",AY316="Y",AZ316="Y",BA316="Y",BB316="Y",BC316="Y",BE316&lt;&gt;"Y",AX316&lt;&gt;"Y",BL316&lt;&gt;"Y",IF(AS316="Y",AV316="Y",TRUE)),"Y","N")</f>
        <v/>
      </c>
      <c r="BS316" s="12">
        <f>IF(AND(BR316="Y",OR(AND(BJ316="Y",BM316="Y"),AND(BK316="Y",BN316="Y"),AND(BJ316&lt;&gt;"Y",BK316&lt;&gt;"Y",OR(BM316="Y",BN316="Y")))),"Y","N")</f>
        <v/>
      </c>
      <c r="BT316" s="10" t="n"/>
      <c r="BU316" s="13" t="n"/>
      <c r="BV316" s="13" t="n"/>
      <c r="BW316" s="13" t="n"/>
      <c r="BX316" s="13" t="n"/>
      <c r="BY316" s="13" t="n"/>
      <c r="BZ316" s="13" t="n"/>
      <c r="CA316" s="14" t="n"/>
      <c r="CB316" s="13" t="n"/>
      <c r="CC316" s="9" t="n"/>
      <c r="CD316" s="9" t="n"/>
      <c r="CE316" s="9" t="n"/>
      <c r="CF316" s="9" t="n"/>
      <c r="CG316" s="9" t="n"/>
      <c r="CH316" s="9" t="n"/>
    </row>
    <row r="317">
      <c r="A317" s="8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8" t="n"/>
      <c r="L317" s="9" t="n"/>
      <c r="M317" s="8" t="n"/>
      <c r="N317" s="8" t="n"/>
      <c r="O317" s="8" t="n"/>
      <c r="P317" s="8" t="n"/>
      <c r="Q317" s="8" t="n"/>
      <c r="R317" s="9" t="n"/>
      <c r="S317" s="9" t="n"/>
      <c r="T317" s="10" t="n"/>
      <c r="U317" s="10" t="n"/>
      <c r="V317" s="9" t="n"/>
      <c r="W317" s="9" t="n"/>
      <c r="X317" s="9" t="n"/>
      <c r="Y317" s="9" t="n"/>
      <c r="Z317" s="11" t="n"/>
      <c r="AA317" s="11" t="n"/>
      <c r="AB317" s="11" t="n"/>
      <c r="AC317" s="11" t="n"/>
      <c r="AD317" s="11" t="n"/>
      <c r="AE317" s="11" t="n"/>
      <c r="AF317" s="9" t="n"/>
      <c r="AG317" s="9" t="n"/>
      <c r="AH317" s="9" t="n"/>
      <c r="AI317" s="9" t="n"/>
      <c r="AJ317" s="8" t="n"/>
      <c r="AK317" s="9" t="n"/>
      <c r="AL317" s="9" t="n"/>
      <c r="AM317" s="9" t="n"/>
      <c r="AN317" s="9" t="n"/>
      <c r="AO317" s="9" t="n"/>
      <c r="AP317" s="9" t="n"/>
      <c r="AQ317" s="9" t="n"/>
      <c r="AR317" s="9" t="n"/>
      <c r="AS317" s="9" t="n"/>
      <c r="AT317" s="8" t="n"/>
      <c r="AU317" s="8" t="n"/>
      <c r="AV317" s="9" t="n"/>
      <c r="AW317" s="8" t="n"/>
      <c r="AX317" s="9" t="n"/>
      <c r="AY317" s="9" t="n"/>
      <c r="AZ317" s="9" t="n"/>
      <c r="BA317" s="9" t="n"/>
      <c r="BB317" s="9" t="n"/>
      <c r="BC317" s="9" t="n"/>
      <c r="BD317" s="9" t="n"/>
      <c r="BE317" s="9" t="n"/>
      <c r="BF317" s="9" t="n"/>
      <c r="BG317" s="9" t="n"/>
      <c r="BH317" s="9" t="n"/>
      <c r="BI317" s="9" t="n"/>
      <c r="BJ317" s="9" t="n"/>
      <c r="BK317" s="9" t="n"/>
      <c r="BL317" s="9" t="n"/>
      <c r="BM317" s="9" t="n"/>
      <c r="BN317" s="9" t="n"/>
      <c r="BO317" s="8" t="n"/>
      <c r="BP317" s="9" t="n"/>
      <c r="BQ317" s="9" t="n"/>
      <c r="BR317" s="12">
        <f>IF(AND(AI317="Y",AK317="Y",AL317="Y",AM317="Y",AY317="Y",AZ317="Y",BA317="Y",BB317="Y",BC317="Y",BE317&lt;&gt;"Y",AX317&lt;&gt;"Y",BL317&lt;&gt;"Y",IF(AS317="Y",AV317="Y",TRUE)),"Y","N")</f>
        <v/>
      </c>
      <c r="BS317" s="12">
        <f>IF(AND(BR317="Y",OR(AND(BJ317="Y",BM317="Y"),AND(BK317="Y",BN317="Y"),AND(BJ317&lt;&gt;"Y",BK317&lt;&gt;"Y",OR(BM317="Y",BN317="Y")))),"Y","N")</f>
        <v/>
      </c>
      <c r="BT317" s="10" t="n"/>
      <c r="BU317" s="13" t="n"/>
      <c r="BV317" s="13" t="n"/>
      <c r="BW317" s="13" t="n"/>
      <c r="BX317" s="13" t="n"/>
      <c r="BY317" s="13" t="n"/>
      <c r="BZ317" s="13" t="n"/>
      <c r="CA317" s="14" t="n"/>
      <c r="CB317" s="13" t="n"/>
      <c r="CC317" s="9" t="n"/>
      <c r="CD317" s="9" t="n"/>
      <c r="CE317" s="9" t="n"/>
      <c r="CF317" s="9" t="n"/>
      <c r="CG317" s="9" t="n"/>
      <c r="CH317" s="9" t="n"/>
    </row>
    <row r="318">
      <c r="A318" s="8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8" t="n"/>
      <c r="L318" s="9" t="n"/>
      <c r="M318" s="8" t="n"/>
      <c r="N318" s="8" t="n"/>
      <c r="O318" s="8" t="n"/>
      <c r="P318" s="8" t="n"/>
      <c r="Q318" s="8" t="n"/>
      <c r="R318" s="9" t="n"/>
      <c r="S318" s="9" t="n"/>
      <c r="T318" s="10" t="n"/>
      <c r="U318" s="10" t="n"/>
      <c r="V318" s="9" t="n"/>
      <c r="W318" s="9" t="n"/>
      <c r="X318" s="9" t="n"/>
      <c r="Y318" s="9" t="n"/>
      <c r="Z318" s="11" t="n"/>
      <c r="AA318" s="11" t="n"/>
      <c r="AB318" s="11" t="n"/>
      <c r="AC318" s="11" t="n"/>
      <c r="AD318" s="11" t="n"/>
      <c r="AE318" s="11" t="n"/>
      <c r="AF318" s="9" t="n"/>
      <c r="AG318" s="9" t="n"/>
      <c r="AH318" s="9" t="n"/>
      <c r="AI318" s="9" t="n"/>
      <c r="AJ318" s="8" t="n"/>
      <c r="AK318" s="9" t="n"/>
      <c r="AL318" s="9" t="n"/>
      <c r="AM318" s="9" t="n"/>
      <c r="AN318" s="9" t="n"/>
      <c r="AO318" s="9" t="n"/>
      <c r="AP318" s="9" t="n"/>
      <c r="AQ318" s="9" t="n"/>
      <c r="AR318" s="9" t="n"/>
      <c r="AS318" s="9" t="n"/>
      <c r="AT318" s="8" t="n"/>
      <c r="AU318" s="8" t="n"/>
      <c r="AV318" s="9" t="n"/>
      <c r="AW318" s="8" t="n"/>
      <c r="AX318" s="9" t="n"/>
      <c r="AY318" s="9" t="n"/>
      <c r="AZ318" s="9" t="n"/>
      <c r="BA318" s="9" t="n"/>
      <c r="BB318" s="9" t="n"/>
      <c r="BC318" s="9" t="n"/>
      <c r="BD318" s="9" t="n"/>
      <c r="BE318" s="9" t="n"/>
      <c r="BF318" s="9" t="n"/>
      <c r="BG318" s="9" t="n"/>
      <c r="BH318" s="9" t="n"/>
      <c r="BI318" s="9" t="n"/>
      <c r="BJ318" s="9" t="n"/>
      <c r="BK318" s="9" t="n"/>
      <c r="BL318" s="9" t="n"/>
      <c r="BM318" s="9" t="n"/>
      <c r="BN318" s="9" t="n"/>
      <c r="BO318" s="8" t="n"/>
      <c r="BP318" s="9" t="n"/>
      <c r="BQ318" s="9" t="n"/>
      <c r="BR318" s="12">
        <f>IF(AND(AI318="Y",AK318="Y",AL318="Y",AM318="Y",AY318="Y",AZ318="Y",BA318="Y",BB318="Y",BC318="Y",BE318&lt;&gt;"Y",AX318&lt;&gt;"Y",BL318&lt;&gt;"Y",IF(AS318="Y",AV318="Y",TRUE)),"Y","N")</f>
        <v/>
      </c>
      <c r="BS318" s="12">
        <f>IF(AND(BR318="Y",OR(AND(BJ318="Y",BM318="Y"),AND(BK318="Y",BN318="Y"),AND(BJ318&lt;&gt;"Y",BK318&lt;&gt;"Y",OR(BM318="Y",BN318="Y")))),"Y","N")</f>
        <v/>
      </c>
      <c r="BT318" s="10" t="n"/>
      <c r="BU318" s="13" t="n"/>
      <c r="BV318" s="13" t="n"/>
      <c r="BW318" s="13" t="n"/>
      <c r="BX318" s="13" t="n"/>
      <c r="BY318" s="13" t="n"/>
      <c r="BZ318" s="13" t="n"/>
      <c r="CA318" s="14" t="n"/>
      <c r="CB318" s="13" t="n"/>
      <c r="CC318" s="9" t="n"/>
      <c r="CD318" s="9" t="n"/>
      <c r="CE318" s="9" t="n"/>
      <c r="CF318" s="9" t="n"/>
      <c r="CG318" s="9" t="n"/>
      <c r="CH318" s="9" t="n"/>
    </row>
    <row r="319">
      <c r="A319" s="8" t="n"/>
      <c r="B319" s="9" t="n"/>
      <c r="C319" s="9" t="n"/>
      <c r="D319" s="9" t="n"/>
      <c r="E319" s="9" t="n"/>
      <c r="F319" s="9" t="n"/>
      <c r="G319" s="9" t="n"/>
      <c r="H319" s="9" t="n"/>
      <c r="I319" s="9" t="n"/>
      <c r="J319" s="9" t="n"/>
      <c r="K319" s="8" t="n"/>
      <c r="L319" s="9" t="n"/>
      <c r="M319" s="8" t="n"/>
      <c r="N319" s="8" t="n"/>
      <c r="O319" s="8" t="n"/>
      <c r="P319" s="8" t="n"/>
      <c r="Q319" s="8" t="n"/>
      <c r="R319" s="9" t="n"/>
      <c r="S319" s="9" t="n"/>
      <c r="T319" s="10" t="n"/>
      <c r="U319" s="10" t="n"/>
      <c r="V319" s="9" t="n"/>
      <c r="W319" s="9" t="n"/>
      <c r="X319" s="9" t="n"/>
      <c r="Y319" s="9" t="n"/>
      <c r="Z319" s="11" t="n"/>
      <c r="AA319" s="11" t="n"/>
      <c r="AB319" s="11" t="n"/>
      <c r="AC319" s="11" t="n"/>
      <c r="AD319" s="11" t="n"/>
      <c r="AE319" s="11" t="n"/>
      <c r="AF319" s="9" t="n"/>
      <c r="AG319" s="9" t="n"/>
      <c r="AH319" s="9" t="n"/>
      <c r="AI319" s="9" t="n"/>
      <c r="AJ319" s="8" t="n"/>
      <c r="AK319" s="9" t="n"/>
      <c r="AL319" s="9" t="n"/>
      <c r="AM319" s="9" t="n"/>
      <c r="AN319" s="9" t="n"/>
      <c r="AO319" s="9" t="n"/>
      <c r="AP319" s="9" t="n"/>
      <c r="AQ319" s="9" t="n"/>
      <c r="AR319" s="9" t="n"/>
      <c r="AS319" s="9" t="n"/>
      <c r="AT319" s="8" t="n"/>
      <c r="AU319" s="8" t="n"/>
      <c r="AV319" s="9" t="n"/>
      <c r="AW319" s="8" t="n"/>
      <c r="AX319" s="9" t="n"/>
      <c r="AY319" s="9" t="n"/>
      <c r="AZ319" s="9" t="n"/>
      <c r="BA319" s="9" t="n"/>
      <c r="BB319" s="9" t="n"/>
      <c r="BC319" s="9" t="n"/>
      <c r="BD319" s="9" t="n"/>
      <c r="BE319" s="9" t="n"/>
      <c r="BF319" s="9" t="n"/>
      <c r="BG319" s="9" t="n"/>
      <c r="BH319" s="9" t="n"/>
      <c r="BI319" s="9" t="n"/>
      <c r="BJ319" s="9" t="n"/>
      <c r="BK319" s="9" t="n"/>
      <c r="BL319" s="9" t="n"/>
      <c r="BM319" s="9" t="n"/>
      <c r="BN319" s="9" t="n"/>
      <c r="BO319" s="8" t="n"/>
      <c r="BP319" s="9" t="n"/>
      <c r="BQ319" s="9" t="n"/>
      <c r="BR319" s="12">
        <f>IF(AND(AI319="Y",AK319="Y",AL319="Y",AM319="Y",AY319="Y",AZ319="Y",BA319="Y",BB319="Y",BC319="Y",BE319&lt;&gt;"Y",AX319&lt;&gt;"Y",BL319&lt;&gt;"Y",IF(AS319="Y",AV319="Y",TRUE)),"Y","N")</f>
        <v/>
      </c>
      <c r="BS319" s="12">
        <f>IF(AND(BR319="Y",OR(AND(BJ319="Y",BM319="Y"),AND(BK319="Y",BN319="Y"),AND(BJ319&lt;&gt;"Y",BK319&lt;&gt;"Y",OR(BM319="Y",BN319="Y")))),"Y","N")</f>
        <v/>
      </c>
      <c r="BT319" s="10" t="n"/>
      <c r="BU319" s="13" t="n"/>
      <c r="BV319" s="13" t="n"/>
      <c r="BW319" s="13" t="n"/>
      <c r="BX319" s="13" t="n"/>
      <c r="BY319" s="13" t="n"/>
      <c r="BZ319" s="13" t="n"/>
      <c r="CA319" s="14" t="n"/>
      <c r="CB319" s="13" t="n"/>
      <c r="CC319" s="9" t="n"/>
      <c r="CD319" s="9" t="n"/>
      <c r="CE319" s="9" t="n"/>
      <c r="CF319" s="9" t="n"/>
      <c r="CG319" s="9" t="n"/>
      <c r="CH319" s="9" t="n"/>
    </row>
    <row r="320">
      <c r="A320" s="8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8" t="n"/>
      <c r="L320" s="9" t="n"/>
      <c r="M320" s="8" t="n"/>
      <c r="N320" s="8" t="n"/>
      <c r="O320" s="8" t="n"/>
      <c r="P320" s="8" t="n"/>
      <c r="Q320" s="8" t="n"/>
      <c r="R320" s="9" t="n"/>
      <c r="S320" s="9" t="n"/>
      <c r="T320" s="10" t="n"/>
      <c r="U320" s="10" t="n"/>
      <c r="V320" s="9" t="n"/>
      <c r="W320" s="9" t="n"/>
      <c r="X320" s="9" t="n"/>
      <c r="Y320" s="9" t="n"/>
      <c r="Z320" s="11" t="n"/>
      <c r="AA320" s="11" t="n"/>
      <c r="AB320" s="11" t="n"/>
      <c r="AC320" s="11" t="n"/>
      <c r="AD320" s="11" t="n"/>
      <c r="AE320" s="11" t="n"/>
      <c r="AF320" s="9" t="n"/>
      <c r="AG320" s="9" t="n"/>
      <c r="AH320" s="9" t="n"/>
      <c r="AI320" s="9" t="n"/>
      <c r="AJ320" s="8" t="n"/>
      <c r="AK320" s="9" t="n"/>
      <c r="AL320" s="9" t="n"/>
      <c r="AM320" s="9" t="n"/>
      <c r="AN320" s="9" t="n"/>
      <c r="AO320" s="9" t="n"/>
      <c r="AP320" s="9" t="n"/>
      <c r="AQ320" s="9" t="n"/>
      <c r="AR320" s="9" t="n"/>
      <c r="AS320" s="9" t="n"/>
      <c r="AT320" s="8" t="n"/>
      <c r="AU320" s="8" t="n"/>
      <c r="AV320" s="9" t="n"/>
      <c r="AW320" s="8" t="n"/>
      <c r="AX320" s="9" t="n"/>
      <c r="AY320" s="9" t="n"/>
      <c r="AZ320" s="9" t="n"/>
      <c r="BA320" s="9" t="n"/>
      <c r="BB320" s="9" t="n"/>
      <c r="BC320" s="9" t="n"/>
      <c r="BD320" s="9" t="n"/>
      <c r="BE320" s="9" t="n"/>
      <c r="BF320" s="9" t="n"/>
      <c r="BG320" s="9" t="n"/>
      <c r="BH320" s="9" t="n"/>
      <c r="BI320" s="9" t="n"/>
      <c r="BJ320" s="9" t="n"/>
      <c r="BK320" s="9" t="n"/>
      <c r="BL320" s="9" t="n"/>
      <c r="BM320" s="9" t="n"/>
      <c r="BN320" s="9" t="n"/>
      <c r="BO320" s="8" t="n"/>
      <c r="BP320" s="9" t="n"/>
      <c r="BQ320" s="9" t="n"/>
      <c r="BR320" s="12">
        <f>IF(AND(AI320="Y",AK320="Y",AL320="Y",AM320="Y",AY320="Y",AZ320="Y",BA320="Y",BB320="Y",BC320="Y",BE320&lt;&gt;"Y",AX320&lt;&gt;"Y",BL320&lt;&gt;"Y",IF(AS320="Y",AV320="Y",TRUE)),"Y","N")</f>
        <v/>
      </c>
      <c r="BS320" s="12">
        <f>IF(AND(BR320="Y",OR(AND(BJ320="Y",BM320="Y"),AND(BK320="Y",BN320="Y"),AND(BJ320&lt;&gt;"Y",BK320&lt;&gt;"Y",OR(BM320="Y",BN320="Y")))),"Y","N")</f>
        <v/>
      </c>
      <c r="BT320" s="10" t="n"/>
      <c r="BU320" s="13" t="n"/>
      <c r="BV320" s="13" t="n"/>
      <c r="BW320" s="13" t="n"/>
      <c r="BX320" s="13" t="n"/>
      <c r="BY320" s="13" t="n"/>
      <c r="BZ320" s="13" t="n"/>
      <c r="CA320" s="14" t="n"/>
      <c r="CB320" s="13" t="n"/>
      <c r="CC320" s="9" t="n"/>
      <c r="CD320" s="9" t="n"/>
      <c r="CE320" s="9" t="n"/>
      <c r="CF320" s="9" t="n"/>
      <c r="CG320" s="9" t="n"/>
      <c r="CH320" s="9" t="n"/>
    </row>
    <row r="321">
      <c r="A321" s="8" t="n"/>
      <c r="B321" s="9" t="n"/>
      <c r="C321" s="9" t="n"/>
      <c r="D321" s="9" t="n"/>
      <c r="E321" s="9" t="n"/>
      <c r="F321" s="9" t="n"/>
      <c r="G321" s="9" t="n"/>
      <c r="H321" s="9" t="n"/>
      <c r="I321" s="9" t="n"/>
      <c r="J321" s="9" t="n"/>
      <c r="K321" s="8" t="n"/>
      <c r="L321" s="9" t="n"/>
      <c r="M321" s="8" t="n"/>
      <c r="N321" s="8" t="n"/>
      <c r="O321" s="8" t="n"/>
      <c r="P321" s="8" t="n"/>
      <c r="Q321" s="8" t="n"/>
      <c r="R321" s="9" t="n"/>
      <c r="S321" s="9" t="n"/>
      <c r="T321" s="10" t="n"/>
      <c r="U321" s="10" t="n"/>
      <c r="V321" s="9" t="n"/>
      <c r="W321" s="9" t="n"/>
      <c r="X321" s="9" t="n"/>
      <c r="Y321" s="9" t="n"/>
      <c r="Z321" s="11" t="n"/>
      <c r="AA321" s="11" t="n"/>
      <c r="AB321" s="11" t="n"/>
      <c r="AC321" s="11" t="n"/>
      <c r="AD321" s="11" t="n"/>
      <c r="AE321" s="11" t="n"/>
      <c r="AF321" s="9" t="n"/>
      <c r="AG321" s="9" t="n"/>
      <c r="AH321" s="9" t="n"/>
      <c r="AI321" s="9" t="n"/>
      <c r="AJ321" s="8" t="n"/>
      <c r="AK321" s="9" t="n"/>
      <c r="AL321" s="9" t="n"/>
      <c r="AM321" s="9" t="n"/>
      <c r="AN321" s="9" t="n"/>
      <c r="AO321" s="9" t="n"/>
      <c r="AP321" s="9" t="n"/>
      <c r="AQ321" s="9" t="n"/>
      <c r="AR321" s="9" t="n"/>
      <c r="AS321" s="9" t="n"/>
      <c r="AT321" s="8" t="n"/>
      <c r="AU321" s="8" t="n"/>
      <c r="AV321" s="9" t="n"/>
      <c r="AW321" s="8" t="n"/>
      <c r="AX321" s="9" t="n"/>
      <c r="AY321" s="9" t="n"/>
      <c r="AZ321" s="9" t="n"/>
      <c r="BA321" s="9" t="n"/>
      <c r="BB321" s="9" t="n"/>
      <c r="BC321" s="9" t="n"/>
      <c r="BD321" s="9" t="n"/>
      <c r="BE321" s="9" t="n"/>
      <c r="BF321" s="9" t="n"/>
      <c r="BG321" s="9" t="n"/>
      <c r="BH321" s="9" t="n"/>
      <c r="BI321" s="9" t="n"/>
      <c r="BJ321" s="9" t="n"/>
      <c r="BK321" s="9" t="n"/>
      <c r="BL321" s="9" t="n"/>
      <c r="BM321" s="9" t="n"/>
      <c r="BN321" s="9" t="n"/>
      <c r="BO321" s="8" t="n"/>
      <c r="BP321" s="9" t="n"/>
      <c r="BQ321" s="9" t="n"/>
      <c r="BR321" s="12">
        <f>IF(AND(AI321="Y",AK321="Y",AL321="Y",AM321="Y",AY321="Y",AZ321="Y",BA321="Y",BB321="Y",BC321="Y",BE321&lt;&gt;"Y",AX321&lt;&gt;"Y",BL321&lt;&gt;"Y",IF(AS321="Y",AV321="Y",TRUE)),"Y","N")</f>
        <v/>
      </c>
      <c r="BS321" s="12">
        <f>IF(AND(BR321="Y",OR(AND(BJ321="Y",BM321="Y"),AND(BK321="Y",BN321="Y"),AND(BJ321&lt;&gt;"Y",BK321&lt;&gt;"Y",OR(BM321="Y",BN321="Y")))),"Y","N")</f>
        <v/>
      </c>
      <c r="BT321" s="10" t="n"/>
      <c r="BU321" s="13" t="n"/>
      <c r="BV321" s="13" t="n"/>
      <c r="BW321" s="13" t="n"/>
      <c r="BX321" s="13" t="n"/>
      <c r="BY321" s="13" t="n"/>
      <c r="BZ321" s="13" t="n"/>
      <c r="CA321" s="14" t="n"/>
      <c r="CB321" s="13" t="n"/>
      <c r="CC321" s="9" t="n"/>
      <c r="CD321" s="9" t="n"/>
      <c r="CE321" s="9" t="n"/>
      <c r="CF321" s="9" t="n"/>
      <c r="CG321" s="9" t="n"/>
      <c r="CH321" s="9" t="n"/>
    </row>
    <row r="322">
      <c r="A322" s="8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8" t="n"/>
      <c r="L322" s="9" t="n"/>
      <c r="M322" s="8" t="n"/>
      <c r="N322" s="8" t="n"/>
      <c r="O322" s="8" t="n"/>
      <c r="P322" s="8" t="n"/>
      <c r="Q322" s="8" t="n"/>
      <c r="R322" s="9" t="n"/>
      <c r="S322" s="9" t="n"/>
      <c r="T322" s="10" t="n"/>
      <c r="U322" s="10" t="n"/>
      <c r="V322" s="9" t="n"/>
      <c r="W322" s="9" t="n"/>
      <c r="X322" s="9" t="n"/>
      <c r="Y322" s="9" t="n"/>
      <c r="Z322" s="11" t="n"/>
      <c r="AA322" s="11" t="n"/>
      <c r="AB322" s="11" t="n"/>
      <c r="AC322" s="11" t="n"/>
      <c r="AD322" s="11" t="n"/>
      <c r="AE322" s="11" t="n"/>
      <c r="AF322" s="9" t="n"/>
      <c r="AG322" s="9" t="n"/>
      <c r="AH322" s="9" t="n"/>
      <c r="AI322" s="9" t="n"/>
      <c r="AJ322" s="8" t="n"/>
      <c r="AK322" s="9" t="n"/>
      <c r="AL322" s="9" t="n"/>
      <c r="AM322" s="9" t="n"/>
      <c r="AN322" s="9" t="n"/>
      <c r="AO322" s="9" t="n"/>
      <c r="AP322" s="9" t="n"/>
      <c r="AQ322" s="9" t="n"/>
      <c r="AR322" s="9" t="n"/>
      <c r="AS322" s="9" t="n"/>
      <c r="AT322" s="8" t="n"/>
      <c r="AU322" s="8" t="n"/>
      <c r="AV322" s="9" t="n"/>
      <c r="AW322" s="8" t="n"/>
      <c r="AX322" s="9" t="n"/>
      <c r="AY322" s="9" t="n"/>
      <c r="AZ322" s="9" t="n"/>
      <c r="BA322" s="9" t="n"/>
      <c r="BB322" s="9" t="n"/>
      <c r="BC322" s="9" t="n"/>
      <c r="BD322" s="9" t="n"/>
      <c r="BE322" s="9" t="n"/>
      <c r="BF322" s="9" t="n"/>
      <c r="BG322" s="9" t="n"/>
      <c r="BH322" s="9" t="n"/>
      <c r="BI322" s="9" t="n"/>
      <c r="BJ322" s="9" t="n"/>
      <c r="BK322" s="9" t="n"/>
      <c r="BL322" s="9" t="n"/>
      <c r="BM322" s="9" t="n"/>
      <c r="BN322" s="9" t="n"/>
      <c r="BO322" s="8" t="n"/>
      <c r="BP322" s="9" t="n"/>
      <c r="BQ322" s="9" t="n"/>
      <c r="BR322" s="12">
        <f>IF(AND(AI322="Y",AK322="Y",AL322="Y",AM322="Y",AY322="Y",AZ322="Y",BA322="Y",BB322="Y",BC322="Y",BE322&lt;&gt;"Y",AX322&lt;&gt;"Y",BL322&lt;&gt;"Y",IF(AS322="Y",AV322="Y",TRUE)),"Y","N")</f>
        <v/>
      </c>
      <c r="BS322" s="12">
        <f>IF(AND(BR322="Y",OR(AND(BJ322="Y",BM322="Y"),AND(BK322="Y",BN322="Y"),AND(BJ322&lt;&gt;"Y",BK322&lt;&gt;"Y",OR(BM322="Y",BN322="Y")))),"Y","N")</f>
        <v/>
      </c>
      <c r="BT322" s="10" t="n"/>
      <c r="BU322" s="13" t="n"/>
      <c r="BV322" s="13" t="n"/>
      <c r="BW322" s="13" t="n"/>
      <c r="BX322" s="13" t="n"/>
      <c r="BY322" s="13" t="n"/>
      <c r="BZ322" s="13" t="n"/>
      <c r="CA322" s="14" t="n"/>
      <c r="CB322" s="13" t="n"/>
      <c r="CC322" s="9" t="n"/>
      <c r="CD322" s="9" t="n"/>
      <c r="CE322" s="9" t="n"/>
      <c r="CF322" s="9" t="n"/>
      <c r="CG322" s="9" t="n"/>
      <c r="CH322" s="9" t="n"/>
    </row>
    <row r="323">
      <c r="A323" s="8" t="n"/>
      <c r="B323" s="9" t="n"/>
      <c r="C323" s="9" t="n"/>
      <c r="D323" s="9" t="n"/>
      <c r="E323" s="9" t="n"/>
      <c r="F323" s="9" t="n"/>
      <c r="G323" s="9" t="n"/>
      <c r="H323" s="9" t="n"/>
      <c r="I323" s="9" t="n"/>
      <c r="J323" s="9" t="n"/>
      <c r="K323" s="8" t="n"/>
      <c r="L323" s="9" t="n"/>
      <c r="M323" s="8" t="n"/>
      <c r="N323" s="8" t="n"/>
      <c r="O323" s="8" t="n"/>
      <c r="P323" s="8" t="n"/>
      <c r="Q323" s="8" t="n"/>
      <c r="R323" s="9" t="n"/>
      <c r="S323" s="9" t="n"/>
      <c r="T323" s="10" t="n"/>
      <c r="U323" s="10" t="n"/>
      <c r="V323" s="9" t="n"/>
      <c r="W323" s="9" t="n"/>
      <c r="X323" s="9" t="n"/>
      <c r="Y323" s="9" t="n"/>
      <c r="Z323" s="11" t="n"/>
      <c r="AA323" s="11" t="n"/>
      <c r="AB323" s="11" t="n"/>
      <c r="AC323" s="11" t="n"/>
      <c r="AD323" s="11" t="n"/>
      <c r="AE323" s="11" t="n"/>
      <c r="AF323" s="9" t="n"/>
      <c r="AG323" s="9" t="n"/>
      <c r="AH323" s="9" t="n"/>
      <c r="AI323" s="9" t="n"/>
      <c r="AJ323" s="8" t="n"/>
      <c r="AK323" s="9" t="n"/>
      <c r="AL323" s="9" t="n"/>
      <c r="AM323" s="9" t="n"/>
      <c r="AN323" s="9" t="n"/>
      <c r="AO323" s="9" t="n"/>
      <c r="AP323" s="9" t="n"/>
      <c r="AQ323" s="9" t="n"/>
      <c r="AR323" s="9" t="n"/>
      <c r="AS323" s="9" t="n"/>
      <c r="AT323" s="8" t="n"/>
      <c r="AU323" s="8" t="n"/>
      <c r="AV323" s="9" t="n"/>
      <c r="AW323" s="8" t="n"/>
      <c r="AX323" s="9" t="n"/>
      <c r="AY323" s="9" t="n"/>
      <c r="AZ323" s="9" t="n"/>
      <c r="BA323" s="9" t="n"/>
      <c r="BB323" s="9" t="n"/>
      <c r="BC323" s="9" t="n"/>
      <c r="BD323" s="9" t="n"/>
      <c r="BE323" s="9" t="n"/>
      <c r="BF323" s="9" t="n"/>
      <c r="BG323" s="9" t="n"/>
      <c r="BH323" s="9" t="n"/>
      <c r="BI323" s="9" t="n"/>
      <c r="BJ323" s="9" t="n"/>
      <c r="BK323" s="9" t="n"/>
      <c r="BL323" s="9" t="n"/>
      <c r="BM323" s="9" t="n"/>
      <c r="BN323" s="9" t="n"/>
      <c r="BO323" s="8" t="n"/>
      <c r="BP323" s="9" t="n"/>
      <c r="BQ323" s="9" t="n"/>
      <c r="BR323" s="12">
        <f>IF(AND(AI323="Y",AK323="Y",AL323="Y",AM323="Y",AY323="Y",AZ323="Y",BA323="Y",BB323="Y",BC323="Y",BE323&lt;&gt;"Y",AX323&lt;&gt;"Y",BL323&lt;&gt;"Y",IF(AS323="Y",AV323="Y",TRUE)),"Y","N")</f>
        <v/>
      </c>
      <c r="BS323" s="12">
        <f>IF(AND(BR323="Y",OR(AND(BJ323="Y",BM323="Y"),AND(BK323="Y",BN323="Y"),AND(BJ323&lt;&gt;"Y",BK323&lt;&gt;"Y",OR(BM323="Y",BN323="Y")))),"Y","N")</f>
        <v/>
      </c>
      <c r="BT323" s="10" t="n"/>
      <c r="BU323" s="13" t="n"/>
      <c r="BV323" s="13" t="n"/>
      <c r="BW323" s="13" t="n"/>
      <c r="BX323" s="13" t="n"/>
      <c r="BY323" s="13" t="n"/>
      <c r="BZ323" s="13" t="n"/>
      <c r="CA323" s="14" t="n"/>
      <c r="CB323" s="13" t="n"/>
      <c r="CC323" s="9" t="n"/>
      <c r="CD323" s="9" t="n"/>
      <c r="CE323" s="9" t="n"/>
      <c r="CF323" s="9" t="n"/>
      <c r="CG323" s="9" t="n"/>
      <c r="CH323" s="9" t="n"/>
    </row>
    <row r="324">
      <c r="A324" s="8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8" t="n"/>
      <c r="L324" s="9" t="n"/>
      <c r="M324" s="8" t="n"/>
      <c r="N324" s="8" t="n"/>
      <c r="O324" s="8" t="n"/>
      <c r="P324" s="8" t="n"/>
      <c r="Q324" s="8" t="n"/>
      <c r="R324" s="9" t="n"/>
      <c r="S324" s="9" t="n"/>
      <c r="T324" s="10" t="n"/>
      <c r="U324" s="10" t="n"/>
      <c r="V324" s="9" t="n"/>
      <c r="W324" s="9" t="n"/>
      <c r="X324" s="9" t="n"/>
      <c r="Y324" s="9" t="n"/>
      <c r="Z324" s="11" t="n"/>
      <c r="AA324" s="11" t="n"/>
      <c r="AB324" s="11" t="n"/>
      <c r="AC324" s="11" t="n"/>
      <c r="AD324" s="11" t="n"/>
      <c r="AE324" s="11" t="n"/>
      <c r="AF324" s="9" t="n"/>
      <c r="AG324" s="9" t="n"/>
      <c r="AH324" s="9" t="n"/>
      <c r="AI324" s="9" t="n"/>
      <c r="AJ324" s="8" t="n"/>
      <c r="AK324" s="9" t="n"/>
      <c r="AL324" s="9" t="n"/>
      <c r="AM324" s="9" t="n"/>
      <c r="AN324" s="9" t="n"/>
      <c r="AO324" s="9" t="n"/>
      <c r="AP324" s="9" t="n"/>
      <c r="AQ324" s="9" t="n"/>
      <c r="AR324" s="9" t="n"/>
      <c r="AS324" s="9" t="n"/>
      <c r="AT324" s="8" t="n"/>
      <c r="AU324" s="8" t="n"/>
      <c r="AV324" s="9" t="n"/>
      <c r="AW324" s="8" t="n"/>
      <c r="AX324" s="9" t="n"/>
      <c r="AY324" s="9" t="n"/>
      <c r="AZ324" s="9" t="n"/>
      <c r="BA324" s="9" t="n"/>
      <c r="BB324" s="9" t="n"/>
      <c r="BC324" s="9" t="n"/>
      <c r="BD324" s="9" t="n"/>
      <c r="BE324" s="9" t="n"/>
      <c r="BF324" s="9" t="n"/>
      <c r="BG324" s="9" t="n"/>
      <c r="BH324" s="9" t="n"/>
      <c r="BI324" s="9" t="n"/>
      <c r="BJ324" s="9" t="n"/>
      <c r="BK324" s="9" t="n"/>
      <c r="BL324" s="9" t="n"/>
      <c r="BM324" s="9" t="n"/>
      <c r="BN324" s="9" t="n"/>
      <c r="BO324" s="8" t="n"/>
      <c r="BP324" s="9" t="n"/>
      <c r="BQ324" s="9" t="n"/>
      <c r="BR324" s="12">
        <f>IF(AND(AI324="Y",AK324="Y",AL324="Y",AM324="Y",AY324="Y",AZ324="Y",BA324="Y",BB324="Y",BC324="Y",BE324&lt;&gt;"Y",AX324&lt;&gt;"Y",BL324&lt;&gt;"Y",IF(AS324="Y",AV324="Y",TRUE)),"Y","N")</f>
        <v/>
      </c>
      <c r="BS324" s="12">
        <f>IF(AND(BR324="Y",OR(AND(BJ324="Y",BM324="Y"),AND(BK324="Y",BN324="Y"),AND(BJ324&lt;&gt;"Y",BK324&lt;&gt;"Y",OR(BM324="Y",BN324="Y")))),"Y","N")</f>
        <v/>
      </c>
      <c r="BT324" s="10" t="n"/>
      <c r="BU324" s="13" t="n"/>
      <c r="BV324" s="13" t="n"/>
      <c r="BW324" s="13" t="n"/>
      <c r="BX324" s="13" t="n"/>
      <c r="BY324" s="13" t="n"/>
      <c r="BZ324" s="13" t="n"/>
      <c r="CA324" s="14" t="n"/>
      <c r="CB324" s="13" t="n"/>
      <c r="CC324" s="9" t="n"/>
      <c r="CD324" s="9" t="n"/>
      <c r="CE324" s="9" t="n"/>
      <c r="CF324" s="9" t="n"/>
      <c r="CG324" s="9" t="n"/>
      <c r="CH324" s="9" t="n"/>
    </row>
    <row r="325">
      <c r="A325" s="8" t="n"/>
      <c r="B325" s="9" t="n"/>
      <c r="C325" s="9" t="n"/>
      <c r="D325" s="9" t="n"/>
      <c r="E325" s="9" t="n"/>
      <c r="F325" s="9" t="n"/>
      <c r="G325" s="9" t="n"/>
      <c r="H325" s="9" t="n"/>
      <c r="I325" s="9" t="n"/>
      <c r="J325" s="9" t="n"/>
      <c r="K325" s="8" t="n"/>
      <c r="L325" s="9" t="n"/>
      <c r="M325" s="8" t="n"/>
      <c r="N325" s="8" t="n"/>
      <c r="O325" s="8" t="n"/>
      <c r="P325" s="8" t="n"/>
      <c r="Q325" s="8" t="n"/>
      <c r="R325" s="9" t="n"/>
      <c r="S325" s="9" t="n"/>
      <c r="T325" s="10" t="n"/>
      <c r="U325" s="10" t="n"/>
      <c r="V325" s="9" t="n"/>
      <c r="W325" s="9" t="n"/>
      <c r="X325" s="9" t="n"/>
      <c r="Y325" s="9" t="n"/>
      <c r="Z325" s="11" t="n"/>
      <c r="AA325" s="11" t="n"/>
      <c r="AB325" s="11" t="n"/>
      <c r="AC325" s="11" t="n"/>
      <c r="AD325" s="11" t="n"/>
      <c r="AE325" s="11" t="n"/>
      <c r="AF325" s="9" t="n"/>
      <c r="AG325" s="9" t="n"/>
      <c r="AH325" s="9" t="n"/>
      <c r="AI325" s="9" t="n"/>
      <c r="AJ325" s="8" t="n"/>
      <c r="AK325" s="9" t="n"/>
      <c r="AL325" s="9" t="n"/>
      <c r="AM325" s="9" t="n"/>
      <c r="AN325" s="9" t="n"/>
      <c r="AO325" s="9" t="n"/>
      <c r="AP325" s="9" t="n"/>
      <c r="AQ325" s="9" t="n"/>
      <c r="AR325" s="9" t="n"/>
      <c r="AS325" s="9" t="n"/>
      <c r="AT325" s="8" t="n"/>
      <c r="AU325" s="8" t="n"/>
      <c r="AV325" s="9" t="n"/>
      <c r="AW325" s="8" t="n"/>
      <c r="AX325" s="9" t="n"/>
      <c r="AY325" s="9" t="n"/>
      <c r="AZ325" s="9" t="n"/>
      <c r="BA325" s="9" t="n"/>
      <c r="BB325" s="9" t="n"/>
      <c r="BC325" s="9" t="n"/>
      <c r="BD325" s="9" t="n"/>
      <c r="BE325" s="9" t="n"/>
      <c r="BF325" s="9" t="n"/>
      <c r="BG325" s="9" t="n"/>
      <c r="BH325" s="9" t="n"/>
      <c r="BI325" s="9" t="n"/>
      <c r="BJ325" s="9" t="n"/>
      <c r="BK325" s="9" t="n"/>
      <c r="BL325" s="9" t="n"/>
      <c r="BM325" s="9" t="n"/>
      <c r="BN325" s="9" t="n"/>
      <c r="BO325" s="8" t="n"/>
      <c r="BP325" s="9" t="n"/>
      <c r="BQ325" s="9" t="n"/>
      <c r="BR325" s="12">
        <f>IF(AND(AI325="Y",AK325="Y",AL325="Y",AM325="Y",AY325="Y",AZ325="Y",BA325="Y",BB325="Y",BC325="Y",BE325&lt;&gt;"Y",AX325&lt;&gt;"Y",BL325&lt;&gt;"Y",IF(AS325="Y",AV325="Y",TRUE)),"Y","N")</f>
        <v/>
      </c>
      <c r="BS325" s="12">
        <f>IF(AND(BR325="Y",OR(AND(BJ325="Y",BM325="Y"),AND(BK325="Y",BN325="Y"),AND(BJ325&lt;&gt;"Y",BK325&lt;&gt;"Y",OR(BM325="Y",BN325="Y")))),"Y","N")</f>
        <v/>
      </c>
      <c r="BT325" s="10" t="n"/>
      <c r="BU325" s="13" t="n"/>
      <c r="BV325" s="13" t="n"/>
      <c r="BW325" s="13" t="n"/>
      <c r="BX325" s="13" t="n"/>
      <c r="BY325" s="13" t="n"/>
      <c r="BZ325" s="13" t="n"/>
      <c r="CA325" s="14" t="n"/>
      <c r="CB325" s="13" t="n"/>
      <c r="CC325" s="9" t="n"/>
      <c r="CD325" s="9" t="n"/>
      <c r="CE325" s="9" t="n"/>
      <c r="CF325" s="9" t="n"/>
      <c r="CG325" s="9" t="n"/>
      <c r="CH325" s="9" t="n"/>
    </row>
    <row r="326">
      <c r="A326" s="8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8" t="n"/>
      <c r="L326" s="9" t="n"/>
      <c r="M326" s="8" t="n"/>
      <c r="N326" s="8" t="n"/>
      <c r="O326" s="8" t="n"/>
      <c r="P326" s="8" t="n"/>
      <c r="Q326" s="8" t="n"/>
      <c r="R326" s="9" t="n"/>
      <c r="S326" s="9" t="n"/>
      <c r="T326" s="10" t="n"/>
      <c r="U326" s="10" t="n"/>
      <c r="V326" s="9" t="n"/>
      <c r="W326" s="9" t="n"/>
      <c r="X326" s="9" t="n"/>
      <c r="Y326" s="9" t="n"/>
      <c r="Z326" s="11" t="n"/>
      <c r="AA326" s="11" t="n"/>
      <c r="AB326" s="11" t="n"/>
      <c r="AC326" s="11" t="n"/>
      <c r="AD326" s="11" t="n"/>
      <c r="AE326" s="11" t="n"/>
      <c r="AF326" s="9" t="n"/>
      <c r="AG326" s="9" t="n"/>
      <c r="AH326" s="9" t="n"/>
      <c r="AI326" s="9" t="n"/>
      <c r="AJ326" s="8" t="n"/>
      <c r="AK326" s="9" t="n"/>
      <c r="AL326" s="9" t="n"/>
      <c r="AM326" s="9" t="n"/>
      <c r="AN326" s="9" t="n"/>
      <c r="AO326" s="9" t="n"/>
      <c r="AP326" s="9" t="n"/>
      <c r="AQ326" s="9" t="n"/>
      <c r="AR326" s="9" t="n"/>
      <c r="AS326" s="9" t="n"/>
      <c r="AT326" s="8" t="n"/>
      <c r="AU326" s="8" t="n"/>
      <c r="AV326" s="9" t="n"/>
      <c r="AW326" s="8" t="n"/>
      <c r="AX326" s="9" t="n"/>
      <c r="AY326" s="9" t="n"/>
      <c r="AZ326" s="9" t="n"/>
      <c r="BA326" s="9" t="n"/>
      <c r="BB326" s="9" t="n"/>
      <c r="BC326" s="9" t="n"/>
      <c r="BD326" s="9" t="n"/>
      <c r="BE326" s="9" t="n"/>
      <c r="BF326" s="9" t="n"/>
      <c r="BG326" s="9" t="n"/>
      <c r="BH326" s="9" t="n"/>
      <c r="BI326" s="9" t="n"/>
      <c r="BJ326" s="9" t="n"/>
      <c r="BK326" s="9" t="n"/>
      <c r="BL326" s="9" t="n"/>
      <c r="BM326" s="9" t="n"/>
      <c r="BN326" s="9" t="n"/>
      <c r="BO326" s="8" t="n"/>
      <c r="BP326" s="9" t="n"/>
      <c r="BQ326" s="9" t="n"/>
      <c r="BR326" s="12">
        <f>IF(AND(AI326="Y",AK326="Y",AL326="Y",AM326="Y",AY326="Y",AZ326="Y",BA326="Y",BB326="Y",BC326="Y",BE326&lt;&gt;"Y",AX326&lt;&gt;"Y",BL326&lt;&gt;"Y",IF(AS326="Y",AV326="Y",TRUE)),"Y","N")</f>
        <v/>
      </c>
      <c r="BS326" s="12">
        <f>IF(AND(BR326="Y",OR(AND(BJ326="Y",BM326="Y"),AND(BK326="Y",BN326="Y"),AND(BJ326&lt;&gt;"Y",BK326&lt;&gt;"Y",OR(BM326="Y",BN326="Y")))),"Y","N")</f>
        <v/>
      </c>
      <c r="BT326" s="10" t="n"/>
      <c r="BU326" s="13" t="n"/>
      <c r="BV326" s="13" t="n"/>
      <c r="BW326" s="13" t="n"/>
      <c r="BX326" s="13" t="n"/>
      <c r="BY326" s="13" t="n"/>
      <c r="BZ326" s="13" t="n"/>
      <c r="CA326" s="14" t="n"/>
      <c r="CB326" s="13" t="n"/>
      <c r="CC326" s="9" t="n"/>
      <c r="CD326" s="9" t="n"/>
      <c r="CE326" s="9" t="n"/>
      <c r="CF326" s="9" t="n"/>
      <c r="CG326" s="9" t="n"/>
      <c r="CH326" s="9" t="n"/>
    </row>
    <row r="327">
      <c r="A327" s="8" t="n"/>
      <c r="B327" s="9" t="n"/>
      <c r="C327" s="9" t="n"/>
      <c r="D327" s="9" t="n"/>
      <c r="E327" s="9" t="n"/>
      <c r="F327" s="9" t="n"/>
      <c r="G327" s="9" t="n"/>
      <c r="H327" s="9" t="n"/>
      <c r="I327" s="9" t="n"/>
      <c r="J327" s="9" t="n"/>
      <c r="K327" s="8" t="n"/>
      <c r="L327" s="9" t="n"/>
      <c r="M327" s="8" t="n"/>
      <c r="N327" s="8" t="n"/>
      <c r="O327" s="8" t="n"/>
      <c r="P327" s="8" t="n"/>
      <c r="Q327" s="8" t="n"/>
      <c r="R327" s="9" t="n"/>
      <c r="S327" s="9" t="n"/>
      <c r="T327" s="10" t="n"/>
      <c r="U327" s="10" t="n"/>
      <c r="V327" s="9" t="n"/>
      <c r="W327" s="9" t="n"/>
      <c r="X327" s="9" t="n"/>
      <c r="Y327" s="9" t="n"/>
      <c r="Z327" s="11" t="n"/>
      <c r="AA327" s="11" t="n"/>
      <c r="AB327" s="11" t="n"/>
      <c r="AC327" s="11" t="n"/>
      <c r="AD327" s="11" t="n"/>
      <c r="AE327" s="11" t="n"/>
      <c r="AF327" s="9" t="n"/>
      <c r="AG327" s="9" t="n"/>
      <c r="AH327" s="9" t="n"/>
      <c r="AI327" s="9" t="n"/>
      <c r="AJ327" s="8" t="n"/>
      <c r="AK327" s="9" t="n"/>
      <c r="AL327" s="9" t="n"/>
      <c r="AM327" s="9" t="n"/>
      <c r="AN327" s="9" t="n"/>
      <c r="AO327" s="9" t="n"/>
      <c r="AP327" s="9" t="n"/>
      <c r="AQ327" s="9" t="n"/>
      <c r="AR327" s="9" t="n"/>
      <c r="AS327" s="9" t="n"/>
      <c r="AT327" s="8" t="n"/>
      <c r="AU327" s="8" t="n"/>
      <c r="AV327" s="9" t="n"/>
      <c r="AW327" s="8" t="n"/>
      <c r="AX327" s="9" t="n"/>
      <c r="AY327" s="9" t="n"/>
      <c r="AZ327" s="9" t="n"/>
      <c r="BA327" s="9" t="n"/>
      <c r="BB327" s="9" t="n"/>
      <c r="BC327" s="9" t="n"/>
      <c r="BD327" s="9" t="n"/>
      <c r="BE327" s="9" t="n"/>
      <c r="BF327" s="9" t="n"/>
      <c r="BG327" s="9" t="n"/>
      <c r="BH327" s="9" t="n"/>
      <c r="BI327" s="9" t="n"/>
      <c r="BJ327" s="9" t="n"/>
      <c r="BK327" s="9" t="n"/>
      <c r="BL327" s="9" t="n"/>
      <c r="BM327" s="9" t="n"/>
      <c r="BN327" s="9" t="n"/>
      <c r="BO327" s="8" t="n"/>
      <c r="BP327" s="9" t="n"/>
      <c r="BQ327" s="9" t="n"/>
      <c r="BR327" s="12">
        <f>IF(AND(AI327="Y",AK327="Y",AL327="Y",AM327="Y",AY327="Y",AZ327="Y",BA327="Y",BB327="Y",BC327="Y",BE327&lt;&gt;"Y",AX327&lt;&gt;"Y",BL327&lt;&gt;"Y",IF(AS327="Y",AV327="Y",TRUE)),"Y","N")</f>
        <v/>
      </c>
      <c r="BS327" s="12">
        <f>IF(AND(BR327="Y",OR(AND(BJ327="Y",BM327="Y"),AND(BK327="Y",BN327="Y"),AND(BJ327&lt;&gt;"Y",BK327&lt;&gt;"Y",OR(BM327="Y",BN327="Y")))),"Y","N")</f>
        <v/>
      </c>
      <c r="BT327" s="10" t="n"/>
      <c r="BU327" s="13" t="n"/>
      <c r="BV327" s="13" t="n"/>
      <c r="BW327" s="13" t="n"/>
      <c r="BX327" s="13" t="n"/>
      <c r="BY327" s="13" t="n"/>
      <c r="BZ327" s="13" t="n"/>
      <c r="CA327" s="14" t="n"/>
      <c r="CB327" s="13" t="n"/>
      <c r="CC327" s="9" t="n"/>
      <c r="CD327" s="9" t="n"/>
      <c r="CE327" s="9" t="n"/>
      <c r="CF327" s="9" t="n"/>
      <c r="CG327" s="9" t="n"/>
      <c r="CH327" s="9" t="n"/>
    </row>
    <row r="328">
      <c r="A328" s="8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8" t="n"/>
      <c r="L328" s="9" t="n"/>
      <c r="M328" s="8" t="n"/>
      <c r="N328" s="8" t="n"/>
      <c r="O328" s="8" t="n"/>
      <c r="P328" s="8" t="n"/>
      <c r="Q328" s="8" t="n"/>
      <c r="R328" s="9" t="n"/>
      <c r="S328" s="9" t="n"/>
      <c r="T328" s="10" t="n"/>
      <c r="U328" s="10" t="n"/>
      <c r="V328" s="9" t="n"/>
      <c r="W328" s="9" t="n"/>
      <c r="X328" s="9" t="n"/>
      <c r="Y328" s="9" t="n"/>
      <c r="Z328" s="11" t="n"/>
      <c r="AA328" s="11" t="n"/>
      <c r="AB328" s="11" t="n"/>
      <c r="AC328" s="11" t="n"/>
      <c r="AD328" s="11" t="n"/>
      <c r="AE328" s="11" t="n"/>
      <c r="AF328" s="9" t="n"/>
      <c r="AG328" s="9" t="n"/>
      <c r="AH328" s="9" t="n"/>
      <c r="AI328" s="9" t="n"/>
      <c r="AJ328" s="8" t="n"/>
      <c r="AK328" s="9" t="n"/>
      <c r="AL328" s="9" t="n"/>
      <c r="AM328" s="9" t="n"/>
      <c r="AN328" s="9" t="n"/>
      <c r="AO328" s="9" t="n"/>
      <c r="AP328" s="9" t="n"/>
      <c r="AQ328" s="9" t="n"/>
      <c r="AR328" s="9" t="n"/>
      <c r="AS328" s="9" t="n"/>
      <c r="AT328" s="8" t="n"/>
      <c r="AU328" s="8" t="n"/>
      <c r="AV328" s="9" t="n"/>
      <c r="AW328" s="8" t="n"/>
      <c r="AX328" s="9" t="n"/>
      <c r="AY328" s="9" t="n"/>
      <c r="AZ328" s="9" t="n"/>
      <c r="BA328" s="9" t="n"/>
      <c r="BB328" s="9" t="n"/>
      <c r="BC328" s="9" t="n"/>
      <c r="BD328" s="9" t="n"/>
      <c r="BE328" s="9" t="n"/>
      <c r="BF328" s="9" t="n"/>
      <c r="BG328" s="9" t="n"/>
      <c r="BH328" s="9" t="n"/>
      <c r="BI328" s="9" t="n"/>
      <c r="BJ328" s="9" t="n"/>
      <c r="BK328" s="9" t="n"/>
      <c r="BL328" s="9" t="n"/>
      <c r="BM328" s="9" t="n"/>
      <c r="BN328" s="9" t="n"/>
      <c r="BO328" s="8" t="n"/>
      <c r="BP328" s="9" t="n"/>
      <c r="BQ328" s="9" t="n"/>
      <c r="BR328" s="12">
        <f>IF(AND(AI328="Y",AK328="Y",AL328="Y",AM328="Y",AY328="Y",AZ328="Y",BA328="Y",BB328="Y",BC328="Y",BE328&lt;&gt;"Y",AX328&lt;&gt;"Y",BL328&lt;&gt;"Y",IF(AS328="Y",AV328="Y",TRUE)),"Y","N")</f>
        <v/>
      </c>
      <c r="BS328" s="12">
        <f>IF(AND(BR328="Y",OR(AND(BJ328="Y",BM328="Y"),AND(BK328="Y",BN328="Y"),AND(BJ328&lt;&gt;"Y",BK328&lt;&gt;"Y",OR(BM328="Y",BN328="Y")))),"Y","N")</f>
        <v/>
      </c>
      <c r="BT328" s="10" t="n"/>
      <c r="BU328" s="13" t="n"/>
      <c r="BV328" s="13" t="n"/>
      <c r="BW328" s="13" t="n"/>
      <c r="BX328" s="13" t="n"/>
      <c r="BY328" s="13" t="n"/>
      <c r="BZ328" s="13" t="n"/>
      <c r="CA328" s="14" t="n"/>
      <c r="CB328" s="13" t="n"/>
      <c r="CC328" s="9" t="n"/>
      <c r="CD328" s="9" t="n"/>
      <c r="CE328" s="9" t="n"/>
      <c r="CF328" s="9" t="n"/>
      <c r="CG328" s="9" t="n"/>
      <c r="CH328" s="9" t="n"/>
    </row>
    <row r="329">
      <c r="A329" s="8" t="n"/>
      <c r="B329" s="9" t="n"/>
      <c r="C329" s="9" t="n"/>
      <c r="D329" s="9" t="n"/>
      <c r="E329" s="9" t="n"/>
      <c r="F329" s="9" t="n"/>
      <c r="G329" s="9" t="n"/>
      <c r="H329" s="9" t="n"/>
      <c r="I329" s="9" t="n"/>
      <c r="J329" s="9" t="n"/>
      <c r="K329" s="8" t="n"/>
      <c r="L329" s="9" t="n"/>
      <c r="M329" s="8" t="n"/>
      <c r="N329" s="8" t="n"/>
      <c r="O329" s="8" t="n"/>
      <c r="P329" s="8" t="n"/>
      <c r="Q329" s="8" t="n"/>
      <c r="R329" s="9" t="n"/>
      <c r="S329" s="9" t="n"/>
      <c r="T329" s="10" t="n"/>
      <c r="U329" s="10" t="n"/>
      <c r="V329" s="9" t="n"/>
      <c r="W329" s="9" t="n"/>
      <c r="X329" s="9" t="n"/>
      <c r="Y329" s="9" t="n"/>
      <c r="Z329" s="11" t="n"/>
      <c r="AA329" s="11" t="n"/>
      <c r="AB329" s="11" t="n"/>
      <c r="AC329" s="11" t="n"/>
      <c r="AD329" s="11" t="n"/>
      <c r="AE329" s="11" t="n"/>
      <c r="AF329" s="9" t="n"/>
      <c r="AG329" s="9" t="n"/>
      <c r="AH329" s="9" t="n"/>
      <c r="AI329" s="9" t="n"/>
      <c r="AJ329" s="8" t="n"/>
      <c r="AK329" s="9" t="n"/>
      <c r="AL329" s="9" t="n"/>
      <c r="AM329" s="9" t="n"/>
      <c r="AN329" s="9" t="n"/>
      <c r="AO329" s="9" t="n"/>
      <c r="AP329" s="9" t="n"/>
      <c r="AQ329" s="9" t="n"/>
      <c r="AR329" s="9" t="n"/>
      <c r="AS329" s="9" t="n"/>
      <c r="AT329" s="8" t="n"/>
      <c r="AU329" s="8" t="n"/>
      <c r="AV329" s="9" t="n"/>
      <c r="AW329" s="8" t="n"/>
      <c r="AX329" s="9" t="n"/>
      <c r="AY329" s="9" t="n"/>
      <c r="AZ329" s="9" t="n"/>
      <c r="BA329" s="9" t="n"/>
      <c r="BB329" s="9" t="n"/>
      <c r="BC329" s="9" t="n"/>
      <c r="BD329" s="9" t="n"/>
      <c r="BE329" s="9" t="n"/>
      <c r="BF329" s="9" t="n"/>
      <c r="BG329" s="9" t="n"/>
      <c r="BH329" s="9" t="n"/>
      <c r="BI329" s="9" t="n"/>
      <c r="BJ329" s="9" t="n"/>
      <c r="BK329" s="9" t="n"/>
      <c r="BL329" s="9" t="n"/>
      <c r="BM329" s="9" t="n"/>
      <c r="BN329" s="9" t="n"/>
      <c r="BO329" s="8" t="n"/>
      <c r="BP329" s="9" t="n"/>
      <c r="BQ329" s="9" t="n"/>
      <c r="BR329" s="12">
        <f>IF(AND(AI329="Y",AK329="Y",AL329="Y",AM329="Y",AY329="Y",AZ329="Y",BA329="Y",BB329="Y",BC329="Y",BE329&lt;&gt;"Y",AX329&lt;&gt;"Y",BL329&lt;&gt;"Y",IF(AS329="Y",AV329="Y",TRUE)),"Y","N")</f>
        <v/>
      </c>
      <c r="BS329" s="12">
        <f>IF(AND(BR329="Y",OR(AND(BJ329="Y",BM329="Y"),AND(BK329="Y",BN329="Y"),AND(BJ329&lt;&gt;"Y",BK329&lt;&gt;"Y",OR(BM329="Y",BN329="Y")))),"Y","N")</f>
        <v/>
      </c>
      <c r="BT329" s="10" t="n"/>
      <c r="BU329" s="13" t="n"/>
      <c r="BV329" s="13" t="n"/>
      <c r="BW329" s="13" t="n"/>
      <c r="BX329" s="13" t="n"/>
      <c r="BY329" s="13" t="n"/>
      <c r="BZ329" s="13" t="n"/>
      <c r="CA329" s="14" t="n"/>
      <c r="CB329" s="13" t="n"/>
      <c r="CC329" s="9" t="n"/>
      <c r="CD329" s="9" t="n"/>
      <c r="CE329" s="9" t="n"/>
      <c r="CF329" s="9" t="n"/>
      <c r="CG329" s="9" t="n"/>
      <c r="CH329" s="9" t="n"/>
    </row>
    <row r="330">
      <c r="A330" s="8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8" t="n"/>
      <c r="L330" s="9" t="n"/>
      <c r="M330" s="8" t="n"/>
      <c r="N330" s="8" t="n"/>
      <c r="O330" s="8" t="n"/>
      <c r="P330" s="8" t="n"/>
      <c r="Q330" s="8" t="n"/>
      <c r="R330" s="9" t="n"/>
      <c r="S330" s="9" t="n"/>
      <c r="T330" s="10" t="n"/>
      <c r="U330" s="10" t="n"/>
      <c r="V330" s="9" t="n"/>
      <c r="W330" s="9" t="n"/>
      <c r="X330" s="9" t="n"/>
      <c r="Y330" s="9" t="n"/>
      <c r="Z330" s="11" t="n"/>
      <c r="AA330" s="11" t="n"/>
      <c r="AB330" s="11" t="n"/>
      <c r="AC330" s="11" t="n"/>
      <c r="AD330" s="11" t="n"/>
      <c r="AE330" s="11" t="n"/>
      <c r="AF330" s="9" t="n"/>
      <c r="AG330" s="9" t="n"/>
      <c r="AH330" s="9" t="n"/>
      <c r="AI330" s="9" t="n"/>
      <c r="AJ330" s="8" t="n"/>
      <c r="AK330" s="9" t="n"/>
      <c r="AL330" s="9" t="n"/>
      <c r="AM330" s="9" t="n"/>
      <c r="AN330" s="9" t="n"/>
      <c r="AO330" s="9" t="n"/>
      <c r="AP330" s="9" t="n"/>
      <c r="AQ330" s="9" t="n"/>
      <c r="AR330" s="9" t="n"/>
      <c r="AS330" s="9" t="n"/>
      <c r="AT330" s="8" t="n"/>
      <c r="AU330" s="8" t="n"/>
      <c r="AV330" s="9" t="n"/>
      <c r="AW330" s="8" t="n"/>
      <c r="AX330" s="9" t="n"/>
      <c r="AY330" s="9" t="n"/>
      <c r="AZ330" s="9" t="n"/>
      <c r="BA330" s="9" t="n"/>
      <c r="BB330" s="9" t="n"/>
      <c r="BC330" s="9" t="n"/>
      <c r="BD330" s="9" t="n"/>
      <c r="BE330" s="9" t="n"/>
      <c r="BF330" s="9" t="n"/>
      <c r="BG330" s="9" t="n"/>
      <c r="BH330" s="9" t="n"/>
      <c r="BI330" s="9" t="n"/>
      <c r="BJ330" s="9" t="n"/>
      <c r="BK330" s="9" t="n"/>
      <c r="BL330" s="9" t="n"/>
      <c r="BM330" s="9" t="n"/>
      <c r="BN330" s="9" t="n"/>
      <c r="BO330" s="8" t="n"/>
      <c r="BP330" s="9" t="n"/>
      <c r="BQ330" s="9" t="n"/>
      <c r="BR330" s="12">
        <f>IF(AND(AI330="Y",AK330="Y",AL330="Y",AM330="Y",AY330="Y",AZ330="Y",BA330="Y",BB330="Y",BC330="Y",BE330&lt;&gt;"Y",AX330&lt;&gt;"Y",BL330&lt;&gt;"Y",IF(AS330="Y",AV330="Y",TRUE)),"Y","N")</f>
        <v/>
      </c>
      <c r="BS330" s="12">
        <f>IF(AND(BR330="Y",OR(AND(BJ330="Y",BM330="Y"),AND(BK330="Y",BN330="Y"),AND(BJ330&lt;&gt;"Y",BK330&lt;&gt;"Y",OR(BM330="Y",BN330="Y")))),"Y","N")</f>
        <v/>
      </c>
      <c r="BT330" s="10" t="n"/>
      <c r="BU330" s="13" t="n"/>
      <c r="BV330" s="13" t="n"/>
      <c r="BW330" s="13" t="n"/>
      <c r="BX330" s="13" t="n"/>
      <c r="BY330" s="13" t="n"/>
      <c r="BZ330" s="13" t="n"/>
      <c r="CA330" s="14" t="n"/>
      <c r="CB330" s="13" t="n"/>
      <c r="CC330" s="9" t="n"/>
      <c r="CD330" s="9" t="n"/>
      <c r="CE330" s="9" t="n"/>
      <c r="CF330" s="9" t="n"/>
      <c r="CG330" s="9" t="n"/>
      <c r="CH330" s="9" t="n"/>
    </row>
    <row r="331">
      <c r="A331" s="8" t="n"/>
      <c r="B331" s="9" t="n"/>
      <c r="C331" s="9" t="n"/>
      <c r="D331" s="9" t="n"/>
      <c r="E331" s="9" t="n"/>
      <c r="F331" s="9" t="n"/>
      <c r="G331" s="9" t="n"/>
      <c r="H331" s="9" t="n"/>
      <c r="I331" s="9" t="n"/>
      <c r="J331" s="9" t="n"/>
      <c r="K331" s="8" t="n"/>
      <c r="L331" s="9" t="n"/>
      <c r="M331" s="8" t="n"/>
      <c r="N331" s="8" t="n"/>
      <c r="O331" s="8" t="n"/>
      <c r="P331" s="8" t="n"/>
      <c r="Q331" s="8" t="n"/>
      <c r="R331" s="9" t="n"/>
      <c r="S331" s="9" t="n"/>
      <c r="T331" s="10" t="n"/>
      <c r="U331" s="10" t="n"/>
      <c r="V331" s="9" t="n"/>
      <c r="W331" s="9" t="n"/>
      <c r="X331" s="9" t="n"/>
      <c r="Y331" s="9" t="n"/>
      <c r="Z331" s="11" t="n"/>
      <c r="AA331" s="11" t="n"/>
      <c r="AB331" s="11" t="n"/>
      <c r="AC331" s="11" t="n"/>
      <c r="AD331" s="11" t="n"/>
      <c r="AE331" s="11" t="n"/>
      <c r="AF331" s="9" t="n"/>
      <c r="AG331" s="9" t="n"/>
      <c r="AH331" s="9" t="n"/>
      <c r="AI331" s="9" t="n"/>
      <c r="AJ331" s="8" t="n"/>
      <c r="AK331" s="9" t="n"/>
      <c r="AL331" s="9" t="n"/>
      <c r="AM331" s="9" t="n"/>
      <c r="AN331" s="9" t="n"/>
      <c r="AO331" s="9" t="n"/>
      <c r="AP331" s="9" t="n"/>
      <c r="AQ331" s="9" t="n"/>
      <c r="AR331" s="9" t="n"/>
      <c r="AS331" s="9" t="n"/>
      <c r="AT331" s="8" t="n"/>
      <c r="AU331" s="8" t="n"/>
      <c r="AV331" s="9" t="n"/>
      <c r="AW331" s="8" t="n"/>
      <c r="AX331" s="9" t="n"/>
      <c r="AY331" s="9" t="n"/>
      <c r="AZ331" s="9" t="n"/>
      <c r="BA331" s="9" t="n"/>
      <c r="BB331" s="9" t="n"/>
      <c r="BC331" s="9" t="n"/>
      <c r="BD331" s="9" t="n"/>
      <c r="BE331" s="9" t="n"/>
      <c r="BF331" s="9" t="n"/>
      <c r="BG331" s="9" t="n"/>
      <c r="BH331" s="9" t="n"/>
      <c r="BI331" s="9" t="n"/>
      <c r="BJ331" s="9" t="n"/>
      <c r="BK331" s="9" t="n"/>
      <c r="BL331" s="9" t="n"/>
      <c r="BM331" s="9" t="n"/>
      <c r="BN331" s="9" t="n"/>
      <c r="BO331" s="8" t="n"/>
      <c r="BP331" s="9" t="n"/>
      <c r="BQ331" s="9" t="n"/>
      <c r="BR331" s="12">
        <f>IF(AND(AI331="Y",AK331="Y",AL331="Y",AM331="Y",AY331="Y",AZ331="Y",BA331="Y",BB331="Y",BC331="Y",BE331&lt;&gt;"Y",AX331&lt;&gt;"Y",BL331&lt;&gt;"Y",IF(AS331="Y",AV331="Y",TRUE)),"Y","N")</f>
        <v/>
      </c>
      <c r="BS331" s="12">
        <f>IF(AND(BR331="Y",OR(AND(BJ331="Y",BM331="Y"),AND(BK331="Y",BN331="Y"),AND(BJ331&lt;&gt;"Y",BK331&lt;&gt;"Y",OR(BM331="Y",BN331="Y")))),"Y","N")</f>
        <v/>
      </c>
      <c r="BT331" s="10" t="n"/>
      <c r="BU331" s="13" t="n"/>
      <c r="BV331" s="13" t="n"/>
      <c r="BW331" s="13" t="n"/>
      <c r="BX331" s="13" t="n"/>
      <c r="BY331" s="13" t="n"/>
      <c r="BZ331" s="13" t="n"/>
      <c r="CA331" s="14" t="n"/>
      <c r="CB331" s="13" t="n"/>
      <c r="CC331" s="9" t="n"/>
      <c r="CD331" s="9" t="n"/>
      <c r="CE331" s="9" t="n"/>
      <c r="CF331" s="9" t="n"/>
      <c r="CG331" s="9" t="n"/>
      <c r="CH331" s="9" t="n"/>
    </row>
    <row r="332">
      <c r="A332" s="8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8" t="n"/>
      <c r="L332" s="9" t="n"/>
      <c r="M332" s="8" t="n"/>
      <c r="N332" s="8" t="n"/>
      <c r="O332" s="8" t="n"/>
      <c r="P332" s="8" t="n"/>
      <c r="Q332" s="8" t="n"/>
      <c r="R332" s="9" t="n"/>
      <c r="S332" s="9" t="n"/>
      <c r="T332" s="10" t="n"/>
      <c r="U332" s="10" t="n"/>
      <c r="V332" s="9" t="n"/>
      <c r="W332" s="9" t="n"/>
      <c r="X332" s="9" t="n"/>
      <c r="Y332" s="9" t="n"/>
      <c r="Z332" s="11" t="n"/>
      <c r="AA332" s="11" t="n"/>
      <c r="AB332" s="11" t="n"/>
      <c r="AC332" s="11" t="n"/>
      <c r="AD332" s="11" t="n"/>
      <c r="AE332" s="11" t="n"/>
      <c r="AF332" s="9" t="n"/>
      <c r="AG332" s="9" t="n"/>
      <c r="AH332" s="9" t="n"/>
      <c r="AI332" s="9" t="n"/>
      <c r="AJ332" s="8" t="n"/>
      <c r="AK332" s="9" t="n"/>
      <c r="AL332" s="9" t="n"/>
      <c r="AM332" s="9" t="n"/>
      <c r="AN332" s="9" t="n"/>
      <c r="AO332" s="9" t="n"/>
      <c r="AP332" s="9" t="n"/>
      <c r="AQ332" s="9" t="n"/>
      <c r="AR332" s="9" t="n"/>
      <c r="AS332" s="9" t="n"/>
      <c r="AT332" s="8" t="n"/>
      <c r="AU332" s="8" t="n"/>
      <c r="AV332" s="9" t="n"/>
      <c r="AW332" s="8" t="n"/>
      <c r="AX332" s="9" t="n"/>
      <c r="AY332" s="9" t="n"/>
      <c r="AZ332" s="9" t="n"/>
      <c r="BA332" s="9" t="n"/>
      <c r="BB332" s="9" t="n"/>
      <c r="BC332" s="9" t="n"/>
      <c r="BD332" s="9" t="n"/>
      <c r="BE332" s="9" t="n"/>
      <c r="BF332" s="9" t="n"/>
      <c r="BG332" s="9" t="n"/>
      <c r="BH332" s="9" t="n"/>
      <c r="BI332" s="9" t="n"/>
      <c r="BJ332" s="9" t="n"/>
      <c r="BK332" s="9" t="n"/>
      <c r="BL332" s="9" t="n"/>
      <c r="BM332" s="9" t="n"/>
      <c r="BN332" s="9" t="n"/>
      <c r="BO332" s="8" t="n"/>
      <c r="BP332" s="9" t="n"/>
      <c r="BQ332" s="9" t="n"/>
      <c r="BR332" s="12">
        <f>IF(AND(AI332="Y",AK332="Y",AL332="Y",AM332="Y",AY332="Y",AZ332="Y",BA332="Y",BB332="Y",BC332="Y",BE332&lt;&gt;"Y",AX332&lt;&gt;"Y",BL332&lt;&gt;"Y",IF(AS332="Y",AV332="Y",TRUE)),"Y","N")</f>
        <v/>
      </c>
      <c r="BS332" s="12">
        <f>IF(AND(BR332="Y",OR(AND(BJ332="Y",BM332="Y"),AND(BK332="Y",BN332="Y"),AND(BJ332&lt;&gt;"Y",BK332&lt;&gt;"Y",OR(BM332="Y",BN332="Y")))),"Y","N")</f>
        <v/>
      </c>
      <c r="BT332" s="10" t="n"/>
      <c r="BU332" s="13" t="n"/>
      <c r="BV332" s="13" t="n"/>
      <c r="BW332" s="13" t="n"/>
      <c r="BX332" s="13" t="n"/>
      <c r="BY332" s="13" t="n"/>
      <c r="BZ332" s="13" t="n"/>
      <c r="CA332" s="14" t="n"/>
      <c r="CB332" s="13" t="n"/>
      <c r="CC332" s="9" t="n"/>
      <c r="CD332" s="9" t="n"/>
      <c r="CE332" s="9" t="n"/>
      <c r="CF332" s="9" t="n"/>
      <c r="CG332" s="9" t="n"/>
      <c r="CH332" s="9" t="n"/>
    </row>
    <row r="333">
      <c r="A333" s="8" t="n"/>
      <c r="B333" s="9" t="n"/>
      <c r="C333" s="9" t="n"/>
      <c r="D333" s="9" t="n"/>
      <c r="E333" s="9" t="n"/>
      <c r="F333" s="9" t="n"/>
      <c r="G333" s="9" t="n"/>
      <c r="H333" s="9" t="n"/>
      <c r="I333" s="9" t="n"/>
      <c r="J333" s="9" t="n"/>
      <c r="K333" s="8" t="n"/>
      <c r="L333" s="9" t="n"/>
      <c r="M333" s="8" t="n"/>
      <c r="N333" s="8" t="n"/>
      <c r="O333" s="8" t="n"/>
      <c r="P333" s="8" t="n"/>
      <c r="Q333" s="8" t="n"/>
      <c r="R333" s="9" t="n"/>
      <c r="S333" s="9" t="n"/>
      <c r="T333" s="10" t="n"/>
      <c r="U333" s="10" t="n"/>
      <c r="V333" s="9" t="n"/>
      <c r="W333" s="9" t="n"/>
      <c r="X333" s="9" t="n"/>
      <c r="Y333" s="9" t="n"/>
      <c r="Z333" s="11" t="n"/>
      <c r="AA333" s="11" t="n"/>
      <c r="AB333" s="11" t="n"/>
      <c r="AC333" s="11" t="n"/>
      <c r="AD333" s="11" t="n"/>
      <c r="AE333" s="11" t="n"/>
      <c r="AF333" s="9" t="n"/>
      <c r="AG333" s="9" t="n"/>
      <c r="AH333" s="9" t="n"/>
      <c r="AI333" s="9" t="n"/>
      <c r="AJ333" s="8" t="n"/>
      <c r="AK333" s="9" t="n"/>
      <c r="AL333" s="9" t="n"/>
      <c r="AM333" s="9" t="n"/>
      <c r="AN333" s="9" t="n"/>
      <c r="AO333" s="9" t="n"/>
      <c r="AP333" s="9" t="n"/>
      <c r="AQ333" s="9" t="n"/>
      <c r="AR333" s="9" t="n"/>
      <c r="AS333" s="9" t="n"/>
      <c r="AT333" s="8" t="n"/>
      <c r="AU333" s="8" t="n"/>
      <c r="AV333" s="9" t="n"/>
      <c r="AW333" s="8" t="n"/>
      <c r="AX333" s="9" t="n"/>
      <c r="AY333" s="9" t="n"/>
      <c r="AZ333" s="9" t="n"/>
      <c r="BA333" s="9" t="n"/>
      <c r="BB333" s="9" t="n"/>
      <c r="BC333" s="9" t="n"/>
      <c r="BD333" s="9" t="n"/>
      <c r="BE333" s="9" t="n"/>
      <c r="BF333" s="9" t="n"/>
      <c r="BG333" s="9" t="n"/>
      <c r="BH333" s="9" t="n"/>
      <c r="BI333" s="9" t="n"/>
      <c r="BJ333" s="9" t="n"/>
      <c r="BK333" s="9" t="n"/>
      <c r="BL333" s="9" t="n"/>
      <c r="BM333" s="9" t="n"/>
      <c r="BN333" s="9" t="n"/>
      <c r="BO333" s="8" t="n"/>
      <c r="BP333" s="9" t="n"/>
      <c r="BQ333" s="9" t="n"/>
      <c r="BR333" s="12">
        <f>IF(AND(AI333="Y",AK333="Y",AL333="Y",AM333="Y",AY333="Y",AZ333="Y",BA333="Y",BB333="Y",BC333="Y",BE333&lt;&gt;"Y",AX333&lt;&gt;"Y",BL333&lt;&gt;"Y",IF(AS333="Y",AV333="Y",TRUE)),"Y","N")</f>
        <v/>
      </c>
      <c r="BS333" s="12">
        <f>IF(AND(BR333="Y",OR(AND(BJ333="Y",BM333="Y"),AND(BK333="Y",BN333="Y"),AND(BJ333&lt;&gt;"Y",BK333&lt;&gt;"Y",OR(BM333="Y",BN333="Y")))),"Y","N")</f>
        <v/>
      </c>
      <c r="BT333" s="10" t="n"/>
      <c r="BU333" s="13" t="n"/>
      <c r="BV333" s="13" t="n"/>
      <c r="BW333" s="13" t="n"/>
      <c r="BX333" s="13" t="n"/>
      <c r="BY333" s="13" t="n"/>
      <c r="BZ333" s="13" t="n"/>
      <c r="CA333" s="14" t="n"/>
      <c r="CB333" s="13" t="n"/>
      <c r="CC333" s="9" t="n"/>
      <c r="CD333" s="9" t="n"/>
      <c r="CE333" s="9" t="n"/>
      <c r="CF333" s="9" t="n"/>
      <c r="CG333" s="9" t="n"/>
      <c r="CH333" s="9" t="n"/>
    </row>
    <row r="334">
      <c r="A334" s="8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8" t="n"/>
      <c r="L334" s="9" t="n"/>
      <c r="M334" s="8" t="n"/>
      <c r="N334" s="8" t="n"/>
      <c r="O334" s="8" t="n"/>
      <c r="P334" s="8" t="n"/>
      <c r="Q334" s="8" t="n"/>
      <c r="R334" s="9" t="n"/>
      <c r="S334" s="9" t="n"/>
      <c r="T334" s="10" t="n"/>
      <c r="U334" s="10" t="n"/>
      <c r="V334" s="9" t="n"/>
      <c r="W334" s="9" t="n"/>
      <c r="X334" s="9" t="n"/>
      <c r="Y334" s="9" t="n"/>
      <c r="Z334" s="11" t="n"/>
      <c r="AA334" s="11" t="n"/>
      <c r="AB334" s="11" t="n"/>
      <c r="AC334" s="11" t="n"/>
      <c r="AD334" s="11" t="n"/>
      <c r="AE334" s="11" t="n"/>
      <c r="AF334" s="9" t="n"/>
      <c r="AG334" s="9" t="n"/>
      <c r="AH334" s="9" t="n"/>
      <c r="AI334" s="9" t="n"/>
      <c r="AJ334" s="8" t="n"/>
      <c r="AK334" s="9" t="n"/>
      <c r="AL334" s="9" t="n"/>
      <c r="AM334" s="9" t="n"/>
      <c r="AN334" s="9" t="n"/>
      <c r="AO334" s="9" t="n"/>
      <c r="AP334" s="9" t="n"/>
      <c r="AQ334" s="9" t="n"/>
      <c r="AR334" s="9" t="n"/>
      <c r="AS334" s="9" t="n"/>
      <c r="AT334" s="8" t="n"/>
      <c r="AU334" s="8" t="n"/>
      <c r="AV334" s="9" t="n"/>
      <c r="AW334" s="8" t="n"/>
      <c r="AX334" s="9" t="n"/>
      <c r="AY334" s="9" t="n"/>
      <c r="AZ334" s="9" t="n"/>
      <c r="BA334" s="9" t="n"/>
      <c r="BB334" s="9" t="n"/>
      <c r="BC334" s="9" t="n"/>
      <c r="BD334" s="9" t="n"/>
      <c r="BE334" s="9" t="n"/>
      <c r="BF334" s="9" t="n"/>
      <c r="BG334" s="9" t="n"/>
      <c r="BH334" s="9" t="n"/>
      <c r="BI334" s="9" t="n"/>
      <c r="BJ334" s="9" t="n"/>
      <c r="BK334" s="9" t="n"/>
      <c r="BL334" s="9" t="n"/>
      <c r="BM334" s="9" t="n"/>
      <c r="BN334" s="9" t="n"/>
      <c r="BO334" s="8" t="n"/>
      <c r="BP334" s="9" t="n"/>
      <c r="BQ334" s="9" t="n"/>
      <c r="BR334" s="12">
        <f>IF(AND(AI334="Y",AK334="Y",AL334="Y",AM334="Y",AY334="Y",AZ334="Y",BA334="Y",BB334="Y",BC334="Y",BE334&lt;&gt;"Y",AX334&lt;&gt;"Y",BL334&lt;&gt;"Y",IF(AS334="Y",AV334="Y",TRUE)),"Y","N")</f>
        <v/>
      </c>
      <c r="BS334" s="12">
        <f>IF(AND(BR334="Y",OR(AND(BJ334="Y",BM334="Y"),AND(BK334="Y",BN334="Y"),AND(BJ334&lt;&gt;"Y",BK334&lt;&gt;"Y",OR(BM334="Y",BN334="Y")))),"Y","N")</f>
        <v/>
      </c>
      <c r="BT334" s="10" t="n"/>
      <c r="BU334" s="13" t="n"/>
      <c r="BV334" s="13" t="n"/>
      <c r="BW334" s="13" t="n"/>
      <c r="BX334" s="13" t="n"/>
      <c r="BY334" s="13" t="n"/>
      <c r="BZ334" s="13" t="n"/>
      <c r="CA334" s="14" t="n"/>
      <c r="CB334" s="13" t="n"/>
      <c r="CC334" s="9" t="n"/>
      <c r="CD334" s="9" t="n"/>
      <c r="CE334" s="9" t="n"/>
      <c r="CF334" s="9" t="n"/>
      <c r="CG334" s="9" t="n"/>
      <c r="CH334" s="9" t="n"/>
    </row>
    <row r="335">
      <c r="A335" s="8" t="n"/>
      <c r="B335" s="9" t="n"/>
      <c r="C335" s="9" t="n"/>
      <c r="D335" s="9" t="n"/>
      <c r="E335" s="9" t="n"/>
      <c r="F335" s="9" t="n"/>
      <c r="G335" s="9" t="n"/>
      <c r="H335" s="9" t="n"/>
      <c r="I335" s="9" t="n"/>
      <c r="J335" s="9" t="n"/>
      <c r="K335" s="8" t="n"/>
      <c r="L335" s="9" t="n"/>
      <c r="M335" s="8" t="n"/>
      <c r="N335" s="8" t="n"/>
      <c r="O335" s="8" t="n"/>
      <c r="P335" s="8" t="n"/>
      <c r="Q335" s="8" t="n"/>
      <c r="R335" s="9" t="n"/>
      <c r="S335" s="9" t="n"/>
      <c r="T335" s="10" t="n"/>
      <c r="U335" s="10" t="n"/>
      <c r="V335" s="9" t="n"/>
      <c r="W335" s="9" t="n"/>
      <c r="X335" s="9" t="n"/>
      <c r="Y335" s="9" t="n"/>
      <c r="Z335" s="11" t="n"/>
      <c r="AA335" s="11" t="n"/>
      <c r="AB335" s="11" t="n"/>
      <c r="AC335" s="11" t="n"/>
      <c r="AD335" s="11" t="n"/>
      <c r="AE335" s="11" t="n"/>
      <c r="AF335" s="9" t="n"/>
      <c r="AG335" s="9" t="n"/>
      <c r="AH335" s="9" t="n"/>
      <c r="AI335" s="9" t="n"/>
      <c r="AJ335" s="8" t="n"/>
      <c r="AK335" s="9" t="n"/>
      <c r="AL335" s="9" t="n"/>
      <c r="AM335" s="9" t="n"/>
      <c r="AN335" s="9" t="n"/>
      <c r="AO335" s="9" t="n"/>
      <c r="AP335" s="9" t="n"/>
      <c r="AQ335" s="9" t="n"/>
      <c r="AR335" s="9" t="n"/>
      <c r="AS335" s="9" t="n"/>
      <c r="AT335" s="8" t="n"/>
      <c r="AU335" s="8" t="n"/>
      <c r="AV335" s="9" t="n"/>
      <c r="AW335" s="8" t="n"/>
      <c r="AX335" s="9" t="n"/>
      <c r="AY335" s="9" t="n"/>
      <c r="AZ335" s="9" t="n"/>
      <c r="BA335" s="9" t="n"/>
      <c r="BB335" s="9" t="n"/>
      <c r="BC335" s="9" t="n"/>
      <c r="BD335" s="9" t="n"/>
      <c r="BE335" s="9" t="n"/>
      <c r="BF335" s="9" t="n"/>
      <c r="BG335" s="9" t="n"/>
      <c r="BH335" s="9" t="n"/>
      <c r="BI335" s="9" t="n"/>
      <c r="BJ335" s="9" t="n"/>
      <c r="BK335" s="9" t="n"/>
      <c r="BL335" s="9" t="n"/>
      <c r="BM335" s="9" t="n"/>
      <c r="BN335" s="9" t="n"/>
      <c r="BO335" s="8" t="n"/>
      <c r="BP335" s="9" t="n"/>
      <c r="BQ335" s="9" t="n"/>
      <c r="BR335" s="12">
        <f>IF(AND(AI335="Y",AK335="Y",AL335="Y",AM335="Y",AY335="Y",AZ335="Y",BA335="Y",BB335="Y",BC335="Y",BE335&lt;&gt;"Y",AX335&lt;&gt;"Y",BL335&lt;&gt;"Y",IF(AS335="Y",AV335="Y",TRUE)),"Y","N")</f>
        <v/>
      </c>
      <c r="BS335" s="12">
        <f>IF(AND(BR335="Y",OR(AND(BJ335="Y",BM335="Y"),AND(BK335="Y",BN335="Y"),AND(BJ335&lt;&gt;"Y",BK335&lt;&gt;"Y",OR(BM335="Y",BN335="Y")))),"Y","N")</f>
        <v/>
      </c>
      <c r="BT335" s="10" t="n"/>
      <c r="BU335" s="13" t="n"/>
      <c r="BV335" s="13" t="n"/>
      <c r="BW335" s="13" t="n"/>
      <c r="BX335" s="13" t="n"/>
      <c r="BY335" s="13" t="n"/>
      <c r="BZ335" s="13" t="n"/>
      <c r="CA335" s="14" t="n"/>
      <c r="CB335" s="13" t="n"/>
      <c r="CC335" s="9" t="n"/>
      <c r="CD335" s="9" t="n"/>
      <c r="CE335" s="9" t="n"/>
      <c r="CF335" s="9" t="n"/>
      <c r="CG335" s="9" t="n"/>
      <c r="CH335" s="9" t="n"/>
    </row>
    <row r="336">
      <c r="A336" s="8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8" t="n"/>
      <c r="L336" s="9" t="n"/>
      <c r="M336" s="8" t="n"/>
      <c r="N336" s="8" t="n"/>
      <c r="O336" s="8" t="n"/>
      <c r="P336" s="8" t="n"/>
      <c r="Q336" s="8" t="n"/>
      <c r="R336" s="9" t="n"/>
      <c r="S336" s="9" t="n"/>
      <c r="T336" s="10" t="n"/>
      <c r="U336" s="10" t="n"/>
      <c r="V336" s="9" t="n"/>
      <c r="W336" s="9" t="n"/>
      <c r="X336" s="9" t="n"/>
      <c r="Y336" s="9" t="n"/>
      <c r="Z336" s="11" t="n"/>
      <c r="AA336" s="11" t="n"/>
      <c r="AB336" s="11" t="n"/>
      <c r="AC336" s="11" t="n"/>
      <c r="AD336" s="11" t="n"/>
      <c r="AE336" s="11" t="n"/>
      <c r="AF336" s="9" t="n"/>
      <c r="AG336" s="9" t="n"/>
      <c r="AH336" s="9" t="n"/>
      <c r="AI336" s="9" t="n"/>
      <c r="AJ336" s="8" t="n"/>
      <c r="AK336" s="9" t="n"/>
      <c r="AL336" s="9" t="n"/>
      <c r="AM336" s="9" t="n"/>
      <c r="AN336" s="9" t="n"/>
      <c r="AO336" s="9" t="n"/>
      <c r="AP336" s="9" t="n"/>
      <c r="AQ336" s="9" t="n"/>
      <c r="AR336" s="9" t="n"/>
      <c r="AS336" s="9" t="n"/>
      <c r="AT336" s="8" t="n"/>
      <c r="AU336" s="8" t="n"/>
      <c r="AV336" s="9" t="n"/>
      <c r="AW336" s="8" t="n"/>
      <c r="AX336" s="9" t="n"/>
      <c r="AY336" s="9" t="n"/>
      <c r="AZ336" s="9" t="n"/>
      <c r="BA336" s="9" t="n"/>
      <c r="BB336" s="9" t="n"/>
      <c r="BC336" s="9" t="n"/>
      <c r="BD336" s="9" t="n"/>
      <c r="BE336" s="9" t="n"/>
      <c r="BF336" s="9" t="n"/>
      <c r="BG336" s="9" t="n"/>
      <c r="BH336" s="9" t="n"/>
      <c r="BI336" s="9" t="n"/>
      <c r="BJ336" s="9" t="n"/>
      <c r="BK336" s="9" t="n"/>
      <c r="BL336" s="9" t="n"/>
      <c r="BM336" s="9" t="n"/>
      <c r="BN336" s="9" t="n"/>
      <c r="BO336" s="8" t="n"/>
      <c r="BP336" s="9" t="n"/>
      <c r="BQ336" s="9" t="n"/>
      <c r="BR336" s="12">
        <f>IF(AND(AI336="Y",AK336="Y",AL336="Y",AM336="Y",AY336="Y",AZ336="Y",BA336="Y",BB336="Y",BC336="Y",BE336&lt;&gt;"Y",AX336&lt;&gt;"Y",BL336&lt;&gt;"Y",IF(AS336="Y",AV336="Y",TRUE)),"Y","N")</f>
        <v/>
      </c>
      <c r="BS336" s="12">
        <f>IF(AND(BR336="Y",OR(AND(BJ336="Y",BM336="Y"),AND(BK336="Y",BN336="Y"),AND(BJ336&lt;&gt;"Y",BK336&lt;&gt;"Y",OR(BM336="Y",BN336="Y")))),"Y","N")</f>
        <v/>
      </c>
      <c r="BT336" s="10" t="n"/>
      <c r="BU336" s="13" t="n"/>
      <c r="BV336" s="13" t="n"/>
      <c r="BW336" s="13" t="n"/>
      <c r="BX336" s="13" t="n"/>
      <c r="BY336" s="13" t="n"/>
      <c r="BZ336" s="13" t="n"/>
      <c r="CA336" s="14" t="n"/>
      <c r="CB336" s="13" t="n"/>
      <c r="CC336" s="9" t="n"/>
      <c r="CD336" s="9" t="n"/>
      <c r="CE336" s="9" t="n"/>
      <c r="CF336" s="9" t="n"/>
      <c r="CG336" s="9" t="n"/>
      <c r="CH336" s="9" t="n"/>
    </row>
    <row r="337">
      <c r="A337" s="8" t="n"/>
      <c r="B337" s="9" t="n"/>
      <c r="C337" s="9" t="n"/>
      <c r="D337" s="9" t="n"/>
      <c r="E337" s="9" t="n"/>
      <c r="F337" s="9" t="n"/>
      <c r="G337" s="9" t="n"/>
      <c r="H337" s="9" t="n"/>
      <c r="I337" s="9" t="n"/>
      <c r="J337" s="9" t="n"/>
      <c r="K337" s="8" t="n"/>
      <c r="L337" s="9" t="n"/>
      <c r="M337" s="8" t="n"/>
      <c r="N337" s="8" t="n"/>
      <c r="O337" s="8" t="n"/>
      <c r="P337" s="8" t="n"/>
      <c r="Q337" s="8" t="n"/>
      <c r="R337" s="9" t="n"/>
      <c r="S337" s="9" t="n"/>
      <c r="T337" s="10" t="n"/>
      <c r="U337" s="10" t="n"/>
      <c r="V337" s="9" t="n"/>
      <c r="W337" s="9" t="n"/>
      <c r="X337" s="9" t="n"/>
      <c r="Y337" s="9" t="n"/>
      <c r="Z337" s="11" t="n"/>
      <c r="AA337" s="11" t="n"/>
      <c r="AB337" s="11" t="n"/>
      <c r="AC337" s="11" t="n"/>
      <c r="AD337" s="11" t="n"/>
      <c r="AE337" s="11" t="n"/>
      <c r="AF337" s="9" t="n"/>
      <c r="AG337" s="9" t="n"/>
      <c r="AH337" s="9" t="n"/>
      <c r="AI337" s="9" t="n"/>
      <c r="AJ337" s="8" t="n"/>
      <c r="AK337" s="9" t="n"/>
      <c r="AL337" s="9" t="n"/>
      <c r="AM337" s="9" t="n"/>
      <c r="AN337" s="9" t="n"/>
      <c r="AO337" s="9" t="n"/>
      <c r="AP337" s="9" t="n"/>
      <c r="AQ337" s="9" t="n"/>
      <c r="AR337" s="9" t="n"/>
      <c r="AS337" s="9" t="n"/>
      <c r="AT337" s="8" t="n"/>
      <c r="AU337" s="8" t="n"/>
      <c r="AV337" s="9" t="n"/>
      <c r="AW337" s="8" t="n"/>
      <c r="AX337" s="9" t="n"/>
      <c r="AY337" s="9" t="n"/>
      <c r="AZ337" s="9" t="n"/>
      <c r="BA337" s="9" t="n"/>
      <c r="BB337" s="9" t="n"/>
      <c r="BC337" s="9" t="n"/>
      <c r="BD337" s="9" t="n"/>
      <c r="BE337" s="9" t="n"/>
      <c r="BF337" s="9" t="n"/>
      <c r="BG337" s="9" t="n"/>
      <c r="BH337" s="9" t="n"/>
      <c r="BI337" s="9" t="n"/>
      <c r="BJ337" s="9" t="n"/>
      <c r="BK337" s="9" t="n"/>
      <c r="BL337" s="9" t="n"/>
      <c r="BM337" s="9" t="n"/>
      <c r="BN337" s="9" t="n"/>
      <c r="BO337" s="8" t="n"/>
      <c r="BP337" s="9" t="n"/>
      <c r="BQ337" s="9" t="n"/>
      <c r="BR337" s="12">
        <f>IF(AND(AI337="Y",AK337="Y",AL337="Y",AM337="Y",AY337="Y",AZ337="Y",BA337="Y",BB337="Y",BC337="Y",BE337&lt;&gt;"Y",AX337&lt;&gt;"Y",BL337&lt;&gt;"Y",IF(AS337="Y",AV337="Y",TRUE)),"Y","N")</f>
        <v/>
      </c>
      <c r="BS337" s="12">
        <f>IF(AND(BR337="Y",OR(AND(BJ337="Y",BM337="Y"),AND(BK337="Y",BN337="Y"),AND(BJ337&lt;&gt;"Y",BK337&lt;&gt;"Y",OR(BM337="Y",BN337="Y")))),"Y","N")</f>
        <v/>
      </c>
      <c r="BT337" s="10" t="n"/>
      <c r="BU337" s="13" t="n"/>
      <c r="BV337" s="13" t="n"/>
      <c r="BW337" s="13" t="n"/>
      <c r="BX337" s="13" t="n"/>
      <c r="BY337" s="13" t="n"/>
      <c r="BZ337" s="13" t="n"/>
      <c r="CA337" s="14" t="n"/>
      <c r="CB337" s="13" t="n"/>
      <c r="CC337" s="9" t="n"/>
      <c r="CD337" s="9" t="n"/>
      <c r="CE337" s="9" t="n"/>
      <c r="CF337" s="9" t="n"/>
      <c r="CG337" s="9" t="n"/>
      <c r="CH337" s="9" t="n"/>
    </row>
    <row r="338">
      <c r="A338" s="8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8" t="n"/>
      <c r="L338" s="9" t="n"/>
      <c r="M338" s="8" t="n"/>
      <c r="N338" s="8" t="n"/>
      <c r="O338" s="8" t="n"/>
      <c r="P338" s="8" t="n"/>
      <c r="Q338" s="8" t="n"/>
      <c r="R338" s="9" t="n"/>
      <c r="S338" s="9" t="n"/>
      <c r="T338" s="10" t="n"/>
      <c r="U338" s="10" t="n"/>
      <c r="V338" s="9" t="n"/>
      <c r="W338" s="9" t="n"/>
      <c r="X338" s="9" t="n"/>
      <c r="Y338" s="9" t="n"/>
      <c r="Z338" s="11" t="n"/>
      <c r="AA338" s="11" t="n"/>
      <c r="AB338" s="11" t="n"/>
      <c r="AC338" s="11" t="n"/>
      <c r="AD338" s="11" t="n"/>
      <c r="AE338" s="11" t="n"/>
      <c r="AF338" s="9" t="n"/>
      <c r="AG338" s="9" t="n"/>
      <c r="AH338" s="9" t="n"/>
      <c r="AI338" s="9" t="n"/>
      <c r="AJ338" s="8" t="n"/>
      <c r="AK338" s="9" t="n"/>
      <c r="AL338" s="9" t="n"/>
      <c r="AM338" s="9" t="n"/>
      <c r="AN338" s="9" t="n"/>
      <c r="AO338" s="9" t="n"/>
      <c r="AP338" s="9" t="n"/>
      <c r="AQ338" s="9" t="n"/>
      <c r="AR338" s="9" t="n"/>
      <c r="AS338" s="9" t="n"/>
      <c r="AT338" s="8" t="n"/>
      <c r="AU338" s="8" t="n"/>
      <c r="AV338" s="9" t="n"/>
      <c r="AW338" s="8" t="n"/>
      <c r="AX338" s="9" t="n"/>
      <c r="AY338" s="9" t="n"/>
      <c r="AZ338" s="9" t="n"/>
      <c r="BA338" s="9" t="n"/>
      <c r="BB338" s="9" t="n"/>
      <c r="BC338" s="9" t="n"/>
      <c r="BD338" s="9" t="n"/>
      <c r="BE338" s="9" t="n"/>
      <c r="BF338" s="9" t="n"/>
      <c r="BG338" s="9" t="n"/>
      <c r="BH338" s="9" t="n"/>
      <c r="BI338" s="9" t="n"/>
      <c r="BJ338" s="9" t="n"/>
      <c r="BK338" s="9" t="n"/>
      <c r="BL338" s="9" t="n"/>
      <c r="BM338" s="9" t="n"/>
      <c r="BN338" s="9" t="n"/>
      <c r="BO338" s="8" t="n"/>
      <c r="BP338" s="9" t="n"/>
      <c r="BQ338" s="9" t="n"/>
      <c r="BR338" s="12">
        <f>IF(AND(AI338="Y",AK338="Y",AL338="Y",AM338="Y",AY338="Y",AZ338="Y",BA338="Y",BB338="Y",BC338="Y",BE338&lt;&gt;"Y",AX338&lt;&gt;"Y",BL338&lt;&gt;"Y",IF(AS338="Y",AV338="Y",TRUE)),"Y","N")</f>
        <v/>
      </c>
      <c r="BS338" s="12">
        <f>IF(AND(BR338="Y",OR(AND(BJ338="Y",BM338="Y"),AND(BK338="Y",BN338="Y"),AND(BJ338&lt;&gt;"Y",BK338&lt;&gt;"Y",OR(BM338="Y",BN338="Y")))),"Y","N")</f>
        <v/>
      </c>
      <c r="BT338" s="10" t="n"/>
      <c r="BU338" s="13" t="n"/>
      <c r="BV338" s="13" t="n"/>
      <c r="BW338" s="13" t="n"/>
      <c r="BX338" s="13" t="n"/>
      <c r="BY338" s="13" t="n"/>
      <c r="BZ338" s="13" t="n"/>
      <c r="CA338" s="14" t="n"/>
      <c r="CB338" s="13" t="n"/>
      <c r="CC338" s="9" t="n"/>
      <c r="CD338" s="9" t="n"/>
      <c r="CE338" s="9" t="n"/>
      <c r="CF338" s="9" t="n"/>
      <c r="CG338" s="9" t="n"/>
      <c r="CH338" s="9" t="n"/>
    </row>
    <row r="339">
      <c r="A339" s="8" t="n"/>
      <c r="B339" s="9" t="n"/>
      <c r="C339" s="9" t="n"/>
      <c r="D339" s="9" t="n"/>
      <c r="E339" s="9" t="n"/>
      <c r="F339" s="9" t="n"/>
      <c r="G339" s="9" t="n"/>
      <c r="H339" s="9" t="n"/>
      <c r="I339" s="9" t="n"/>
      <c r="J339" s="9" t="n"/>
      <c r="K339" s="8" t="n"/>
      <c r="L339" s="9" t="n"/>
      <c r="M339" s="8" t="n"/>
      <c r="N339" s="8" t="n"/>
      <c r="O339" s="8" t="n"/>
      <c r="P339" s="8" t="n"/>
      <c r="Q339" s="8" t="n"/>
      <c r="R339" s="9" t="n"/>
      <c r="S339" s="9" t="n"/>
      <c r="T339" s="10" t="n"/>
      <c r="U339" s="10" t="n"/>
      <c r="V339" s="9" t="n"/>
      <c r="W339" s="9" t="n"/>
      <c r="X339" s="9" t="n"/>
      <c r="Y339" s="9" t="n"/>
      <c r="Z339" s="11" t="n"/>
      <c r="AA339" s="11" t="n"/>
      <c r="AB339" s="11" t="n"/>
      <c r="AC339" s="11" t="n"/>
      <c r="AD339" s="11" t="n"/>
      <c r="AE339" s="11" t="n"/>
      <c r="AF339" s="9" t="n"/>
      <c r="AG339" s="9" t="n"/>
      <c r="AH339" s="9" t="n"/>
      <c r="AI339" s="9" t="n"/>
      <c r="AJ339" s="8" t="n"/>
      <c r="AK339" s="9" t="n"/>
      <c r="AL339" s="9" t="n"/>
      <c r="AM339" s="9" t="n"/>
      <c r="AN339" s="9" t="n"/>
      <c r="AO339" s="9" t="n"/>
      <c r="AP339" s="9" t="n"/>
      <c r="AQ339" s="9" t="n"/>
      <c r="AR339" s="9" t="n"/>
      <c r="AS339" s="9" t="n"/>
      <c r="AT339" s="8" t="n"/>
      <c r="AU339" s="8" t="n"/>
      <c r="AV339" s="9" t="n"/>
      <c r="AW339" s="8" t="n"/>
      <c r="AX339" s="9" t="n"/>
      <c r="AY339" s="9" t="n"/>
      <c r="AZ339" s="9" t="n"/>
      <c r="BA339" s="9" t="n"/>
      <c r="BB339" s="9" t="n"/>
      <c r="BC339" s="9" t="n"/>
      <c r="BD339" s="9" t="n"/>
      <c r="BE339" s="9" t="n"/>
      <c r="BF339" s="9" t="n"/>
      <c r="BG339" s="9" t="n"/>
      <c r="BH339" s="9" t="n"/>
      <c r="BI339" s="9" t="n"/>
      <c r="BJ339" s="9" t="n"/>
      <c r="BK339" s="9" t="n"/>
      <c r="BL339" s="9" t="n"/>
      <c r="BM339" s="9" t="n"/>
      <c r="BN339" s="9" t="n"/>
      <c r="BO339" s="8" t="n"/>
      <c r="BP339" s="9" t="n"/>
      <c r="BQ339" s="9" t="n"/>
      <c r="BR339" s="12">
        <f>IF(AND(AI339="Y",AK339="Y",AL339="Y",AM339="Y",AY339="Y",AZ339="Y",BA339="Y",BB339="Y",BC339="Y",BE339&lt;&gt;"Y",AX339&lt;&gt;"Y",BL339&lt;&gt;"Y",IF(AS339="Y",AV339="Y",TRUE)),"Y","N")</f>
        <v/>
      </c>
      <c r="BS339" s="12">
        <f>IF(AND(BR339="Y",OR(AND(BJ339="Y",BM339="Y"),AND(BK339="Y",BN339="Y"),AND(BJ339&lt;&gt;"Y",BK339&lt;&gt;"Y",OR(BM339="Y",BN339="Y")))),"Y","N")</f>
        <v/>
      </c>
      <c r="BT339" s="10" t="n"/>
      <c r="BU339" s="13" t="n"/>
      <c r="BV339" s="13" t="n"/>
      <c r="BW339" s="13" t="n"/>
      <c r="BX339" s="13" t="n"/>
      <c r="BY339" s="13" t="n"/>
      <c r="BZ339" s="13" t="n"/>
      <c r="CA339" s="14" t="n"/>
      <c r="CB339" s="13" t="n"/>
      <c r="CC339" s="9" t="n"/>
      <c r="CD339" s="9" t="n"/>
      <c r="CE339" s="9" t="n"/>
      <c r="CF339" s="9" t="n"/>
      <c r="CG339" s="9" t="n"/>
      <c r="CH339" s="9" t="n"/>
    </row>
    <row r="340">
      <c r="A340" s="8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8" t="n"/>
      <c r="L340" s="9" t="n"/>
      <c r="M340" s="8" t="n"/>
      <c r="N340" s="8" t="n"/>
      <c r="O340" s="8" t="n"/>
      <c r="P340" s="8" t="n"/>
      <c r="Q340" s="8" t="n"/>
      <c r="R340" s="9" t="n"/>
      <c r="S340" s="9" t="n"/>
      <c r="T340" s="10" t="n"/>
      <c r="U340" s="10" t="n"/>
      <c r="V340" s="9" t="n"/>
      <c r="W340" s="9" t="n"/>
      <c r="X340" s="9" t="n"/>
      <c r="Y340" s="9" t="n"/>
      <c r="Z340" s="11" t="n"/>
      <c r="AA340" s="11" t="n"/>
      <c r="AB340" s="11" t="n"/>
      <c r="AC340" s="11" t="n"/>
      <c r="AD340" s="11" t="n"/>
      <c r="AE340" s="11" t="n"/>
      <c r="AF340" s="9" t="n"/>
      <c r="AG340" s="9" t="n"/>
      <c r="AH340" s="9" t="n"/>
      <c r="AI340" s="9" t="n"/>
      <c r="AJ340" s="8" t="n"/>
      <c r="AK340" s="9" t="n"/>
      <c r="AL340" s="9" t="n"/>
      <c r="AM340" s="9" t="n"/>
      <c r="AN340" s="9" t="n"/>
      <c r="AO340" s="9" t="n"/>
      <c r="AP340" s="9" t="n"/>
      <c r="AQ340" s="9" t="n"/>
      <c r="AR340" s="9" t="n"/>
      <c r="AS340" s="9" t="n"/>
      <c r="AT340" s="8" t="n"/>
      <c r="AU340" s="8" t="n"/>
      <c r="AV340" s="9" t="n"/>
      <c r="AW340" s="8" t="n"/>
      <c r="AX340" s="9" t="n"/>
      <c r="AY340" s="9" t="n"/>
      <c r="AZ340" s="9" t="n"/>
      <c r="BA340" s="9" t="n"/>
      <c r="BB340" s="9" t="n"/>
      <c r="BC340" s="9" t="n"/>
      <c r="BD340" s="9" t="n"/>
      <c r="BE340" s="9" t="n"/>
      <c r="BF340" s="9" t="n"/>
      <c r="BG340" s="9" t="n"/>
      <c r="BH340" s="9" t="n"/>
      <c r="BI340" s="9" t="n"/>
      <c r="BJ340" s="9" t="n"/>
      <c r="BK340" s="9" t="n"/>
      <c r="BL340" s="9" t="n"/>
      <c r="BM340" s="9" t="n"/>
      <c r="BN340" s="9" t="n"/>
      <c r="BO340" s="8" t="n"/>
      <c r="BP340" s="9" t="n"/>
      <c r="BQ340" s="9" t="n"/>
      <c r="BR340" s="12">
        <f>IF(AND(AI340="Y",AK340="Y",AL340="Y",AM340="Y",AY340="Y",AZ340="Y",BA340="Y",BB340="Y",BC340="Y",BE340&lt;&gt;"Y",AX340&lt;&gt;"Y",BL340&lt;&gt;"Y",IF(AS340="Y",AV340="Y",TRUE)),"Y","N")</f>
        <v/>
      </c>
      <c r="BS340" s="12">
        <f>IF(AND(BR340="Y",OR(AND(BJ340="Y",BM340="Y"),AND(BK340="Y",BN340="Y"),AND(BJ340&lt;&gt;"Y",BK340&lt;&gt;"Y",OR(BM340="Y",BN340="Y")))),"Y","N")</f>
        <v/>
      </c>
      <c r="BT340" s="10" t="n"/>
      <c r="BU340" s="13" t="n"/>
      <c r="BV340" s="13" t="n"/>
      <c r="BW340" s="13" t="n"/>
      <c r="BX340" s="13" t="n"/>
      <c r="BY340" s="13" t="n"/>
      <c r="BZ340" s="13" t="n"/>
      <c r="CA340" s="14" t="n"/>
      <c r="CB340" s="13" t="n"/>
      <c r="CC340" s="9" t="n"/>
      <c r="CD340" s="9" t="n"/>
      <c r="CE340" s="9" t="n"/>
      <c r="CF340" s="9" t="n"/>
      <c r="CG340" s="9" t="n"/>
      <c r="CH340" s="9" t="n"/>
    </row>
    <row r="341">
      <c r="A341" s="8" t="n"/>
      <c r="B341" s="9" t="n"/>
      <c r="C341" s="9" t="n"/>
      <c r="D341" s="9" t="n"/>
      <c r="E341" s="9" t="n"/>
      <c r="F341" s="9" t="n"/>
      <c r="G341" s="9" t="n"/>
      <c r="H341" s="9" t="n"/>
      <c r="I341" s="9" t="n"/>
      <c r="J341" s="9" t="n"/>
      <c r="K341" s="8" t="n"/>
      <c r="L341" s="9" t="n"/>
      <c r="M341" s="8" t="n"/>
      <c r="N341" s="8" t="n"/>
      <c r="O341" s="8" t="n"/>
      <c r="P341" s="8" t="n"/>
      <c r="Q341" s="8" t="n"/>
      <c r="R341" s="9" t="n"/>
      <c r="S341" s="9" t="n"/>
      <c r="T341" s="10" t="n"/>
      <c r="U341" s="10" t="n"/>
      <c r="V341" s="9" t="n"/>
      <c r="W341" s="9" t="n"/>
      <c r="X341" s="9" t="n"/>
      <c r="Y341" s="9" t="n"/>
      <c r="Z341" s="11" t="n"/>
      <c r="AA341" s="11" t="n"/>
      <c r="AB341" s="11" t="n"/>
      <c r="AC341" s="11" t="n"/>
      <c r="AD341" s="11" t="n"/>
      <c r="AE341" s="11" t="n"/>
      <c r="AF341" s="9" t="n"/>
      <c r="AG341" s="9" t="n"/>
      <c r="AH341" s="9" t="n"/>
      <c r="AI341" s="9" t="n"/>
      <c r="AJ341" s="8" t="n"/>
      <c r="AK341" s="9" t="n"/>
      <c r="AL341" s="9" t="n"/>
      <c r="AM341" s="9" t="n"/>
      <c r="AN341" s="9" t="n"/>
      <c r="AO341" s="9" t="n"/>
      <c r="AP341" s="9" t="n"/>
      <c r="AQ341" s="9" t="n"/>
      <c r="AR341" s="9" t="n"/>
      <c r="AS341" s="9" t="n"/>
      <c r="AT341" s="8" t="n"/>
      <c r="AU341" s="8" t="n"/>
      <c r="AV341" s="9" t="n"/>
      <c r="AW341" s="8" t="n"/>
      <c r="AX341" s="9" t="n"/>
      <c r="AY341" s="9" t="n"/>
      <c r="AZ341" s="9" t="n"/>
      <c r="BA341" s="9" t="n"/>
      <c r="BB341" s="9" t="n"/>
      <c r="BC341" s="9" t="n"/>
      <c r="BD341" s="9" t="n"/>
      <c r="BE341" s="9" t="n"/>
      <c r="BF341" s="9" t="n"/>
      <c r="BG341" s="9" t="n"/>
      <c r="BH341" s="9" t="n"/>
      <c r="BI341" s="9" t="n"/>
      <c r="BJ341" s="9" t="n"/>
      <c r="BK341" s="9" t="n"/>
      <c r="BL341" s="9" t="n"/>
      <c r="BM341" s="9" t="n"/>
      <c r="BN341" s="9" t="n"/>
      <c r="BO341" s="8" t="n"/>
      <c r="BP341" s="9" t="n"/>
      <c r="BQ341" s="9" t="n"/>
      <c r="BR341" s="12">
        <f>IF(AND(AI341="Y",AK341="Y",AL341="Y",AM341="Y",AY341="Y",AZ341="Y",BA341="Y",BB341="Y",BC341="Y",BE341&lt;&gt;"Y",AX341&lt;&gt;"Y",BL341&lt;&gt;"Y",IF(AS341="Y",AV341="Y",TRUE)),"Y","N")</f>
        <v/>
      </c>
      <c r="BS341" s="12">
        <f>IF(AND(BR341="Y",OR(AND(BJ341="Y",BM341="Y"),AND(BK341="Y",BN341="Y"),AND(BJ341&lt;&gt;"Y",BK341&lt;&gt;"Y",OR(BM341="Y",BN341="Y")))),"Y","N")</f>
        <v/>
      </c>
      <c r="BT341" s="10" t="n"/>
      <c r="BU341" s="13" t="n"/>
      <c r="BV341" s="13" t="n"/>
      <c r="BW341" s="13" t="n"/>
      <c r="BX341" s="13" t="n"/>
      <c r="BY341" s="13" t="n"/>
      <c r="BZ341" s="13" t="n"/>
      <c r="CA341" s="14" t="n"/>
      <c r="CB341" s="13" t="n"/>
      <c r="CC341" s="9" t="n"/>
      <c r="CD341" s="9" t="n"/>
      <c r="CE341" s="9" t="n"/>
      <c r="CF341" s="9" t="n"/>
      <c r="CG341" s="9" t="n"/>
      <c r="CH341" s="9" t="n"/>
    </row>
    <row r="342">
      <c r="A342" s="8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8" t="n"/>
      <c r="L342" s="9" t="n"/>
      <c r="M342" s="8" t="n"/>
      <c r="N342" s="8" t="n"/>
      <c r="O342" s="8" t="n"/>
      <c r="P342" s="8" t="n"/>
      <c r="Q342" s="8" t="n"/>
      <c r="R342" s="9" t="n"/>
      <c r="S342" s="9" t="n"/>
      <c r="T342" s="10" t="n"/>
      <c r="U342" s="10" t="n"/>
      <c r="V342" s="9" t="n"/>
      <c r="W342" s="9" t="n"/>
      <c r="X342" s="9" t="n"/>
      <c r="Y342" s="9" t="n"/>
      <c r="Z342" s="11" t="n"/>
      <c r="AA342" s="11" t="n"/>
      <c r="AB342" s="11" t="n"/>
      <c r="AC342" s="11" t="n"/>
      <c r="AD342" s="11" t="n"/>
      <c r="AE342" s="11" t="n"/>
      <c r="AF342" s="9" t="n"/>
      <c r="AG342" s="9" t="n"/>
      <c r="AH342" s="9" t="n"/>
      <c r="AI342" s="9" t="n"/>
      <c r="AJ342" s="8" t="n"/>
      <c r="AK342" s="9" t="n"/>
      <c r="AL342" s="9" t="n"/>
      <c r="AM342" s="9" t="n"/>
      <c r="AN342" s="9" t="n"/>
      <c r="AO342" s="9" t="n"/>
      <c r="AP342" s="9" t="n"/>
      <c r="AQ342" s="9" t="n"/>
      <c r="AR342" s="9" t="n"/>
      <c r="AS342" s="9" t="n"/>
      <c r="AT342" s="8" t="n"/>
      <c r="AU342" s="8" t="n"/>
      <c r="AV342" s="9" t="n"/>
      <c r="AW342" s="8" t="n"/>
      <c r="AX342" s="9" t="n"/>
      <c r="AY342" s="9" t="n"/>
      <c r="AZ342" s="9" t="n"/>
      <c r="BA342" s="9" t="n"/>
      <c r="BB342" s="9" t="n"/>
      <c r="BC342" s="9" t="n"/>
      <c r="BD342" s="9" t="n"/>
      <c r="BE342" s="9" t="n"/>
      <c r="BF342" s="9" t="n"/>
      <c r="BG342" s="9" t="n"/>
      <c r="BH342" s="9" t="n"/>
      <c r="BI342" s="9" t="n"/>
      <c r="BJ342" s="9" t="n"/>
      <c r="BK342" s="9" t="n"/>
      <c r="BL342" s="9" t="n"/>
      <c r="BM342" s="9" t="n"/>
      <c r="BN342" s="9" t="n"/>
      <c r="BO342" s="8" t="n"/>
      <c r="BP342" s="9" t="n"/>
      <c r="BQ342" s="9" t="n"/>
      <c r="BR342" s="12">
        <f>IF(AND(AI342="Y",AK342="Y",AL342="Y",AM342="Y",AY342="Y",AZ342="Y",BA342="Y",BB342="Y",BC342="Y",BE342&lt;&gt;"Y",AX342&lt;&gt;"Y",BL342&lt;&gt;"Y",IF(AS342="Y",AV342="Y",TRUE)),"Y","N")</f>
        <v/>
      </c>
      <c r="BS342" s="12">
        <f>IF(AND(BR342="Y",OR(AND(BJ342="Y",BM342="Y"),AND(BK342="Y",BN342="Y"),AND(BJ342&lt;&gt;"Y",BK342&lt;&gt;"Y",OR(BM342="Y",BN342="Y")))),"Y","N")</f>
        <v/>
      </c>
      <c r="BT342" s="10" t="n"/>
      <c r="BU342" s="13" t="n"/>
      <c r="BV342" s="13" t="n"/>
      <c r="BW342" s="13" t="n"/>
      <c r="BX342" s="13" t="n"/>
      <c r="BY342" s="13" t="n"/>
      <c r="BZ342" s="13" t="n"/>
      <c r="CA342" s="14" t="n"/>
      <c r="CB342" s="13" t="n"/>
      <c r="CC342" s="9" t="n"/>
      <c r="CD342" s="9" t="n"/>
      <c r="CE342" s="9" t="n"/>
      <c r="CF342" s="9" t="n"/>
      <c r="CG342" s="9" t="n"/>
      <c r="CH342" s="9" t="n"/>
    </row>
    <row r="343">
      <c r="A343" s="8" t="n"/>
      <c r="B343" s="9" t="n"/>
      <c r="C343" s="9" t="n"/>
      <c r="D343" s="9" t="n"/>
      <c r="E343" s="9" t="n"/>
      <c r="F343" s="9" t="n"/>
      <c r="G343" s="9" t="n"/>
      <c r="H343" s="9" t="n"/>
      <c r="I343" s="9" t="n"/>
      <c r="J343" s="9" t="n"/>
      <c r="K343" s="8" t="n"/>
      <c r="L343" s="9" t="n"/>
      <c r="M343" s="8" t="n"/>
      <c r="N343" s="8" t="n"/>
      <c r="O343" s="8" t="n"/>
      <c r="P343" s="8" t="n"/>
      <c r="Q343" s="8" t="n"/>
      <c r="R343" s="9" t="n"/>
      <c r="S343" s="9" t="n"/>
      <c r="T343" s="10" t="n"/>
      <c r="U343" s="10" t="n"/>
      <c r="V343" s="9" t="n"/>
      <c r="W343" s="9" t="n"/>
      <c r="X343" s="9" t="n"/>
      <c r="Y343" s="9" t="n"/>
      <c r="Z343" s="11" t="n"/>
      <c r="AA343" s="11" t="n"/>
      <c r="AB343" s="11" t="n"/>
      <c r="AC343" s="11" t="n"/>
      <c r="AD343" s="11" t="n"/>
      <c r="AE343" s="11" t="n"/>
      <c r="AF343" s="9" t="n"/>
      <c r="AG343" s="9" t="n"/>
      <c r="AH343" s="9" t="n"/>
      <c r="AI343" s="9" t="n"/>
      <c r="AJ343" s="8" t="n"/>
      <c r="AK343" s="9" t="n"/>
      <c r="AL343" s="9" t="n"/>
      <c r="AM343" s="9" t="n"/>
      <c r="AN343" s="9" t="n"/>
      <c r="AO343" s="9" t="n"/>
      <c r="AP343" s="9" t="n"/>
      <c r="AQ343" s="9" t="n"/>
      <c r="AR343" s="9" t="n"/>
      <c r="AS343" s="9" t="n"/>
      <c r="AT343" s="8" t="n"/>
      <c r="AU343" s="8" t="n"/>
      <c r="AV343" s="9" t="n"/>
      <c r="AW343" s="8" t="n"/>
      <c r="AX343" s="9" t="n"/>
      <c r="AY343" s="9" t="n"/>
      <c r="AZ343" s="9" t="n"/>
      <c r="BA343" s="9" t="n"/>
      <c r="BB343" s="9" t="n"/>
      <c r="BC343" s="9" t="n"/>
      <c r="BD343" s="9" t="n"/>
      <c r="BE343" s="9" t="n"/>
      <c r="BF343" s="9" t="n"/>
      <c r="BG343" s="9" t="n"/>
      <c r="BH343" s="9" t="n"/>
      <c r="BI343" s="9" t="n"/>
      <c r="BJ343" s="9" t="n"/>
      <c r="BK343" s="9" t="n"/>
      <c r="BL343" s="9" t="n"/>
      <c r="BM343" s="9" t="n"/>
      <c r="BN343" s="9" t="n"/>
      <c r="BO343" s="8" t="n"/>
      <c r="BP343" s="9" t="n"/>
      <c r="BQ343" s="9" t="n"/>
      <c r="BR343" s="12">
        <f>IF(AND(AI343="Y",AK343="Y",AL343="Y",AM343="Y",AY343="Y",AZ343="Y",BA343="Y",BB343="Y",BC343="Y",BE343&lt;&gt;"Y",AX343&lt;&gt;"Y",BL343&lt;&gt;"Y",IF(AS343="Y",AV343="Y",TRUE)),"Y","N")</f>
        <v/>
      </c>
      <c r="BS343" s="12">
        <f>IF(AND(BR343="Y",OR(AND(BJ343="Y",BM343="Y"),AND(BK343="Y",BN343="Y"),AND(BJ343&lt;&gt;"Y",BK343&lt;&gt;"Y",OR(BM343="Y",BN343="Y")))),"Y","N")</f>
        <v/>
      </c>
      <c r="BT343" s="10" t="n"/>
      <c r="BU343" s="13" t="n"/>
      <c r="BV343" s="13" t="n"/>
      <c r="BW343" s="13" t="n"/>
      <c r="BX343" s="13" t="n"/>
      <c r="BY343" s="13" t="n"/>
      <c r="BZ343" s="13" t="n"/>
      <c r="CA343" s="14" t="n"/>
      <c r="CB343" s="13" t="n"/>
      <c r="CC343" s="9" t="n"/>
      <c r="CD343" s="9" t="n"/>
      <c r="CE343" s="9" t="n"/>
      <c r="CF343" s="9" t="n"/>
      <c r="CG343" s="9" t="n"/>
      <c r="CH343" s="9" t="n"/>
    </row>
    <row r="344">
      <c r="A344" s="8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8" t="n"/>
      <c r="L344" s="9" t="n"/>
      <c r="M344" s="8" t="n"/>
      <c r="N344" s="8" t="n"/>
      <c r="O344" s="8" t="n"/>
      <c r="P344" s="8" t="n"/>
      <c r="Q344" s="8" t="n"/>
      <c r="R344" s="9" t="n"/>
      <c r="S344" s="9" t="n"/>
      <c r="T344" s="10" t="n"/>
      <c r="U344" s="10" t="n"/>
      <c r="V344" s="9" t="n"/>
      <c r="W344" s="9" t="n"/>
      <c r="X344" s="9" t="n"/>
      <c r="Y344" s="9" t="n"/>
      <c r="Z344" s="11" t="n"/>
      <c r="AA344" s="11" t="n"/>
      <c r="AB344" s="11" t="n"/>
      <c r="AC344" s="11" t="n"/>
      <c r="AD344" s="11" t="n"/>
      <c r="AE344" s="11" t="n"/>
      <c r="AF344" s="9" t="n"/>
      <c r="AG344" s="9" t="n"/>
      <c r="AH344" s="9" t="n"/>
      <c r="AI344" s="9" t="n"/>
      <c r="AJ344" s="8" t="n"/>
      <c r="AK344" s="9" t="n"/>
      <c r="AL344" s="9" t="n"/>
      <c r="AM344" s="9" t="n"/>
      <c r="AN344" s="9" t="n"/>
      <c r="AO344" s="9" t="n"/>
      <c r="AP344" s="9" t="n"/>
      <c r="AQ344" s="9" t="n"/>
      <c r="AR344" s="9" t="n"/>
      <c r="AS344" s="9" t="n"/>
      <c r="AT344" s="8" t="n"/>
      <c r="AU344" s="8" t="n"/>
      <c r="AV344" s="9" t="n"/>
      <c r="AW344" s="8" t="n"/>
      <c r="AX344" s="9" t="n"/>
      <c r="AY344" s="9" t="n"/>
      <c r="AZ344" s="9" t="n"/>
      <c r="BA344" s="9" t="n"/>
      <c r="BB344" s="9" t="n"/>
      <c r="BC344" s="9" t="n"/>
      <c r="BD344" s="9" t="n"/>
      <c r="BE344" s="9" t="n"/>
      <c r="BF344" s="9" t="n"/>
      <c r="BG344" s="9" t="n"/>
      <c r="BH344" s="9" t="n"/>
      <c r="BI344" s="9" t="n"/>
      <c r="BJ344" s="9" t="n"/>
      <c r="BK344" s="9" t="n"/>
      <c r="BL344" s="9" t="n"/>
      <c r="BM344" s="9" t="n"/>
      <c r="BN344" s="9" t="n"/>
      <c r="BO344" s="8" t="n"/>
      <c r="BP344" s="9" t="n"/>
      <c r="BQ344" s="9" t="n"/>
      <c r="BR344" s="12">
        <f>IF(AND(AI344="Y",AK344="Y",AL344="Y",AM344="Y",AY344="Y",AZ344="Y",BA344="Y",BB344="Y",BC344="Y",BE344&lt;&gt;"Y",AX344&lt;&gt;"Y",BL344&lt;&gt;"Y",IF(AS344="Y",AV344="Y",TRUE)),"Y","N")</f>
        <v/>
      </c>
      <c r="BS344" s="12">
        <f>IF(AND(BR344="Y",OR(AND(BJ344="Y",BM344="Y"),AND(BK344="Y",BN344="Y"),AND(BJ344&lt;&gt;"Y",BK344&lt;&gt;"Y",OR(BM344="Y",BN344="Y")))),"Y","N")</f>
        <v/>
      </c>
      <c r="BT344" s="10" t="n"/>
      <c r="BU344" s="13" t="n"/>
      <c r="BV344" s="13" t="n"/>
      <c r="BW344" s="13" t="n"/>
      <c r="BX344" s="13" t="n"/>
      <c r="BY344" s="13" t="n"/>
      <c r="BZ344" s="13" t="n"/>
      <c r="CA344" s="14" t="n"/>
      <c r="CB344" s="13" t="n"/>
      <c r="CC344" s="9" t="n"/>
      <c r="CD344" s="9" t="n"/>
      <c r="CE344" s="9" t="n"/>
      <c r="CF344" s="9" t="n"/>
      <c r="CG344" s="9" t="n"/>
      <c r="CH344" s="9" t="n"/>
    </row>
    <row r="345">
      <c r="A345" s="8" t="n"/>
      <c r="B345" s="9" t="n"/>
      <c r="C345" s="9" t="n"/>
      <c r="D345" s="9" t="n"/>
      <c r="E345" s="9" t="n"/>
      <c r="F345" s="9" t="n"/>
      <c r="G345" s="9" t="n"/>
      <c r="H345" s="9" t="n"/>
      <c r="I345" s="9" t="n"/>
      <c r="J345" s="9" t="n"/>
      <c r="K345" s="8" t="n"/>
      <c r="L345" s="9" t="n"/>
      <c r="M345" s="8" t="n"/>
      <c r="N345" s="8" t="n"/>
      <c r="O345" s="8" t="n"/>
      <c r="P345" s="8" t="n"/>
      <c r="Q345" s="8" t="n"/>
      <c r="R345" s="9" t="n"/>
      <c r="S345" s="9" t="n"/>
      <c r="T345" s="10" t="n"/>
      <c r="U345" s="10" t="n"/>
      <c r="V345" s="9" t="n"/>
      <c r="W345" s="9" t="n"/>
      <c r="X345" s="9" t="n"/>
      <c r="Y345" s="9" t="n"/>
      <c r="Z345" s="11" t="n"/>
      <c r="AA345" s="11" t="n"/>
      <c r="AB345" s="11" t="n"/>
      <c r="AC345" s="11" t="n"/>
      <c r="AD345" s="11" t="n"/>
      <c r="AE345" s="11" t="n"/>
      <c r="AF345" s="9" t="n"/>
      <c r="AG345" s="9" t="n"/>
      <c r="AH345" s="9" t="n"/>
      <c r="AI345" s="9" t="n"/>
      <c r="AJ345" s="8" t="n"/>
      <c r="AK345" s="9" t="n"/>
      <c r="AL345" s="9" t="n"/>
      <c r="AM345" s="9" t="n"/>
      <c r="AN345" s="9" t="n"/>
      <c r="AO345" s="9" t="n"/>
      <c r="AP345" s="9" t="n"/>
      <c r="AQ345" s="9" t="n"/>
      <c r="AR345" s="9" t="n"/>
      <c r="AS345" s="9" t="n"/>
      <c r="AT345" s="8" t="n"/>
      <c r="AU345" s="8" t="n"/>
      <c r="AV345" s="9" t="n"/>
      <c r="AW345" s="8" t="n"/>
      <c r="AX345" s="9" t="n"/>
      <c r="AY345" s="9" t="n"/>
      <c r="AZ345" s="9" t="n"/>
      <c r="BA345" s="9" t="n"/>
      <c r="BB345" s="9" t="n"/>
      <c r="BC345" s="9" t="n"/>
      <c r="BD345" s="9" t="n"/>
      <c r="BE345" s="9" t="n"/>
      <c r="BF345" s="9" t="n"/>
      <c r="BG345" s="9" t="n"/>
      <c r="BH345" s="9" t="n"/>
      <c r="BI345" s="9" t="n"/>
      <c r="BJ345" s="9" t="n"/>
      <c r="BK345" s="9" t="n"/>
      <c r="BL345" s="9" t="n"/>
      <c r="BM345" s="9" t="n"/>
      <c r="BN345" s="9" t="n"/>
      <c r="BO345" s="8" t="n"/>
      <c r="BP345" s="9" t="n"/>
      <c r="BQ345" s="9" t="n"/>
      <c r="BR345" s="12">
        <f>IF(AND(AI345="Y",AK345="Y",AL345="Y",AM345="Y",AY345="Y",AZ345="Y",BA345="Y",BB345="Y",BC345="Y",BE345&lt;&gt;"Y",AX345&lt;&gt;"Y",BL345&lt;&gt;"Y",IF(AS345="Y",AV345="Y",TRUE)),"Y","N")</f>
        <v/>
      </c>
      <c r="BS345" s="12">
        <f>IF(AND(BR345="Y",OR(AND(BJ345="Y",BM345="Y"),AND(BK345="Y",BN345="Y"),AND(BJ345&lt;&gt;"Y",BK345&lt;&gt;"Y",OR(BM345="Y",BN345="Y")))),"Y","N")</f>
        <v/>
      </c>
      <c r="BT345" s="10" t="n"/>
      <c r="BU345" s="13" t="n"/>
      <c r="BV345" s="13" t="n"/>
      <c r="BW345" s="13" t="n"/>
      <c r="BX345" s="13" t="n"/>
      <c r="BY345" s="13" t="n"/>
      <c r="BZ345" s="13" t="n"/>
      <c r="CA345" s="14" t="n"/>
      <c r="CB345" s="13" t="n"/>
      <c r="CC345" s="9" t="n"/>
      <c r="CD345" s="9" t="n"/>
      <c r="CE345" s="9" t="n"/>
      <c r="CF345" s="9" t="n"/>
      <c r="CG345" s="9" t="n"/>
      <c r="CH345" s="9" t="n"/>
    </row>
    <row r="346">
      <c r="A346" s="8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8" t="n"/>
      <c r="L346" s="9" t="n"/>
      <c r="M346" s="8" t="n"/>
      <c r="N346" s="8" t="n"/>
      <c r="O346" s="8" t="n"/>
      <c r="P346" s="8" t="n"/>
      <c r="Q346" s="8" t="n"/>
      <c r="R346" s="9" t="n"/>
      <c r="S346" s="9" t="n"/>
      <c r="T346" s="10" t="n"/>
      <c r="U346" s="10" t="n"/>
      <c r="V346" s="9" t="n"/>
      <c r="W346" s="9" t="n"/>
      <c r="X346" s="9" t="n"/>
      <c r="Y346" s="9" t="n"/>
      <c r="Z346" s="11" t="n"/>
      <c r="AA346" s="11" t="n"/>
      <c r="AB346" s="11" t="n"/>
      <c r="AC346" s="11" t="n"/>
      <c r="AD346" s="11" t="n"/>
      <c r="AE346" s="11" t="n"/>
      <c r="AF346" s="9" t="n"/>
      <c r="AG346" s="9" t="n"/>
      <c r="AH346" s="9" t="n"/>
      <c r="AI346" s="9" t="n"/>
      <c r="AJ346" s="8" t="n"/>
      <c r="AK346" s="9" t="n"/>
      <c r="AL346" s="9" t="n"/>
      <c r="AM346" s="9" t="n"/>
      <c r="AN346" s="9" t="n"/>
      <c r="AO346" s="9" t="n"/>
      <c r="AP346" s="9" t="n"/>
      <c r="AQ346" s="9" t="n"/>
      <c r="AR346" s="9" t="n"/>
      <c r="AS346" s="9" t="n"/>
      <c r="AT346" s="8" t="n"/>
      <c r="AU346" s="8" t="n"/>
      <c r="AV346" s="9" t="n"/>
      <c r="AW346" s="8" t="n"/>
      <c r="AX346" s="9" t="n"/>
      <c r="AY346" s="9" t="n"/>
      <c r="AZ346" s="9" t="n"/>
      <c r="BA346" s="9" t="n"/>
      <c r="BB346" s="9" t="n"/>
      <c r="BC346" s="9" t="n"/>
      <c r="BD346" s="9" t="n"/>
      <c r="BE346" s="9" t="n"/>
      <c r="BF346" s="9" t="n"/>
      <c r="BG346" s="9" t="n"/>
      <c r="BH346" s="9" t="n"/>
      <c r="BI346" s="9" t="n"/>
      <c r="BJ346" s="9" t="n"/>
      <c r="BK346" s="9" t="n"/>
      <c r="BL346" s="9" t="n"/>
      <c r="BM346" s="9" t="n"/>
      <c r="BN346" s="9" t="n"/>
      <c r="BO346" s="8" t="n"/>
      <c r="BP346" s="9" t="n"/>
      <c r="BQ346" s="9" t="n"/>
      <c r="BR346" s="12">
        <f>IF(AND(AI346="Y",AK346="Y",AL346="Y",AM346="Y",AY346="Y",AZ346="Y",BA346="Y",BB346="Y",BC346="Y",BE346&lt;&gt;"Y",AX346&lt;&gt;"Y",BL346&lt;&gt;"Y",IF(AS346="Y",AV346="Y",TRUE)),"Y","N")</f>
        <v/>
      </c>
      <c r="BS346" s="12">
        <f>IF(AND(BR346="Y",OR(AND(BJ346="Y",BM346="Y"),AND(BK346="Y",BN346="Y"),AND(BJ346&lt;&gt;"Y",BK346&lt;&gt;"Y",OR(BM346="Y",BN346="Y")))),"Y","N")</f>
        <v/>
      </c>
      <c r="BT346" s="10" t="n"/>
      <c r="BU346" s="13" t="n"/>
      <c r="BV346" s="13" t="n"/>
      <c r="BW346" s="13" t="n"/>
      <c r="BX346" s="13" t="n"/>
      <c r="BY346" s="13" t="n"/>
      <c r="BZ346" s="13" t="n"/>
      <c r="CA346" s="14" t="n"/>
      <c r="CB346" s="13" t="n"/>
      <c r="CC346" s="9" t="n"/>
      <c r="CD346" s="9" t="n"/>
      <c r="CE346" s="9" t="n"/>
      <c r="CF346" s="9" t="n"/>
      <c r="CG346" s="9" t="n"/>
      <c r="CH346" s="9" t="n"/>
    </row>
    <row r="347">
      <c r="A347" s="8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8" t="n"/>
      <c r="L347" s="9" t="n"/>
      <c r="M347" s="8" t="n"/>
      <c r="N347" s="8" t="n"/>
      <c r="O347" s="8" t="n"/>
      <c r="P347" s="8" t="n"/>
      <c r="Q347" s="8" t="n"/>
      <c r="R347" s="9" t="n"/>
      <c r="S347" s="9" t="n"/>
      <c r="T347" s="10" t="n"/>
      <c r="U347" s="10" t="n"/>
      <c r="V347" s="9" t="n"/>
      <c r="W347" s="9" t="n"/>
      <c r="X347" s="9" t="n"/>
      <c r="Y347" s="9" t="n"/>
      <c r="Z347" s="11" t="n"/>
      <c r="AA347" s="11" t="n"/>
      <c r="AB347" s="11" t="n"/>
      <c r="AC347" s="11" t="n"/>
      <c r="AD347" s="11" t="n"/>
      <c r="AE347" s="11" t="n"/>
      <c r="AF347" s="9" t="n"/>
      <c r="AG347" s="9" t="n"/>
      <c r="AH347" s="9" t="n"/>
      <c r="AI347" s="9" t="n"/>
      <c r="AJ347" s="8" t="n"/>
      <c r="AK347" s="9" t="n"/>
      <c r="AL347" s="9" t="n"/>
      <c r="AM347" s="9" t="n"/>
      <c r="AN347" s="9" t="n"/>
      <c r="AO347" s="9" t="n"/>
      <c r="AP347" s="9" t="n"/>
      <c r="AQ347" s="9" t="n"/>
      <c r="AR347" s="9" t="n"/>
      <c r="AS347" s="9" t="n"/>
      <c r="AT347" s="8" t="n"/>
      <c r="AU347" s="8" t="n"/>
      <c r="AV347" s="9" t="n"/>
      <c r="AW347" s="8" t="n"/>
      <c r="AX347" s="9" t="n"/>
      <c r="AY347" s="9" t="n"/>
      <c r="AZ347" s="9" t="n"/>
      <c r="BA347" s="9" t="n"/>
      <c r="BB347" s="9" t="n"/>
      <c r="BC347" s="9" t="n"/>
      <c r="BD347" s="9" t="n"/>
      <c r="BE347" s="9" t="n"/>
      <c r="BF347" s="9" t="n"/>
      <c r="BG347" s="9" t="n"/>
      <c r="BH347" s="9" t="n"/>
      <c r="BI347" s="9" t="n"/>
      <c r="BJ347" s="9" t="n"/>
      <c r="BK347" s="9" t="n"/>
      <c r="BL347" s="9" t="n"/>
      <c r="BM347" s="9" t="n"/>
      <c r="BN347" s="9" t="n"/>
      <c r="BO347" s="8" t="n"/>
      <c r="BP347" s="9" t="n"/>
      <c r="BQ347" s="9" t="n"/>
      <c r="BR347" s="12">
        <f>IF(AND(AI347="Y",AK347="Y",AL347="Y",AM347="Y",AY347="Y",AZ347="Y",BA347="Y",BB347="Y",BC347="Y",BE347&lt;&gt;"Y",AX347&lt;&gt;"Y",BL347&lt;&gt;"Y",IF(AS347="Y",AV347="Y",TRUE)),"Y","N")</f>
        <v/>
      </c>
      <c r="BS347" s="12">
        <f>IF(AND(BR347="Y",OR(AND(BJ347="Y",BM347="Y"),AND(BK347="Y",BN347="Y"),AND(BJ347&lt;&gt;"Y",BK347&lt;&gt;"Y",OR(BM347="Y",BN347="Y")))),"Y","N")</f>
        <v/>
      </c>
      <c r="BT347" s="10" t="n"/>
      <c r="BU347" s="13" t="n"/>
      <c r="BV347" s="13" t="n"/>
      <c r="BW347" s="13" t="n"/>
      <c r="BX347" s="13" t="n"/>
      <c r="BY347" s="13" t="n"/>
      <c r="BZ347" s="13" t="n"/>
      <c r="CA347" s="14" t="n"/>
      <c r="CB347" s="13" t="n"/>
      <c r="CC347" s="9" t="n"/>
      <c r="CD347" s="9" t="n"/>
      <c r="CE347" s="9" t="n"/>
      <c r="CF347" s="9" t="n"/>
      <c r="CG347" s="9" t="n"/>
      <c r="CH347" s="9" t="n"/>
    </row>
    <row r="348">
      <c r="A348" s="8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8" t="n"/>
      <c r="L348" s="9" t="n"/>
      <c r="M348" s="8" t="n"/>
      <c r="N348" s="8" t="n"/>
      <c r="O348" s="8" t="n"/>
      <c r="P348" s="8" t="n"/>
      <c r="Q348" s="8" t="n"/>
      <c r="R348" s="9" t="n"/>
      <c r="S348" s="9" t="n"/>
      <c r="T348" s="10" t="n"/>
      <c r="U348" s="10" t="n"/>
      <c r="V348" s="9" t="n"/>
      <c r="W348" s="9" t="n"/>
      <c r="X348" s="9" t="n"/>
      <c r="Y348" s="9" t="n"/>
      <c r="Z348" s="11" t="n"/>
      <c r="AA348" s="11" t="n"/>
      <c r="AB348" s="11" t="n"/>
      <c r="AC348" s="11" t="n"/>
      <c r="AD348" s="11" t="n"/>
      <c r="AE348" s="11" t="n"/>
      <c r="AF348" s="9" t="n"/>
      <c r="AG348" s="9" t="n"/>
      <c r="AH348" s="9" t="n"/>
      <c r="AI348" s="9" t="n"/>
      <c r="AJ348" s="8" t="n"/>
      <c r="AK348" s="9" t="n"/>
      <c r="AL348" s="9" t="n"/>
      <c r="AM348" s="9" t="n"/>
      <c r="AN348" s="9" t="n"/>
      <c r="AO348" s="9" t="n"/>
      <c r="AP348" s="9" t="n"/>
      <c r="AQ348" s="9" t="n"/>
      <c r="AR348" s="9" t="n"/>
      <c r="AS348" s="9" t="n"/>
      <c r="AT348" s="8" t="n"/>
      <c r="AU348" s="8" t="n"/>
      <c r="AV348" s="9" t="n"/>
      <c r="AW348" s="8" t="n"/>
      <c r="AX348" s="9" t="n"/>
      <c r="AY348" s="9" t="n"/>
      <c r="AZ348" s="9" t="n"/>
      <c r="BA348" s="9" t="n"/>
      <c r="BB348" s="9" t="n"/>
      <c r="BC348" s="9" t="n"/>
      <c r="BD348" s="9" t="n"/>
      <c r="BE348" s="9" t="n"/>
      <c r="BF348" s="9" t="n"/>
      <c r="BG348" s="9" t="n"/>
      <c r="BH348" s="9" t="n"/>
      <c r="BI348" s="9" t="n"/>
      <c r="BJ348" s="9" t="n"/>
      <c r="BK348" s="9" t="n"/>
      <c r="BL348" s="9" t="n"/>
      <c r="BM348" s="9" t="n"/>
      <c r="BN348" s="9" t="n"/>
      <c r="BO348" s="8" t="n"/>
      <c r="BP348" s="9" t="n"/>
      <c r="BQ348" s="9" t="n"/>
      <c r="BR348" s="12">
        <f>IF(AND(AI348="Y",AK348="Y",AL348="Y",AM348="Y",AY348="Y",AZ348="Y",BA348="Y",BB348="Y",BC348="Y",BE348&lt;&gt;"Y",AX348&lt;&gt;"Y",BL348&lt;&gt;"Y",IF(AS348="Y",AV348="Y",TRUE)),"Y","N")</f>
        <v/>
      </c>
      <c r="BS348" s="12">
        <f>IF(AND(BR348="Y",OR(AND(BJ348="Y",BM348="Y"),AND(BK348="Y",BN348="Y"),AND(BJ348&lt;&gt;"Y",BK348&lt;&gt;"Y",OR(BM348="Y",BN348="Y")))),"Y","N")</f>
        <v/>
      </c>
      <c r="BT348" s="10" t="n"/>
      <c r="BU348" s="13" t="n"/>
      <c r="BV348" s="13" t="n"/>
      <c r="BW348" s="13" t="n"/>
      <c r="BX348" s="13" t="n"/>
      <c r="BY348" s="13" t="n"/>
      <c r="BZ348" s="13" t="n"/>
      <c r="CA348" s="14" t="n"/>
      <c r="CB348" s="13" t="n"/>
      <c r="CC348" s="9" t="n"/>
      <c r="CD348" s="9" t="n"/>
      <c r="CE348" s="9" t="n"/>
      <c r="CF348" s="9" t="n"/>
      <c r="CG348" s="9" t="n"/>
      <c r="CH348" s="9" t="n"/>
    </row>
    <row r="349">
      <c r="A349" s="8" t="n"/>
      <c r="B349" s="9" t="n"/>
      <c r="C349" s="9" t="n"/>
      <c r="D349" s="9" t="n"/>
      <c r="E349" s="9" t="n"/>
      <c r="F349" s="9" t="n"/>
      <c r="G349" s="9" t="n"/>
      <c r="H349" s="9" t="n"/>
      <c r="I349" s="9" t="n"/>
      <c r="J349" s="9" t="n"/>
      <c r="K349" s="8" t="n"/>
      <c r="L349" s="9" t="n"/>
      <c r="M349" s="8" t="n"/>
      <c r="N349" s="8" t="n"/>
      <c r="O349" s="8" t="n"/>
      <c r="P349" s="8" t="n"/>
      <c r="Q349" s="8" t="n"/>
      <c r="R349" s="9" t="n"/>
      <c r="S349" s="9" t="n"/>
      <c r="T349" s="10" t="n"/>
      <c r="U349" s="10" t="n"/>
      <c r="V349" s="9" t="n"/>
      <c r="W349" s="9" t="n"/>
      <c r="X349" s="9" t="n"/>
      <c r="Y349" s="9" t="n"/>
      <c r="Z349" s="11" t="n"/>
      <c r="AA349" s="11" t="n"/>
      <c r="AB349" s="11" t="n"/>
      <c r="AC349" s="11" t="n"/>
      <c r="AD349" s="11" t="n"/>
      <c r="AE349" s="11" t="n"/>
      <c r="AF349" s="9" t="n"/>
      <c r="AG349" s="9" t="n"/>
      <c r="AH349" s="9" t="n"/>
      <c r="AI349" s="9" t="n"/>
      <c r="AJ349" s="8" t="n"/>
      <c r="AK349" s="9" t="n"/>
      <c r="AL349" s="9" t="n"/>
      <c r="AM349" s="9" t="n"/>
      <c r="AN349" s="9" t="n"/>
      <c r="AO349" s="9" t="n"/>
      <c r="AP349" s="9" t="n"/>
      <c r="AQ349" s="9" t="n"/>
      <c r="AR349" s="9" t="n"/>
      <c r="AS349" s="9" t="n"/>
      <c r="AT349" s="8" t="n"/>
      <c r="AU349" s="8" t="n"/>
      <c r="AV349" s="9" t="n"/>
      <c r="AW349" s="8" t="n"/>
      <c r="AX349" s="9" t="n"/>
      <c r="AY349" s="9" t="n"/>
      <c r="AZ349" s="9" t="n"/>
      <c r="BA349" s="9" t="n"/>
      <c r="BB349" s="9" t="n"/>
      <c r="BC349" s="9" t="n"/>
      <c r="BD349" s="9" t="n"/>
      <c r="BE349" s="9" t="n"/>
      <c r="BF349" s="9" t="n"/>
      <c r="BG349" s="9" t="n"/>
      <c r="BH349" s="9" t="n"/>
      <c r="BI349" s="9" t="n"/>
      <c r="BJ349" s="9" t="n"/>
      <c r="BK349" s="9" t="n"/>
      <c r="BL349" s="9" t="n"/>
      <c r="BM349" s="9" t="n"/>
      <c r="BN349" s="9" t="n"/>
      <c r="BO349" s="8" t="n"/>
      <c r="BP349" s="9" t="n"/>
      <c r="BQ349" s="9" t="n"/>
      <c r="BR349" s="12">
        <f>IF(AND(AI349="Y",AK349="Y",AL349="Y",AM349="Y",AY349="Y",AZ349="Y",BA349="Y",BB349="Y",BC349="Y",BE349&lt;&gt;"Y",AX349&lt;&gt;"Y",BL349&lt;&gt;"Y",IF(AS349="Y",AV349="Y",TRUE)),"Y","N")</f>
        <v/>
      </c>
      <c r="BS349" s="12">
        <f>IF(AND(BR349="Y",OR(AND(BJ349="Y",BM349="Y"),AND(BK349="Y",BN349="Y"),AND(BJ349&lt;&gt;"Y",BK349&lt;&gt;"Y",OR(BM349="Y",BN349="Y")))),"Y","N")</f>
        <v/>
      </c>
      <c r="BT349" s="10" t="n"/>
      <c r="BU349" s="13" t="n"/>
      <c r="BV349" s="13" t="n"/>
      <c r="BW349" s="13" t="n"/>
      <c r="BX349" s="13" t="n"/>
      <c r="BY349" s="13" t="n"/>
      <c r="BZ349" s="13" t="n"/>
      <c r="CA349" s="14" t="n"/>
      <c r="CB349" s="13" t="n"/>
      <c r="CC349" s="9" t="n"/>
      <c r="CD349" s="9" t="n"/>
      <c r="CE349" s="9" t="n"/>
      <c r="CF349" s="9" t="n"/>
      <c r="CG349" s="9" t="n"/>
      <c r="CH349" s="9" t="n"/>
    </row>
    <row r="350">
      <c r="A350" s="8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8" t="n"/>
      <c r="L350" s="9" t="n"/>
      <c r="M350" s="8" t="n"/>
      <c r="N350" s="8" t="n"/>
      <c r="O350" s="8" t="n"/>
      <c r="P350" s="8" t="n"/>
      <c r="Q350" s="8" t="n"/>
      <c r="R350" s="9" t="n"/>
      <c r="S350" s="9" t="n"/>
      <c r="T350" s="10" t="n"/>
      <c r="U350" s="10" t="n"/>
      <c r="V350" s="9" t="n"/>
      <c r="W350" s="9" t="n"/>
      <c r="X350" s="9" t="n"/>
      <c r="Y350" s="9" t="n"/>
      <c r="Z350" s="11" t="n"/>
      <c r="AA350" s="11" t="n"/>
      <c r="AB350" s="11" t="n"/>
      <c r="AC350" s="11" t="n"/>
      <c r="AD350" s="11" t="n"/>
      <c r="AE350" s="11" t="n"/>
      <c r="AF350" s="9" t="n"/>
      <c r="AG350" s="9" t="n"/>
      <c r="AH350" s="9" t="n"/>
      <c r="AI350" s="9" t="n"/>
      <c r="AJ350" s="8" t="n"/>
      <c r="AK350" s="9" t="n"/>
      <c r="AL350" s="9" t="n"/>
      <c r="AM350" s="9" t="n"/>
      <c r="AN350" s="9" t="n"/>
      <c r="AO350" s="9" t="n"/>
      <c r="AP350" s="9" t="n"/>
      <c r="AQ350" s="9" t="n"/>
      <c r="AR350" s="9" t="n"/>
      <c r="AS350" s="9" t="n"/>
      <c r="AT350" s="8" t="n"/>
      <c r="AU350" s="8" t="n"/>
      <c r="AV350" s="9" t="n"/>
      <c r="AW350" s="8" t="n"/>
      <c r="AX350" s="9" t="n"/>
      <c r="AY350" s="9" t="n"/>
      <c r="AZ350" s="9" t="n"/>
      <c r="BA350" s="9" t="n"/>
      <c r="BB350" s="9" t="n"/>
      <c r="BC350" s="9" t="n"/>
      <c r="BD350" s="9" t="n"/>
      <c r="BE350" s="9" t="n"/>
      <c r="BF350" s="9" t="n"/>
      <c r="BG350" s="9" t="n"/>
      <c r="BH350" s="9" t="n"/>
      <c r="BI350" s="9" t="n"/>
      <c r="BJ350" s="9" t="n"/>
      <c r="BK350" s="9" t="n"/>
      <c r="BL350" s="9" t="n"/>
      <c r="BM350" s="9" t="n"/>
      <c r="BN350" s="9" t="n"/>
      <c r="BO350" s="8" t="n"/>
      <c r="BP350" s="9" t="n"/>
      <c r="BQ350" s="9" t="n"/>
      <c r="BR350" s="12">
        <f>IF(AND(AI350="Y",AK350="Y",AL350="Y",AM350="Y",AY350="Y",AZ350="Y",BA350="Y",BB350="Y",BC350="Y",BE350&lt;&gt;"Y",AX350&lt;&gt;"Y",BL350&lt;&gt;"Y",IF(AS350="Y",AV350="Y",TRUE)),"Y","N")</f>
        <v/>
      </c>
      <c r="BS350" s="12">
        <f>IF(AND(BR350="Y",OR(AND(BJ350="Y",BM350="Y"),AND(BK350="Y",BN350="Y"),AND(BJ350&lt;&gt;"Y",BK350&lt;&gt;"Y",OR(BM350="Y",BN350="Y")))),"Y","N")</f>
        <v/>
      </c>
      <c r="BT350" s="10" t="n"/>
      <c r="BU350" s="13" t="n"/>
      <c r="BV350" s="13" t="n"/>
      <c r="BW350" s="13" t="n"/>
      <c r="BX350" s="13" t="n"/>
      <c r="BY350" s="13" t="n"/>
      <c r="BZ350" s="13" t="n"/>
      <c r="CA350" s="14" t="n"/>
      <c r="CB350" s="13" t="n"/>
      <c r="CC350" s="9" t="n"/>
      <c r="CD350" s="9" t="n"/>
      <c r="CE350" s="9" t="n"/>
      <c r="CF350" s="9" t="n"/>
      <c r="CG350" s="9" t="n"/>
      <c r="CH350" s="9" t="n"/>
    </row>
    <row r="351">
      <c r="A351" s="8" t="n"/>
      <c r="B351" s="9" t="n"/>
      <c r="C351" s="9" t="n"/>
      <c r="D351" s="9" t="n"/>
      <c r="E351" s="9" t="n"/>
      <c r="F351" s="9" t="n"/>
      <c r="G351" s="9" t="n"/>
      <c r="H351" s="9" t="n"/>
      <c r="I351" s="9" t="n"/>
      <c r="J351" s="9" t="n"/>
      <c r="K351" s="8" t="n"/>
      <c r="L351" s="9" t="n"/>
      <c r="M351" s="8" t="n"/>
      <c r="N351" s="8" t="n"/>
      <c r="O351" s="8" t="n"/>
      <c r="P351" s="8" t="n"/>
      <c r="Q351" s="8" t="n"/>
      <c r="R351" s="9" t="n"/>
      <c r="S351" s="9" t="n"/>
      <c r="T351" s="10" t="n"/>
      <c r="U351" s="10" t="n"/>
      <c r="V351" s="9" t="n"/>
      <c r="W351" s="9" t="n"/>
      <c r="X351" s="9" t="n"/>
      <c r="Y351" s="9" t="n"/>
      <c r="Z351" s="11" t="n"/>
      <c r="AA351" s="11" t="n"/>
      <c r="AB351" s="11" t="n"/>
      <c r="AC351" s="11" t="n"/>
      <c r="AD351" s="11" t="n"/>
      <c r="AE351" s="11" t="n"/>
      <c r="AF351" s="9" t="n"/>
      <c r="AG351" s="9" t="n"/>
      <c r="AH351" s="9" t="n"/>
      <c r="AI351" s="9" t="n"/>
      <c r="AJ351" s="8" t="n"/>
      <c r="AK351" s="9" t="n"/>
      <c r="AL351" s="9" t="n"/>
      <c r="AM351" s="9" t="n"/>
      <c r="AN351" s="9" t="n"/>
      <c r="AO351" s="9" t="n"/>
      <c r="AP351" s="9" t="n"/>
      <c r="AQ351" s="9" t="n"/>
      <c r="AR351" s="9" t="n"/>
      <c r="AS351" s="9" t="n"/>
      <c r="AT351" s="8" t="n"/>
      <c r="AU351" s="8" t="n"/>
      <c r="AV351" s="9" t="n"/>
      <c r="AW351" s="8" t="n"/>
      <c r="AX351" s="9" t="n"/>
      <c r="AY351" s="9" t="n"/>
      <c r="AZ351" s="9" t="n"/>
      <c r="BA351" s="9" t="n"/>
      <c r="BB351" s="9" t="n"/>
      <c r="BC351" s="9" t="n"/>
      <c r="BD351" s="9" t="n"/>
      <c r="BE351" s="9" t="n"/>
      <c r="BF351" s="9" t="n"/>
      <c r="BG351" s="9" t="n"/>
      <c r="BH351" s="9" t="n"/>
      <c r="BI351" s="9" t="n"/>
      <c r="BJ351" s="9" t="n"/>
      <c r="BK351" s="9" t="n"/>
      <c r="BL351" s="9" t="n"/>
      <c r="BM351" s="9" t="n"/>
      <c r="BN351" s="9" t="n"/>
      <c r="BO351" s="8" t="n"/>
      <c r="BP351" s="9" t="n"/>
      <c r="BQ351" s="9" t="n"/>
      <c r="BR351" s="12">
        <f>IF(AND(AI351="Y",AK351="Y",AL351="Y",AM351="Y",AY351="Y",AZ351="Y",BA351="Y",BB351="Y",BC351="Y",BE351&lt;&gt;"Y",AX351&lt;&gt;"Y",BL351&lt;&gt;"Y",IF(AS351="Y",AV351="Y",TRUE)),"Y","N")</f>
        <v/>
      </c>
      <c r="BS351" s="12">
        <f>IF(AND(BR351="Y",OR(AND(BJ351="Y",BM351="Y"),AND(BK351="Y",BN351="Y"),AND(BJ351&lt;&gt;"Y",BK351&lt;&gt;"Y",OR(BM351="Y",BN351="Y")))),"Y","N")</f>
        <v/>
      </c>
      <c r="BT351" s="10" t="n"/>
      <c r="BU351" s="13" t="n"/>
      <c r="BV351" s="13" t="n"/>
      <c r="BW351" s="13" t="n"/>
      <c r="BX351" s="13" t="n"/>
      <c r="BY351" s="13" t="n"/>
      <c r="BZ351" s="13" t="n"/>
      <c r="CA351" s="14" t="n"/>
      <c r="CB351" s="13" t="n"/>
      <c r="CC351" s="9" t="n"/>
      <c r="CD351" s="9" t="n"/>
      <c r="CE351" s="9" t="n"/>
      <c r="CF351" s="9" t="n"/>
      <c r="CG351" s="9" t="n"/>
      <c r="CH351" s="9" t="n"/>
    </row>
    <row r="352">
      <c r="A352" s="8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8" t="n"/>
      <c r="L352" s="9" t="n"/>
      <c r="M352" s="8" t="n"/>
      <c r="N352" s="8" t="n"/>
      <c r="O352" s="8" t="n"/>
      <c r="P352" s="8" t="n"/>
      <c r="Q352" s="8" t="n"/>
      <c r="R352" s="9" t="n"/>
      <c r="S352" s="9" t="n"/>
      <c r="T352" s="10" t="n"/>
      <c r="U352" s="10" t="n"/>
      <c r="V352" s="9" t="n"/>
      <c r="W352" s="9" t="n"/>
      <c r="X352" s="9" t="n"/>
      <c r="Y352" s="9" t="n"/>
      <c r="Z352" s="11" t="n"/>
      <c r="AA352" s="11" t="n"/>
      <c r="AB352" s="11" t="n"/>
      <c r="AC352" s="11" t="n"/>
      <c r="AD352" s="11" t="n"/>
      <c r="AE352" s="11" t="n"/>
      <c r="AF352" s="9" t="n"/>
      <c r="AG352" s="9" t="n"/>
      <c r="AH352" s="9" t="n"/>
      <c r="AI352" s="9" t="n"/>
      <c r="AJ352" s="8" t="n"/>
      <c r="AK352" s="9" t="n"/>
      <c r="AL352" s="9" t="n"/>
      <c r="AM352" s="9" t="n"/>
      <c r="AN352" s="9" t="n"/>
      <c r="AO352" s="9" t="n"/>
      <c r="AP352" s="9" t="n"/>
      <c r="AQ352" s="9" t="n"/>
      <c r="AR352" s="9" t="n"/>
      <c r="AS352" s="9" t="n"/>
      <c r="AT352" s="8" t="n"/>
      <c r="AU352" s="8" t="n"/>
      <c r="AV352" s="9" t="n"/>
      <c r="AW352" s="8" t="n"/>
      <c r="AX352" s="9" t="n"/>
      <c r="AY352" s="9" t="n"/>
      <c r="AZ352" s="9" t="n"/>
      <c r="BA352" s="9" t="n"/>
      <c r="BB352" s="9" t="n"/>
      <c r="BC352" s="9" t="n"/>
      <c r="BD352" s="9" t="n"/>
      <c r="BE352" s="9" t="n"/>
      <c r="BF352" s="9" t="n"/>
      <c r="BG352" s="9" t="n"/>
      <c r="BH352" s="9" t="n"/>
      <c r="BI352" s="9" t="n"/>
      <c r="BJ352" s="9" t="n"/>
      <c r="BK352" s="9" t="n"/>
      <c r="BL352" s="9" t="n"/>
      <c r="BM352" s="9" t="n"/>
      <c r="BN352" s="9" t="n"/>
      <c r="BO352" s="8" t="n"/>
      <c r="BP352" s="9" t="n"/>
      <c r="BQ352" s="9" t="n"/>
      <c r="BR352" s="12">
        <f>IF(AND(AI352="Y",AK352="Y",AL352="Y",AM352="Y",AY352="Y",AZ352="Y",BA352="Y",BB352="Y",BC352="Y",BE352&lt;&gt;"Y",AX352&lt;&gt;"Y",BL352&lt;&gt;"Y",IF(AS352="Y",AV352="Y",TRUE)),"Y","N")</f>
        <v/>
      </c>
      <c r="BS352" s="12">
        <f>IF(AND(BR352="Y",OR(AND(BJ352="Y",BM352="Y"),AND(BK352="Y",BN352="Y"),AND(BJ352&lt;&gt;"Y",BK352&lt;&gt;"Y",OR(BM352="Y",BN352="Y")))),"Y","N")</f>
        <v/>
      </c>
      <c r="BT352" s="10" t="n"/>
      <c r="BU352" s="13" t="n"/>
      <c r="BV352" s="13" t="n"/>
      <c r="BW352" s="13" t="n"/>
      <c r="BX352" s="13" t="n"/>
      <c r="BY352" s="13" t="n"/>
      <c r="BZ352" s="13" t="n"/>
      <c r="CA352" s="14" t="n"/>
      <c r="CB352" s="13" t="n"/>
      <c r="CC352" s="9" t="n"/>
      <c r="CD352" s="9" t="n"/>
      <c r="CE352" s="9" t="n"/>
      <c r="CF352" s="9" t="n"/>
      <c r="CG352" s="9" t="n"/>
      <c r="CH352" s="9" t="n"/>
    </row>
    <row r="353">
      <c r="A353" s="8" t="n"/>
      <c r="B353" s="9" t="n"/>
      <c r="C353" s="9" t="n"/>
      <c r="D353" s="9" t="n"/>
      <c r="E353" s="9" t="n"/>
      <c r="F353" s="9" t="n"/>
      <c r="G353" s="9" t="n"/>
      <c r="H353" s="9" t="n"/>
      <c r="I353" s="9" t="n"/>
      <c r="J353" s="9" t="n"/>
      <c r="K353" s="8" t="n"/>
      <c r="L353" s="9" t="n"/>
      <c r="M353" s="8" t="n"/>
      <c r="N353" s="8" t="n"/>
      <c r="O353" s="8" t="n"/>
      <c r="P353" s="8" t="n"/>
      <c r="Q353" s="8" t="n"/>
      <c r="R353" s="9" t="n"/>
      <c r="S353" s="9" t="n"/>
      <c r="T353" s="10" t="n"/>
      <c r="U353" s="10" t="n"/>
      <c r="V353" s="9" t="n"/>
      <c r="W353" s="9" t="n"/>
      <c r="X353" s="9" t="n"/>
      <c r="Y353" s="9" t="n"/>
      <c r="Z353" s="11" t="n"/>
      <c r="AA353" s="11" t="n"/>
      <c r="AB353" s="11" t="n"/>
      <c r="AC353" s="11" t="n"/>
      <c r="AD353" s="11" t="n"/>
      <c r="AE353" s="11" t="n"/>
      <c r="AF353" s="9" t="n"/>
      <c r="AG353" s="9" t="n"/>
      <c r="AH353" s="9" t="n"/>
      <c r="AI353" s="9" t="n"/>
      <c r="AJ353" s="8" t="n"/>
      <c r="AK353" s="9" t="n"/>
      <c r="AL353" s="9" t="n"/>
      <c r="AM353" s="9" t="n"/>
      <c r="AN353" s="9" t="n"/>
      <c r="AO353" s="9" t="n"/>
      <c r="AP353" s="9" t="n"/>
      <c r="AQ353" s="9" t="n"/>
      <c r="AR353" s="9" t="n"/>
      <c r="AS353" s="9" t="n"/>
      <c r="AT353" s="8" t="n"/>
      <c r="AU353" s="8" t="n"/>
      <c r="AV353" s="9" t="n"/>
      <c r="AW353" s="8" t="n"/>
      <c r="AX353" s="9" t="n"/>
      <c r="AY353" s="9" t="n"/>
      <c r="AZ353" s="9" t="n"/>
      <c r="BA353" s="9" t="n"/>
      <c r="BB353" s="9" t="n"/>
      <c r="BC353" s="9" t="n"/>
      <c r="BD353" s="9" t="n"/>
      <c r="BE353" s="9" t="n"/>
      <c r="BF353" s="9" t="n"/>
      <c r="BG353" s="9" t="n"/>
      <c r="BH353" s="9" t="n"/>
      <c r="BI353" s="9" t="n"/>
      <c r="BJ353" s="9" t="n"/>
      <c r="BK353" s="9" t="n"/>
      <c r="BL353" s="9" t="n"/>
      <c r="BM353" s="9" t="n"/>
      <c r="BN353" s="9" t="n"/>
      <c r="BO353" s="8" t="n"/>
      <c r="BP353" s="9" t="n"/>
      <c r="BQ353" s="9" t="n"/>
      <c r="BR353" s="12">
        <f>IF(AND(AI353="Y",AK353="Y",AL353="Y",AM353="Y",AY353="Y",AZ353="Y",BA353="Y",BB353="Y",BC353="Y",BE353&lt;&gt;"Y",AX353&lt;&gt;"Y",BL353&lt;&gt;"Y",IF(AS353="Y",AV353="Y",TRUE)),"Y","N")</f>
        <v/>
      </c>
      <c r="BS353" s="12">
        <f>IF(AND(BR353="Y",OR(AND(BJ353="Y",BM353="Y"),AND(BK353="Y",BN353="Y"),AND(BJ353&lt;&gt;"Y",BK353&lt;&gt;"Y",OR(BM353="Y",BN353="Y")))),"Y","N")</f>
        <v/>
      </c>
      <c r="BT353" s="10" t="n"/>
      <c r="BU353" s="13" t="n"/>
      <c r="BV353" s="13" t="n"/>
      <c r="BW353" s="13" t="n"/>
      <c r="BX353" s="13" t="n"/>
      <c r="BY353" s="13" t="n"/>
      <c r="BZ353" s="13" t="n"/>
      <c r="CA353" s="14" t="n"/>
      <c r="CB353" s="13" t="n"/>
      <c r="CC353" s="9" t="n"/>
      <c r="CD353" s="9" t="n"/>
      <c r="CE353" s="9" t="n"/>
      <c r="CF353" s="9" t="n"/>
      <c r="CG353" s="9" t="n"/>
      <c r="CH353" s="9" t="n"/>
    </row>
    <row r="354">
      <c r="A354" s="8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8" t="n"/>
      <c r="L354" s="9" t="n"/>
      <c r="M354" s="8" t="n"/>
      <c r="N354" s="8" t="n"/>
      <c r="O354" s="8" t="n"/>
      <c r="P354" s="8" t="n"/>
      <c r="Q354" s="8" t="n"/>
      <c r="R354" s="9" t="n"/>
      <c r="S354" s="9" t="n"/>
      <c r="T354" s="10" t="n"/>
      <c r="U354" s="10" t="n"/>
      <c r="V354" s="9" t="n"/>
      <c r="W354" s="9" t="n"/>
      <c r="X354" s="9" t="n"/>
      <c r="Y354" s="9" t="n"/>
      <c r="Z354" s="11" t="n"/>
      <c r="AA354" s="11" t="n"/>
      <c r="AB354" s="11" t="n"/>
      <c r="AC354" s="11" t="n"/>
      <c r="AD354" s="11" t="n"/>
      <c r="AE354" s="11" t="n"/>
      <c r="AF354" s="9" t="n"/>
      <c r="AG354" s="9" t="n"/>
      <c r="AH354" s="9" t="n"/>
      <c r="AI354" s="9" t="n"/>
      <c r="AJ354" s="8" t="n"/>
      <c r="AK354" s="9" t="n"/>
      <c r="AL354" s="9" t="n"/>
      <c r="AM354" s="9" t="n"/>
      <c r="AN354" s="9" t="n"/>
      <c r="AO354" s="9" t="n"/>
      <c r="AP354" s="9" t="n"/>
      <c r="AQ354" s="9" t="n"/>
      <c r="AR354" s="9" t="n"/>
      <c r="AS354" s="9" t="n"/>
      <c r="AT354" s="8" t="n"/>
      <c r="AU354" s="8" t="n"/>
      <c r="AV354" s="9" t="n"/>
      <c r="AW354" s="8" t="n"/>
      <c r="AX354" s="9" t="n"/>
      <c r="AY354" s="9" t="n"/>
      <c r="AZ354" s="9" t="n"/>
      <c r="BA354" s="9" t="n"/>
      <c r="BB354" s="9" t="n"/>
      <c r="BC354" s="9" t="n"/>
      <c r="BD354" s="9" t="n"/>
      <c r="BE354" s="9" t="n"/>
      <c r="BF354" s="9" t="n"/>
      <c r="BG354" s="9" t="n"/>
      <c r="BH354" s="9" t="n"/>
      <c r="BI354" s="9" t="n"/>
      <c r="BJ354" s="9" t="n"/>
      <c r="BK354" s="9" t="n"/>
      <c r="BL354" s="9" t="n"/>
      <c r="BM354" s="9" t="n"/>
      <c r="BN354" s="9" t="n"/>
      <c r="BO354" s="8" t="n"/>
      <c r="BP354" s="9" t="n"/>
      <c r="BQ354" s="9" t="n"/>
      <c r="BR354" s="12">
        <f>IF(AND(AI354="Y",AK354="Y",AL354="Y",AM354="Y",AY354="Y",AZ354="Y",BA354="Y",BB354="Y",BC354="Y",BE354&lt;&gt;"Y",AX354&lt;&gt;"Y",BL354&lt;&gt;"Y",IF(AS354="Y",AV354="Y",TRUE)),"Y","N")</f>
        <v/>
      </c>
      <c r="BS354" s="12">
        <f>IF(AND(BR354="Y",OR(AND(BJ354="Y",BM354="Y"),AND(BK354="Y",BN354="Y"),AND(BJ354&lt;&gt;"Y",BK354&lt;&gt;"Y",OR(BM354="Y",BN354="Y")))),"Y","N")</f>
        <v/>
      </c>
      <c r="BT354" s="10" t="n"/>
      <c r="BU354" s="13" t="n"/>
      <c r="BV354" s="13" t="n"/>
      <c r="BW354" s="13" t="n"/>
      <c r="BX354" s="13" t="n"/>
      <c r="BY354" s="13" t="n"/>
      <c r="BZ354" s="13" t="n"/>
      <c r="CA354" s="14" t="n"/>
      <c r="CB354" s="13" t="n"/>
      <c r="CC354" s="9" t="n"/>
      <c r="CD354" s="9" t="n"/>
      <c r="CE354" s="9" t="n"/>
      <c r="CF354" s="9" t="n"/>
      <c r="CG354" s="9" t="n"/>
      <c r="CH354" s="9" t="n"/>
    </row>
    <row r="355">
      <c r="A355" s="8" t="n"/>
      <c r="B355" s="9" t="n"/>
      <c r="C355" s="9" t="n"/>
      <c r="D355" s="9" t="n"/>
      <c r="E355" s="9" t="n"/>
      <c r="F355" s="9" t="n"/>
      <c r="G355" s="9" t="n"/>
      <c r="H355" s="9" t="n"/>
      <c r="I355" s="9" t="n"/>
      <c r="J355" s="9" t="n"/>
      <c r="K355" s="8" t="n"/>
      <c r="L355" s="9" t="n"/>
      <c r="M355" s="8" t="n"/>
      <c r="N355" s="8" t="n"/>
      <c r="O355" s="8" t="n"/>
      <c r="P355" s="8" t="n"/>
      <c r="Q355" s="8" t="n"/>
      <c r="R355" s="9" t="n"/>
      <c r="S355" s="9" t="n"/>
      <c r="T355" s="10" t="n"/>
      <c r="U355" s="10" t="n"/>
      <c r="V355" s="9" t="n"/>
      <c r="W355" s="9" t="n"/>
      <c r="X355" s="9" t="n"/>
      <c r="Y355" s="9" t="n"/>
      <c r="Z355" s="11" t="n"/>
      <c r="AA355" s="11" t="n"/>
      <c r="AB355" s="11" t="n"/>
      <c r="AC355" s="11" t="n"/>
      <c r="AD355" s="11" t="n"/>
      <c r="AE355" s="11" t="n"/>
      <c r="AF355" s="9" t="n"/>
      <c r="AG355" s="9" t="n"/>
      <c r="AH355" s="9" t="n"/>
      <c r="AI355" s="9" t="n"/>
      <c r="AJ355" s="8" t="n"/>
      <c r="AK355" s="9" t="n"/>
      <c r="AL355" s="9" t="n"/>
      <c r="AM355" s="9" t="n"/>
      <c r="AN355" s="9" t="n"/>
      <c r="AO355" s="9" t="n"/>
      <c r="AP355" s="9" t="n"/>
      <c r="AQ355" s="9" t="n"/>
      <c r="AR355" s="9" t="n"/>
      <c r="AS355" s="9" t="n"/>
      <c r="AT355" s="8" t="n"/>
      <c r="AU355" s="8" t="n"/>
      <c r="AV355" s="9" t="n"/>
      <c r="AW355" s="8" t="n"/>
      <c r="AX355" s="9" t="n"/>
      <c r="AY355" s="9" t="n"/>
      <c r="AZ355" s="9" t="n"/>
      <c r="BA355" s="9" t="n"/>
      <c r="BB355" s="9" t="n"/>
      <c r="BC355" s="9" t="n"/>
      <c r="BD355" s="9" t="n"/>
      <c r="BE355" s="9" t="n"/>
      <c r="BF355" s="9" t="n"/>
      <c r="BG355" s="9" t="n"/>
      <c r="BH355" s="9" t="n"/>
      <c r="BI355" s="9" t="n"/>
      <c r="BJ355" s="9" t="n"/>
      <c r="BK355" s="9" t="n"/>
      <c r="BL355" s="9" t="n"/>
      <c r="BM355" s="9" t="n"/>
      <c r="BN355" s="9" t="n"/>
      <c r="BO355" s="8" t="n"/>
      <c r="BP355" s="9" t="n"/>
      <c r="BQ355" s="9" t="n"/>
      <c r="BR355" s="12">
        <f>IF(AND(AI355="Y",AK355="Y",AL355="Y",AM355="Y",AY355="Y",AZ355="Y",BA355="Y",BB355="Y",BC355="Y",BE355&lt;&gt;"Y",AX355&lt;&gt;"Y",BL355&lt;&gt;"Y",IF(AS355="Y",AV355="Y",TRUE)),"Y","N")</f>
        <v/>
      </c>
      <c r="BS355" s="12">
        <f>IF(AND(BR355="Y",OR(AND(BJ355="Y",BM355="Y"),AND(BK355="Y",BN355="Y"),AND(BJ355&lt;&gt;"Y",BK355&lt;&gt;"Y",OR(BM355="Y",BN355="Y")))),"Y","N")</f>
        <v/>
      </c>
      <c r="BT355" s="10" t="n"/>
      <c r="BU355" s="13" t="n"/>
      <c r="BV355" s="13" t="n"/>
      <c r="BW355" s="13" t="n"/>
      <c r="BX355" s="13" t="n"/>
      <c r="BY355" s="13" t="n"/>
      <c r="BZ355" s="13" t="n"/>
      <c r="CA355" s="14" t="n"/>
      <c r="CB355" s="13" t="n"/>
      <c r="CC355" s="9" t="n"/>
      <c r="CD355" s="9" t="n"/>
      <c r="CE355" s="9" t="n"/>
      <c r="CF355" s="9" t="n"/>
      <c r="CG355" s="9" t="n"/>
      <c r="CH355" s="9" t="n"/>
    </row>
    <row r="356">
      <c r="A356" s="8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8" t="n"/>
      <c r="L356" s="9" t="n"/>
      <c r="M356" s="8" t="n"/>
      <c r="N356" s="8" t="n"/>
      <c r="O356" s="8" t="n"/>
      <c r="P356" s="8" t="n"/>
      <c r="Q356" s="8" t="n"/>
      <c r="R356" s="9" t="n"/>
      <c r="S356" s="9" t="n"/>
      <c r="T356" s="10" t="n"/>
      <c r="U356" s="10" t="n"/>
      <c r="V356" s="9" t="n"/>
      <c r="W356" s="9" t="n"/>
      <c r="X356" s="9" t="n"/>
      <c r="Y356" s="9" t="n"/>
      <c r="Z356" s="11" t="n"/>
      <c r="AA356" s="11" t="n"/>
      <c r="AB356" s="11" t="n"/>
      <c r="AC356" s="11" t="n"/>
      <c r="AD356" s="11" t="n"/>
      <c r="AE356" s="11" t="n"/>
      <c r="AF356" s="9" t="n"/>
      <c r="AG356" s="9" t="n"/>
      <c r="AH356" s="9" t="n"/>
      <c r="AI356" s="9" t="n"/>
      <c r="AJ356" s="8" t="n"/>
      <c r="AK356" s="9" t="n"/>
      <c r="AL356" s="9" t="n"/>
      <c r="AM356" s="9" t="n"/>
      <c r="AN356" s="9" t="n"/>
      <c r="AO356" s="9" t="n"/>
      <c r="AP356" s="9" t="n"/>
      <c r="AQ356" s="9" t="n"/>
      <c r="AR356" s="9" t="n"/>
      <c r="AS356" s="9" t="n"/>
      <c r="AT356" s="8" t="n"/>
      <c r="AU356" s="8" t="n"/>
      <c r="AV356" s="9" t="n"/>
      <c r="AW356" s="8" t="n"/>
      <c r="AX356" s="9" t="n"/>
      <c r="AY356" s="9" t="n"/>
      <c r="AZ356" s="9" t="n"/>
      <c r="BA356" s="9" t="n"/>
      <c r="BB356" s="9" t="n"/>
      <c r="BC356" s="9" t="n"/>
      <c r="BD356" s="9" t="n"/>
      <c r="BE356" s="9" t="n"/>
      <c r="BF356" s="9" t="n"/>
      <c r="BG356" s="9" t="n"/>
      <c r="BH356" s="9" t="n"/>
      <c r="BI356" s="9" t="n"/>
      <c r="BJ356" s="9" t="n"/>
      <c r="BK356" s="9" t="n"/>
      <c r="BL356" s="9" t="n"/>
      <c r="BM356" s="9" t="n"/>
      <c r="BN356" s="9" t="n"/>
      <c r="BO356" s="8" t="n"/>
      <c r="BP356" s="9" t="n"/>
      <c r="BQ356" s="9" t="n"/>
      <c r="BR356" s="12">
        <f>IF(AND(AI356="Y",AK356="Y",AL356="Y",AM356="Y",AY356="Y",AZ356="Y",BA356="Y",BB356="Y",BC356="Y",BE356&lt;&gt;"Y",AX356&lt;&gt;"Y",BL356&lt;&gt;"Y",IF(AS356="Y",AV356="Y",TRUE)),"Y","N")</f>
        <v/>
      </c>
      <c r="BS356" s="12">
        <f>IF(AND(BR356="Y",OR(AND(BJ356="Y",BM356="Y"),AND(BK356="Y",BN356="Y"),AND(BJ356&lt;&gt;"Y",BK356&lt;&gt;"Y",OR(BM356="Y",BN356="Y")))),"Y","N")</f>
        <v/>
      </c>
      <c r="BT356" s="10" t="n"/>
      <c r="BU356" s="13" t="n"/>
      <c r="BV356" s="13" t="n"/>
      <c r="BW356" s="13" t="n"/>
      <c r="BX356" s="13" t="n"/>
      <c r="BY356" s="13" t="n"/>
      <c r="BZ356" s="13" t="n"/>
      <c r="CA356" s="14" t="n"/>
      <c r="CB356" s="13" t="n"/>
      <c r="CC356" s="9" t="n"/>
      <c r="CD356" s="9" t="n"/>
      <c r="CE356" s="9" t="n"/>
      <c r="CF356" s="9" t="n"/>
      <c r="CG356" s="9" t="n"/>
      <c r="CH356" s="9" t="n"/>
    </row>
    <row r="357">
      <c r="A357" s="8" t="n"/>
      <c r="B357" s="9" t="n"/>
      <c r="C357" s="9" t="n"/>
      <c r="D357" s="9" t="n"/>
      <c r="E357" s="9" t="n"/>
      <c r="F357" s="9" t="n"/>
      <c r="G357" s="9" t="n"/>
      <c r="H357" s="9" t="n"/>
      <c r="I357" s="9" t="n"/>
      <c r="J357" s="9" t="n"/>
      <c r="K357" s="8" t="n"/>
      <c r="L357" s="9" t="n"/>
      <c r="M357" s="8" t="n"/>
      <c r="N357" s="8" t="n"/>
      <c r="O357" s="8" t="n"/>
      <c r="P357" s="8" t="n"/>
      <c r="Q357" s="8" t="n"/>
      <c r="R357" s="9" t="n"/>
      <c r="S357" s="9" t="n"/>
      <c r="T357" s="10" t="n"/>
      <c r="U357" s="10" t="n"/>
      <c r="V357" s="9" t="n"/>
      <c r="W357" s="9" t="n"/>
      <c r="X357" s="9" t="n"/>
      <c r="Y357" s="9" t="n"/>
      <c r="Z357" s="11" t="n"/>
      <c r="AA357" s="11" t="n"/>
      <c r="AB357" s="11" t="n"/>
      <c r="AC357" s="11" t="n"/>
      <c r="AD357" s="11" t="n"/>
      <c r="AE357" s="11" t="n"/>
      <c r="AF357" s="9" t="n"/>
      <c r="AG357" s="9" t="n"/>
      <c r="AH357" s="9" t="n"/>
      <c r="AI357" s="9" t="n"/>
      <c r="AJ357" s="8" t="n"/>
      <c r="AK357" s="9" t="n"/>
      <c r="AL357" s="9" t="n"/>
      <c r="AM357" s="9" t="n"/>
      <c r="AN357" s="9" t="n"/>
      <c r="AO357" s="9" t="n"/>
      <c r="AP357" s="9" t="n"/>
      <c r="AQ357" s="9" t="n"/>
      <c r="AR357" s="9" t="n"/>
      <c r="AS357" s="9" t="n"/>
      <c r="AT357" s="8" t="n"/>
      <c r="AU357" s="8" t="n"/>
      <c r="AV357" s="9" t="n"/>
      <c r="AW357" s="8" t="n"/>
      <c r="AX357" s="9" t="n"/>
      <c r="AY357" s="9" t="n"/>
      <c r="AZ357" s="9" t="n"/>
      <c r="BA357" s="9" t="n"/>
      <c r="BB357" s="9" t="n"/>
      <c r="BC357" s="9" t="n"/>
      <c r="BD357" s="9" t="n"/>
      <c r="BE357" s="9" t="n"/>
      <c r="BF357" s="9" t="n"/>
      <c r="BG357" s="9" t="n"/>
      <c r="BH357" s="9" t="n"/>
      <c r="BI357" s="9" t="n"/>
      <c r="BJ357" s="9" t="n"/>
      <c r="BK357" s="9" t="n"/>
      <c r="BL357" s="9" t="n"/>
      <c r="BM357" s="9" t="n"/>
      <c r="BN357" s="9" t="n"/>
      <c r="BO357" s="8" t="n"/>
      <c r="BP357" s="9" t="n"/>
      <c r="BQ357" s="9" t="n"/>
      <c r="BR357" s="12">
        <f>IF(AND(AI357="Y",AK357="Y",AL357="Y",AM357="Y",AY357="Y",AZ357="Y",BA357="Y",BB357="Y",BC357="Y",BE357&lt;&gt;"Y",AX357&lt;&gt;"Y",BL357&lt;&gt;"Y",IF(AS357="Y",AV357="Y",TRUE)),"Y","N")</f>
        <v/>
      </c>
      <c r="BS357" s="12">
        <f>IF(AND(BR357="Y",OR(AND(BJ357="Y",BM357="Y"),AND(BK357="Y",BN357="Y"),AND(BJ357&lt;&gt;"Y",BK357&lt;&gt;"Y",OR(BM357="Y",BN357="Y")))),"Y","N")</f>
        <v/>
      </c>
      <c r="BT357" s="10" t="n"/>
      <c r="BU357" s="13" t="n"/>
      <c r="BV357" s="13" t="n"/>
      <c r="BW357" s="13" t="n"/>
      <c r="BX357" s="13" t="n"/>
      <c r="BY357" s="13" t="n"/>
      <c r="BZ357" s="13" t="n"/>
      <c r="CA357" s="14" t="n"/>
      <c r="CB357" s="13" t="n"/>
      <c r="CC357" s="9" t="n"/>
      <c r="CD357" s="9" t="n"/>
      <c r="CE357" s="9" t="n"/>
      <c r="CF357" s="9" t="n"/>
      <c r="CG357" s="9" t="n"/>
      <c r="CH357" s="9" t="n"/>
    </row>
    <row r="358">
      <c r="A358" s="8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8" t="n"/>
      <c r="L358" s="9" t="n"/>
      <c r="M358" s="8" t="n"/>
      <c r="N358" s="8" t="n"/>
      <c r="O358" s="8" t="n"/>
      <c r="P358" s="8" t="n"/>
      <c r="Q358" s="8" t="n"/>
      <c r="R358" s="9" t="n"/>
      <c r="S358" s="9" t="n"/>
      <c r="T358" s="10" t="n"/>
      <c r="U358" s="10" t="n"/>
      <c r="V358" s="9" t="n"/>
      <c r="W358" s="9" t="n"/>
      <c r="X358" s="9" t="n"/>
      <c r="Y358" s="9" t="n"/>
      <c r="Z358" s="11" t="n"/>
      <c r="AA358" s="11" t="n"/>
      <c r="AB358" s="11" t="n"/>
      <c r="AC358" s="11" t="n"/>
      <c r="AD358" s="11" t="n"/>
      <c r="AE358" s="11" t="n"/>
      <c r="AF358" s="9" t="n"/>
      <c r="AG358" s="9" t="n"/>
      <c r="AH358" s="9" t="n"/>
      <c r="AI358" s="9" t="n"/>
      <c r="AJ358" s="8" t="n"/>
      <c r="AK358" s="9" t="n"/>
      <c r="AL358" s="9" t="n"/>
      <c r="AM358" s="9" t="n"/>
      <c r="AN358" s="9" t="n"/>
      <c r="AO358" s="9" t="n"/>
      <c r="AP358" s="9" t="n"/>
      <c r="AQ358" s="9" t="n"/>
      <c r="AR358" s="9" t="n"/>
      <c r="AS358" s="9" t="n"/>
      <c r="AT358" s="8" t="n"/>
      <c r="AU358" s="8" t="n"/>
      <c r="AV358" s="9" t="n"/>
      <c r="AW358" s="8" t="n"/>
      <c r="AX358" s="9" t="n"/>
      <c r="AY358" s="9" t="n"/>
      <c r="AZ358" s="9" t="n"/>
      <c r="BA358" s="9" t="n"/>
      <c r="BB358" s="9" t="n"/>
      <c r="BC358" s="9" t="n"/>
      <c r="BD358" s="9" t="n"/>
      <c r="BE358" s="9" t="n"/>
      <c r="BF358" s="9" t="n"/>
      <c r="BG358" s="9" t="n"/>
      <c r="BH358" s="9" t="n"/>
      <c r="BI358" s="9" t="n"/>
      <c r="BJ358" s="9" t="n"/>
      <c r="BK358" s="9" t="n"/>
      <c r="BL358" s="9" t="n"/>
      <c r="BM358" s="9" t="n"/>
      <c r="BN358" s="9" t="n"/>
      <c r="BO358" s="8" t="n"/>
      <c r="BP358" s="9" t="n"/>
      <c r="BQ358" s="9" t="n"/>
      <c r="BR358" s="12">
        <f>IF(AND(AI358="Y",AK358="Y",AL358="Y",AM358="Y",AY358="Y",AZ358="Y",BA358="Y",BB358="Y",BC358="Y",BE358&lt;&gt;"Y",AX358&lt;&gt;"Y",BL358&lt;&gt;"Y",IF(AS358="Y",AV358="Y",TRUE)),"Y","N")</f>
        <v/>
      </c>
      <c r="BS358" s="12">
        <f>IF(AND(BR358="Y",OR(AND(BJ358="Y",BM358="Y"),AND(BK358="Y",BN358="Y"),AND(BJ358&lt;&gt;"Y",BK358&lt;&gt;"Y",OR(BM358="Y",BN358="Y")))),"Y","N")</f>
        <v/>
      </c>
      <c r="BT358" s="10" t="n"/>
      <c r="BU358" s="13" t="n"/>
      <c r="BV358" s="13" t="n"/>
      <c r="BW358" s="13" t="n"/>
      <c r="BX358" s="13" t="n"/>
      <c r="BY358" s="13" t="n"/>
      <c r="BZ358" s="13" t="n"/>
      <c r="CA358" s="14" t="n"/>
      <c r="CB358" s="13" t="n"/>
      <c r="CC358" s="9" t="n"/>
      <c r="CD358" s="9" t="n"/>
      <c r="CE358" s="9" t="n"/>
      <c r="CF358" s="9" t="n"/>
      <c r="CG358" s="9" t="n"/>
      <c r="CH358" s="9" t="n"/>
    </row>
    <row r="359">
      <c r="A359" s="8" t="n"/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8" t="n"/>
      <c r="L359" s="9" t="n"/>
      <c r="M359" s="8" t="n"/>
      <c r="N359" s="8" t="n"/>
      <c r="O359" s="8" t="n"/>
      <c r="P359" s="8" t="n"/>
      <c r="Q359" s="8" t="n"/>
      <c r="R359" s="9" t="n"/>
      <c r="S359" s="9" t="n"/>
      <c r="T359" s="10" t="n"/>
      <c r="U359" s="10" t="n"/>
      <c r="V359" s="9" t="n"/>
      <c r="W359" s="9" t="n"/>
      <c r="X359" s="9" t="n"/>
      <c r="Y359" s="9" t="n"/>
      <c r="Z359" s="11" t="n"/>
      <c r="AA359" s="11" t="n"/>
      <c r="AB359" s="11" t="n"/>
      <c r="AC359" s="11" t="n"/>
      <c r="AD359" s="11" t="n"/>
      <c r="AE359" s="11" t="n"/>
      <c r="AF359" s="9" t="n"/>
      <c r="AG359" s="9" t="n"/>
      <c r="AH359" s="9" t="n"/>
      <c r="AI359" s="9" t="n"/>
      <c r="AJ359" s="8" t="n"/>
      <c r="AK359" s="9" t="n"/>
      <c r="AL359" s="9" t="n"/>
      <c r="AM359" s="9" t="n"/>
      <c r="AN359" s="9" t="n"/>
      <c r="AO359" s="9" t="n"/>
      <c r="AP359" s="9" t="n"/>
      <c r="AQ359" s="9" t="n"/>
      <c r="AR359" s="9" t="n"/>
      <c r="AS359" s="9" t="n"/>
      <c r="AT359" s="8" t="n"/>
      <c r="AU359" s="8" t="n"/>
      <c r="AV359" s="9" t="n"/>
      <c r="AW359" s="8" t="n"/>
      <c r="AX359" s="9" t="n"/>
      <c r="AY359" s="9" t="n"/>
      <c r="AZ359" s="9" t="n"/>
      <c r="BA359" s="9" t="n"/>
      <c r="BB359" s="9" t="n"/>
      <c r="BC359" s="9" t="n"/>
      <c r="BD359" s="9" t="n"/>
      <c r="BE359" s="9" t="n"/>
      <c r="BF359" s="9" t="n"/>
      <c r="BG359" s="9" t="n"/>
      <c r="BH359" s="9" t="n"/>
      <c r="BI359" s="9" t="n"/>
      <c r="BJ359" s="9" t="n"/>
      <c r="BK359" s="9" t="n"/>
      <c r="BL359" s="9" t="n"/>
      <c r="BM359" s="9" t="n"/>
      <c r="BN359" s="9" t="n"/>
      <c r="BO359" s="8" t="n"/>
      <c r="BP359" s="9" t="n"/>
      <c r="BQ359" s="9" t="n"/>
      <c r="BR359" s="12">
        <f>IF(AND(AI359="Y",AK359="Y",AL359="Y",AM359="Y",AY359="Y",AZ359="Y",BA359="Y",BB359="Y",BC359="Y",BE359&lt;&gt;"Y",AX359&lt;&gt;"Y",BL359&lt;&gt;"Y",IF(AS359="Y",AV359="Y",TRUE)),"Y","N")</f>
        <v/>
      </c>
      <c r="BS359" s="12">
        <f>IF(AND(BR359="Y",OR(AND(BJ359="Y",BM359="Y"),AND(BK359="Y",BN359="Y"),AND(BJ359&lt;&gt;"Y",BK359&lt;&gt;"Y",OR(BM359="Y",BN359="Y")))),"Y","N")</f>
        <v/>
      </c>
      <c r="BT359" s="10" t="n"/>
      <c r="BU359" s="13" t="n"/>
      <c r="BV359" s="13" t="n"/>
      <c r="BW359" s="13" t="n"/>
      <c r="BX359" s="13" t="n"/>
      <c r="BY359" s="13" t="n"/>
      <c r="BZ359" s="13" t="n"/>
      <c r="CA359" s="14" t="n"/>
      <c r="CB359" s="13" t="n"/>
      <c r="CC359" s="9" t="n"/>
      <c r="CD359" s="9" t="n"/>
      <c r="CE359" s="9" t="n"/>
      <c r="CF359" s="9" t="n"/>
      <c r="CG359" s="9" t="n"/>
      <c r="CH359" s="9" t="n"/>
    </row>
    <row r="360">
      <c r="A360" s="8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8" t="n"/>
      <c r="L360" s="9" t="n"/>
      <c r="M360" s="8" t="n"/>
      <c r="N360" s="8" t="n"/>
      <c r="O360" s="8" t="n"/>
      <c r="P360" s="8" t="n"/>
      <c r="Q360" s="8" t="n"/>
      <c r="R360" s="9" t="n"/>
      <c r="S360" s="9" t="n"/>
      <c r="T360" s="10" t="n"/>
      <c r="U360" s="10" t="n"/>
      <c r="V360" s="9" t="n"/>
      <c r="W360" s="9" t="n"/>
      <c r="X360" s="9" t="n"/>
      <c r="Y360" s="9" t="n"/>
      <c r="Z360" s="11" t="n"/>
      <c r="AA360" s="11" t="n"/>
      <c r="AB360" s="11" t="n"/>
      <c r="AC360" s="11" t="n"/>
      <c r="AD360" s="11" t="n"/>
      <c r="AE360" s="11" t="n"/>
      <c r="AF360" s="9" t="n"/>
      <c r="AG360" s="9" t="n"/>
      <c r="AH360" s="9" t="n"/>
      <c r="AI360" s="9" t="n"/>
      <c r="AJ360" s="8" t="n"/>
      <c r="AK360" s="9" t="n"/>
      <c r="AL360" s="9" t="n"/>
      <c r="AM360" s="9" t="n"/>
      <c r="AN360" s="9" t="n"/>
      <c r="AO360" s="9" t="n"/>
      <c r="AP360" s="9" t="n"/>
      <c r="AQ360" s="9" t="n"/>
      <c r="AR360" s="9" t="n"/>
      <c r="AS360" s="9" t="n"/>
      <c r="AT360" s="8" t="n"/>
      <c r="AU360" s="8" t="n"/>
      <c r="AV360" s="9" t="n"/>
      <c r="AW360" s="8" t="n"/>
      <c r="AX360" s="9" t="n"/>
      <c r="AY360" s="9" t="n"/>
      <c r="AZ360" s="9" t="n"/>
      <c r="BA360" s="9" t="n"/>
      <c r="BB360" s="9" t="n"/>
      <c r="BC360" s="9" t="n"/>
      <c r="BD360" s="9" t="n"/>
      <c r="BE360" s="9" t="n"/>
      <c r="BF360" s="9" t="n"/>
      <c r="BG360" s="9" t="n"/>
      <c r="BH360" s="9" t="n"/>
      <c r="BI360" s="9" t="n"/>
      <c r="BJ360" s="9" t="n"/>
      <c r="BK360" s="9" t="n"/>
      <c r="BL360" s="9" t="n"/>
      <c r="BM360" s="9" t="n"/>
      <c r="BN360" s="9" t="n"/>
      <c r="BO360" s="8" t="n"/>
      <c r="BP360" s="9" t="n"/>
      <c r="BQ360" s="9" t="n"/>
      <c r="BR360" s="12">
        <f>IF(AND(AI360="Y",AK360="Y",AL360="Y",AM360="Y",AY360="Y",AZ360="Y",BA360="Y",BB360="Y",BC360="Y",BE360&lt;&gt;"Y",AX360&lt;&gt;"Y",BL360&lt;&gt;"Y",IF(AS360="Y",AV360="Y",TRUE)),"Y","N")</f>
        <v/>
      </c>
      <c r="BS360" s="12">
        <f>IF(AND(BR360="Y",OR(AND(BJ360="Y",BM360="Y"),AND(BK360="Y",BN360="Y"),AND(BJ360&lt;&gt;"Y",BK360&lt;&gt;"Y",OR(BM360="Y",BN360="Y")))),"Y","N")</f>
        <v/>
      </c>
      <c r="BT360" s="10" t="n"/>
      <c r="BU360" s="13" t="n"/>
      <c r="BV360" s="13" t="n"/>
      <c r="BW360" s="13" t="n"/>
      <c r="BX360" s="13" t="n"/>
      <c r="BY360" s="13" t="n"/>
      <c r="BZ360" s="13" t="n"/>
      <c r="CA360" s="14" t="n"/>
      <c r="CB360" s="13" t="n"/>
      <c r="CC360" s="9" t="n"/>
      <c r="CD360" s="9" t="n"/>
      <c r="CE360" s="9" t="n"/>
      <c r="CF360" s="9" t="n"/>
      <c r="CG360" s="9" t="n"/>
      <c r="CH360" s="9" t="n"/>
    </row>
    <row r="361">
      <c r="A361" s="8" t="n"/>
      <c r="B361" s="9" t="n"/>
      <c r="C361" s="9" t="n"/>
      <c r="D361" s="9" t="n"/>
      <c r="E361" s="9" t="n"/>
      <c r="F361" s="9" t="n"/>
      <c r="G361" s="9" t="n"/>
      <c r="H361" s="9" t="n"/>
      <c r="I361" s="9" t="n"/>
      <c r="J361" s="9" t="n"/>
      <c r="K361" s="8" t="n"/>
      <c r="L361" s="9" t="n"/>
      <c r="M361" s="8" t="n"/>
      <c r="N361" s="8" t="n"/>
      <c r="O361" s="8" t="n"/>
      <c r="P361" s="8" t="n"/>
      <c r="Q361" s="8" t="n"/>
      <c r="R361" s="9" t="n"/>
      <c r="S361" s="9" t="n"/>
      <c r="T361" s="10" t="n"/>
      <c r="U361" s="10" t="n"/>
      <c r="V361" s="9" t="n"/>
      <c r="W361" s="9" t="n"/>
      <c r="X361" s="9" t="n"/>
      <c r="Y361" s="9" t="n"/>
      <c r="Z361" s="11" t="n"/>
      <c r="AA361" s="11" t="n"/>
      <c r="AB361" s="11" t="n"/>
      <c r="AC361" s="11" t="n"/>
      <c r="AD361" s="11" t="n"/>
      <c r="AE361" s="11" t="n"/>
      <c r="AF361" s="9" t="n"/>
      <c r="AG361" s="9" t="n"/>
      <c r="AH361" s="9" t="n"/>
      <c r="AI361" s="9" t="n"/>
      <c r="AJ361" s="8" t="n"/>
      <c r="AK361" s="9" t="n"/>
      <c r="AL361" s="9" t="n"/>
      <c r="AM361" s="9" t="n"/>
      <c r="AN361" s="9" t="n"/>
      <c r="AO361" s="9" t="n"/>
      <c r="AP361" s="9" t="n"/>
      <c r="AQ361" s="9" t="n"/>
      <c r="AR361" s="9" t="n"/>
      <c r="AS361" s="9" t="n"/>
      <c r="AT361" s="8" t="n"/>
      <c r="AU361" s="8" t="n"/>
      <c r="AV361" s="9" t="n"/>
      <c r="AW361" s="8" t="n"/>
      <c r="AX361" s="9" t="n"/>
      <c r="AY361" s="9" t="n"/>
      <c r="AZ361" s="9" t="n"/>
      <c r="BA361" s="9" t="n"/>
      <c r="BB361" s="9" t="n"/>
      <c r="BC361" s="9" t="n"/>
      <c r="BD361" s="9" t="n"/>
      <c r="BE361" s="9" t="n"/>
      <c r="BF361" s="9" t="n"/>
      <c r="BG361" s="9" t="n"/>
      <c r="BH361" s="9" t="n"/>
      <c r="BI361" s="9" t="n"/>
      <c r="BJ361" s="9" t="n"/>
      <c r="BK361" s="9" t="n"/>
      <c r="BL361" s="9" t="n"/>
      <c r="BM361" s="9" t="n"/>
      <c r="BN361" s="9" t="n"/>
      <c r="BO361" s="8" t="n"/>
      <c r="BP361" s="9" t="n"/>
      <c r="BQ361" s="9" t="n"/>
      <c r="BR361" s="12">
        <f>IF(AND(AI361="Y",AK361="Y",AL361="Y",AM361="Y",AY361="Y",AZ361="Y",BA361="Y",BB361="Y",BC361="Y",BE361&lt;&gt;"Y",AX361&lt;&gt;"Y",BL361&lt;&gt;"Y",IF(AS361="Y",AV361="Y",TRUE)),"Y","N")</f>
        <v/>
      </c>
      <c r="BS361" s="12">
        <f>IF(AND(BR361="Y",OR(AND(BJ361="Y",BM361="Y"),AND(BK361="Y",BN361="Y"),AND(BJ361&lt;&gt;"Y",BK361&lt;&gt;"Y",OR(BM361="Y",BN361="Y")))),"Y","N")</f>
        <v/>
      </c>
      <c r="BT361" s="10" t="n"/>
      <c r="BU361" s="13" t="n"/>
      <c r="BV361" s="13" t="n"/>
      <c r="BW361" s="13" t="n"/>
      <c r="BX361" s="13" t="n"/>
      <c r="BY361" s="13" t="n"/>
      <c r="BZ361" s="13" t="n"/>
      <c r="CA361" s="14" t="n"/>
      <c r="CB361" s="13" t="n"/>
      <c r="CC361" s="9" t="n"/>
      <c r="CD361" s="9" t="n"/>
      <c r="CE361" s="9" t="n"/>
      <c r="CF361" s="9" t="n"/>
      <c r="CG361" s="9" t="n"/>
      <c r="CH361" s="9" t="n"/>
    </row>
    <row r="362">
      <c r="A362" s="8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8" t="n"/>
      <c r="L362" s="9" t="n"/>
      <c r="M362" s="8" t="n"/>
      <c r="N362" s="8" t="n"/>
      <c r="O362" s="8" t="n"/>
      <c r="P362" s="8" t="n"/>
      <c r="Q362" s="8" t="n"/>
      <c r="R362" s="9" t="n"/>
      <c r="S362" s="9" t="n"/>
      <c r="T362" s="10" t="n"/>
      <c r="U362" s="10" t="n"/>
      <c r="V362" s="9" t="n"/>
      <c r="W362" s="9" t="n"/>
      <c r="X362" s="9" t="n"/>
      <c r="Y362" s="9" t="n"/>
      <c r="Z362" s="11" t="n"/>
      <c r="AA362" s="11" t="n"/>
      <c r="AB362" s="11" t="n"/>
      <c r="AC362" s="11" t="n"/>
      <c r="AD362" s="11" t="n"/>
      <c r="AE362" s="11" t="n"/>
      <c r="AF362" s="9" t="n"/>
      <c r="AG362" s="9" t="n"/>
      <c r="AH362" s="9" t="n"/>
      <c r="AI362" s="9" t="n"/>
      <c r="AJ362" s="8" t="n"/>
      <c r="AK362" s="9" t="n"/>
      <c r="AL362" s="9" t="n"/>
      <c r="AM362" s="9" t="n"/>
      <c r="AN362" s="9" t="n"/>
      <c r="AO362" s="9" t="n"/>
      <c r="AP362" s="9" t="n"/>
      <c r="AQ362" s="9" t="n"/>
      <c r="AR362" s="9" t="n"/>
      <c r="AS362" s="9" t="n"/>
      <c r="AT362" s="8" t="n"/>
      <c r="AU362" s="8" t="n"/>
      <c r="AV362" s="9" t="n"/>
      <c r="AW362" s="8" t="n"/>
      <c r="AX362" s="9" t="n"/>
      <c r="AY362" s="9" t="n"/>
      <c r="AZ362" s="9" t="n"/>
      <c r="BA362" s="9" t="n"/>
      <c r="BB362" s="9" t="n"/>
      <c r="BC362" s="9" t="n"/>
      <c r="BD362" s="9" t="n"/>
      <c r="BE362" s="9" t="n"/>
      <c r="BF362" s="9" t="n"/>
      <c r="BG362" s="9" t="n"/>
      <c r="BH362" s="9" t="n"/>
      <c r="BI362" s="9" t="n"/>
      <c r="BJ362" s="9" t="n"/>
      <c r="BK362" s="9" t="n"/>
      <c r="BL362" s="9" t="n"/>
      <c r="BM362" s="9" t="n"/>
      <c r="BN362" s="9" t="n"/>
      <c r="BO362" s="8" t="n"/>
      <c r="BP362" s="9" t="n"/>
      <c r="BQ362" s="9" t="n"/>
      <c r="BR362" s="12">
        <f>IF(AND(AI362="Y",AK362="Y",AL362="Y",AM362="Y",AY362="Y",AZ362="Y",BA362="Y",BB362="Y",BC362="Y",BE362&lt;&gt;"Y",AX362&lt;&gt;"Y",BL362&lt;&gt;"Y",IF(AS362="Y",AV362="Y",TRUE)),"Y","N")</f>
        <v/>
      </c>
      <c r="BS362" s="12">
        <f>IF(AND(BR362="Y",OR(AND(BJ362="Y",BM362="Y"),AND(BK362="Y",BN362="Y"),AND(BJ362&lt;&gt;"Y",BK362&lt;&gt;"Y",OR(BM362="Y",BN362="Y")))),"Y","N")</f>
        <v/>
      </c>
      <c r="BT362" s="10" t="n"/>
      <c r="BU362" s="13" t="n"/>
      <c r="BV362" s="13" t="n"/>
      <c r="BW362" s="13" t="n"/>
      <c r="BX362" s="13" t="n"/>
      <c r="BY362" s="13" t="n"/>
      <c r="BZ362" s="13" t="n"/>
      <c r="CA362" s="14" t="n"/>
      <c r="CB362" s="13" t="n"/>
      <c r="CC362" s="9" t="n"/>
      <c r="CD362" s="9" t="n"/>
      <c r="CE362" s="9" t="n"/>
      <c r="CF362" s="9" t="n"/>
      <c r="CG362" s="9" t="n"/>
      <c r="CH362" s="9" t="n"/>
    </row>
    <row r="363">
      <c r="A363" s="8" t="n"/>
      <c r="B363" s="9" t="n"/>
      <c r="C363" s="9" t="n"/>
      <c r="D363" s="9" t="n"/>
      <c r="E363" s="9" t="n"/>
      <c r="F363" s="9" t="n"/>
      <c r="G363" s="9" t="n"/>
      <c r="H363" s="9" t="n"/>
      <c r="I363" s="9" t="n"/>
      <c r="J363" s="9" t="n"/>
      <c r="K363" s="8" t="n"/>
      <c r="L363" s="9" t="n"/>
      <c r="M363" s="8" t="n"/>
      <c r="N363" s="8" t="n"/>
      <c r="O363" s="8" t="n"/>
      <c r="P363" s="8" t="n"/>
      <c r="Q363" s="8" t="n"/>
      <c r="R363" s="9" t="n"/>
      <c r="S363" s="9" t="n"/>
      <c r="T363" s="10" t="n"/>
      <c r="U363" s="10" t="n"/>
      <c r="V363" s="9" t="n"/>
      <c r="W363" s="9" t="n"/>
      <c r="X363" s="9" t="n"/>
      <c r="Y363" s="9" t="n"/>
      <c r="Z363" s="11" t="n"/>
      <c r="AA363" s="11" t="n"/>
      <c r="AB363" s="11" t="n"/>
      <c r="AC363" s="11" t="n"/>
      <c r="AD363" s="11" t="n"/>
      <c r="AE363" s="11" t="n"/>
      <c r="AF363" s="9" t="n"/>
      <c r="AG363" s="9" t="n"/>
      <c r="AH363" s="9" t="n"/>
      <c r="AI363" s="9" t="n"/>
      <c r="AJ363" s="8" t="n"/>
      <c r="AK363" s="9" t="n"/>
      <c r="AL363" s="9" t="n"/>
      <c r="AM363" s="9" t="n"/>
      <c r="AN363" s="9" t="n"/>
      <c r="AO363" s="9" t="n"/>
      <c r="AP363" s="9" t="n"/>
      <c r="AQ363" s="9" t="n"/>
      <c r="AR363" s="9" t="n"/>
      <c r="AS363" s="9" t="n"/>
      <c r="AT363" s="8" t="n"/>
      <c r="AU363" s="8" t="n"/>
      <c r="AV363" s="9" t="n"/>
      <c r="AW363" s="8" t="n"/>
      <c r="AX363" s="9" t="n"/>
      <c r="AY363" s="9" t="n"/>
      <c r="AZ363" s="9" t="n"/>
      <c r="BA363" s="9" t="n"/>
      <c r="BB363" s="9" t="n"/>
      <c r="BC363" s="9" t="n"/>
      <c r="BD363" s="9" t="n"/>
      <c r="BE363" s="9" t="n"/>
      <c r="BF363" s="9" t="n"/>
      <c r="BG363" s="9" t="n"/>
      <c r="BH363" s="9" t="n"/>
      <c r="BI363" s="9" t="n"/>
      <c r="BJ363" s="9" t="n"/>
      <c r="BK363" s="9" t="n"/>
      <c r="BL363" s="9" t="n"/>
      <c r="BM363" s="9" t="n"/>
      <c r="BN363" s="9" t="n"/>
      <c r="BO363" s="8" t="n"/>
      <c r="BP363" s="9" t="n"/>
      <c r="BQ363" s="9" t="n"/>
      <c r="BR363" s="12">
        <f>IF(AND(AI363="Y",AK363="Y",AL363="Y",AM363="Y",AY363="Y",AZ363="Y",BA363="Y",BB363="Y",BC363="Y",BE363&lt;&gt;"Y",AX363&lt;&gt;"Y",BL363&lt;&gt;"Y",IF(AS363="Y",AV363="Y",TRUE)),"Y","N")</f>
        <v/>
      </c>
      <c r="BS363" s="12">
        <f>IF(AND(BR363="Y",OR(AND(BJ363="Y",BM363="Y"),AND(BK363="Y",BN363="Y"),AND(BJ363&lt;&gt;"Y",BK363&lt;&gt;"Y",OR(BM363="Y",BN363="Y")))),"Y","N")</f>
        <v/>
      </c>
      <c r="BT363" s="10" t="n"/>
      <c r="BU363" s="13" t="n"/>
      <c r="BV363" s="13" t="n"/>
      <c r="BW363" s="13" t="n"/>
      <c r="BX363" s="13" t="n"/>
      <c r="BY363" s="13" t="n"/>
      <c r="BZ363" s="13" t="n"/>
      <c r="CA363" s="14" t="n"/>
      <c r="CB363" s="13" t="n"/>
      <c r="CC363" s="9" t="n"/>
      <c r="CD363" s="9" t="n"/>
      <c r="CE363" s="9" t="n"/>
      <c r="CF363" s="9" t="n"/>
      <c r="CG363" s="9" t="n"/>
      <c r="CH363" s="9" t="n"/>
    </row>
    <row r="364">
      <c r="A364" s="8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8" t="n"/>
      <c r="L364" s="9" t="n"/>
      <c r="M364" s="8" t="n"/>
      <c r="N364" s="8" t="n"/>
      <c r="O364" s="8" t="n"/>
      <c r="P364" s="8" t="n"/>
      <c r="Q364" s="8" t="n"/>
      <c r="R364" s="9" t="n"/>
      <c r="S364" s="9" t="n"/>
      <c r="T364" s="10" t="n"/>
      <c r="U364" s="10" t="n"/>
      <c r="V364" s="9" t="n"/>
      <c r="W364" s="9" t="n"/>
      <c r="X364" s="9" t="n"/>
      <c r="Y364" s="9" t="n"/>
      <c r="Z364" s="11" t="n"/>
      <c r="AA364" s="11" t="n"/>
      <c r="AB364" s="11" t="n"/>
      <c r="AC364" s="11" t="n"/>
      <c r="AD364" s="11" t="n"/>
      <c r="AE364" s="11" t="n"/>
      <c r="AF364" s="9" t="n"/>
      <c r="AG364" s="9" t="n"/>
      <c r="AH364" s="9" t="n"/>
      <c r="AI364" s="9" t="n"/>
      <c r="AJ364" s="8" t="n"/>
      <c r="AK364" s="9" t="n"/>
      <c r="AL364" s="9" t="n"/>
      <c r="AM364" s="9" t="n"/>
      <c r="AN364" s="9" t="n"/>
      <c r="AO364" s="9" t="n"/>
      <c r="AP364" s="9" t="n"/>
      <c r="AQ364" s="9" t="n"/>
      <c r="AR364" s="9" t="n"/>
      <c r="AS364" s="9" t="n"/>
      <c r="AT364" s="8" t="n"/>
      <c r="AU364" s="8" t="n"/>
      <c r="AV364" s="9" t="n"/>
      <c r="AW364" s="8" t="n"/>
      <c r="AX364" s="9" t="n"/>
      <c r="AY364" s="9" t="n"/>
      <c r="AZ364" s="9" t="n"/>
      <c r="BA364" s="9" t="n"/>
      <c r="BB364" s="9" t="n"/>
      <c r="BC364" s="9" t="n"/>
      <c r="BD364" s="9" t="n"/>
      <c r="BE364" s="9" t="n"/>
      <c r="BF364" s="9" t="n"/>
      <c r="BG364" s="9" t="n"/>
      <c r="BH364" s="9" t="n"/>
      <c r="BI364" s="9" t="n"/>
      <c r="BJ364" s="9" t="n"/>
      <c r="BK364" s="9" t="n"/>
      <c r="BL364" s="9" t="n"/>
      <c r="BM364" s="9" t="n"/>
      <c r="BN364" s="9" t="n"/>
      <c r="BO364" s="8" t="n"/>
      <c r="BP364" s="9" t="n"/>
      <c r="BQ364" s="9" t="n"/>
      <c r="BR364" s="12">
        <f>IF(AND(AI364="Y",AK364="Y",AL364="Y",AM364="Y",AY364="Y",AZ364="Y",BA364="Y",BB364="Y",BC364="Y",BE364&lt;&gt;"Y",AX364&lt;&gt;"Y",BL364&lt;&gt;"Y",IF(AS364="Y",AV364="Y",TRUE)),"Y","N")</f>
        <v/>
      </c>
      <c r="BS364" s="12">
        <f>IF(AND(BR364="Y",OR(AND(BJ364="Y",BM364="Y"),AND(BK364="Y",BN364="Y"),AND(BJ364&lt;&gt;"Y",BK364&lt;&gt;"Y",OR(BM364="Y",BN364="Y")))),"Y","N")</f>
        <v/>
      </c>
      <c r="BT364" s="10" t="n"/>
      <c r="BU364" s="13" t="n"/>
      <c r="BV364" s="13" t="n"/>
      <c r="BW364" s="13" t="n"/>
      <c r="BX364" s="13" t="n"/>
      <c r="BY364" s="13" t="n"/>
      <c r="BZ364" s="13" t="n"/>
      <c r="CA364" s="14" t="n"/>
      <c r="CB364" s="13" t="n"/>
      <c r="CC364" s="9" t="n"/>
      <c r="CD364" s="9" t="n"/>
      <c r="CE364" s="9" t="n"/>
      <c r="CF364" s="9" t="n"/>
      <c r="CG364" s="9" t="n"/>
      <c r="CH364" s="9" t="n"/>
    </row>
    <row r="365">
      <c r="A365" s="8" t="n"/>
      <c r="B365" s="9" t="n"/>
      <c r="C365" s="9" t="n"/>
      <c r="D365" s="9" t="n"/>
      <c r="E365" s="9" t="n"/>
      <c r="F365" s="9" t="n"/>
      <c r="G365" s="9" t="n"/>
      <c r="H365" s="9" t="n"/>
      <c r="I365" s="9" t="n"/>
      <c r="J365" s="9" t="n"/>
      <c r="K365" s="8" t="n"/>
      <c r="L365" s="9" t="n"/>
      <c r="M365" s="8" t="n"/>
      <c r="N365" s="8" t="n"/>
      <c r="O365" s="8" t="n"/>
      <c r="P365" s="8" t="n"/>
      <c r="Q365" s="8" t="n"/>
      <c r="R365" s="9" t="n"/>
      <c r="S365" s="9" t="n"/>
      <c r="T365" s="10" t="n"/>
      <c r="U365" s="10" t="n"/>
      <c r="V365" s="9" t="n"/>
      <c r="W365" s="9" t="n"/>
      <c r="X365" s="9" t="n"/>
      <c r="Y365" s="9" t="n"/>
      <c r="Z365" s="11" t="n"/>
      <c r="AA365" s="11" t="n"/>
      <c r="AB365" s="11" t="n"/>
      <c r="AC365" s="11" t="n"/>
      <c r="AD365" s="11" t="n"/>
      <c r="AE365" s="11" t="n"/>
      <c r="AF365" s="9" t="n"/>
      <c r="AG365" s="9" t="n"/>
      <c r="AH365" s="9" t="n"/>
      <c r="AI365" s="9" t="n"/>
      <c r="AJ365" s="8" t="n"/>
      <c r="AK365" s="9" t="n"/>
      <c r="AL365" s="9" t="n"/>
      <c r="AM365" s="9" t="n"/>
      <c r="AN365" s="9" t="n"/>
      <c r="AO365" s="9" t="n"/>
      <c r="AP365" s="9" t="n"/>
      <c r="AQ365" s="9" t="n"/>
      <c r="AR365" s="9" t="n"/>
      <c r="AS365" s="9" t="n"/>
      <c r="AT365" s="8" t="n"/>
      <c r="AU365" s="8" t="n"/>
      <c r="AV365" s="9" t="n"/>
      <c r="AW365" s="8" t="n"/>
      <c r="AX365" s="9" t="n"/>
      <c r="AY365" s="9" t="n"/>
      <c r="AZ365" s="9" t="n"/>
      <c r="BA365" s="9" t="n"/>
      <c r="BB365" s="9" t="n"/>
      <c r="BC365" s="9" t="n"/>
      <c r="BD365" s="9" t="n"/>
      <c r="BE365" s="9" t="n"/>
      <c r="BF365" s="9" t="n"/>
      <c r="BG365" s="9" t="n"/>
      <c r="BH365" s="9" t="n"/>
      <c r="BI365" s="9" t="n"/>
      <c r="BJ365" s="9" t="n"/>
      <c r="BK365" s="9" t="n"/>
      <c r="BL365" s="9" t="n"/>
      <c r="BM365" s="9" t="n"/>
      <c r="BN365" s="9" t="n"/>
      <c r="BO365" s="8" t="n"/>
      <c r="BP365" s="9" t="n"/>
      <c r="BQ365" s="9" t="n"/>
      <c r="BR365" s="12">
        <f>IF(AND(AI365="Y",AK365="Y",AL365="Y",AM365="Y",AY365="Y",AZ365="Y",BA365="Y",BB365="Y",BC365="Y",BE365&lt;&gt;"Y",AX365&lt;&gt;"Y",BL365&lt;&gt;"Y",IF(AS365="Y",AV365="Y",TRUE)),"Y","N")</f>
        <v/>
      </c>
      <c r="BS365" s="12">
        <f>IF(AND(BR365="Y",OR(AND(BJ365="Y",BM365="Y"),AND(BK365="Y",BN365="Y"),AND(BJ365&lt;&gt;"Y",BK365&lt;&gt;"Y",OR(BM365="Y",BN365="Y")))),"Y","N")</f>
        <v/>
      </c>
      <c r="BT365" s="10" t="n"/>
      <c r="BU365" s="13" t="n"/>
      <c r="BV365" s="13" t="n"/>
      <c r="BW365" s="13" t="n"/>
      <c r="BX365" s="13" t="n"/>
      <c r="BY365" s="13" t="n"/>
      <c r="BZ365" s="13" t="n"/>
      <c r="CA365" s="14" t="n"/>
      <c r="CB365" s="13" t="n"/>
      <c r="CC365" s="9" t="n"/>
      <c r="CD365" s="9" t="n"/>
      <c r="CE365" s="9" t="n"/>
      <c r="CF365" s="9" t="n"/>
      <c r="CG365" s="9" t="n"/>
      <c r="CH365" s="9" t="n"/>
    </row>
    <row r="366">
      <c r="A366" s="8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8" t="n"/>
      <c r="L366" s="9" t="n"/>
      <c r="M366" s="8" t="n"/>
      <c r="N366" s="8" t="n"/>
      <c r="O366" s="8" t="n"/>
      <c r="P366" s="8" t="n"/>
      <c r="Q366" s="8" t="n"/>
      <c r="R366" s="9" t="n"/>
      <c r="S366" s="9" t="n"/>
      <c r="T366" s="10" t="n"/>
      <c r="U366" s="10" t="n"/>
      <c r="V366" s="9" t="n"/>
      <c r="W366" s="9" t="n"/>
      <c r="X366" s="9" t="n"/>
      <c r="Y366" s="9" t="n"/>
      <c r="Z366" s="11" t="n"/>
      <c r="AA366" s="11" t="n"/>
      <c r="AB366" s="11" t="n"/>
      <c r="AC366" s="11" t="n"/>
      <c r="AD366" s="11" t="n"/>
      <c r="AE366" s="11" t="n"/>
      <c r="AF366" s="9" t="n"/>
      <c r="AG366" s="9" t="n"/>
      <c r="AH366" s="9" t="n"/>
      <c r="AI366" s="9" t="n"/>
      <c r="AJ366" s="8" t="n"/>
      <c r="AK366" s="9" t="n"/>
      <c r="AL366" s="9" t="n"/>
      <c r="AM366" s="9" t="n"/>
      <c r="AN366" s="9" t="n"/>
      <c r="AO366" s="9" t="n"/>
      <c r="AP366" s="9" t="n"/>
      <c r="AQ366" s="9" t="n"/>
      <c r="AR366" s="9" t="n"/>
      <c r="AS366" s="9" t="n"/>
      <c r="AT366" s="8" t="n"/>
      <c r="AU366" s="8" t="n"/>
      <c r="AV366" s="9" t="n"/>
      <c r="AW366" s="8" t="n"/>
      <c r="AX366" s="9" t="n"/>
      <c r="AY366" s="9" t="n"/>
      <c r="AZ366" s="9" t="n"/>
      <c r="BA366" s="9" t="n"/>
      <c r="BB366" s="9" t="n"/>
      <c r="BC366" s="9" t="n"/>
      <c r="BD366" s="9" t="n"/>
      <c r="BE366" s="9" t="n"/>
      <c r="BF366" s="9" t="n"/>
      <c r="BG366" s="9" t="n"/>
      <c r="BH366" s="9" t="n"/>
      <c r="BI366" s="9" t="n"/>
      <c r="BJ366" s="9" t="n"/>
      <c r="BK366" s="9" t="n"/>
      <c r="BL366" s="9" t="n"/>
      <c r="BM366" s="9" t="n"/>
      <c r="BN366" s="9" t="n"/>
      <c r="BO366" s="8" t="n"/>
      <c r="BP366" s="9" t="n"/>
      <c r="BQ366" s="9" t="n"/>
      <c r="BR366" s="12">
        <f>IF(AND(AI366="Y",AK366="Y",AL366="Y",AM366="Y",AY366="Y",AZ366="Y",BA366="Y",BB366="Y",BC366="Y",BE366&lt;&gt;"Y",AX366&lt;&gt;"Y",BL366&lt;&gt;"Y",IF(AS366="Y",AV366="Y",TRUE)),"Y","N")</f>
        <v/>
      </c>
      <c r="BS366" s="12">
        <f>IF(AND(BR366="Y",OR(AND(BJ366="Y",BM366="Y"),AND(BK366="Y",BN366="Y"),AND(BJ366&lt;&gt;"Y",BK366&lt;&gt;"Y",OR(BM366="Y",BN366="Y")))),"Y","N")</f>
        <v/>
      </c>
      <c r="BT366" s="10" t="n"/>
      <c r="BU366" s="13" t="n"/>
      <c r="BV366" s="13" t="n"/>
      <c r="BW366" s="13" t="n"/>
      <c r="BX366" s="13" t="n"/>
      <c r="BY366" s="13" t="n"/>
      <c r="BZ366" s="13" t="n"/>
      <c r="CA366" s="14" t="n"/>
      <c r="CB366" s="13" t="n"/>
      <c r="CC366" s="9" t="n"/>
      <c r="CD366" s="9" t="n"/>
      <c r="CE366" s="9" t="n"/>
      <c r="CF366" s="9" t="n"/>
      <c r="CG366" s="9" t="n"/>
      <c r="CH366" s="9" t="n"/>
    </row>
    <row r="367">
      <c r="A367" s="8" t="n"/>
      <c r="B367" s="9" t="n"/>
      <c r="C367" s="9" t="n"/>
      <c r="D367" s="9" t="n"/>
      <c r="E367" s="9" t="n"/>
      <c r="F367" s="9" t="n"/>
      <c r="G367" s="9" t="n"/>
      <c r="H367" s="9" t="n"/>
      <c r="I367" s="9" t="n"/>
      <c r="J367" s="9" t="n"/>
      <c r="K367" s="8" t="n"/>
      <c r="L367" s="9" t="n"/>
      <c r="M367" s="8" t="n"/>
      <c r="N367" s="8" t="n"/>
      <c r="O367" s="8" t="n"/>
      <c r="P367" s="8" t="n"/>
      <c r="Q367" s="8" t="n"/>
      <c r="R367" s="9" t="n"/>
      <c r="S367" s="9" t="n"/>
      <c r="T367" s="10" t="n"/>
      <c r="U367" s="10" t="n"/>
      <c r="V367" s="9" t="n"/>
      <c r="W367" s="9" t="n"/>
      <c r="X367" s="9" t="n"/>
      <c r="Y367" s="9" t="n"/>
      <c r="Z367" s="11" t="n"/>
      <c r="AA367" s="11" t="n"/>
      <c r="AB367" s="11" t="n"/>
      <c r="AC367" s="11" t="n"/>
      <c r="AD367" s="11" t="n"/>
      <c r="AE367" s="11" t="n"/>
      <c r="AF367" s="9" t="n"/>
      <c r="AG367" s="9" t="n"/>
      <c r="AH367" s="9" t="n"/>
      <c r="AI367" s="9" t="n"/>
      <c r="AJ367" s="8" t="n"/>
      <c r="AK367" s="9" t="n"/>
      <c r="AL367" s="9" t="n"/>
      <c r="AM367" s="9" t="n"/>
      <c r="AN367" s="9" t="n"/>
      <c r="AO367" s="9" t="n"/>
      <c r="AP367" s="9" t="n"/>
      <c r="AQ367" s="9" t="n"/>
      <c r="AR367" s="9" t="n"/>
      <c r="AS367" s="9" t="n"/>
      <c r="AT367" s="8" t="n"/>
      <c r="AU367" s="8" t="n"/>
      <c r="AV367" s="9" t="n"/>
      <c r="AW367" s="8" t="n"/>
      <c r="AX367" s="9" t="n"/>
      <c r="AY367" s="9" t="n"/>
      <c r="AZ367" s="9" t="n"/>
      <c r="BA367" s="9" t="n"/>
      <c r="BB367" s="9" t="n"/>
      <c r="BC367" s="9" t="n"/>
      <c r="BD367" s="9" t="n"/>
      <c r="BE367" s="9" t="n"/>
      <c r="BF367" s="9" t="n"/>
      <c r="BG367" s="9" t="n"/>
      <c r="BH367" s="9" t="n"/>
      <c r="BI367" s="9" t="n"/>
      <c r="BJ367" s="9" t="n"/>
      <c r="BK367" s="9" t="n"/>
      <c r="BL367" s="9" t="n"/>
      <c r="BM367" s="9" t="n"/>
      <c r="BN367" s="9" t="n"/>
      <c r="BO367" s="8" t="n"/>
      <c r="BP367" s="9" t="n"/>
      <c r="BQ367" s="9" t="n"/>
      <c r="BR367" s="12">
        <f>IF(AND(AI367="Y",AK367="Y",AL367="Y",AM367="Y",AY367="Y",AZ367="Y",BA367="Y",BB367="Y",BC367="Y",BE367&lt;&gt;"Y",AX367&lt;&gt;"Y",BL367&lt;&gt;"Y",IF(AS367="Y",AV367="Y",TRUE)),"Y","N")</f>
        <v/>
      </c>
      <c r="BS367" s="12">
        <f>IF(AND(BR367="Y",OR(AND(BJ367="Y",BM367="Y"),AND(BK367="Y",BN367="Y"),AND(BJ367&lt;&gt;"Y",BK367&lt;&gt;"Y",OR(BM367="Y",BN367="Y")))),"Y","N")</f>
        <v/>
      </c>
      <c r="BT367" s="10" t="n"/>
      <c r="BU367" s="13" t="n"/>
      <c r="BV367" s="13" t="n"/>
      <c r="BW367" s="13" t="n"/>
      <c r="BX367" s="13" t="n"/>
      <c r="BY367" s="13" t="n"/>
      <c r="BZ367" s="13" t="n"/>
      <c r="CA367" s="14" t="n"/>
      <c r="CB367" s="13" t="n"/>
      <c r="CC367" s="9" t="n"/>
      <c r="CD367" s="9" t="n"/>
      <c r="CE367" s="9" t="n"/>
      <c r="CF367" s="9" t="n"/>
      <c r="CG367" s="9" t="n"/>
      <c r="CH367" s="9" t="n"/>
    </row>
    <row r="368">
      <c r="A368" s="8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8" t="n"/>
      <c r="L368" s="9" t="n"/>
      <c r="M368" s="8" t="n"/>
      <c r="N368" s="8" t="n"/>
      <c r="O368" s="8" t="n"/>
      <c r="P368" s="8" t="n"/>
      <c r="Q368" s="8" t="n"/>
      <c r="R368" s="9" t="n"/>
      <c r="S368" s="9" t="n"/>
      <c r="T368" s="10" t="n"/>
      <c r="U368" s="10" t="n"/>
      <c r="V368" s="9" t="n"/>
      <c r="W368" s="9" t="n"/>
      <c r="X368" s="9" t="n"/>
      <c r="Y368" s="9" t="n"/>
      <c r="Z368" s="11" t="n"/>
      <c r="AA368" s="11" t="n"/>
      <c r="AB368" s="11" t="n"/>
      <c r="AC368" s="11" t="n"/>
      <c r="AD368" s="11" t="n"/>
      <c r="AE368" s="11" t="n"/>
      <c r="AF368" s="9" t="n"/>
      <c r="AG368" s="9" t="n"/>
      <c r="AH368" s="9" t="n"/>
      <c r="AI368" s="9" t="n"/>
      <c r="AJ368" s="8" t="n"/>
      <c r="AK368" s="9" t="n"/>
      <c r="AL368" s="9" t="n"/>
      <c r="AM368" s="9" t="n"/>
      <c r="AN368" s="9" t="n"/>
      <c r="AO368" s="9" t="n"/>
      <c r="AP368" s="9" t="n"/>
      <c r="AQ368" s="9" t="n"/>
      <c r="AR368" s="9" t="n"/>
      <c r="AS368" s="9" t="n"/>
      <c r="AT368" s="8" t="n"/>
      <c r="AU368" s="8" t="n"/>
      <c r="AV368" s="9" t="n"/>
      <c r="AW368" s="8" t="n"/>
      <c r="AX368" s="9" t="n"/>
      <c r="AY368" s="9" t="n"/>
      <c r="AZ368" s="9" t="n"/>
      <c r="BA368" s="9" t="n"/>
      <c r="BB368" s="9" t="n"/>
      <c r="BC368" s="9" t="n"/>
      <c r="BD368" s="9" t="n"/>
      <c r="BE368" s="9" t="n"/>
      <c r="BF368" s="9" t="n"/>
      <c r="BG368" s="9" t="n"/>
      <c r="BH368" s="9" t="n"/>
      <c r="BI368" s="9" t="n"/>
      <c r="BJ368" s="9" t="n"/>
      <c r="BK368" s="9" t="n"/>
      <c r="BL368" s="9" t="n"/>
      <c r="BM368" s="9" t="n"/>
      <c r="BN368" s="9" t="n"/>
      <c r="BO368" s="8" t="n"/>
      <c r="BP368" s="9" t="n"/>
      <c r="BQ368" s="9" t="n"/>
      <c r="BR368" s="12">
        <f>IF(AND(AI368="Y",AK368="Y",AL368="Y",AM368="Y",AY368="Y",AZ368="Y",BA368="Y",BB368="Y",BC368="Y",BE368&lt;&gt;"Y",AX368&lt;&gt;"Y",BL368&lt;&gt;"Y",IF(AS368="Y",AV368="Y",TRUE)),"Y","N")</f>
        <v/>
      </c>
      <c r="BS368" s="12">
        <f>IF(AND(BR368="Y",OR(AND(BJ368="Y",BM368="Y"),AND(BK368="Y",BN368="Y"),AND(BJ368&lt;&gt;"Y",BK368&lt;&gt;"Y",OR(BM368="Y",BN368="Y")))),"Y","N")</f>
        <v/>
      </c>
      <c r="BT368" s="10" t="n"/>
      <c r="BU368" s="13" t="n"/>
      <c r="BV368" s="13" t="n"/>
      <c r="BW368" s="13" t="n"/>
      <c r="BX368" s="13" t="n"/>
      <c r="BY368" s="13" t="n"/>
      <c r="BZ368" s="13" t="n"/>
      <c r="CA368" s="14" t="n"/>
      <c r="CB368" s="13" t="n"/>
      <c r="CC368" s="9" t="n"/>
      <c r="CD368" s="9" t="n"/>
      <c r="CE368" s="9" t="n"/>
      <c r="CF368" s="9" t="n"/>
      <c r="CG368" s="9" t="n"/>
      <c r="CH368" s="9" t="n"/>
    </row>
    <row r="369">
      <c r="A369" s="8" t="n"/>
      <c r="B369" s="9" t="n"/>
      <c r="C369" s="9" t="n"/>
      <c r="D369" s="9" t="n"/>
      <c r="E369" s="9" t="n"/>
      <c r="F369" s="9" t="n"/>
      <c r="G369" s="9" t="n"/>
      <c r="H369" s="9" t="n"/>
      <c r="I369" s="9" t="n"/>
      <c r="J369" s="9" t="n"/>
      <c r="K369" s="8" t="n"/>
      <c r="L369" s="9" t="n"/>
      <c r="M369" s="8" t="n"/>
      <c r="N369" s="8" t="n"/>
      <c r="O369" s="8" t="n"/>
      <c r="P369" s="8" t="n"/>
      <c r="Q369" s="8" t="n"/>
      <c r="R369" s="9" t="n"/>
      <c r="S369" s="9" t="n"/>
      <c r="T369" s="10" t="n"/>
      <c r="U369" s="10" t="n"/>
      <c r="V369" s="9" t="n"/>
      <c r="W369" s="9" t="n"/>
      <c r="X369" s="9" t="n"/>
      <c r="Y369" s="9" t="n"/>
      <c r="Z369" s="11" t="n"/>
      <c r="AA369" s="11" t="n"/>
      <c r="AB369" s="11" t="n"/>
      <c r="AC369" s="11" t="n"/>
      <c r="AD369" s="11" t="n"/>
      <c r="AE369" s="11" t="n"/>
      <c r="AF369" s="9" t="n"/>
      <c r="AG369" s="9" t="n"/>
      <c r="AH369" s="9" t="n"/>
      <c r="AI369" s="9" t="n"/>
      <c r="AJ369" s="8" t="n"/>
      <c r="AK369" s="9" t="n"/>
      <c r="AL369" s="9" t="n"/>
      <c r="AM369" s="9" t="n"/>
      <c r="AN369" s="9" t="n"/>
      <c r="AO369" s="9" t="n"/>
      <c r="AP369" s="9" t="n"/>
      <c r="AQ369" s="9" t="n"/>
      <c r="AR369" s="9" t="n"/>
      <c r="AS369" s="9" t="n"/>
      <c r="AT369" s="8" t="n"/>
      <c r="AU369" s="8" t="n"/>
      <c r="AV369" s="9" t="n"/>
      <c r="AW369" s="8" t="n"/>
      <c r="AX369" s="9" t="n"/>
      <c r="AY369" s="9" t="n"/>
      <c r="AZ369" s="9" t="n"/>
      <c r="BA369" s="9" t="n"/>
      <c r="BB369" s="9" t="n"/>
      <c r="BC369" s="9" t="n"/>
      <c r="BD369" s="9" t="n"/>
      <c r="BE369" s="9" t="n"/>
      <c r="BF369" s="9" t="n"/>
      <c r="BG369" s="9" t="n"/>
      <c r="BH369" s="9" t="n"/>
      <c r="BI369" s="9" t="n"/>
      <c r="BJ369" s="9" t="n"/>
      <c r="BK369" s="9" t="n"/>
      <c r="BL369" s="9" t="n"/>
      <c r="BM369" s="9" t="n"/>
      <c r="BN369" s="9" t="n"/>
      <c r="BO369" s="8" t="n"/>
      <c r="BP369" s="9" t="n"/>
      <c r="BQ369" s="9" t="n"/>
      <c r="BR369" s="12">
        <f>IF(AND(AI369="Y",AK369="Y",AL369="Y",AM369="Y",AY369="Y",AZ369="Y",BA369="Y",BB369="Y",BC369="Y",BE369&lt;&gt;"Y",AX369&lt;&gt;"Y",BL369&lt;&gt;"Y",IF(AS369="Y",AV369="Y",TRUE)),"Y","N")</f>
        <v/>
      </c>
      <c r="BS369" s="12">
        <f>IF(AND(BR369="Y",OR(AND(BJ369="Y",BM369="Y"),AND(BK369="Y",BN369="Y"),AND(BJ369&lt;&gt;"Y",BK369&lt;&gt;"Y",OR(BM369="Y",BN369="Y")))),"Y","N")</f>
        <v/>
      </c>
      <c r="BT369" s="10" t="n"/>
      <c r="BU369" s="13" t="n"/>
      <c r="BV369" s="13" t="n"/>
      <c r="BW369" s="13" t="n"/>
      <c r="BX369" s="13" t="n"/>
      <c r="BY369" s="13" t="n"/>
      <c r="BZ369" s="13" t="n"/>
      <c r="CA369" s="14" t="n"/>
      <c r="CB369" s="13" t="n"/>
      <c r="CC369" s="9" t="n"/>
      <c r="CD369" s="9" t="n"/>
      <c r="CE369" s="9" t="n"/>
      <c r="CF369" s="9" t="n"/>
      <c r="CG369" s="9" t="n"/>
      <c r="CH369" s="9" t="n"/>
    </row>
    <row r="370">
      <c r="A370" s="8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8" t="n"/>
      <c r="L370" s="9" t="n"/>
      <c r="M370" s="8" t="n"/>
      <c r="N370" s="8" t="n"/>
      <c r="O370" s="8" t="n"/>
      <c r="P370" s="8" t="n"/>
      <c r="Q370" s="8" t="n"/>
      <c r="R370" s="9" t="n"/>
      <c r="S370" s="9" t="n"/>
      <c r="T370" s="10" t="n"/>
      <c r="U370" s="10" t="n"/>
      <c r="V370" s="9" t="n"/>
      <c r="W370" s="9" t="n"/>
      <c r="X370" s="9" t="n"/>
      <c r="Y370" s="9" t="n"/>
      <c r="Z370" s="11" t="n"/>
      <c r="AA370" s="11" t="n"/>
      <c r="AB370" s="11" t="n"/>
      <c r="AC370" s="11" t="n"/>
      <c r="AD370" s="11" t="n"/>
      <c r="AE370" s="11" t="n"/>
      <c r="AF370" s="9" t="n"/>
      <c r="AG370" s="9" t="n"/>
      <c r="AH370" s="9" t="n"/>
      <c r="AI370" s="9" t="n"/>
      <c r="AJ370" s="8" t="n"/>
      <c r="AK370" s="9" t="n"/>
      <c r="AL370" s="9" t="n"/>
      <c r="AM370" s="9" t="n"/>
      <c r="AN370" s="9" t="n"/>
      <c r="AO370" s="9" t="n"/>
      <c r="AP370" s="9" t="n"/>
      <c r="AQ370" s="9" t="n"/>
      <c r="AR370" s="9" t="n"/>
      <c r="AS370" s="9" t="n"/>
      <c r="AT370" s="8" t="n"/>
      <c r="AU370" s="8" t="n"/>
      <c r="AV370" s="9" t="n"/>
      <c r="AW370" s="8" t="n"/>
      <c r="AX370" s="9" t="n"/>
      <c r="AY370" s="9" t="n"/>
      <c r="AZ370" s="9" t="n"/>
      <c r="BA370" s="9" t="n"/>
      <c r="BB370" s="9" t="n"/>
      <c r="BC370" s="9" t="n"/>
      <c r="BD370" s="9" t="n"/>
      <c r="BE370" s="9" t="n"/>
      <c r="BF370" s="9" t="n"/>
      <c r="BG370" s="9" t="n"/>
      <c r="BH370" s="9" t="n"/>
      <c r="BI370" s="9" t="n"/>
      <c r="BJ370" s="9" t="n"/>
      <c r="BK370" s="9" t="n"/>
      <c r="BL370" s="9" t="n"/>
      <c r="BM370" s="9" t="n"/>
      <c r="BN370" s="9" t="n"/>
      <c r="BO370" s="8" t="n"/>
      <c r="BP370" s="9" t="n"/>
      <c r="BQ370" s="9" t="n"/>
      <c r="BR370" s="12">
        <f>IF(AND(AI370="Y",AK370="Y",AL370="Y",AM370="Y",AY370="Y",AZ370="Y",BA370="Y",BB370="Y",BC370="Y",BE370&lt;&gt;"Y",AX370&lt;&gt;"Y",BL370&lt;&gt;"Y",IF(AS370="Y",AV370="Y",TRUE)),"Y","N")</f>
        <v/>
      </c>
      <c r="BS370" s="12">
        <f>IF(AND(BR370="Y",OR(AND(BJ370="Y",BM370="Y"),AND(BK370="Y",BN370="Y"),AND(BJ370&lt;&gt;"Y",BK370&lt;&gt;"Y",OR(BM370="Y",BN370="Y")))),"Y","N")</f>
        <v/>
      </c>
      <c r="BT370" s="10" t="n"/>
      <c r="BU370" s="13" t="n"/>
      <c r="BV370" s="13" t="n"/>
      <c r="BW370" s="13" t="n"/>
      <c r="BX370" s="13" t="n"/>
      <c r="BY370" s="13" t="n"/>
      <c r="BZ370" s="13" t="n"/>
      <c r="CA370" s="14" t="n"/>
      <c r="CB370" s="13" t="n"/>
      <c r="CC370" s="9" t="n"/>
      <c r="CD370" s="9" t="n"/>
      <c r="CE370" s="9" t="n"/>
      <c r="CF370" s="9" t="n"/>
      <c r="CG370" s="9" t="n"/>
      <c r="CH370" s="9" t="n"/>
    </row>
    <row r="371">
      <c r="A371" s="8" t="n"/>
      <c r="B371" s="9" t="n"/>
      <c r="C371" s="9" t="n"/>
      <c r="D371" s="9" t="n"/>
      <c r="E371" s="9" t="n"/>
      <c r="F371" s="9" t="n"/>
      <c r="G371" s="9" t="n"/>
      <c r="H371" s="9" t="n"/>
      <c r="I371" s="9" t="n"/>
      <c r="J371" s="9" t="n"/>
      <c r="K371" s="8" t="n"/>
      <c r="L371" s="9" t="n"/>
      <c r="M371" s="8" t="n"/>
      <c r="N371" s="8" t="n"/>
      <c r="O371" s="8" t="n"/>
      <c r="P371" s="8" t="n"/>
      <c r="Q371" s="8" t="n"/>
      <c r="R371" s="9" t="n"/>
      <c r="S371" s="9" t="n"/>
      <c r="T371" s="10" t="n"/>
      <c r="U371" s="10" t="n"/>
      <c r="V371" s="9" t="n"/>
      <c r="W371" s="9" t="n"/>
      <c r="X371" s="9" t="n"/>
      <c r="Y371" s="9" t="n"/>
      <c r="Z371" s="11" t="n"/>
      <c r="AA371" s="11" t="n"/>
      <c r="AB371" s="11" t="n"/>
      <c r="AC371" s="11" t="n"/>
      <c r="AD371" s="11" t="n"/>
      <c r="AE371" s="11" t="n"/>
      <c r="AF371" s="9" t="n"/>
      <c r="AG371" s="9" t="n"/>
      <c r="AH371" s="9" t="n"/>
      <c r="AI371" s="9" t="n"/>
      <c r="AJ371" s="8" t="n"/>
      <c r="AK371" s="9" t="n"/>
      <c r="AL371" s="9" t="n"/>
      <c r="AM371" s="9" t="n"/>
      <c r="AN371" s="9" t="n"/>
      <c r="AO371" s="9" t="n"/>
      <c r="AP371" s="9" t="n"/>
      <c r="AQ371" s="9" t="n"/>
      <c r="AR371" s="9" t="n"/>
      <c r="AS371" s="9" t="n"/>
      <c r="AT371" s="8" t="n"/>
      <c r="AU371" s="8" t="n"/>
      <c r="AV371" s="9" t="n"/>
      <c r="AW371" s="8" t="n"/>
      <c r="AX371" s="9" t="n"/>
      <c r="AY371" s="9" t="n"/>
      <c r="AZ371" s="9" t="n"/>
      <c r="BA371" s="9" t="n"/>
      <c r="BB371" s="9" t="n"/>
      <c r="BC371" s="9" t="n"/>
      <c r="BD371" s="9" t="n"/>
      <c r="BE371" s="9" t="n"/>
      <c r="BF371" s="9" t="n"/>
      <c r="BG371" s="9" t="n"/>
      <c r="BH371" s="9" t="n"/>
      <c r="BI371" s="9" t="n"/>
      <c r="BJ371" s="9" t="n"/>
      <c r="BK371" s="9" t="n"/>
      <c r="BL371" s="9" t="n"/>
      <c r="BM371" s="9" t="n"/>
      <c r="BN371" s="9" t="n"/>
      <c r="BO371" s="8" t="n"/>
      <c r="BP371" s="9" t="n"/>
      <c r="BQ371" s="9" t="n"/>
      <c r="BR371" s="12">
        <f>IF(AND(AI371="Y",AK371="Y",AL371="Y",AM371="Y",AY371="Y",AZ371="Y",BA371="Y",BB371="Y",BC371="Y",BE371&lt;&gt;"Y",AX371&lt;&gt;"Y",BL371&lt;&gt;"Y",IF(AS371="Y",AV371="Y",TRUE)),"Y","N")</f>
        <v/>
      </c>
      <c r="BS371" s="12">
        <f>IF(AND(BR371="Y",OR(AND(BJ371="Y",BM371="Y"),AND(BK371="Y",BN371="Y"),AND(BJ371&lt;&gt;"Y",BK371&lt;&gt;"Y",OR(BM371="Y",BN371="Y")))),"Y","N")</f>
        <v/>
      </c>
      <c r="BT371" s="10" t="n"/>
      <c r="BU371" s="13" t="n"/>
      <c r="BV371" s="13" t="n"/>
      <c r="BW371" s="13" t="n"/>
      <c r="BX371" s="13" t="n"/>
      <c r="BY371" s="13" t="n"/>
      <c r="BZ371" s="13" t="n"/>
      <c r="CA371" s="14" t="n"/>
      <c r="CB371" s="13" t="n"/>
      <c r="CC371" s="9" t="n"/>
      <c r="CD371" s="9" t="n"/>
      <c r="CE371" s="9" t="n"/>
      <c r="CF371" s="9" t="n"/>
      <c r="CG371" s="9" t="n"/>
      <c r="CH371" s="9" t="n"/>
    </row>
    <row r="372">
      <c r="A372" s="8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8" t="n"/>
      <c r="L372" s="9" t="n"/>
      <c r="M372" s="8" t="n"/>
      <c r="N372" s="8" t="n"/>
      <c r="O372" s="8" t="n"/>
      <c r="P372" s="8" t="n"/>
      <c r="Q372" s="8" t="n"/>
      <c r="R372" s="9" t="n"/>
      <c r="S372" s="9" t="n"/>
      <c r="T372" s="10" t="n"/>
      <c r="U372" s="10" t="n"/>
      <c r="V372" s="9" t="n"/>
      <c r="W372" s="9" t="n"/>
      <c r="X372" s="9" t="n"/>
      <c r="Y372" s="9" t="n"/>
      <c r="Z372" s="11" t="n"/>
      <c r="AA372" s="11" t="n"/>
      <c r="AB372" s="11" t="n"/>
      <c r="AC372" s="11" t="n"/>
      <c r="AD372" s="11" t="n"/>
      <c r="AE372" s="11" t="n"/>
      <c r="AF372" s="9" t="n"/>
      <c r="AG372" s="9" t="n"/>
      <c r="AH372" s="9" t="n"/>
      <c r="AI372" s="9" t="n"/>
      <c r="AJ372" s="8" t="n"/>
      <c r="AK372" s="9" t="n"/>
      <c r="AL372" s="9" t="n"/>
      <c r="AM372" s="9" t="n"/>
      <c r="AN372" s="9" t="n"/>
      <c r="AO372" s="9" t="n"/>
      <c r="AP372" s="9" t="n"/>
      <c r="AQ372" s="9" t="n"/>
      <c r="AR372" s="9" t="n"/>
      <c r="AS372" s="9" t="n"/>
      <c r="AT372" s="8" t="n"/>
      <c r="AU372" s="8" t="n"/>
      <c r="AV372" s="9" t="n"/>
      <c r="AW372" s="8" t="n"/>
      <c r="AX372" s="9" t="n"/>
      <c r="AY372" s="9" t="n"/>
      <c r="AZ372" s="9" t="n"/>
      <c r="BA372" s="9" t="n"/>
      <c r="BB372" s="9" t="n"/>
      <c r="BC372" s="9" t="n"/>
      <c r="BD372" s="9" t="n"/>
      <c r="BE372" s="9" t="n"/>
      <c r="BF372" s="9" t="n"/>
      <c r="BG372" s="9" t="n"/>
      <c r="BH372" s="9" t="n"/>
      <c r="BI372" s="9" t="n"/>
      <c r="BJ372" s="9" t="n"/>
      <c r="BK372" s="9" t="n"/>
      <c r="BL372" s="9" t="n"/>
      <c r="BM372" s="9" t="n"/>
      <c r="BN372" s="9" t="n"/>
      <c r="BO372" s="8" t="n"/>
      <c r="BP372" s="9" t="n"/>
      <c r="BQ372" s="9" t="n"/>
      <c r="BR372" s="12">
        <f>IF(AND(AI372="Y",AK372="Y",AL372="Y",AM372="Y",AY372="Y",AZ372="Y",BA372="Y",BB372="Y",BC372="Y",BE372&lt;&gt;"Y",AX372&lt;&gt;"Y",BL372&lt;&gt;"Y",IF(AS372="Y",AV372="Y",TRUE)),"Y","N")</f>
        <v/>
      </c>
      <c r="BS372" s="12">
        <f>IF(AND(BR372="Y",OR(AND(BJ372="Y",BM372="Y"),AND(BK372="Y",BN372="Y"),AND(BJ372&lt;&gt;"Y",BK372&lt;&gt;"Y",OR(BM372="Y",BN372="Y")))),"Y","N")</f>
        <v/>
      </c>
      <c r="BT372" s="10" t="n"/>
      <c r="BU372" s="13" t="n"/>
      <c r="BV372" s="13" t="n"/>
      <c r="BW372" s="13" t="n"/>
      <c r="BX372" s="13" t="n"/>
      <c r="BY372" s="13" t="n"/>
      <c r="BZ372" s="13" t="n"/>
      <c r="CA372" s="14" t="n"/>
      <c r="CB372" s="13" t="n"/>
      <c r="CC372" s="9" t="n"/>
      <c r="CD372" s="9" t="n"/>
      <c r="CE372" s="9" t="n"/>
      <c r="CF372" s="9" t="n"/>
      <c r="CG372" s="9" t="n"/>
      <c r="CH372" s="9" t="n"/>
    </row>
    <row r="373">
      <c r="A373" s="8" t="n"/>
      <c r="B373" s="9" t="n"/>
      <c r="C373" s="9" t="n"/>
      <c r="D373" s="9" t="n"/>
      <c r="E373" s="9" t="n"/>
      <c r="F373" s="9" t="n"/>
      <c r="G373" s="9" t="n"/>
      <c r="H373" s="9" t="n"/>
      <c r="I373" s="9" t="n"/>
      <c r="J373" s="9" t="n"/>
      <c r="K373" s="8" t="n"/>
      <c r="L373" s="9" t="n"/>
      <c r="M373" s="8" t="n"/>
      <c r="N373" s="8" t="n"/>
      <c r="O373" s="8" t="n"/>
      <c r="P373" s="8" t="n"/>
      <c r="Q373" s="8" t="n"/>
      <c r="R373" s="9" t="n"/>
      <c r="S373" s="9" t="n"/>
      <c r="T373" s="10" t="n"/>
      <c r="U373" s="10" t="n"/>
      <c r="V373" s="9" t="n"/>
      <c r="W373" s="9" t="n"/>
      <c r="X373" s="9" t="n"/>
      <c r="Y373" s="9" t="n"/>
      <c r="Z373" s="11" t="n"/>
      <c r="AA373" s="11" t="n"/>
      <c r="AB373" s="11" t="n"/>
      <c r="AC373" s="11" t="n"/>
      <c r="AD373" s="11" t="n"/>
      <c r="AE373" s="11" t="n"/>
      <c r="AF373" s="9" t="n"/>
      <c r="AG373" s="9" t="n"/>
      <c r="AH373" s="9" t="n"/>
      <c r="AI373" s="9" t="n"/>
      <c r="AJ373" s="8" t="n"/>
      <c r="AK373" s="9" t="n"/>
      <c r="AL373" s="9" t="n"/>
      <c r="AM373" s="9" t="n"/>
      <c r="AN373" s="9" t="n"/>
      <c r="AO373" s="9" t="n"/>
      <c r="AP373" s="9" t="n"/>
      <c r="AQ373" s="9" t="n"/>
      <c r="AR373" s="9" t="n"/>
      <c r="AS373" s="9" t="n"/>
      <c r="AT373" s="8" t="n"/>
      <c r="AU373" s="8" t="n"/>
      <c r="AV373" s="9" t="n"/>
      <c r="AW373" s="8" t="n"/>
      <c r="AX373" s="9" t="n"/>
      <c r="AY373" s="9" t="n"/>
      <c r="AZ373" s="9" t="n"/>
      <c r="BA373" s="9" t="n"/>
      <c r="BB373" s="9" t="n"/>
      <c r="BC373" s="9" t="n"/>
      <c r="BD373" s="9" t="n"/>
      <c r="BE373" s="9" t="n"/>
      <c r="BF373" s="9" t="n"/>
      <c r="BG373" s="9" t="n"/>
      <c r="BH373" s="9" t="n"/>
      <c r="BI373" s="9" t="n"/>
      <c r="BJ373" s="9" t="n"/>
      <c r="BK373" s="9" t="n"/>
      <c r="BL373" s="9" t="n"/>
      <c r="BM373" s="9" t="n"/>
      <c r="BN373" s="9" t="n"/>
      <c r="BO373" s="8" t="n"/>
      <c r="BP373" s="9" t="n"/>
      <c r="BQ373" s="9" t="n"/>
      <c r="BR373" s="12">
        <f>IF(AND(AI373="Y",AK373="Y",AL373="Y",AM373="Y",AY373="Y",AZ373="Y",BA373="Y",BB373="Y",BC373="Y",BE373&lt;&gt;"Y",AX373&lt;&gt;"Y",BL373&lt;&gt;"Y",IF(AS373="Y",AV373="Y",TRUE)),"Y","N")</f>
        <v/>
      </c>
      <c r="BS373" s="12">
        <f>IF(AND(BR373="Y",OR(AND(BJ373="Y",BM373="Y"),AND(BK373="Y",BN373="Y"),AND(BJ373&lt;&gt;"Y",BK373&lt;&gt;"Y",OR(BM373="Y",BN373="Y")))),"Y","N")</f>
        <v/>
      </c>
      <c r="BT373" s="10" t="n"/>
      <c r="BU373" s="13" t="n"/>
      <c r="BV373" s="13" t="n"/>
      <c r="BW373" s="13" t="n"/>
      <c r="BX373" s="13" t="n"/>
      <c r="BY373" s="13" t="n"/>
      <c r="BZ373" s="13" t="n"/>
      <c r="CA373" s="14" t="n"/>
      <c r="CB373" s="13" t="n"/>
      <c r="CC373" s="9" t="n"/>
      <c r="CD373" s="9" t="n"/>
      <c r="CE373" s="9" t="n"/>
      <c r="CF373" s="9" t="n"/>
      <c r="CG373" s="9" t="n"/>
      <c r="CH373" s="9" t="n"/>
    </row>
    <row r="374">
      <c r="A374" s="8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8" t="n"/>
      <c r="L374" s="9" t="n"/>
      <c r="M374" s="8" t="n"/>
      <c r="N374" s="8" t="n"/>
      <c r="O374" s="8" t="n"/>
      <c r="P374" s="8" t="n"/>
      <c r="Q374" s="8" t="n"/>
      <c r="R374" s="9" t="n"/>
      <c r="S374" s="9" t="n"/>
      <c r="T374" s="10" t="n"/>
      <c r="U374" s="10" t="n"/>
      <c r="V374" s="9" t="n"/>
      <c r="W374" s="9" t="n"/>
      <c r="X374" s="9" t="n"/>
      <c r="Y374" s="9" t="n"/>
      <c r="Z374" s="11" t="n"/>
      <c r="AA374" s="11" t="n"/>
      <c r="AB374" s="11" t="n"/>
      <c r="AC374" s="11" t="n"/>
      <c r="AD374" s="11" t="n"/>
      <c r="AE374" s="11" t="n"/>
      <c r="AF374" s="9" t="n"/>
      <c r="AG374" s="9" t="n"/>
      <c r="AH374" s="9" t="n"/>
      <c r="AI374" s="9" t="n"/>
      <c r="AJ374" s="8" t="n"/>
      <c r="AK374" s="9" t="n"/>
      <c r="AL374" s="9" t="n"/>
      <c r="AM374" s="9" t="n"/>
      <c r="AN374" s="9" t="n"/>
      <c r="AO374" s="9" t="n"/>
      <c r="AP374" s="9" t="n"/>
      <c r="AQ374" s="9" t="n"/>
      <c r="AR374" s="9" t="n"/>
      <c r="AS374" s="9" t="n"/>
      <c r="AT374" s="8" t="n"/>
      <c r="AU374" s="8" t="n"/>
      <c r="AV374" s="9" t="n"/>
      <c r="AW374" s="8" t="n"/>
      <c r="AX374" s="9" t="n"/>
      <c r="AY374" s="9" t="n"/>
      <c r="AZ374" s="9" t="n"/>
      <c r="BA374" s="9" t="n"/>
      <c r="BB374" s="9" t="n"/>
      <c r="BC374" s="9" t="n"/>
      <c r="BD374" s="9" t="n"/>
      <c r="BE374" s="9" t="n"/>
      <c r="BF374" s="9" t="n"/>
      <c r="BG374" s="9" t="n"/>
      <c r="BH374" s="9" t="n"/>
      <c r="BI374" s="9" t="n"/>
      <c r="BJ374" s="9" t="n"/>
      <c r="BK374" s="9" t="n"/>
      <c r="BL374" s="9" t="n"/>
      <c r="BM374" s="9" t="n"/>
      <c r="BN374" s="9" t="n"/>
      <c r="BO374" s="8" t="n"/>
      <c r="BP374" s="9" t="n"/>
      <c r="BQ374" s="9" t="n"/>
      <c r="BR374" s="12">
        <f>IF(AND(AI374="Y",AK374="Y",AL374="Y",AM374="Y",AY374="Y",AZ374="Y",BA374="Y",BB374="Y",BC374="Y",BE374&lt;&gt;"Y",AX374&lt;&gt;"Y",BL374&lt;&gt;"Y",IF(AS374="Y",AV374="Y",TRUE)),"Y","N")</f>
        <v/>
      </c>
      <c r="BS374" s="12">
        <f>IF(AND(BR374="Y",OR(AND(BJ374="Y",BM374="Y"),AND(BK374="Y",BN374="Y"),AND(BJ374&lt;&gt;"Y",BK374&lt;&gt;"Y",OR(BM374="Y",BN374="Y")))),"Y","N")</f>
        <v/>
      </c>
      <c r="BT374" s="10" t="n"/>
      <c r="BU374" s="13" t="n"/>
      <c r="BV374" s="13" t="n"/>
      <c r="BW374" s="13" t="n"/>
      <c r="BX374" s="13" t="n"/>
      <c r="BY374" s="13" t="n"/>
      <c r="BZ374" s="13" t="n"/>
      <c r="CA374" s="14" t="n"/>
      <c r="CB374" s="13" t="n"/>
      <c r="CC374" s="9" t="n"/>
      <c r="CD374" s="9" t="n"/>
      <c r="CE374" s="9" t="n"/>
      <c r="CF374" s="9" t="n"/>
      <c r="CG374" s="9" t="n"/>
      <c r="CH374" s="9" t="n"/>
    </row>
    <row r="375">
      <c r="A375" s="8" t="n"/>
      <c r="B375" s="9" t="n"/>
      <c r="C375" s="9" t="n"/>
      <c r="D375" s="9" t="n"/>
      <c r="E375" s="9" t="n"/>
      <c r="F375" s="9" t="n"/>
      <c r="G375" s="9" t="n"/>
      <c r="H375" s="9" t="n"/>
      <c r="I375" s="9" t="n"/>
      <c r="J375" s="9" t="n"/>
      <c r="K375" s="8" t="n"/>
      <c r="L375" s="9" t="n"/>
      <c r="M375" s="8" t="n"/>
      <c r="N375" s="8" t="n"/>
      <c r="O375" s="8" t="n"/>
      <c r="P375" s="8" t="n"/>
      <c r="Q375" s="8" t="n"/>
      <c r="R375" s="9" t="n"/>
      <c r="S375" s="9" t="n"/>
      <c r="T375" s="10" t="n"/>
      <c r="U375" s="10" t="n"/>
      <c r="V375" s="9" t="n"/>
      <c r="W375" s="9" t="n"/>
      <c r="X375" s="9" t="n"/>
      <c r="Y375" s="9" t="n"/>
      <c r="Z375" s="11" t="n"/>
      <c r="AA375" s="11" t="n"/>
      <c r="AB375" s="11" t="n"/>
      <c r="AC375" s="11" t="n"/>
      <c r="AD375" s="11" t="n"/>
      <c r="AE375" s="11" t="n"/>
      <c r="AF375" s="9" t="n"/>
      <c r="AG375" s="9" t="n"/>
      <c r="AH375" s="9" t="n"/>
      <c r="AI375" s="9" t="n"/>
      <c r="AJ375" s="8" t="n"/>
      <c r="AK375" s="9" t="n"/>
      <c r="AL375" s="9" t="n"/>
      <c r="AM375" s="9" t="n"/>
      <c r="AN375" s="9" t="n"/>
      <c r="AO375" s="9" t="n"/>
      <c r="AP375" s="9" t="n"/>
      <c r="AQ375" s="9" t="n"/>
      <c r="AR375" s="9" t="n"/>
      <c r="AS375" s="9" t="n"/>
      <c r="AT375" s="8" t="n"/>
      <c r="AU375" s="8" t="n"/>
      <c r="AV375" s="9" t="n"/>
      <c r="AW375" s="8" t="n"/>
      <c r="AX375" s="9" t="n"/>
      <c r="AY375" s="9" t="n"/>
      <c r="AZ375" s="9" t="n"/>
      <c r="BA375" s="9" t="n"/>
      <c r="BB375" s="9" t="n"/>
      <c r="BC375" s="9" t="n"/>
      <c r="BD375" s="9" t="n"/>
      <c r="BE375" s="9" t="n"/>
      <c r="BF375" s="9" t="n"/>
      <c r="BG375" s="9" t="n"/>
      <c r="BH375" s="9" t="n"/>
      <c r="BI375" s="9" t="n"/>
      <c r="BJ375" s="9" t="n"/>
      <c r="BK375" s="9" t="n"/>
      <c r="BL375" s="9" t="n"/>
      <c r="BM375" s="9" t="n"/>
      <c r="BN375" s="9" t="n"/>
      <c r="BO375" s="8" t="n"/>
      <c r="BP375" s="9" t="n"/>
      <c r="BQ375" s="9" t="n"/>
      <c r="BR375" s="12">
        <f>IF(AND(AI375="Y",AK375="Y",AL375="Y",AM375="Y",AY375="Y",AZ375="Y",BA375="Y",BB375="Y",BC375="Y",BE375&lt;&gt;"Y",AX375&lt;&gt;"Y",BL375&lt;&gt;"Y",IF(AS375="Y",AV375="Y",TRUE)),"Y","N")</f>
        <v/>
      </c>
      <c r="BS375" s="12">
        <f>IF(AND(BR375="Y",OR(AND(BJ375="Y",BM375="Y"),AND(BK375="Y",BN375="Y"),AND(BJ375&lt;&gt;"Y",BK375&lt;&gt;"Y",OR(BM375="Y",BN375="Y")))),"Y","N")</f>
        <v/>
      </c>
      <c r="BT375" s="10" t="n"/>
      <c r="BU375" s="13" t="n"/>
      <c r="BV375" s="13" t="n"/>
      <c r="BW375" s="13" t="n"/>
      <c r="BX375" s="13" t="n"/>
      <c r="BY375" s="13" t="n"/>
      <c r="BZ375" s="13" t="n"/>
      <c r="CA375" s="14" t="n"/>
      <c r="CB375" s="13" t="n"/>
      <c r="CC375" s="9" t="n"/>
      <c r="CD375" s="9" t="n"/>
      <c r="CE375" s="9" t="n"/>
      <c r="CF375" s="9" t="n"/>
      <c r="CG375" s="9" t="n"/>
      <c r="CH375" s="9" t="n"/>
    </row>
    <row r="376">
      <c r="A376" s="8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8" t="n"/>
      <c r="L376" s="9" t="n"/>
      <c r="M376" s="8" t="n"/>
      <c r="N376" s="8" t="n"/>
      <c r="O376" s="8" t="n"/>
      <c r="P376" s="8" t="n"/>
      <c r="Q376" s="8" t="n"/>
      <c r="R376" s="9" t="n"/>
      <c r="S376" s="9" t="n"/>
      <c r="T376" s="10" t="n"/>
      <c r="U376" s="10" t="n"/>
      <c r="V376" s="9" t="n"/>
      <c r="W376" s="9" t="n"/>
      <c r="X376" s="9" t="n"/>
      <c r="Y376" s="9" t="n"/>
      <c r="Z376" s="11" t="n"/>
      <c r="AA376" s="11" t="n"/>
      <c r="AB376" s="11" t="n"/>
      <c r="AC376" s="11" t="n"/>
      <c r="AD376" s="11" t="n"/>
      <c r="AE376" s="11" t="n"/>
      <c r="AF376" s="9" t="n"/>
      <c r="AG376" s="9" t="n"/>
      <c r="AH376" s="9" t="n"/>
      <c r="AI376" s="9" t="n"/>
      <c r="AJ376" s="8" t="n"/>
      <c r="AK376" s="9" t="n"/>
      <c r="AL376" s="9" t="n"/>
      <c r="AM376" s="9" t="n"/>
      <c r="AN376" s="9" t="n"/>
      <c r="AO376" s="9" t="n"/>
      <c r="AP376" s="9" t="n"/>
      <c r="AQ376" s="9" t="n"/>
      <c r="AR376" s="9" t="n"/>
      <c r="AS376" s="9" t="n"/>
      <c r="AT376" s="8" t="n"/>
      <c r="AU376" s="8" t="n"/>
      <c r="AV376" s="9" t="n"/>
      <c r="AW376" s="8" t="n"/>
      <c r="AX376" s="9" t="n"/>
      <c r="AY376" s="9" t="n"/>
      <c r="AZ376" s="9" t="n"/>
      <c r="BA376" s="9" t="n"/>
      <c r="BB376" s="9" t="n"/>
      <c r="BC376" s="9" t="n"/>
      <c r="BD376" s="9" t="n"/>
      <c r="BE376" s="9" t="n"/>
      <c r="BF376" s="9" t="n"/>
      <c r="BG376" s="9" t="n"/>
      <c r="BH376" s="9" t="n"/>
      <c r="BI376" s="9" t="n"/>
      <c r="BJ376" s="9" t="n"/>
      <c r="BK376" s="9" t="n"/>
      <c r="BL376" s="9" t="n"/>
      <c r="BM376" s="9" t="n"/>
      <c r="BN376" s="9" t="n"/>
      <c r="BO376" s="8" t="n"/>
      <c r="BP376" s="9" t="n"/>
      <c r="BQ376" s="9" t="n"/>
      <c r="BR376" s="12">
        <f>IF(AND(AI376="Y",AK376="Y",AL376="Y",AM376="Y",AY376="Y",AZ376="Y",BA376="Y",BB376="Y",BC376="Y",BE376&lt;&gt;"Y",AX376&lt;&gt;"Y",BL376&lt;&gt;"Y",IF(AS376="Y",AV376="Y",TRUE)),"Y","N")</f>
        <v/>
      </c>
      <c r="BS376" s="12">
        <f>IF(AND(BR376="Y",OR(AND(BJ376="Y",BM376="Y"),AND(BK376="Y",BN376="Y"),AND(BJ376&lt;&gt;"Y",BK376&lt;&gt;"Y",OR(BM376="Y",BN376="Y")))),"Y","N")</f>
        <v/>
      </c>
      <c r="BT376" s="10" t="n"/>
      <c r="BU376" s="13" t="n"/>
      <c r="BV376" s="13" t="n"/>
      <c r="BW376" s="13" t="n"/>
      <c r="BX376" s="13" t="n"/>
      <c r="BY376" s="13" t="n"/>
      <c r="BZ376" s="13" t="n"/>
      <c r="CA376" s="14" t="n"/>
      <c r="CB376" s="13" t="n"/>
      <c r="CC376" s="9" t="n"/>
      <c r="CD376" s="9" t="n"/>
      <c r="CE376" s="9" t="n"/>
      <c r="CF376" s="9" t="n"/>
      <c r="CG376" s="9" t="n"/>
      <c r="CH376" s="9" t="n"/>
    </row>
    <row r="377">
      <c r="A377" s="8" t="n"/>
      <c r="B377" s="9" t="n"/>
      <c r="C377" s="9" t="n"/>
      <c r="D377" s="9" t="n"/>
      <c r="E377" s="9" t="n"/>
      <c r="F377" s="9" t="n"/>
      <c r="G377" s="9" t="n"/>
      <c r="H377" s="9" t="n"/>
      <c r="I377" s="9" t="n"/>
      <c r="J377" s="9" t="n"/>
      <c r="K377" s="8" t="n"/>
      <c r="L377" s="9" t="n"/>
      <c r="M377" s="8" t="n"/>
      <c r="N377" s="8" t="n"/>
      <c r="O377" s="8" t="n"/>
      <c r="P377" s="8" t="n"/>
      <c r="Q377" s="8" t="n"/>
      <c r="R377" s="9" t="n"/>
      <c r="S377" s="9" t="n"/>
      <c r="T377" s="10" t="n"/>
      <c r="U377" s="10" t="n"/>
      <c r="V377" s="9" t="n"/>
      <c r="W377" s="9" t="n"/>
      <c r="X377" s="9" t="n"/>
      <c r="Y377" s="9" t="n"/>
      <c r="Z377" s="11" t="n"/>
      <c r="AA377" s="11" t="n"/>
      <c r="AB377" s="11" t="n"/>
      <c r="AC377" s="11" t="n"/>
      <c r="AD377" s="11" t="n"/>
      <c r="AE377" s="11" t="n"/>
      <c r="AF377" s="9" t="n"/>
      <c r="AG377" s="9" t="n"/>
      <c r="AH377" s="9" t="n"/>
      <c r="AI377" s="9" t="n"/>
      <c r="AJ377" s="8" t="n"/>
      <c r="AK377" s="9" t="n"/>
      <c r="AL377" s="9" t="n"/>
      <c r="AM377" s="9" t="n"/>
      <c r="AN377" s="9" t="n"/>
      <c r="AO377" s="9" t="n"/>
      <c r="AP377" s="9" t="n"/>
      <c r="AQ377" s="9" t="n"/>
      <c r="AR377" s="9" t="n"/>
      <c r="AS377" s="9" t="n"/>
      <c r="AT377" s="8" t="n"/>
      <c r="AU377" s="8" t="n"/>
      <c r="AV377" s="9" t="n"/>
      <c r="AW377" s="8" t="n"/>
      <c r="AX377" s="9" t="n"/>
      <c r="AY377" s="9" t="n"/>
      <c r="AZ377" s="9" t="n"/>
      <c r="BA377" s="9" t="n"/>
      <c r="BB377" s="9" t="n"/>
      <c r="BC377" s="9" t="n"/>
      <c r="BD377" s="9" t="n"/>
      <c r="BE377" s="9" t="n"/>
      <c r="BF377" s="9" t="n"/>
      <c r="BG377" s="9" t="n"/>
      <c r="BH377" s="9" t="n"/>
      <c r="BI377" s="9" t="n"/>
      <c r="BJ377" s="9" t="n"/>
      <c r="BK377" s="9" t="n"/>
      <c r="BL377" s="9" t="n"/>
      <c r="BM377" s="9" t="n"/>
      <c r="BN377" s="9" t="n"/>
      <c r="BO377" s="8" t="n"/>
      <c r="BP377" s="9" t="n"/>
      <c r="BQ377" s="9" t="n"/>
      <c r="BR377" s="12">
        <f>IF(AND(AI377="Y",AK377="Y",AL377="Y",AM377="Y",AY377="Y",AZ377="Y",BA377="Y",BB377="Y",BC377="Y",BE377&lt;&gt;"Y",AX377&lt;&gt;"Y",BL377&lt;&gt;"Y",IF(AS377="Y",AV377="Y",TRUE)),"Y","N")</f>
        <v/>
      </c>
      <c r="BS377" s="12">
        <f>IF(AND(BR377="Y",OR(AND(BJ377="Y",BM377="Y"),AND(BK377="Y",BN377="Y"),AND(BJ377&lt;&gt;"Y",BK377&lt;&gt;"Y",OR(BM377="Y",BN377="Y")))),"Y","N")</f>
        <v/>
      </c>
      <c r="BT377" s="10" t="n"/>
      <c r="BU377" s="13" t="n"/>
      <c r="BV377" s="13" t="n"/>
      <c r="BW377" s="13" t="n"/>
      <c r="BX377" s="13" t="n"/>
      <c r="BY377" s="13" t="n"/>
      <c r="BZ377" s="13" t="n"/>
      <c r="CA377" s="14" t="n"/>
      <c r="CB377" s="13" t="n"/>
      <c r="CC377" s="9" t="n"/>
      <c r="CD377" s="9" t="n"/>
      <c r="CE377" s="9" t="n"/>
      <c r="CF377" s="9" t="n"/>
      <c r="CG377" s="9" t="n"/>
      <c r="CH377" s="9" t="n"/>
    </row>
    <row r="378">
      <c r="A378" s="8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8" t="n"/>
      <c r="L378" s="9" t="n"/>
      <c r="M378" s="8" t="n"/>
      <c r="N378" s="8" t="n"/>
      <c r="O378" s="8" t="n"/>
      <c r="P378" s="8" t="n"/>
      <c r="Q378" s="8" t="n"/>
      <c r="R378" s="9" t="n"/>
      <c r="S378" s="9" t="n"/>
      <c r="T378" s="10" t="n"/>
      <c r="U378" s="10" t="n"/>
      <c r="V378" s="9" t="n"/>
      <c r="W378" s="9" t="n"/>
      <c r="X378" s="9" t="n"/>
      <c r="Y378" s="9" t="n"/>
      <c r="Z378" s="11" t="n"/>
      <c r="AA378" s="11" t="n"/>
      <c r="AB378" s="11" t="n"/>
      <c r="AC378" s="11" t="n"/>
      <c r="AD378" s="11" t="n"/>
      <c r="AE378" s="11" t="n"/>
      <c r="AF378" s="9" t="n"/>
      <c r="AG378" s="9" t="n"/>
      <c r="AH378" s="9" t="n"/>
      <c r="AI378" s="9" t="n"/>
      <c r="AJ378" s="8" t="n"/>
      <c r="AK378" s="9" t="n"/>
      <c r="AL378" s="9" t="n"/>
      <c r="AM378" s="9" t="n"/>
      <c r="AN378" s="9" t="n"/>
      <c r="AO378" s="9" t="n"/>
      <c r="AP378" s="9" t="n"/>
      <c r="AQ378" s="9" t="n"/>
      <c r="AR378" s="9" t="n"/>
      <c r="AS378" s="9" t="n"/>
      <c r="AT378" s="8" t="n"/>
      <c r="AU378" s="8" t="n"/>
      <c r="AV378" s="9" t="n"/>
      <c r="AW378" s="8" t="n"/>
      <c r="AX378" s="9" t="n"/>
      <c r="AY378" s="9" t="n"/>
      <c r="AZ378" s="9" t="n"/>
      <c r="BA378" s="9" t="n"/>
      <c r="BB378" s="9" t="n"/>
      <c r="BC378" s="9" t="n"/>
      <c r="BD378" s="9" t="n"/>
      <c r="BE378" s="9" t="n"/>
      <c r="BF378" s="9" t="n"/>
      <c r="BG378" s="9" t="n"/>
      <c r="BH378" s="9" t="n"/>
      <c r="BI378" s="9" t="n"/>
      <c r="BJ378" s="9" t="n"/>
      <c r="BK378" s="9" t="n"/>
      <c r="BL378" s="9" t="n"/>
      <c r="BM378" s="9" t="n"/>
      <c r="BN378" s="9" t="n"/>
      <c r="BO378" s="8" t="n"/>
      <c r="BP378" s="9" t="n"/>
      <c r="BQ378" s="9" t="n"/>
      <c r="BR378" s="12">
        <f>IF(AND(AI378="Y",AK378="Y",AL378="Y",AM378="Y",AY378="Y",AZ378="Y",BA378="Y",BB378="Y",BC378="Y",BE378&lt;&gt;"Y",AX378&lt;&gt;"Y",BL378&lt;&gt;"Y",IF(AS378="Y",AV378="Y",TRUE)),"Y","N")</f>
        <v/>
      </c>
      <c r="BS378" s="12">
        <f>IF(AND(BR378="Y",OR(AND(BJ378="Y",BM378="Y"),AND(BK378="Y",BN378="Y"),AND(BJ378&lt;&gt;"Y",BK378&lt;&gt;"Y",OR(BM378="Y",BN378="Y")))),"Y","N")</f>
        <v/>
      </c>
      <c r="BT378" s="10" t="n"/>
      <c r="BU378" s="13" t="n"/>
      <c r="BV378" s="13" t="n"/>
      <c r="BW378" s="13" t="n"/>
      <c r="BX378" s="13" t="n"/>
      <c r="BY378" s="13" t="n"/>
      <c r="BZ378" s="13" t="n"/>
      <c r="CA378" s="14" t="n"/>
      <c r="CB378" s="13" t="n"/>
      <c r="CC378" s="9" t="n"/>
      <c r="CD378" s="9" t="n"/>
      <c r="CE378" s="9" t="n"/>
      <c r="CF378" s="9" t="n"/>
      <c r="CG378" s="9" t="n"/>
      <c r="CH378" s="9" t="n"/>
    </row>
    <row r="379">
      <c r="A379" s="8" t="n"/>
      <c r="B379" s="9" t="n"/>
      <c r="C379" s="9" t="n"/>
      <c r="D379" s="9" t="n"/>
      <c r="E379" s="9" t="n"/>
      <c r="F379" s="9" t="n"/>
      <c r="G379" s="9" t="n"/>
      <c r="H379" s="9" t="n"/>
      <c r="I379" s="9" t="n"/>
      <c r="J379" s="9" t="n"/>
      <c r="K379" s="8" t="n"/>
      <c r="L379" s="9" t="n"/>
      <c r="M379" s="8" t="n"/>
      <c r="N379" s="8" t="n"/>
      <c r="O379" s="8" t="n"/>
      <c r="P379" s="8" t="n"/>
      <c r="Q379" s="8" t="n"/>
      <c r="R379" s="9" t="n"/>
      <c r="S379" s="9" t="n"/>
      <c r="T379" s="10" t="n"/>
      <c r="U379" s="10" t="n"/>
      <c r="V379" s="9" t="n"/>
      <c r="W379" s="9" t="n"/>
      <c r="X379" s="9" t="n"/>
      <c r="Y379" s="9" t="n"/>
      <c r="Z379" s="11" t="n"/>
      <c r="AA379" s="11" t="n"/>
      <c r="AB379" s="11" t="n"/>
      <c r="AC379" s="11" t="n"/>
      <c r="AD379" s="11" t="n"/>
      <c r="AE379" s="11" t="n"/>
      <c r="AF379" s="9" t="n"/>
      <c r="AG379" s="9" t="n"/>
      <c r="AH379" s="9" t="n"/>
      <c r="AI379" s="9" t="n"/>
      <c r="AJ379" s="8" t="n"/>
      <c r="AK379" s="9" t="n"/>
      <c r="AL379" s="9" t="n"/>
      <c r="AM379" s="9" t="n"/>
      <c r="AN379" s="9" t="n"/>
      <c r="AO379" s="9" t="n"/>
      <c r="AP379" s="9" t="n"/>
      <c r="AQ379" s="9" t="n"/>
      <c r="AR379" s="9" t="n"/>
      <c r="AS379" s="9" t="n"/>
      <c r="AT379" s="8" t="n"/>
      <c r="AU379" s="8" t="n"/>
      <c r="AV379" s="9" t="n"/>
      <c r="AW379" s="8" t="n"/>
      <c r="AX379" s="9" t="n"/>
      <c r="AY379" s="9" t="n"/>
      <c r="AZ379" s="9" t="n"/>
      <c r="BA379" s="9" t="n"/>
      <c r="BB379" s="9" t="n"/>
      <c r="BC379" s="9" t="n"/>
      <c r="BD379" s="9" t="n"/>
      <c r="BE379" s="9" t="n"/>
      <c r="BF379" s="9" t="n"/>
      <c r="BG379" s="9" t="n"/>
      <c r="BH379" s="9" t="n"/>
      <c r="BI379" s="9" t="n"/>
      <c r="BJ379" s="9" t="n"/>
      <c r="BK379" s="9" t="n"/>
      <c r="BL379" s="9" t="n"/>
      <c r="BM379" s="9" t="n"/>
      <c r="BN379" s="9" t="n"/>
      <c r="BO379" s="8" t="n"/>
      <c r="BP379" s="9" t="n"/>
      <c r="BQ379" s="9" t="n"/>
      <c r="BR379" s="12">
        <f>IF(AND(AI379="Y",AK379="Y",AL379="Y",AM379="Y",AY379="Y",AZ379="Y",BA379="Y",BB379="Y",BC379="Y",BE379&lt;&gt;"Y",AX379&lt;&gt;"Y",BL379&lt;&gt;"Y",IF(AS379="Y",AV379="Y",TRUE)),"Y","N")</f>
        <v/>
      </c>
      <c r="BS379" s="12">
        <f>IF(AND(BR379="Y",OR(AND(BJ379="Y",BM379="Y"),AND(BK379="Y",BN379="Y"),AND(BJ379&lt;&gt;"Y",BK379&lt;&gt;"Y",OR(BM379="Y",BN379="Y")))),"Y","N")</f>
        <v/>
      </c>
      <c r="BT379" s="10" t="n"/>
      <c r="BU379" s="13" t="n"/>
      <c r="BV379" s="13" t="n"/>
      <c r="BW379" s="13" t="n"/>
      <c r="BX379" s="13" t="n"/>
      <c r="BY379" s="13" t="n"/>
      <c r="BZ379" s="13" t="n"/>
      <c r="CA379" s="14" t="n"/>
      <c r="CB379" s="13" t="n"/>
      <c r="CC379" s="9" t="n"/>
      <c r="CD379" s="9" t="n"/>
      <c r="CE379" s="9" t="n"/>
      <c r="CF379" s="9" t="n"/>
      <c r="CG379" s="9" t="n"/>
      <c r="CH379" s="9" t="n"/>
    </row>
    <row r="380">
      <c r="A380" s="8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8" t="n"/>
      <c r="L380" s="9" t="n"/>
      <c r="M380" s="8" t="n"/>
      <c r="N380" s="8" t="n"/>
      <c r="O380" s="8" t="n"/>
      <c r="P380" s="8" t="n"/>
      <c r="Q380" s="8" t="n"/>
      <c r="R380" s="9" t="n"/>
      <c r="S380" s="9" t="n"/>
      <c r="T380" s="10" t="n"/>
      <c r="U380" s="10" t="n"/>
      <c r="V380" s="9" t="n"/>
      <c r="W380" s="9" t="n"/>
      <c r="X380" s="9" t="n"/>
      <c r="Y380" s="9" t="n"/>
      <c r="Z380" s="11" t="n"/>
      <c r="AA380" s="11" t="n"/>
      <c r="AB380" s="11" t="n"/>
      <c r="AC380" s="11" t="n"/>
      <c r="AD380" s="11" t="n"/>
      <c r="AE380" s="11" t="n"/>
      <c r="AF380" s="9" t="n"/>
      <c r="AG380" s="9" t="n"/>
      <c r="AH380" s="9" t="n"/>
      <c r="AI380" s="9" t="n"/>
      <c r="AJ380" s="8" t="n"/>
      <c r="AK380" s="9" t="n"/>
      <c r="AL380" s="9" t="n"/>
      <c r="AM380" s="9" t="n"/>
      <c r="AN380" s="9" t="n"/>
      <c r="AO380" s="9" t="n"/>
      <c r="AP380" s="9" t="n"/>
      <c r="AQ380" s="9" t="n"/>
      <c r="AR380" s="9" t="n"/>
      <c r="AS380" s="9" t="n"/>
      <c r="AT380" s="8" t="n"/>
      <c r="AU380" s="8" t="n"/>
      <c r="AV380" s="9" t="n"/>
      <c r="AW380" s="8" t="n"/>
      <c r="AX380" s="9" t="n"/>
      <c r="AY380" s="9" t="n"/>
      <c r="AZ380" s="9" t="n"/>
      <c r="BA380" s="9" t="n"/>
      <c r="BB380" s="9" t="n"/>
      <c r="BC380" s="9" t="n"/>
      <c r="BD380" s="9" t="n"/>
      <c r="BE380" s="9" t="n"/>
      <c r="BF380" s="9" t="n"/>
      <c r="BG380" s="9" t="n"/>
      <c r="BH380" s="9" t="n"/>
      <c r="BI380" s="9" t="n"/>
      <c r="BJ380" s="9" t="n"/>
      <c r="BK380" s="9" t="n"/>
      <c r="BL380" s="9" t="n"/>
      <c r="BM380" s="9" t="n"/>
      <c r="BN380" s="9" t="n"/>
      <c r="BO380" s="8" t="n"/>
      <c r="BP380" s="9" t="n"/>
      <c r="BQ380" s="9" t="n"/>
      <c r="BR380" s="12">
        <f>IF(AND(AI380="Y",AK380="Y",AL380="Y",AM380="Y",AY380="Y",AZ380="Y",BA380="Y",BB380="Y",BC380="Y",BE380&lt;&gt;"Y",AX380&lt;&gt;"Y",BL380&lt;&gt;"Y",IF(AS380="Y",AV380="Y",TRUE)),"Y","N")</f>
        <v/>
      </c>
      <c r="BS380" s="12">
        <f>IF(AND(BR380="Y",OR(AND(BJ380="Y",BM380="Y"),AND(BK380="Y",BN380="Y"),AND(BJ380&lt;&gt;"Y",BK380&lt;&gt;"Y",OR(BM380="Y",BN380="Y")))),"Y","N")</f>
        <v/>
      </c>
      <c r="BT380" s="10" t="n"/>
      <c r="BU380" s="13" t="n"/>
      <c r="BV380" s="13" t="n"/>
      <c r="BW380" s="13" t="n"/>
      <c r="BX380" s="13" t="n"/>
      <c r="BY380" s="13" t="n"/>
      <c r="BZ380" s="13" t="n"/>
      <c r="CA380" s="14" t="n"/>
      <c r="CB380" s="13" t="n"/>
      <c r="CC380" s="9" t="n"/>
      <c r="CD380" s="9" t="n"/>
      <c r="CE380" s="9" t="n"/>
      <c r="CF380" s="9" t="n"/>
      <c r="CG380" s="9" t="n"/>
      <c r="CH380" s="9" t="n"/>
    </row>
    <row r="381">
      <c r="A381" s="8" t="n"/>
      <c r="B381" s="9" t="n"/>
      <c r="C381" s="9" t="n"/>
      <c r="D381" s="9" t="n"/>
      <c r="E381" s="9" t="n"/>
      <c r="F381" s="9" t="n"/>
      <c r="G381" s="9" t="n"/>
      <c r="H381" s="9" t="n"/>
      <c r="I381" s="9" t="n"/>
      <c r="J381" s="9" t="n"/>
      <c r="K381" s="8" t="n"/>
      <c r="L381" s="9" t="n"/>
      <c r="M381" s="8" t="n"/>
      <c r="N381" s="8" t="n"/>
      <c r="O381" s="8" t="n"/>
      <c r="P381" s="8" t="n"/>
      <c r="Q381" s="8" t="n"/>
      <c r="R381" s="9" t="n"/>
      <c r="S381" s="9" t="n"/>
      <c r="T381" s="10" t="n"/>
      <c r="U381" s="10" t="n"/>
      <c r="V381" s="9" t="n"/>
      <c r="W381" s="9" t="n"/>
      <c r="X381" s="9" t="n"/>
      <c r="Y381" s="9" t="n"/>
      <c r="Z381" s="11" t="n"/>
      <c r="AA381" s="11" t="n"/>
      <c r="AB381" s="11" t="n"/>
      <c r="AC381" s="11" t="n"/>
      <c r="AD381" s="11" t="n"/>
      <c r="AE381" s="11" t="n"/>
      <c r="AF381" s="9" t="n"/>
      <c r="AG381" s="9" t="n"/>
      <c r="AH381" s="9" t="n"/>
      <c r="AI381" s="9" t="n"/>
      <c r="AJ381" s="8" t="n"/>
      <c r="AK381" s="9" t="n"/>
      <c r="AL381" s="9" t="n"/>
      <c r="AM381" s="9" t="n"/>
      <c r="AN381" s="9" t="n"/>
      <c r="AO381" s="9" t="n"/>
      <c r="AP381" s="9" t="n"/>
      <c r="AQ381" s="9" t="n"/>
      <c r="AR381" s="9" t="n"/>
      <c r="AS381" s="9" t="n"/>
      <c r="AT381" s="8" t="n"/>
      <c r="AU381" s="8" t="n"/>
      <c r="AV381" s="9" t="n"/>
      <c r="AW381" s="8" t="n"/>
      <c r="AX381" s="9" t="n"/>
      <c r="AY381" s="9" t="n"/>
      <c r="AZ381" s="9" t="n"/>
      <c r="BA381" s="9" t="n"/>
      <c r="BB381" s="9" t="n"/>
      <c r="BC381" s="9" t="n"/>
      <c r="BD381" s="9" t="n"/>
      <c r="BE381" s="9" t="n"/>
      <c r="BF381" s="9" t="n"/>
      <c r="BG381" s="9" t="n"/>
      <c r="BH381" s="9" t="n"/>
      <c r="BI381" s="9" t="n"/>
      <c r="BJ381" s="9" t="n"/>
      <c r="BK381" s="9" t="n"/>
      <c r="BL381" s="9" t="n"/>
      <c r="BM381" s="9" t="n"/>
      <c r="BN381" s="9" t="n"/>
      <c r="BO381" s="8" t="n"/>
      <c r="BP381" s="9" t="n"/>
      <c r="BQ381" s="9" t="n"/>
      <c r="BR381" s="12">
        <f>IF(AND(AI381="Y",AK381="Y",AL381="Y",AM381="Y",AY381="Y",AZ381="Y",BA381="Y",BB381="Y",BC381="Y",BE381&lt;&gt;"Y",AX381&lt;&gt;"Y",BL381&lt;&gt;"Y",IF(AS381="Y",AV381="Y",TRUE)),"Y","N")</f>
        <v/>
      </c>
      <c r="BS381" s="12">
        <f>IF(AND(BR381="Y",OR(AND(BJ381="Y",BM381="Y"),AND(BK381="Y",BN381="Y"),AND(BJ381&lt;&gt;"Y",BK381&lt;&gt;"Y",OR(BM381="Y",BN381="Y")))),"Y","N")</f>
        <v/>
      </c>
      <c r="BT381" s="10" t="n"/>
      <c r="BU381" s="13" t="n"/>
      <c r="BV381" s="13" t="n"/>
      <c r="BW381" s="13" t="n"/>
      <c r="BX381" s="13" t="n"/>
      <c r="BY381" s="13" t="n"/>
      <c r="BZ381" s="13" t="n"/>
      <c r="CA381" s="14" t="n"/>
      <c r="CB381" s="13" t="n"/>
      <c r="CC381" s="9" t="n"/>
      <c r="CD381" s="9" t="n"/>
      <c r="CE381" s="9" t="n"/>
      <c r="CF381" s="9" t="n"/>
      <c r="CG381" s="9" t="n"/>
      <c r="CH381" s="9" t="n"/>
    </row>
    <row r="382">
      <c r="A382" s="8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8" t="n"/>
      <c r="L382" s="9" t="n"/>
      <c r="M382" s="8" t="n"/>
      <c r="N382" s="8" t="n"/>
      <c r="O382" s="8" t="n"/>
      <c r="P382" s="8" t="n"/>
      <c r="Q382" s="8" t="n"/>
      <c r="R382" s="9" t="n"/>
      <c r="S382" s="9" t="n"/>
      <c r="T382" s="10" t="n"/>
      <c r="U382" s="10" t="n"/>
      <c r="V382" s="9" t="n"/>
      <c r="W382" s="9" t="n"/>
      <c r="X382" s="9" t="n"/>
      <c r="Y382" s="9" t="n"/>
      <c r="Z382" s="11" t="n"/>
      <c r="AA382" s="11" t="n"/>
      <c r="AB382" s="11" t="n"/>
      <c r="AC382" s="11" t="n"/>
      <c r="AD382" s="11" t="n"/>
      <c r="AE382" s="11" t="n"/>
      <c r="AF382" s="9" t="n"/>
      <c r="AG382" s="9" t="n"/>
      <c r="AH382" s="9" t="n"/>
      <c r="AI382" s="9" t="n"/>
      <c r="AJ382" s="8" t="n"/>
      <c r="AK382" s="9" t="n"/>
      <c r="AL382" s="9" t="n"/>
      <c r="AM382" s="9" t="n"/>
      <c r="AN382" s="9" t="n"/>
      <c r="AO382" s="9" t="n"/>
      <c r="AP382" s="9" t="n"/>
      <c r="AQ382" s="9" t="n"/>
      <c r="AR382" s="9" t="n"/>
      <c r="AS382" s="9" t="n"/>
      <c r="AT382" s="8" t="n"/>
      <c r="AU382" s="8" t="n"/>
      <c r="AV382" s="9" t="n"/>
      <c r="AW382" s="8" t="n"/>
      <c r="AX382" s="9" t="n"/>
      <c r="AY382" s="9" t="n"/>
      <c r="AZ382" s="9" t="n"/>
      <c r="BA382" s="9" t="n"/>
      <c r="BB382" s="9" t="n"/>
      <c r="BC382" s="9" t="n"/>
      <c r="BD382" s="9" t="n"/>
      <c r="BE382" s="9" t="n"/>
      <c r="BF382" s="9" t="n"/>
      <c r="BG382" s="9" t="n"/>
      <c r="BH382" s="9" t="n"/>
      <c r="BI382" s="9" t="n"/>
      <c r="BJ382" s="9" t="n"/>
      <c r="BK382" s="9" t="n"/>
      <c r="BL382" s="9" t="n"/>
      <c r="BM382" s="9" t="n"/>
      <c r="BN382" s="9" t="n"/>
      <c r="BO382" s="8" t="n"/>
      <c r="BP382" s="9" t="n"/>
      <c r="BQ382" s="9" t="n"/>
      <c r="BR382" s="12">
        <f>IF(AND(AI382="Y",AK382="Y",AL382="Y",AM382="Y",AY382="Y",AZ382="Y",BA382="Y",BB382="Y",BC382="Y",BE382&lt;&gt;"Y",AX382&lt;&gt;"Y",BL382&lt;&gt;"Y",IF(AS382="Y",AV382="Y",TRUE)),"Y","N")</f>
        <v/>
      </c>
      <c r="BS382" s="12">
        <f>IF(AND(BR382="Y",OR(AND(BJ382="Y",BM382="Y"),AND(BK382="Y",BN382="Y"),AND(BJ382&lt;&gt;"Y",BK382&lt;&gt;"Y",OR(BM382="Y",BN382="Y")))),"Y","N")</f>
        <v/>
      </c>
      <c r="BT382" s="10" t="n"/>
      <c r="BU382" s="13" t="n"/>
      <c r="BV382" s="13" t="n"/>
      <c r="BW382" s="13" t="n"/>
      <c r="BX382" s="13" t="n"/>
      <c r="BY382" s="13" t="n"/>
      <c r="BZ382" s="13" t="n"/>
      <c r="CA382" s="14" t="n"/>
      <c r="CB382" s="13" t="n"/>
      <c r="CC382" s="9" t="n"/>
      <c r="CD382" s="9" t="n"/>
      <c r="CE382" s="9" t="n"/>
      <c r="CF382" s="9" t="n"/>
      <c r="CG382" s="9" t="n"/>
      <c r="CH382" s="9" t="n"/>
    </row>
    <row r="383">
      <c r="A383" s="8" t="n"/>
      <c r="B383" s="9" t="n"/>
      <c r="C383" s="9" t="n"/>
      <c r="D383" s="9" t="n"/>
      <c r="E383" s="9" t="n"/>
      <c r="F383" s="9" t="n"/>
      <c r="G383" s="9" t="n"/>
      <c r="H383" s="9" t="n"/>
      <c r="I383" s="9" t="n"/>
      <c r="J383" s="9" t="n"/>
      <c r="K383" s="8" t="n"/>
      <c r="L383" s="9" t="n"/>
      <c r="M383" s="8" t="n"/>
      <c r="N383" s="8" t="n"/>
      <c r="O383" s="8" t="n"/>
      <c r="P383" s="8" t="n"/>
      <c r="Q383" s="8" t="n"/>
      <c r="R383" s="9" t="n"/>
      <c r="S383" s="9" t="n"/>
      <c r="T383" s="10" t="n"/>
      <c r="U383" s="10" t="n"/>
      <c r="V383" s="9" t="n"/>
      <c r="W383" s="9" t="n"/>
      <c r="X383" s="9" t="n"/>
      <c r="Y383" s="9" t="n"/>
      <c r="Z383" s="11" t="n"/>
      <c r="AA383" s="11" t="n"/>
      <c r="AB383" s="11" t="n"/>
      <c r="AC383" s="11" t="n"/>
      <c r="AD383" s="11" t="n"/>
      <c r="AE383" s="11" t="n"/>
      <c r="AF383" s="9" t="n"/>
      <c r="AG383" s="9" t="n"/>
      <c r="AH383" s="9" t="n"/>
      <c r="AI383" s="9" t="n"/>
      <c r="AJ383" s="8" t="n"/>
      <c r="AK383" s="9" t="n"/>
      <c r="AL383" s="9" t="n"/>
      <c r="AM383" s="9" t="n"/>
      <c r="AN383" s="9" t="n"/>
      <c r="AO383" s="9" t="n"/>
      <c r="AP383" s="9" t="n"/>
      <c r="AQ383" s="9" t="n"/>
      <c r="AR383" s="9" t="n"/>
      <c r="AS383" s="9" t="n"/>
      <c r="AT383" s="8" t="n"/>
      <c r="AU383" s="8" t="n"/>
      <c r="AV383" s="9" t="n"/>
      <c r="AW383" s="8" t="n"/>
      <c r="AX383" s="9" t="n"/>
      <c r="AY383" s="9" t="n"/>
      <c r="AZ383" s="9" t="n"/>
      <c r="BA383" s="9" t="n"/>
      <c r="BB383" s="9" t="n"/>
      <c r="BC383" s="9" t="n"/>
      <c r="BD383" s="9" t="n"/>
      <c r="BE383" s="9" t="n"/>
      <c r="BF383" s="9" t="n"/>
      <c r="BG383" s="9" t="n"/>
      <c r="BH383" s="9" t="n"/>
      <c r="BI383" s="9" t="n"/>
      <c r="BJ383" s="9" t="n"/>
      <c r="BK383" s="9" t="n"/>
      <c r="BL383" s="9" t="n"/>
      <c r="BM383" s="9" t="n"/>
      <c r="BN383" s="9" t="n"/>
      <c r="BO383" s="8" t="n"/>
      <c r="BP383" s="9" t="n"/>
      <c r="BQ383" s="9" t="n"/>
      <c r="BR383" s="12">
        <f>IF(AND(AI383="Y",AK383="Y",AL383="Y",AM383="Y",AY383="Y",AZ383="Y",BA383="Y",BB383="Y",BC383="Y",BE383&lt;&gt;"Y",AX383&lt;&gt;"Y",BL383&lt;&gt;"Y",IF(AS383="Y",AV383="Y",TRUE)),"Y","N")</f>
        <v/>
      </c>
      <c r="BS383" s="12">
        <f>IF(AND(BR383="Y",OR(AND(BJ383="Y",BM383="Y"),AND(BK383="Y",BN383="Y"),AND(BJ383&lt;&gt;"Y",BK383&lt;&gt;"Y",OR(BM383="Y",BN383="Y")))),"Y","N")</f>
        <v/>
      </c>
      <c r="BT383" s="10" t="n"/>
      <c r="BU383" s="13" t="n"/>
      <c r="BV383" s="13" t="n"/>
      <c r="BW383" s="13" t="n"/>
      <c r="BX383" s="13" t="n"/>
      <c r="BY383" s="13" t="n"/>
      <c r="BZ383" s="13" t="n"/>
      <c r="CA383" s="14" t="n"/>
      <c r="CB383" s="13" t="n"/>
      <c r="CC383" s="9" t="n"/>
      <c r="CD383" s="9" t="n"/>
      <c r="CE383" s="9" t="n"/>
      <c r="CF383" s="9" t="n"/>
      <c r="CG383" s="9" t="n"/>
      <c r="CH383" s="9" t="n"/>
    </row>
    <row r="384">
      <c r="A384" s="8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8" t="n"/>
      <c r="L384" s="9" t="n"/>
      <c r="M384" s="8" t="n"/>
      <c r="N384" s="8" t="n"/>
      <c r="O384" s="8" t="n"/>
      <c r="P384" s="8" t="n"/>
      <c r="Q384" s="8" t="n"/>
      <c r="R384" s="9" t="n"/>
      <c r="S384" s="9" t="n"/>
      <c r="T384" s="10" t="n"/>
      <c r="U384" s="10" t="n"/>
      <c r="V384" s="9" t="n"/>
      <c r="W384" s="9" t="n"/>
      <c r="X384" s="9" t="n"/>
      <c r="Y384" s="9" t="n"/>
      <c r="Z384" s="11" t="n"/>
      <c r="AA384" s="11" t="n"/>
      <c r="AB384" s="11" t="n"/>
      <c r="AC384" s="11" t="n"/>
      <c r="AD384" s="11" t="n"/>
      <c r="AE384" s="11" t="n"/>
      <c r="AF384" s="9" t="n"/>
      <c r="AG384" s="9" t="n"/>
      <c r="AH384" s="9" t="n"/>
      <c r="AI384" s="9" t="n"/>
      <c r="AJ384" s="8" t="n"/>
      <c r="AK384" s="9" t="n"/>
      <c r="AL384" s="9" t="n"/>
      <c r="AM384" s="9" t="n"/>
      <c r="AN384" s="9" t="n"/>
      <c r="AO384" s="9" t="n"/>
      <c r="AP384" s="9" t="n"/>
      <c r="AQ384" s="9" t="n"/>
      <c r="AR384" s="9" t="n"/>
      <c r="AS384" s="9" t="n"/>
      <c r="AT384" s="8" t="n"/>
      <c r="AU384" s="8" t="n"/>
      <c r="AV384" s="9" t="n"/>
      <c r="AW384" s="8" t="n"/>
      <c r="AX384" s="9" t="n"/>
      <c r="AY384" s="9" t="n"/>
      <c r="AZ384" s="9" t="n"/>
      <c r="BA384" s="9" t="n"/>
      <c r="BB384" s="9" t="n"/>
      <c r="BC384" s="9" t="n"/>
      <c r="BD384" s="9" t="n"/>
      <c r="BE384" s="9" t="n"/>
      <c r="BF384" s="9" t="n"/>
      <c r="BG384" s="9" t="n"/>
      <c r="BH384" s="9" t="n"/>
      <c r="BI384" s="9" t="n"/>
      <c r="BJ384" s="9" t="n"/>
      <c r="BK384" s="9" t="n"/>
      <c r="BL384" s="9" t="n"/>
      <c r="BM384" s="9" t="n"/>
      <c r="BN384" s="9" t="n"/>
      <c r="BO384" s="8" t="n"/>
      <c r="BP384" s="9" t="n"/>
      <c r="BQ384" s="9" t="n"/>
      <c r="BR384" s="12">
        <f>IF(AND(AI384="Y",AK384="Y",AL384="Y",AM384="Y",AY384="Y",AZ384="Y",BA384="Y",BB384="Y",BC384="Y",BE384&lt;&gt;"Y",AX384&lt;&gt;"Y",BL384&lt;&gt;"Y",IF(AS384="Y",AV384="Y",TRUE)),"Y","N")</f>
        <v/>
      </c>
      <c r="BS384" s="12">
        <f>IF(AND(BR384="Y",OR(AND(BJ384="Y",BM384="Y"),AND(BK384="Y",BN384="Y"),AND(BJ384&lt;&gt;"Y",BK384&lt;&gt;"Y",OR(BM384="Y",BN384="Y")))),"Y","N")</f>
        <v/>
      </c>
      <c r="BT384" s="10" t="n"/>
      <c r="BU384" s="13" t="n"/>
      <c r="BV384" s="13" t="n"/>
      <c r="BW384" s="13" t="n"/>
      <c r="BX384" s="13" t="n"/>
      <c r="BY384" s="13" t="n"/>
      <c r="BZ384" s="13" t="n"/>
      <c r="CA384" s="14" t="n"/>
      <c r="CB384" s="13" t="n"/>
      <c r="CC384" s="9" t="n"/>
      <c r="CD384" s="9" t="n"/>
      <c r="CE384" s="9" t="n"/>
      <c r="CF384" s="9" t="n"/>
      <c r="CG384" s="9" t="n"/>
      <c r="CH384" s="9" t="n"/>
    </row>
    <row r="385">
      <c r="A385" s="8" t="n"/>
      <c r="B385" s="9" t="n"/>
      <c r="C385" s="9" t="n"/>
      <c r="D385" s="9" t="n"/>
      <c r="E385" s="9" t="n"/>
      <c r="F385" s="9" t="n"/>
      <c r="G385" s="9" t="n"/>
      <c r="H385" s="9" t="n"/>
      <c r="I385" s="9" t="n"/>
      <c r="J385" s="9" t="n"/>
      <c r="K385" s="8" t="n"/>
      <c r="L385" s="9" t="n"/>
      <c r="M385" s="8" t="n"/>
      <c r="N385" s="8" t="n"/>
      <c r="O385" s="8" t="n"/>
      <c r="P385" s="8" t="n"/>
      <c r="Q385" s="8" t="n"/>
      <c r="R385" s="9" t="n"/>
      <c r="S385" s="9" t="n"/>
      <c r="T385" s="10" t="n"/>
      <c r="U385" s="10" t="n"/>
      <c r="V385" s="9" t="n"/>
      <c r="W385" s="9" t="n"/>
      <c r="X385" s="9" t="n"/>
      <c r="Y385" s="9" t="n"/>
      <c r="Z385" s="11" t="n"/>
      <c r="AA385" s="11" t="n"/>
      <c r="AB385" s="11" t="n"/>
      <c r="AC385" s="11" t="n"/>
      <c r="AD385" s="11" t="n"/>
      <c r="AE385" s="11" t="n"/>
      <c r="AF385" s="9" t="n"/>
      <c r="AG385" s="9" t="n"/>
      <c r="AH385" s="9" t="n"/>
      <c r="AI385" s="9" t="n"/>
      <c r="AJ385" s="8" t="n"/>
      <c r="AK385" s="9" t="n"/>
      <c r="AL385" s="9" t="n"/>
      <c r="AM385" s="9" t="n"/>
      <c r="AN385" s="9" t="n"/>
      <c r="AO385" s="9" t="n"/>
      <c r="AP385" s="9" t="n"/>
      <c r="AQ385" s="9" t="n"/>
      <c r="AR385" s="9" t="n"/>
      <c r="AS385" s="9" t="n"/>
      <c r="AT385" s="8" t="n"/>
      <c r="AU385" s="8" t="n"/>
      <c r="AV385" s="9" t="n"/>
      <c r="AW385" s="8" t="n"/>
      <c r="AX385" s="9" t="n"/>
      <c r="AY385" s="9" t="n"/>
      <c r="AZ385" s="9" t="n"/>
      <c r="BA385" s="9" t="n"/>
      <c r="BB385" s="9" t="n"/>
      <c r="BC385" s="9" t="n"/>
      <c r="BD385" s="9" t="n"/>
      <c r="BE385" s="9" t="n"/>
      <c r="BF385" s="9" t="n"/>
      <c r="BG385" s="9" t="n"/>
      <c r="BH385" s="9" t="n"/>
      <c r="BI385" s="9" t="n"/>
      <c r="BJ385" s="9" t="n"/>
      <c r="BK385" s="9" t="n"/>
      <c r="BL385" s="9" t="n"/>
      <c r="BM385" s="9" t="n"/>
      <c r="BN385" s="9" t="n"/>
      <c r="BO385" s="8" t="n"/>
      <c r="BP385" s="9" t="n"/>
      <c r="BQ385" s="9" t="n"/>
      <c r="BR385" s="12">
        <f>IF(AND(AI385="Y",AK385="Y",AL385="Y",AM385="Y",AY385="Y",AZ385="Y",BA385="Y",BB385="Y",BC385="Y",BE385&lt;&gt;"Y",AX385&lt;&gt;"Y",BL385&lt;&gt;"Y",IF(AS385="Y",AV385="Y",TRUE)),"Y","N")</f>
        <v/>
      </c>
      <c r="BS385" s="12">
        <f>IF(AND(BR385="Y",OR(AND(BJ385="Y",BM385="Y"),AND(BK385="Y",BN385="Y"),AND(BJ385&lt;&gt;"Y",BK385&lt;&gt;"Y",OR(BM385="Y",BN385="Y")))),"Y","N")</f>
        <v/>
      </c>
      <c r="BT385" s="10" t="n"/>
      <c r="BU385" s="13" t="n"/>
      <c r="BV385" s="13" t="n"/>
      <c r="BW385" s="13" t="n"/>
      <c r="BX385" s="13" t="n"/>
      <c r="BY385" s="13" t="n"/>
      <c r="BZ385" s="13" t="n"/>
      <c r="CA385" s="14" t="n"/>
      <c r="CB385" s="13" t="n"/>
      <c r="CC385" s="9" t="n"/>
      <c r="CD385" s="9" t="n"/>
      <c r="CE385" s="9" t="n"/>
      <c r="CF385" s="9" t="n"/>
      <c r="CG385" s="9" t="n"/>
      <c r="CH385" s="9" t="n"/>
    </row>
    <row r="386">
      <c r="A386" s="8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8" t="n"/>
      <c r="L386" s="9" t="n"/>
      <c r="M386" s="8" t="n"/>
      <c r="N386" s="8" t="n"/>
      <c r="O386" s="8" t="n"/>
      <c r="P386" s="8" t="n"/>
      <c r="Q386" s="8" t="n"/>
      <c r="R386" s="9" t="n"/>
      <c r="S386" s="9" t="n"/>
      <c r="T386" s="10" t="n"/>
      <c r="U386" s="10" t="n"/>
      <c r="V386" s="9" t="n"/>
      <c r="W386" s="9" t="n"/>
      <c r="X386" s="9" t="n"/>
      <c r="Y386" s="9" t="n"/>
      <c r="Z386" s="11" t="n"/>
      <c r="AA386" s="11" t="n"/>
      <c r="AB386" s="11" t="n"/>
      <c r="AC386" s="11" t="n"/>
      <c r="AD386" s="11" t="n"/>
      <c r="AE386" s="11" t="n"/>
      <c r="AF386" s="9" t="n"/>
      <c r="AG386" s="9" t="n"/>
      <c r="AH386" s="9" t="n"/>
      <c r="AI386" s="9" t="n"/>
      <c r="AJ386" s="8" t="n"/>
      <c r="AK386" s="9" t="n"/>
      <c r="AL386" s="9" t="n"/>
      <c r="AM386" s="9" t="n"/>
      <c r="AN386" s="9" t="n"/>
      <c r="AO386" s="9" t="n"/>
      <c r="AP386" s="9" t="n"/>
      <c r="AQ386" s="9" t="n"/>
      <c r="AR386" s="9" t="n"/>
      <c r="AS386" s="9" t="n"/>
      <c r="AT386" s="8" t="n"/>
      <c r="AU386" s="8" t="n"/>
      <c r="AV386" s="9" t="n"/>
      <c r="AW386" s="8" t="n"/>
      <c r="AX386" s="9" t="n"/>
      <c r="AY386" s="9" t="n"/>
      <c r="AZ386" s="9" t="n"/>
      <c r="BA386" s="9" t="n"/>
      <c r="BB386" s="9" t="n"/>
      <c r="BC386" s="9" t="n"/>
      <c r="BD386" s="9" t="n"/>
      <c r="BE386" s="9" t="n"/>
      <c r="BF386" s="9" t="n"/>
      <c r="BG386" s="9" t="n"/>
      <c r="BH386" s="9" t="n"/>
      <c r="BI386" s="9" t="n"/>
      <c r="BJ386" s="9" t="n"/>
      <c r="BK386" s="9" t="n"/>
      <c r="BL386" s="9" t="n"/>
      <c r="BM386" s="9" t="n"/>
      <c r="BN386" s="9" t="n"/>
      <c r="BO386" s="8" t="n"/>
      <c r="BP386" s="9" t="n"/>
      <c r="BQ386" s="9" t="n"/>
      <c r="BR386" s="12">
        <f>IF(AND(AI386="Y",AK386="Y",AL386="Y",AM386="Y",AY386="Y",AZ386="Y",BA386="Y",BB386="Y",BC386="Y",BE386&lt;&gt;"Y",AX386&lt;&gt;"Y",BL386&lt;&gt;"Y",IF(AS386="Y",AV386="Y",TRUE)),"Y","N")</f>
        <v/>
      </c>
      <c r="BS386" s="12">
        <f>IF(AND(BR386="Y",OR(AND(BJ386="Y",BM386="Y"),AND(BK386="Y",BN386="Y"),AND(BJ386&lt;&gt;"Y",BK386&lt;&gt;"Y",OR(BM386="Y",BN386="Y")))),"Y","N")</f>
        <v/>
      </c>
      <c r="BT386" s="10" t="n"/>
      <c r="BU386" s="13" t="n"/>
      <c r="BV386" s="13" t="n"/>
      <c r="BW386" s="13" t="n"/>
      <c r="BX386" s="13" t="n"/>
      <c r="BY386" s="13" t="n"/>
      <c r="BZ386" s="13" t="n"/>
      <c r="CA386" s="14" t="n"/>
      <c r="CB386" s="13" t="n"/>
      <c r="CC386" s="9" t="n"/>
      <c r="CD386" s="9" t="n"/>
      <c r="CE386" s="9" t="n"/>
      <c r="CF386" s="9" t="n"/>
      <c r="CG386" s="9" t="n"/>
      <c r="CH386" s="9" t="n"/>
    </row>
    <row r="387">
      <c r="A387" s="8" t="n"/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8" t="n"/>
      <c r="L387" s="9" t="n"/>
      <c r="M387" s="8" t="n"/>
      <c r="N387" s="8" t="n"/>
      <c r="O387" s="8" t="n"/>
      <c r="P387" s="8" t="n"/>
      <c r="Q387" s="8" t="n"/>
      <c r="R387" s="9" t="n"/>
      <c r="S387" s="9" t="n"/>
      <c r="T387" s="10" t="n"/>
      <c r="U387" s="10" t="n"/>
      <c r="V387" s="9" t="n"/>
      <c r="W387" s="9" t="n"/>
      <c r="X387" s="9" t="n"/>
      <c r="Y387" s="9" t="n"/>
      <c r="Z387" s="11" t="n"/>
      <c r="AA387" s="11" t="n"/>
      <c r="AB387" s="11" t="n"/>
      <c r="AC387" s="11" t="n"/>
      <c r="AD387" s="11" t="n"/>
      <c r="AE387" s="11" t="n"/>
      <c r="AF387" s="9" t="n"/>
      <c r="AG387" s="9" t="n"/>
      <c r="AH387" s="9" t="n"/>
      <c r="AI387" s="9" t="n"/>
      <c r="AJ387" s="8" t="n"/>
      <c r="AK387" s="9" t="n"/>
      <c r="AL387" s="9" t="n"/>
      <c r="AM387" s="9" t="n"/>
      <c r="AN387" s="9" t="n"/>
      <c r="AO387" s="9" t="n"/>
      <c r="AP387" s="9" t="n"/>
      <c r="AQ387" s="9" t="n"/>
      <c r="AR387" s="9" t="n"/>
      <c r="AS387" s="9" t="n"/>
      <c r="AT387" s="8" t="n"/>
      <c r="AU387" s="8" t="n"/>
      <c r="AV387" s="9" t="n"/>
      <c r="AW387" s="8" t="n"/>
      <c r="AX387" s="9" t="n"/>
      <c r="AY387" s="9" t="n"/>
      <c r="AZ387" s="9" t="n"/>
      <c r="BA387" s="9" t="n"/>
      <c r="BB387" s="9" t="n"/>
      <c r="BC387" s="9" t="n"/>
      <c r="BD387" s="9" t="n"/>
      <c r="BE387" s="9" t="n"/>
      <c r="BF387" s="9" t="n"/>
      <c r="BG387" s="9" t="n"/>
      <c r="BH387" s="9" t="n"/>
      <c r="BI387" s="9" t="n"/>
      <c r="BJ387" s="9" t="n"/>
      <c r="BK387" s="9" t="n"/>
      <c r="BL387" s="9" t="n"/>
      <c r="BM387" s="9" t="n"/>
      <c r="BN387" s="9" t="n"/>
      <c r="BO387" s="8" t="n"/>
      <c r="BP387" s="9" t="n"/>
      <c r="BQ387" s="9" t="n"/>
      <c r="BR387" s="12">
        <f>IF(AND(AI387="Y",AK387="Y",AL387="Y",AM387="Y",AY387="Y",AZ387="Y",BA387="Y",BB387="Y",BC387="Y",BE387&lt;&gt;"Y",AX387&lt;&gt;"Y",BL387&lt;&gt;"Y",IF(AS387="Y",AV387="Y",TRUE)),"Y","N")</f>
        <v/>
      </c>
      <c r="BS387" s="12">
        <f>IF(AND(BR387="Y",OR(AND(BJ387="Y",BM387="Y"),AND(BK387="Y",BN387="Y"),AND(BJ387&lt;&gt;"Y",BK387&lt;&gt;"Y",OR(BM387="Y",BN387="Y")))),"Y","N")</f>
        <v/>
      </c>
      <c r="BT387" s="10" t="n"/>
      <c r="BU387" s="13" t="n"/>
      <c r="BV387" s="13" t="n"/>
      <c r="BW387" s="13" t="n"/>
      <c r="BX387" s="13" t="n"/>
      <c r="BY387" s="13" t="n"/>
      <c r="BZ387" s="13" t="n"/>
      <c r="CA387" s="14" t="n"/>
      <c r="CB387" s="13" t="n"/>
      <c r="CC387" s="9" t="n"/>
      <c r="CD387" s="9" t="n"/>
      <c r="CE387" s="9" t="n"/>
      <c r="CF387" s="9" t="n"/>
      <c r="CG387" s="9" t="n"/>
      <c r="CH387" s="9" t="n"/>
    </row>
    <row r="388">
      <c r="A388" s="8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8" t="n"/>
      <c r="L388" s="9" t="n"/>
      <c r="M388" s="8" t="n"/>
      <c r="N388" s="8" t="n"/>
      <c r="O388" s="8" t="n"/>
      <c r="P388" s="8" t="n"/>
      <c r="Q388" s="8" t="n"/>
      <c r="R388" s="9" t="n"/>
      <c r="S388" s="9" t="n"/>
      <c r="T388" s="10" t="n"/>
      <c r="U388" s="10" t="n"/>
      <c r="V388" s="9" t="n"/>
      <c r="W388" s="9" t="n"/>
      <c r="X388" s="9" t="n"/>
      <c r="Y388" s="9" t="n"/>
      <c r="Z388" s="11" t="n"/>
      <c r="AA388" s="11" t="n"/>
      <c r="AB388" s="11" t="n"/>
      <c r="AC388" s="11" t="n"/>
      <c r="AD388" s="11" t="n"/>
      <c r="AE388" s="11" t="n"/>
      <c r="AF388" s="9" t="n"/>
      <c r="AG388" s="9" t="n"/>
      <c r="AH388" s="9" t="n"/>
      <c r="AI388" s="9" t="n"/>
      <c r="AJ388" s="8" t="n"/>
      <c r="AK388" s="9" t="n"/>
      <c r="AL388" s="9" t="n"/>
      <c r="AM388" s="9" t="n"/>
      <c r="AN388" s="9" t="n"/>
      <c r="AO388" s="9" t="n"/>
      <c r="AP388" s="9" t="n"/>
      <c r="AQ388" s="9" t="n"/>
      <c r="AR388" s="9" t="n"/>
      <c r="AS388" s="9" t="n"/>
      <c r="AT388" s="8" t="n"/>
      <c r="AU388" s="8" t="n"/>
      <c r="AV388" s="9" t="n"/>
      <c r="AW388" s="8" t="n"/>
      <c r="AX388" s="9" t="n"/>
      <c r="AY388" s="9" t="n"/>
      <c r="AZ388" s="9" t="n"/>
      <c r="BA388" s="9" t="n"/>
      <c r="BB388" s="9" t="n"/>
      <c r="BC388" s="9" t="n"/>
      <c r="BD388" s="9" t="n"/>
      <c r="BE388" s="9" t="n"/>
      <c r="BF388" s="9" t="n"/>
      <c r="BG388" s="9" t="n"/>
      <c r="BH388" s="9" t="n"/>
      <c r="BI388" s="9" t="n"/>
      <c r="BJ388" s="9" t="n"/>
      <c r="BK388" s="9" t="n"/>
      <c r="BL388" s="9" t="n"/>
      <c r="BM388" s="9" t="n"/>
      <c r="BN388" s="9" t="n"/>
      <c r="BO388" s="8" t="n"/>
      <c r="BP388" s="9" t="n"/>
      <c r="BQ388" s="9" t="n"/>
      <c r="BR388" s="12">
        <f>IF(AND(AI388="Y",AK388="Y",AL388="Y",AM388="Y",AY388="Y",AZ388="Y",BA388="Y",BB388="Y",BC388="Y",BE388&lt;&gt;"Y",AX388&lt;&gt;"Y",BL388&lt;&gt;"Y",IF(AS388="Y",AV388="Y",TRUE)),"Y","N")</f>
        <v/>
      </c>
      <c r="BS388" s="12">
        <f>IF(AND(BR388="Y",OR(AND(BJ388="Y",BM388="Y"),AND(BK388="Y",BN388="Y"),AND(BJ388&lt;&gt;"Y",BK388&lt;&gt;"Y",OR(BM388="Y",BN388="Y")))),"Y","N")</f>
        <v/>
      </c>
      <c r="BT388" s="10" t="n"/>
      <c r="BU388" s="13" t="n"/>
      <c r="BV388" s="13" t="n"/>
      <c r="BW388" s="13" t="n"/>
      <c r="BX388" s="13" t="n"/>
      <c r="BY388" s="13" t="n"/>
      <c r="BZ388" s="13" t="n"/>
      <c r="CA388" s="14" t="n"/>
      <c r="CB388" s="13" t="n"/>
      <c r="CC388" s="9" t="n"/>
      <c r="CD388" s="9" t="n"/>
      <c r="CE388" s="9" t="n"/>
      <c r="CF388" s="9" t="n"/>
      <c r="CG388" s="9" t="n"/>
      <c r="CH388" s="9" t="n"/>
    </row>
    <row r="389">
      <c r="A389" s="8" t="n"/>
      <c r="B389" s="9" t="n"/>
      <c r="C389" s="9" t="n"/>
      <c r="D389" s="9" t="n"/>
      <c r="E389" s="9" t="n"/>
      <c r="F389" s="9" t="n"/>
      <c r="G389" s="9" t="n"/>
      <c r="H389" s="9" t="n"/>
      <c r="I389" s="9" t="n"/>
      <c r="J389" s="9" t="n"/>
      <c r="K389" s="8" t="n"/>
      <c r="L389" s="9" t="n"/>
      <c r="M389" s="8" t="n"/>
      <c r="N389" s="8" t="n"/>
      <c r="O389" s="8" t="n"/>
      <c r="P389" s="8" t="n"/>
      <c r="Q389" s="8" t="n"/>
      <c r="R389" s="9" t="n"/>
      <c r="S389" s="9" t="n"/>
      <c r="T389" s="10" t="n"/>
      <c r="U389" s="10" t="n"/>
      <c r="V389" s="9" t="n"/>
      <c r="W389" s="9" t="n"/>
      <c r="X389" s="9" t="n"/>
      <c r="Y389" s="9" t="n"/>
      <c r="Z389" s="11" t="n"/>
      <c r="AA389" s="11" t="n"/>
      <c r="AB389" s="11" t="n"/>
      <c r="AC389" s="11" t="n"/>
      <c r="AD389" s="11" t="n"/>
      <c r="AE389" s="11" t="n"/>
      <c r="AF389" s="9" t="n"/>
      <c r="AG389" s="9" t="n"/>
      <c r="AH389" s="9" t="n"/>
      <c r="AI389" s="9" t="n"/>
      <c r="AJ389" s="8" t="n"/>
      <c r="AK389" s="9" t="n"/>
      <c r="AL389" s="9" t="n"/>
      <c r="AM389" s="9" t="n"/>
      <c r="AN389" s="9" t="n"/>
      <c r="AO389" s="9" t="n"/>
      <c r="AP389" s="9" t="n"/>
      <c r="AQ389" s="9" t="n"/>
      <c r="AR389" s="9" t="n"/>
      <c r="AS389" s="9" t="n"/>
      <c r="AT389" s="8" t="n"/>
      <c r="AU389" s="8" t="n"/>
      <c r="AV389" s="9" t="n"/>
      <c r="AW389" s="8" t="n"/>
      <c r="AX389" s="9" t="n"/>
      <c r="AY389" s="9" t="n"/>
      <c r="AZ389" s="9" t="n"/>
      <c r="BA389" s="9" t="n"/>
      <c r="BB389" s="9" t="n"/>
      <c r="BC389" s="9" t="n"/>
      <c r="BD389" s="9" t="n"/>
      <c r="BE389" s="9" t="n"/>
      <c r="BF389" s="9" t="n"/>
      <c r="BG389" s="9" t="n"/>
      <c r="BH389" s="9" t="n"/>
      <c r="BI389" s="9" t="n"/>
      <c r="BJ389" s="9" t="n"/>
      <c r="BK389" s="9" t="n"/>
      <c r="BL389" s="9" t="n"/>
      <c r="BM389" s="9" t="n"/>
      <c r="BN389" s="9" t="n"/>
      <c r="BO389" s="8" t="n"/>
      <c r="BP389" s="9" t="n"/>
      <c r="BQ389" s="9" t="n"/>
      <c r="BR389" s="12">
        <f>IF(AND(AI389="Y",AK389="Y",AL389="Y",AM389="Y",AY389="Y",AZ389="Y",BA389="Y",BB389="Y",BC389="Y",BE389&lt;&gt;"Y",AX389&lt;&gt;"Y",BL389&lt;&gt;"Y",IF(AS389="Y",AV389="Y",TRUE)),"Y","N")</f>
        <v/>
      </c>
      <c r="BS389" s="12">
        <f>IF(AND(BR389="Y",OR(AND(BJ389="Y",BM389="Y"),AND(BK389="Y",BN389="Y"),AND(BJ389&lt;&gt;"Y",BK389&lt;&gt;"Y",OR(BM389="Y",BN389="Y")))),"Y","N")</f>
        <v/>
      </c>
      <c r="BT389" s="10" t="n"/>
      <c r="BU389" s="13" t="n"/>
      <c r="BV389" s="13" t="n"/>
      <c r="BW389" s="13" t="n"/>
      <c r="BX389" s="13" t="n"/>
      <c r="BY389" s="13" t="n"/>
      <c r="BZ389" s="13" t="n"/>
      <c r="CA389" s="14" t="n"/>
      <c r="CB389" s="13" t="n"/>
      <c r="CC389" s="9" t="n"/>
      <c r="CD389" s="9" t="n"/>
      <c r="CE389" s="9" t="n"/>
      <c r="CF389" s="9" t="n"/>
      <c r="CG389" s="9" t="n"/>
      <c r="CH389" s="9" t="n"/>
    </row>
    <row r="390">
      <c r="A390" s="8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8" t="n"/>
      <c r="L390" s="9" t="n"/>
      <c r="M390" s="8" t="n"/>
      <c r="N390" s="8" t="n"/>
      <c r="O390" s="8" t="n"/>
      <c r="P390" s="8" t="n"/>
      <c r="Q390" s="8" t="n"/>
      <c r="R390" s="9" t="n"/>
      <c r="S390" s="9" t="n"/>
      <c r="T390" s="10" t="n"/>
      <c r="U390" s="10" t="n"/>
      <c r="V390" s="9" t="n"/>
      <c r="W390" s="9" t="n"/>
      <c r="X390" s="9" t="n"/>
      <c r="Y390" s="9" t="n"/>
      <c r="Z390" s="11" t="n"/>
      <c r="AA390" s="11" t="n"/>
      <c r="AB390" s="11" t="n"/>
      <c r="AC390" s="11" t="n"/>
      <c r="AD390" s="11" t="n"/>
      <c r="AE390" s="11" t="n"/>
      <c r="AF390" s="9" t="n"/>
      <c r="AG390" s="9" t="n"/>
      <c r="AH390" s="9" t="n"/>
      <c r="AI390" s="9" t="n"/>
      <c r="AJ390" s="8" t="n"/>
      <c r="AK390" s="9" t="n"/>
      <c r="AL390" s="9" t="n"/>
      <c r="AM390" s="9" t="n"/>
      <c r="AN390" s="9" t="n"/>
      <c r="AO390" s="9" t="n"/>
      <c r="AP390" s="9" t="n"/>
      <c r="AQ390" s="9" t="n"/>
      <c r="AR390" s="9" t="n"/>
      <c r="AS390" s="9" t="n"/>
      <c r="AT390" s="8" t="n"/>
      <c r="AU390" s="8" t="n"/>
      <c r="AV390" s="9" t="n"/>
      <c r="AW390" s="8" t="n"/>
      <c r="AX390" s="9" t="n"/>
      <c r="AY390" s="9" t="n"/>
      <c r="AZ390" s="9" t="n"/>
      <c r="BA390" s="9" t="n"/>
      <c r="BB390" s="9" t="n"/>
      <c r="BC390" s="9" t="n"/>
      <c r="BD390" s="9" t="n"/>
      <c r="BE390" s="9" t="n"/>
      <c r="BF390" s="9" t="n"/>
      <c r="BG390" s="9" t="n"/>
      <c r="BH390" s="9" t="n"/>
      <c r="BI390" s="9" t="n"/>
      <c r="BJ390" s="9" t="n"/>
      <c r="BK390" s="9" t="n"/>
      <c r="BL390" s="9" t="n"/>
      <c r="BM390" s="9" t="n"/>
      <c r="BN390" s="9" t="n"/>
      <c r="BO390" s="8" t="n"/>
      <c r="BP390" s="9" t="n"/>
      <c r="BQ390" s="9" t="n"/>
      <c r="BR390" s="12">
        <f>IF(AND(AI390="Y",AK390="Y",AL390="Y",AM390="Y",AY390="Y",AZ390="Y",BA390="Y",BB390="Y",BC390="Y",BE390&lt;&gt;"Y",AX390&lt;&gt;"Y",BL390&lt;&gt;"Y",IF(AS390="Y",AV390="Y",TRUE)),"Y","N")</f>
        <v/>
      </c>
      <c r="BS390" s="12">
        <f>IF(AND(BR390="Y",OR(AND(BJ390="Y",BM390="Y"),AND(BK390="Y",BN390="Y"),AND(BJ390&lt;&gt;"Y",BK390&lt;&gt;"Y",OR(BM390="Y",BN390="Y")))),"Y","N")</f>
        <v/>
      </c>
      <c r="BT390" s="10" t="n"/>
      <c r="BU390" s="13" t="n"/>
      <c r="BV390" s="13" t="n"/>
      <c r="BW390" s="13" t="n"/>
      <c r="BX390" s="13" t="n"/>
      <c r="BY390" s="13" t="n"/>
      <c r="BZ390" s="13" t="n"/>
      <c r="CA390" s="14" t="n"/>
      <c r="CB390" s="13" t="n"/>
      <c r="CC390" s="9" t="n"/>
      <c r="CD390" s="9" t="n"/>
      <c r="CE390" s="9" t="n"/>
      <c r="CF390" s="9" t="n"/>
      <c r="CG390" s="9" t="n"/>
      <c r="CH390" s="9" t="n"/>
    </row>
    <row r="391">
      <c r="A391" s="8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8" t="n"/>
      <c r="L391" s="9" t="n"/>
      <c r="M391" s="8" t="n"/>
      <c r="N391" s="8" t="n"/>
      <c r="O391" s="8" t="n"/>
      <c r="P391" s="8" t="n"/>
      <c r="Q391" s="8" t="n"/>
      <c r="R391" s="9" t="n"/>
      <c r="S391" s="9" t="n"/>
      <c r="T391" s="10" t="n"/>
      <c r="U391" s="10" t="n"/>
      <c r="V391" s="9" t="n"/>
      <c r="W391" s="9" t="n"/>
      <c r="X391" s="9" t="n"/>
      <c r="Y391" s="9" t="n"/>
      <c r="Z391" s="11" t="n"/>
      <c r="AA391" s="11" t="n"/>
      <c r="AB391" s="11" t="n"/>
      <c r="AC391" s="11" t="n"/>
      <c r="AD391" s="11" t="n"/>
      <c r="AE391" s="11" t="n"/>
      <c r="AF391" s="9" t="n"/>
      <c r="AG391" s="9" t="n"/>
      <c r="AH391" s="9" t="n"/>
      <c r="AI391" s="9" t="n"/>
      <c r="AJ391" s="8" t="n"/>
      <c r="AK391" s="9" t="n"/>
      <c r="AL391" s="9" t="n"/>
      <c r="AM391" s="9" t="n"/>
      <c r="AN391" s="9" t="n"/>
      <c r="AO391" s="9" t="n"/>
      <c r="AP391" s="9" t="n"/>
      <c r="AQ391" s="9" t="n"/>
      <c r="AR391" s="9" t="n"/>
      <c r="AS391" s="9" t="n"/>
      <c r="AT391" s="8" t="n"/>
      <c r="AU391" s="8" t="n"/>
      <c r="AV391" s="9" t="n"/>
      <c r="AW391" s="8" t="n"/>
      <c r="AX391" s="9" t="n"/>
      <c r="AY391" s="9" t="n"/>
      <c r="AZ391" s="9" t="n"/>
      <c r="BA391" s="9" t="n"/>
      <c r="BB391" s="9" t="n"/>
      <c r="BC391" s="9" t="n"/>
      <c r="BD391" s="9" t="n"/>
      <c r="BE391" s="9" t="n"/>
      <c r="BF391" s="9" t="n"/>
      <c r="BG391" s="9" t="n"/>
      <c r="BH391" s="9" t="n"/>
      <c r="BI391" s="9" t="n"/>
      <c r="BJ391" s="9" t="n"/>
      <c r="BK391" s="9" t="n"/>
      <c r="BL391" s="9" t="n"/>
      <c r="BM391" s="9" t="n"/>
      <c r="BN391" s="9" t="n"/>
      <c r="BO391" s="8" t="n"/>
      <c r="BP391" s="9" t="n"/>
      <c r="BQ391" s="9" t="n"/>
      <c r="BR391" s="12">
        <f>IF(AND(AI391="Y",AK391="Y",AL391="Y",AM391="Y",AY391="Y",AZ391="Y",BA391="Y",BB391="Y",BC391="Y",BE391&lt;&gt;"Y",AX391&lt;&gt;"Y",BL391&lt;&gt;"Y",IF(AS391="Y",AV391="Y",TRUE)),"Y","N")</f>
        <v/>
      </c>
      <c r="BS391" s="12">
        <f>IF(AND(BR391="Y",OR(AND(BJ391="Y",BM391="Y"),AND(BK391="Y",BN391="Y"),AND(BJ391&lt;&gt;"Y",BK391&lt;&gt;"Y",OR(BM391="Y",BN391="Y")))),"Y","N")</f>
        <v/>
      </c>
      <c r="BT391" s="10" t="n"/>
      <c r="BU391" s="13" t="n"/>
      <c r="BV391" s="13" t="n"/>
      <c r="BW391" s="13" t="n"/>
      <c r="BX391" s="13" t="n"/>
      <c r="BY391" s="13" t="n"/>
      <c r="BZ391" s="13" t="n"/>
      <c r="CA391" s="14" t="n"/>
      <c r="CB391" s="13" t="n"/>
      <c r="CC391" s="9" t="n"/>
      <c r="CD391" s="9" t="n"/>
      <c r="CE391" s="9" t="n"/>
      <c r="CF391" s="9" t="n"/>
      <c r="CG391" s="9" t="n"/>
      <c r="CH391" s="9" t="n"/>
    </row>
    <row r="392">
      <c r="A392" s="8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8" t="n"/>
      <c r="L392" s="9" t="n"/>
      <c r="M392" s="8" t="n"/>
      <c r="N392" s="8" t="n"/>
      <c r="O392" s="8" t="n"/>
      <c r="P392" s="8" t="n"/>
      <c r="Q392" s="8" t="n"/>
      <c r="R392" s="9" t="n"/>
      <c r="S392" s="9" t="n"/>
      <c r="T392" s="10" t="n"/>
      <c r="U392" s="10" t="n"/>
      <c r="V392" s="9" t="n"/>
      <c r="W392" s="9" t="n"/>
      <c r="X392" s="9" t="n"/>
      <c r="Y392" s="9" t="n"/>
      <c r="Z392" s="11" t="n"/>
      <c r="AA392" s="11" t="n"/>
      <c r="AB392" s="11" t="n"/>
      <c r="AC392" s="11" t="n"/>
      <c r="AD392" s="11" t="n"/>
      <c r="AE392" s="11" t="n"/>
      <c r="AF392" s="9" t="n"/>
      <c r="AG392" s="9" t="n"/>
      <c r="AH392" s="9" t="n"/>
      <c r="AI392" s="9" t="n"/>
      <c r="AJ392" s="8" t="n"/>
      <c r="AK392" s="9" t="n"/>
      <c r="AL392" s="9" t="n"/>
      <c r="AM392" s="9" t="n"/>
      <c r="AN392" s="9" t="n"/>
      <c r="AO392" s="9" t="n"/>
      <c r="AP392" s="9" t="n"/>
      <c r="AQ392" s="9" t="n"/>
      <c r="AR392" s="9" t="n"/>
      <c r="AS392" s="9" t="n"/>
      <c r="AT392" s="8" t="n"/>
      <c r="AU392" s="8" t="n"/>
      <c r="AV392" s="9" t="n"/>
      <c r="AW392" s="8" t="n"/>
      <c r="AX392" s="9" t="n"/>
      <c r="AY392" s="9" t="n"/>
      <c r="AZ392" s="9" t="n"/>
      <c r="BA392" s="9" t="n"/>
      <c r="BB392" s="9" t="n"/>
      <c r="BC392" s="9" t="n"/>
      <c r="BD392" s="9" t="n"/>
      <c r="BE392" s="9" t="n"/>
      <c r="BF392" s="9" t="n"/>
      <c r="BG392" s="9" t="n"/>
      <c r="BH392" s="9" t="n"/>
      <c r="BI392" s="9" t="n"/>
      <c r="BJ392" s="9" t="n"/>
      <c r="BK392" s="9" t="n"/>
      <c r="BL392" s="9" t="n"/>
      <c r="BM392" s="9" t="n"/>
      <c r="BN392" s="9" t="n"/>
      <c r="BO392" s="8" t="n"/>
      <c r="BP392" s="9" t="n"/>
      <c r="BQ392" s="9" t="n"/>
      <c r="BR392" s="12">
        <f>IF(AND(AI392="Y",AK392="Y",AL392="Y",AM392="Y",AY392="Y",AZ392="Y",BA392="Y",BB392="Y",BC392="Y",BE392&lt;&gt;"Y",AX392&lt;&gt;"Y",BL392&lt;&gt;"Y",IF(AS392="Y",AV392="Y",TRUE)),"Y","N")</f>
        <v/>
      </c>
      <c r="BS392" s="12">
        <f>IF(AND(BR392="Y",OR(AND(BJ392="Y",BM392="Y"),AND(BK392="Y",BN392="Y"),AND(BJ392&lt;&gt;"Y",BK392&lt;&gt;"Y",OR(BM392="Y",BN392="Y")))),"Y","N")</f>
        <v/>
      </c>
      <c r="BT392" s="10" t="n"/>
      <c r="BU392" s="13" t="n"/>
      <c r="BV392" s="13" t="n"/>
      <c r="BW392" s="13" t="n"/>
      <c r="BX392" s="13" t="n"/>
      <c r="BY392" s="13" t="n"/>
      <c r="BZ392" s="13" t="n"/>
      <c r="CA392" s="14" t="n"/>
      <c r="CB392" s="13" t="n"/>
      <c r="CC392" s="9" t="n"/>
      <c r="CD392" s="9" t="n"/>
      <c r="CE392" s="9" t="n"/>
      <c r="CF392" s="9" t="n"/>
      <c r="CG392" s="9" t="n"/>
      <c r="CH392" s="9" t="n"/>
    </row>
    <row r="393">
      <c r="A393" s="8" t="n"/>
      <c r="B393" s="9" t="n"/>
      <c r="C393" s="9" t="n"/>
      <c r="D393" s="9" t="n"/>
      <c r="E393" s="9" t="n"/>
      <c r="F393" s="9" t="n"/>
      <c r="G393" s="9" t="n"/>
      <c r="H393" s="9" t="n"/>
      <c r="I393" s="9" t="n"/>
      <c r="J393" s="9" t="n"/>
      <c r="K393" s="8" t="n"/>
      <c r="L393" s="9" t="n"/>
      <c r="M393" s="8" t="n"/>
      <c r="N393" s="8" t="n"/>
      <c r="O393" s="8" t="n"/>
      <c r="P393" s="8" t="n"/>
      <c r="Q393" s="8" t="n"/>
      <c r="R393" s="9" t="n"/>
      <c r="S393" s="9" t="n"/>
      <c r="T393" s="10" t="n"/>
      <c r="U393" s="10" t="n"/>
      <c r="V393" s="9" t="n"/>
      <c r="W393" s="9" t="n"/>
      <c r="X393" s="9" t="n"/>
      <c r="Y393" s="9" t="n"/>
      <c r="Z393" s="11" t="n"/>
      <c r="AA393" s="11" t="n"/>
      <c r="AB393" s="11" t="n"/>
      <c r="AC393" s="11" t="n"/>
      <c r="AD393" s="11" t="n"/>
      <c r="AE393" s="11" t="n"/>
      <c r="AF393" s="9" t="n"/>
      <c r="AG393" s="9" t="n"/>
      <c r="AH393" s="9" t="n"/>
      <c r="AI393" s="9" t="n"/>
      <c r="AJ393" s="8" t="n"/>
      <c r="AK393" s="9" t="n"/>
      <c r="AL393" s="9" t="n"/>
      <c r="AM393" s="9" t="n"/>
      <c r="AN393" s="9" t="n"/>
      <c r="AO393" s="9" t="n"/>
      <c r="AP393" s="9" t="n"/>
      <c r="AQ393" s="9" t="n"/>
      <c r="AR393" s="9" t="n"/>
      <c r="AS393" s="9" t="n"/>
      <c r="AT393" s="8" t="n"/>
      <c r="AU393" s="8" t="n"/>
      <c r="AV393" s="9" t="n"/>
      <c r="AW393" s="8" t="n"/>
      <c r="AX393" s="9" t="n"/>
      <c r="AY393" s="9" t="n"/>
      <c r="AZ393" s="9" t="n"/>
      <c r="BA393" s="9" t="n"/>
      <c r="BB393" s="9" t="n"/>
      <c r="BC393" s="9" t="n"/>
      <c r="BD393" s="9" t="n"/>
      <c r="BE393" s="9" t="n"/>
      <c r="BF393" s="9" t="n"/>
      <c r="BG393" s="9" t="n"/>
      <c r="BH393" s="9" t="n"/>
      <c r="BI393" s="9" t="n"/>
      <c r="BJ393" s="9" t="n"/>
      <c r="BK393" s="9" t="n"/>
      <c r="BL393" s="9" t="n"/>
      <c r="BM393" s="9" t="n"/>
      <c r="BN393" s="9" t="n"/>
      <c r="BO393" s="8" t="n"/>
      <c r="BP393" s="9" t="n"/>
      <c r="BQ393" s="9" t="n"/>
      <c r="BR393" s="12">
        <f>IF(AND(AI393="Y",AK393="Y",AL393="Y",AM393="Y",AY393="Y",AZ393="Y",BA393="Y",BB393="Y",BC393="Y",BE393&lt;&gt;"Y",AX393&lt;&gt;"Y",BL393&lt;&gt;"Y",IF(AS393="Y",AV393="Y",TRUE)),"Y","N")</f>
        <v/>
      </c>
      <c r="BS393" s="12">
        <f>IF(AND(BR393="Y",OR(AND(BJ393="Y",BM393="Y"),AND(BK393="Y",BN393="Y"),AND(BJ393&lt;&gt;"Y",BK393&lt;&gt;"Y",OR(BM393="Y",BN393="Y")))),"Y","N")</f>
        <v/>
      </c>
      <c r="BT393" s="10" t="n"/>
      <c r="BU393" s="13" t="n"/>
      <c r="BV393" s="13" t="n"/>
      <c r="BW393" s="13" t="n"/>
      <c r="BX393" s="13" t="n"/>
      <c r="BY393" s="13" t="n"/>
      <c r="BZ393" s="13" t="n"/>
      <c r="CA393" s="14" t="n"/>
      <c r="CB393" s="13" t="n"/>
      <c r="CC393" s="9" t="n"/>
      <c r="CD393" s="9" t="n"/>
      <c r="CE393" s="9" t="n"/>
      <c r="CF393" s="9" t="n"/>
      <c r="CG393" s="9" t="n"/>
      <c r="CH393" s="9" t="n"/>
    </row>
    <row r="394">
      <c r="A394" s="8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8" t="n"/>
      <c r="L394" s="9" t="n"/>
      <c r="M394" s="8" t="n"/>
      <c r="N394" s="8" t="n"/>
      <c r="O394" s="8" t="n"/>
      <c r="P394" s="8" t="n"/>
      <c r="Q394" s="8" t="n"/>
      <c r="R394" s="9" t="n"/>
      <c r="S394" s="9" t="n"/>
      <c r="T394" s="10" t="n"/>
      <c r="U394" s="10" t="n"/>
      <c r="V394" s="9" t="n"/>
      <c r="W394" s="9" t="n"/>
      <c r="X394" s="9" t="n"/>
      <c r="Y394" s="9" t="n"/>
      <c r="Z394" s="11" t="n"/>
      <c r="AA394" s="11" t="n"/>
      <c r="AB394" s="11" t="n"/>
      <c r="AC394" s="11" t="n"/>
      <c r="AD394" s="11" t="n"/>
      <c r="AE394" s="11" t="n"/>
      <c r="AF394" s="9" t="n"/>
      <c r="AG394" s="9" t="n"/>
      <c r="AH394" s="9" t="n"/>
      <c r="AI394" s="9" t="n"/>
      <c r="AJ394" s="8" t="n"/>
      <c r="AK394" s="9" t="n"/>
      <c r="AL394" s="9" t="n"/>
      <c r="AM394" s="9" t="n"/>
      <c r="AN394" s="9" t="n"/>
      <c r="AO394" s="9" t="n"/>
      <c r="AP394" s="9" t="n"/>
      <c r="AQ394" s="9" t="n"/>
      <c r="AR394" s="9" t="n"/>
      <c r="AS394" s="9" t="n"/>
      <c r="AT394" s="8" t="n"/>
      <c r="AU394" s="8" t="n"/>
      <c r="AV394" s="9" t="n"/>
      <c r="AW394" s="8" t="n"/>
      <c r="AX394" s="9" t="n"/>
      <c r="AY394" s="9" t="n"/>
      <c r="AZ394" s="9" t="n"/>
      <c r="BA394" s="9" t="n"/>
      <c r="BB394" s="9" t="n"/>
      <c r="BC394" s="9" t="n"/>
      <c r="BD394" s="9" t="n"/>
      <c r="BE394" s="9" t="n"/>
      <c r="BF394" s="9" t="n"/>
      <c r="BG394" s="9" t="n"/>
      <c r="BH394" s="9" t="n"/>
      <c r="BI394" s="9" t="n"/>
      <c r="BJ394" s="9" t="n"/>
      <c r="BK394" s="9" t="n"/>
      <c r="BL394" s="9" t="n"/>
      <c r="BM394" s="9" t="n"/>
      <c r="BN394" s="9" t="n"/>
      <c r="BO394" s="8" t="n"/>
      <c r="BP394" s="9" t="n"/>
      <c r="BQ394" s="9" t="n"/>
      <c r="BR394" s="12">
        <f>IF(AND(AI394="Y",AK394="Y",AL394="Y",AM394="Y",AY394="Y",AZ394="Y",BA394="Y",BB394="Y",BC394="Y",BE394&lt;&gt;"Y",AX394&lt;&gt;"Y",BL394&lt;&gt;"Y",IF(AS394="Y",AV394="Y",TRUE)),"Y","N")</f>
        <v/>
      </c>
      <c r="BS394" s="12">
        <f>IF(AND(BR394="Y",OR(AND(BJ394="Y",BM394="Y"),AND(BK394="Y",BN394="Y"),AND(BJ394&lt;&gt;"Y",BK394&lt;&gt;"Y",OR(BM394="Y",BN394="Y")))),"Y","N")</f>
        <v/>
      </c>
      <c r="BT394" s="10" t="n"/>
      <c r="BU394" s="13" t="n"/>
      <c r="BV394" s="13" t="n"/>
      <c r="BW394" s="13" t="n"/>
      <c r="BX394" s="13" t="n"/>
      <c r="BY394" s="13" t="n"/>
      <c r="BZ394" s="13" t="n"/>
      <c r="CA394" s="14" t="n"/>
      <c r="CB394" s="13" t="n"/>
      <c r="CC394" s="9" t="n"/>
      <c r="CD394" s="9" t="n"/>
      <c r="CE394" s="9" t="n"/>
      <c r="CF394" s="9" t="n"/>
      <c r="CG394" s="9" t="n"/>
      <c r="CH394" s="9" t="n"/>
    </row>
    <row r="395">
      <c r="A395" s="8" t="n"/>
      <c r="B395" s="9" t="n"/>
      <c r="C395" s="9" t="n"/>
      <c r="D395" s="9" t="n"/>
      <c r="E395" s="9" t="n"/>
      <c r="F395" s="9" t="n"/>
      <c r="G395" s="9" t="n"/>
      <c r="H395" s="9" t="n"/>
      <c r="I395" s="9" t="n"/>
      <c r="J395" s="9" t="n"/>
      <c r="K395" s="8" t="n"/>
      <c r="L395" s="9" t="n"/>
      <c r="M395" s="8" t="n"/>
      <c r="N395" s="8" t="n"/>
      <c r="O395" s="8" t="n"/>
      <c r="P395" s="8" t="n"/>
      <c r="Q395" s="8" t="n"/>
      <c r="R395" s="9" t="n"/>
      <c r="S395" s="9" t="n"/>
      <c r="T395" s="10" t="n"/>
      <c r="U395" s="10" t="n"/>
      <c r="V395" s="9" t="n"/>
      <c r="W395" s="9" t="n"/>
      <c r="X395" s="9" t="n"/>
      <c r="Y395" s="9" t="n"/>
      <c r="Z395" s="11" t="n"/>
      <c r="AA395" s="11" t="n"/>
      <c r="AB395" s="11" t="n"/>
      <c r="AC395" s="11" t="n"/>
      <c r="AD395" s="11" t="n"/>
      <c r="AE395" s="11" t="n"/>
      <c r="AF395" s="9" t="n"/>
      <c r="AG395" s="9" t="n"/>
      <c r="AH395" s="9" t="n"/>
      <c r="AI395" s="9" t="n"/>
      <c r="AJ395" s="8" t="n"/>
      <c r="AK395" s="9" t="n"/>
      <c r="AL395" s="9" t="n"/>
      <c r="AM395" s="9" t="n"/>
      <c r="AN395" s="9" t="n"/>
      <c r="AO395" s="9" t="n"/>
      <c r="AP395" s="9" t="n"/>
      <c r="AQ395" s="9" t="n"/>
      <c r="AR395" s="9" t="n"/>
      <c r="AS395" s="9" t="n"/>
      <c r="AT395" s="8" t="n"/>
      <c r="AU395" s="8" t="n"/>
      <c r="AV395" s="9" t="n"/>
      <c r="AW395" s="8" t="n"/>
      <c r="AX395" s="9" t="n"/>
      <c r="AY395" s="9" t="n"/>
      <c r="AZ395" s="9" t="n"/>
      <c r="BA395" s="9" t="n"/>
      <c r="BB395" s="9" t="n"/>
      <c r="BC395" s="9" t="n"/>
      <c r="BD395" s="9" t="n"/>
      <c r="BE395" s="9" t="n"/>
      <c r="BF395" s="9" t="n"/>
      <c r="BG395" s="9" t="n"/>
      <c r="BH395" s="9" t="n"/>
      <c r="BI395" s="9" t="n"/>
      <c r="BJ395" s="9" t="n"/>
      <c r="BK395" s="9" t="n"/>
      <c r="BL395" s="9" t="n"/>
      <c r="BM395" s="9" t="n"/>
      <c r="BN395" s="9" t="n"/>
      <c r="BO395" s="8" t="n"/>
      <c r="BP395" s="9" t="n"/>
      <c r="BQ395" s="9" t="n"/>
      <c r="BR395" s="12">
        <f>IF(AND(AI395="Y",AK395="Y",AL395="Y",AM395="Y",AY395="Y",AZ395="Y",BA395="Y",BB395="Y",BC395="Y",BE395&lt;&gt;"Y",AX395&lt;&gt;"Y",BL395&lt;&gt;"Y",IF(AS395="Y",AV395="Y",TRUE)),"Y","N")</f>
        <v/>
      </c>
      <c r="BS395" s="12">
        <f>IF(AND(BR395="Y",OR(AND(BJ395="Y",BM395="Y"),AND(BK395="Y",BN395="Y"),AND(BJ395&lt;&gt;"Y",BK395&lt;&gt;"Y",OR(BM395="Y",BN395="Y")))),"Y","N")</f>
        <v/>
      </c>
      <c r="BT395" s="10" t="n"/>
      <c r="BU395" s="13" t="n"/>
      <c r="BV395" s="13" t="n"/>
      <c r="BW395" s="13" t="n"/>
      <c r="BX395" s="13" t="n"/>
      <c r="BY395" s="13" t="n"/>
      <c r="BZ395" s="13" t="n"/>
      <c r="CA395" s="14" t="n"/>
      <c r="CB395" s="13" t="n"/>
      <c r="CC395" s="9" t="n"/>
      <c r="CD395" s="9" t="n"/>
      <c r="CE395" s="9" t="n"/>
      <c r="CF395" s="9" t="n"/>
      <c r="CG395" s="9" t="n"/>
      <c r="CH395" s="9" t="n"/>
    </row>
    <row r="396">
      <c r="A396" s="8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8" t="n"/>
      <c r="L396" s="9" t="n"/>
      <c r="M396" s="8" t="n"/>
      <c r="N396" s="8" t="n"/>
      <c r="O396" s="8" t="n"/>
      <c r="P396" s="8" t="n"/>
      <c r="Q396" s="8" t="n"/>
      <c r="R396" s="9" t="n"/>
      <c r="S396" s="9" t="n"/>
      <c r="T396" s="10" t="n"/>
      <c r="U396" s="10" t="n"/>
      <c r="V396" s="9" t="n"/>
      <c r="W396" s="9" t="n"/>
      <c r="X396" s="9" t="n"/>
      <c r="Y396" s="9" t="n"/>
      <c r="Z396" s="11" t="n"/>
      <c r="AA396" s="11" t="n"/>
      <c r="AB396" s="11" t="n"/>
      <c r="AC396" s="11" t="n"/>
      <c r="AD396" s="11" t="n"/>
      <c r="AE396" s="11" t="n"/>
      <c r="AF396" s="9" t="n"/>
      <c r="AG396" s="9" t="n"/>
      <c r="AH396" s="9" t="n"/>
      <c r="AI396" s="9" t="n"/>
      <c r="AJ396" s="8" t="n"/>
      <c r="AK396" s="9" t="n"/>
      <c r="AL396" s="9" t="n"/>
      <c r="AM396" s="9" t="n"/>
      <c r="AN396" s="9" t="n"/>
      <c r="AO396" s="9" t="n"/>
      <c r="AP396" s="9" t="n"/>
      <c r="AQ396" s="9" t="n"/>
      <c r="AR396" s="9" t="n"/>
      <c r="AS396" s="9" t="n"/>
      <c r="AT396" s="8" t="n"/>
      <c r="AU396" s="8" t="n"/>
      <c r="AV396" s="9" t="n"/>
      <c r="AW396" s="8" t="n"/>
      <c r="AX396" s="9" t="n"/>
      <c r="AY396" s="9" t="n"/>
      <c r="AZ396" s="9" t="n"/>
      <c r="BA396" s="9" t="n"/>
      <c r="BB396" s="9" t="n"/>
      <c r="BC396" s="9" t="n"/>
      <c r="BD396" s="9" t="n"/>
      <c r="BE396" s="9" t="n"/>
      <c r="BF396" s="9" t="n"/>
      <c r="BG396" s="9" t="n"/>
      <c r="BH396" s="9" t="n"/>
      <c r="BI396" s="9" t="n"/>
      <c r="BJ396" s="9" t="n"/>
      <c r="BK396" s="9" t="n"/>
      <c r="BL396" s="9" t="n"/>
      <c r="BM396" s="9" t="n"/>
      <c r="BN396" s="9" t="n"/>
      <c r="BO396" s="8" t="n"/>
      <c r="BP396" s="9" t="n"/>
      <c r="BQ396" s="9" t="n"/>
      <c r="BR396" s="12">
        <f>IF(AND(AI396="Y",AK396="Y",AL396="Y",AM396="Y",AY396="Y",AZ396="Y",BA396="Y",BB396="Y",BC396="Y",BE396&lt;&gt;"Y",AX396&lt;&gt;"Y",BL396&lt;&gt;"Y",IF(AS396="Y",AV396="Y",TRUE)),"Y","N")</f>
        <v/>
      </c>
      <c r="BS396" s="12">
        <f>IF(AND(BR396="Y",OR(AND(BJ396="Y",BM396="Y"),AND(BK396="Y",BN396="Y"),AND(BJ396&lt;&gt;"Y",BK396&lt;&gt;"Y",OR(BM396="Y",BN396="Y")))),"Y","N")</f>
        <v/>
      </c>
      <c r="BT396" s="10" t="n"/>
      <c r="BU396" s="13" t="n"/>
      <c r="BV396" s="13" t="n"/>
      <c r="BW396" s="13" t="n"/>
      <c r="BX396" s="13" t="n"/>
      <c r="BY396" s="13" t="n"/>
      <c r="BZ396" s="13" t="n"/>
      <c r="CA396" s="14" t="n"/>
      <c r="CB396" s="13" t="n"/>
      <c r="CC396" s="9" t="n"/>
      <c r="CD396" s="9" t="n"/>
      <c r="CE396" s="9" t="n"/>
      <c r="CF396" s="9" t="n"/>
      <c r="CG396" s="9" t="n"/>
      <c r="CH396" s="9" t="n"/>
    </row>
    <row r="397">
      <c r="A397" s="8" t="n"/>
      <c r="B397" s="9" t="n"/>
      <c r="C397" s="9" t="n"/>
      <c r="D397" s="9" t="n"/>
      <c r="E397" s="9" t="n"/>
      <c r="F397" s="9" t="n"/>
      <c r="G397" s="9" t="n"/>
      <c r="H397" s="9" t="n"/>
      <c r="I397" s="9" t="n"/>
      <c r="J397" s="9" t="n"/>
      <c r="K397" s="8" t="n"/>
      <c r="L397" s="9" t="n"/>
      <c r="M397" s="8" t="n"/>
      <c r="N397" s="8" t="n"/>
      <c r="O397" s="8" t="n"/>
      <c r="P397" s="8" t="n"/>
      <c r="Q397" s="8" t="n"/>
      <c r="R397" s="9" t="n"/>
      <c r="S397" s="9" t="n"/>
      <c r="T397" s="10" t="n"/>
      <c r="U397" s="10" t="n"/>
      <c r="V397" s="9" t="n"/>
      <c r="W397" s="9" t="n"/>
      <c r="X397" s="9" t="n"/>
      <c r="Y397" s="9" t="n"/>
      <c r="Z397" s="11" t="n"/>
      <c r="AA397" s="11" t="n"/>
      <c r="AB397" s="11" t="n"/>
      <c r="AC397" s="11" t="n"/>
      <c r="AD397" s="11" t="n"/>
      <c r="AE397" s="11" t="n"/>
      <c r="AF397" s="9" t="n"/>
      <c r="AG397" s="9" t="n"/>
      <c r="AH397" s="9" t="n"/>
      <c r="AI397" s="9" t="n"/>
      <c r="AJ397" s="8" t="n"/>
      <c r="AK397" s="9" t="n"/>
      <c r="AL397" s="9" t="n"/>
      <c r="AM397" s="9" t="n"/>
      <c r="AN397" s="9" t="n"/>
      <c r="AO397" s="9" t="n"/>
      <c r="AP397" s="9" t="n"/>
      <c r="AQ397" s="9" t="n"/>
      <c r="AR397" s="9" t="n"/>
      <c r="AS397" s="9" t="n"/>
      <c r="AT397" s="8" t="n"/>
      <c r="AU397" s="8" t="n"/>
      <c r="AV397" s="9" t="n"/>
      <c r="AW397" s="8" t="n"/>
      <c r="AX397" s="9" t="n"/>
      <c r="AY397" s="9" t="n"/>
      <c r="AZ397" s="9" t="n"/>
      <c r="BA397" s="9" t="n"/>
      <c r="BB397" s="9" t="n"/>
      <c r="BC397" s="9" t="n"/>
      <c r="BD397" s="9" t="n"/>
      <c r="BE397" s="9" t="n"/>
      <c r="BF397" s="9" t="n"/>
      <c r="BG397" s="9" t="n"/>
      <c r="BH397" s="9" t="n"/>
      <c r="BI397" s="9" t="n"/>
      <c r="BJ397" s="9" t="n"/>
      <c r="BK397" s="9" t="n"/>
      <c r="BL397" s="9" t="n"/>
      <c r="BM397" s="9" t="n"/>
      <c r="BN397" s="9" t="n"/>
      <c r="BO397" s="8" t="n"/>
      <c r="BP397" s="9" t="n"/>
      <c r="BQ397" s="9" t="n"/>
      <c r="BR397" s="12">
        <f>IF(AND(AI397="Y",AK397="Y",AL397="Y",AM397="Y",AY397="Y",AZ397="Y",BA397="Y",BB397="Y",BC397="Y",BE397&lt;&gt;"Y",AX397&lt;&gt;"Y",BL397&lt;&gt;"Y",IF(AS397="Y",AV397="Y",TRUE)),"Y","N")</f>
        <v/>
      </c>
      <c r="BS397" s="12">
        <f>IF(AND(BR397="Y",OR(AND(BJ397="Y",BM397="Y"),AND(BK397="Y",BN397="Y"),AND(BJ397&lt;&gt;"Y",BK397&lt;&gt;"Y",OR(BM397="Y",BN397="Y")))),"Y","N")</f>
        <v/>
      </c>
      <c r="BT397" s="10" t="n"/>
      <c r="BU397" s="13" t="n"/>
      <c r="BV397" s="13" t="n"/>
      <c r="BW397" s="13" t="n"/>
      <c r="BX397" s="13" t="n"/>
      <c r="BY397" s="13" t="n"/>
      <c r="BZ397" s="13" t="n"/>
      <c r="CA397" s="14" t="n"/>
      <c r="CB397" s="13" t="n"/>
      <c r="CC397" s="9" t="n"/>
      <c r="CD397" s="9" t="n"/>
      <c r="CE397" s="9" t="n"/>
      <c r="CF397" s="9" t="n"/>
      <c r="CG397" s="9" t="n"/>
      <c r="CH397" s="9" t="n"/>
    </row>
    <row r="398">
      <c r="A398" s="8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8" t="n"/>
      <c r="L398" s="9" t="n"/>
      <c r="M398" s="8" t="n"/>
      <c r="N398" s="8" t="n"/>
      <c r="O398" s="8" t="n"/>
      <c r="P398" s="8" t="n"/>
      <c r="Q398" s="8" t="n"/>
      <c r="R398" s="9" t="n"/>
      <c r="S398" s="9" t="n"/>
      <c r="T398" s="10" t="n"/>
      <c r="U398" s="10" t="n"/>
      <c r="V398" s="9" t="n"/>
      <c r="W398" s="9" t="n"/>
      <c r="X398" s="9" t="n"/>
      <c r="Y398" s="9" t="n"/>
      <c r="Z398" s="11" t="n"/>
      <c r="AA398" s="11" t="n"/>
      <c r="AB398" s="11" t="n"/>
      <c r="AC398" s="11" t="n"/>
      <c r="AD398" s="11" t="n"/>
      <c r="AE398" s="11" t="n"/>
      <c r="AF398" s="9" t="n"/>
      <c r="AG398" s="9" t="n"/>
      <c r="AH398" s="9" t="n"/>
      <c r="AI398" s="9" t="n"/>
      <c r="AJ398" s="8" t="n"/>
      <c r="AK398" s="9" t="n"/>
      <c r="AL398" s="9" t="n"/>
      <c r="AM398" s="9" t="n"/>
      <c r="AN398" s="9" t="n"/>
      <c r="AO398" s="9" t="n"/>
      <c r="AP398" s="9" t="n"/>
      <c r="AQ398" s="9" t="n"/>
      <c r="AR398" s="9" t="n"/>
      <c r="AS398" s="9" t="n"/>
      <c r="AT398" s="8" t="n"/>
      <c r="AU398" s="8" t="n"/>
      <c r="AV398" s="9" t="n"/>
      <c r="AW398" s="8" t="n"/>
      <c r="AX398" s="9" t="n"/>
      <c r="AY398" s="9" t="n"/>
      <c r="AZ398" s="9" t="n"/>
      <c r="BA398" s="9" t="n"/>
      <c r="BB398" s="9" t="n"/>
      <c r="BC398" s="9" t="n"/>
      <c r="BD398" s="9" t="n"/>
      <c r="BE398" s="9" t="n"/>
      <c r="BF398" s="9" t="n"/>
      <c r="BG398" s="9" t="n"/>
      <c r="BH398" s="9" t="n"/>
      <c r="BI398" s="9" t="n"/>
      <c r="BJ398" s="9" t="n"/>
      <c r="BK398" s="9" t="n"/>
      <c r="BL398" s="9" t="n"/>
      <c r="BM398" s="9" t="n"/>
      <c r="BN398" s="9" t="n"/>
      <c r="BO398" s="8" t="n"/>
      <c r="BP398" s="9" t="n"/>
      <c r="BQ398" s="9" t="n"/>
      <c r="BR398" s="12">
        <f>IF(AND(AI398="Y",AK398="Y",AL398="Y",AM398="Y",AY398="Y",AZ398="Y",BA398="Y",BB398="Y",BC398="Y",BE398&lt;&gt;"Y",AX398&lt;&gt;"Y",BL398&lt;&gt;"Y",IF(AS398="Y",AV398="Y",TRUE)),"Y","N")</f>
        <v/>
      </c>
      <c r="BS398" s="12">
        <f>IF(AND(BR398="Y",OR(AND(BJ398="Y",BM398="Y"),AND(BK398="Y",BN398="Y"),AND(BJ398&lt;&gt;"Y",BK398&lt;&gt;"Y",OR(BM398="Y",BN398="Y")))),"Y","N")</f>
        <v/>
      </c>
      <c r="BT398" s="10" t="n"/>
      <c r="BU398" s="13" t="n"/>
      <c r="BV398" s="13" t="n"/>
      <c r="BW398" s="13" t="n"/>
      <c r="BX398" s="13" t="n"/>
      <c r="BY398" s="13" t="n"/>
      <c r="BZ398" s="13" t="n"/>
      <c r="CA398" s="14" t="n"/>
      <c r="CB398" s="13" t="n"/>
      <c r="CC398" s="9" t="n"/>
      <c r="CD398" s="9" t="n"/>
      <c r="CE398" s="9" t="n"/>
      <c r="CF398" s="9" t="n"/>
      <c r="CG398" s="9" t="n"/>
      <c r="CH398" s="9" t="n"/>
    </row>
    <row r="399">
      <c r="A399" s="8" t="n"/>
      <c r="B399" s="9" t="n"/>
      <c r="C399" s="9" t="n"/>
      <c r="D399" s="9" t="n"/>
      <c r="E399" s="9" t="n"/>
      <c r="F399" s="9" t="n"/>
      <c r="G399" s="9" t="n"/>
      <c r="H399" s="9" t="n"/>
      <c r="I399" s="9" t="n"/>
      <c r="J399" s="9" t="n"/>
      <c r="K399" s="8" t="n"/>
      <c r="L399" s="9" t="n"/>
      <c r="M399" s="8" t="n"/>
      <c r="N399" s="8" t="n"/>
      <c r="O399" s="8" t="n"/>
      <c r="P399" s="8" t="n"/>
      <c r="Q399" s="8" t="n"/>
      <c r="R399" s="9" t="n"/>
      <c r="S399" s="9" t="n"/>
      <c r="T399" s="10" t="n"/>
      <c r="U399" s="10" t="n"/>
      <c r="V399" s="9" t="n"/>
      <c r="W399" s="9" t="n"/>
      <c r="X399" s="9" t="n"/>
      <c r="Y399" s="9" t="n"/>
      <c r="Z399" s="11" t="n"/>
      <c r="AA399" s="11" t="n"/>
      <c r="AB399" s="11" t="n"/>
      <c r="AC399" s="11" t="n"/>
      <c r="AD399" s="11" t="n"/>
      <c r="AE399" s="11" t="n"/>
      <c r="AF399" s="9" t="n"/>
      <c r="AG399" s="9" t="n"/>
      <c r="AH399" s="9" t="n"/>
      <c r="AI399" s="9" t="n"/>
      <c r="AJ399" s="8" t="n"/>
      <c r="AK399" s="9" t="n"/>
      <c r="AL399" s="9" t="n"/>
      <c r="AM399" s="9" t="n"/>
      <c r="AN399" s="9" t="n"/>
      <c r="AO399" s="9" t="n"/>
      <c r="AP399" s="9" t="n"/>
      <c r="AQ399" s="9" t="n"/>
      <c r="AR399" s="9" t="n"/>
      <c r="AS399" s="9" t="n"/>
      <c r="AT399" s="8" t="n"/>
      <c r="AU399" s="8" t="n"/>
      <c r="AV399" s="9" t="n"/>
      <c r="AW399" s="8" t="n"/>
      <c r="AX399" s="9" t="n"/>
      <c r="AY399" s="9" t="n"/>
      <c r="AZ399" s="9" t="n"/>
      <c r="BA399" s="9" t="n"/>
      <c r="BB399" s="9" t="n"/>
      <c r="BC399" s="9" t="n"/>
      <c r="BD399" s="9" t="n"/>
      <c r="BE399" s="9" t="n"/>
      <c r="BF399" s="9" t="n"/>
      <c r="BG399" s="9" t="n"/>
      <c r="BH399" s="9" t="n"/>
      <c r="BI399" s="9" t="n"/>
      <c r="BJ399" s="9" t="n"/>
      <c r="BK399" s="9" t="n"/>
      <c r="BL399" s="9" t="n"/>
      <c r="BM399" s="9" t="n"/>
      <c r="BN399" s="9" t="n"/>
      <c r="BO399" s="8" t="n"/>
      <c r="BP399" s="9" t="n"/>
      <c r="BQ399" s="9" t="n"/>
      <c r="BR399" s="12">
        <f>IF(AND(AI399="Y",AK399="Y",AL399="Y",AM399="Y",AY399="Y",AZ399="Y",BA399="Y",BB399="Y",BC399="Y",BE399&lt;&gt;"Y",AX399&lt;&gt;"Y",BL399&lt;&gt;"Y",IF(AS399="Y",AV399="Y",TRUE)),"Y","N")</f>
        <v/>
      </c>
      <c r="BS399" s="12">
        <f>IF(AND(BR399="Y",OR(AND(BJ399="Y",BM399="Y"),AND(BK399="Y",BN399="Y"),AND(BJ399&lt;&gt;"Y",BK399&lt;&gt;"Y",OR(BM399="Y",BN399="Y")))),"Y","N")</f>
        <v/>
      </c>
      <c r="BT399" s="10" t="n"/>
      <c r="BU399" s="13" t="n"/>
      <c r="BV399" s="13" t="n"/>
      <c r="BW399" s="13" t="n"/>
      <c r="BX399" s="13" t="n"/>
      <c r="BY399" s="13" t="n"/>
      <c r="BZ399" s="13" t="n"/>
      <c r="CA399" s="14" t="n"/>
      <c r="CB399" s="13" t="n"/>
      <c r="CC399" s="9" t="n"/>
      <c r="CD399" s="9" t="n"/>
      <c r="CE399" s="9" t="n"/>
      <c r="CF399" s="9" t="n"/>
      <c r="CG399" s="9" t="n"/>
      <c r="CH399" s="9" t="n"/>
    </row>
    <row r="400">
      <c r="A400" s="8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8" t="n"/>
      <c r="L400" s="9" t="n"/>
      <c r="M400" s="8" t="n"/>
      <c r="N400" s="8" t="n"/>
      <c r="O400" s="8" t="n"/>
      <c r="P400" s="8" t="n"/>
      <c r="Q400" s="8" t="n"/>
      <c r="R400" s="9" t="n"/>
      <c r="S400" s="9" t="n"/>
      <c r="T400" s="10" t="n"/>
      <c r="U400" s="10" t="n"/>
      <c r="V400" s="9" t="n"/>
      <c r="W400" s="9" t="n"/>
      <c r="X400" s="9" t="n"/>
      <c r="Y400" s="9" t="n"/>
      <c r="Z400" s="11" t="n"/>
      <c r="AA400" s="11" t="n"/>
      <c r="AB400" s="11" t="n"/>
      <c r="AC400" s="11" t="n"/>
      <c r="AD400" s="11" t="n"/>
      <c r="AE400" s="11" t="n"/>
      <c r="AF400" s="9" t="n"/>
      <c r="AG400" s="9" t="n"/>
      <c r="AH400" s="9" t="n"/>
      <c r="AI400" s="9" t="n"/>
      <c r="AJ400" s="8" t="n"/>
      <c r="AK400" s="9" t="n"/>
      <c r="AL400" s="9" t="n"/>
      <c r="AM400" s="9" t="n"/>
      <c r="AN400" s="9" t="n"/>
      <c r="AO400" s="9" t="n"/>
      <c r="AP400" s="9" t="n"/>
      <c r="AQ400" s="9" t="n"/>
      <c r="AR400" s="9" t="n"/>
      <c r="AS400" s="9" t="n"/>
      <c r="AT400" s="8" t="n"/>
      <c r="AU400" s="8" t="n"/>
      <c r="AV400" s="9" t="n"/>
      <c r="AW400" s="8" t="n"/>
      <c r="AX400" s="9" t="n"/>
      <c r="AY400" s="9" t="n"/>
      <c r="AZ400" s="9" t="n"/>
      <c r="BA400" s="9" t="n"/>
      <c r="BB400" s="9" t="n"/>
      <c r="BC400" s="9" t="n"/>
      <c r="BD400" s="9" t="n"/>
      <c r="BE400" s="9" t="n"/>
      <c r="BF400" s="9" t="n"/>
      <c r="BG400" s="9" t="n"/>
      <c r="BH400" s="9" t="n"/>
      <c r="BI400" s="9" t="n"/>
      <c r="BJ400" s="9" t="n"/>
      <c r="BK400" s="9" t="n"/>
      <c r="BL400" s="9" t="n"/>
      <c r="BM400" s="9" t="n"/>
      <c r="BN400" s="9" t="n"/>
      <c r="BO400" s="8" t="n"/>
      <c r="BP400" s="9" t="n"/>
      <c r="BQ400" s="9" t="n"/>
      <c r="BR400" s="12">
        <f>IF(AND(AI400="Y",AK400="Y",AL400="Y",AM400="Y",AY400="Y",AZ400="Y",BA400="Y",BB400="Y",BC400="Y",BE400&lt;&gt;"Y",AX400&lt;&gt;"Y",BL400&lt;&gt;"Y",IF(AS400="Y",AV400="Y",TRUE)),"Y","N")</f>
        <v/>
      </c>
      <c r="BS400" s="12">
        <f>IF(AND(BR400="Y",OR(AND(BJ400="Y",BM400="Y"),AND(BK400="Y",BN400="Y"),AND(BJ400&lt;&gt;"Y",BK400&lt;&gt;"Y",OR(BM400="Y",BN400="Y")))),"Y","N")</f>
        <v/>
      </c>
      <c r="BT400" s="10" t="n"/>
      <c r="BU400" s="13" t="n"/>
      <c r="BV400" s="13" t="n"/>
      <c r="BW400" s="13" t="n"/>
      <c r="BX400" s="13" t="n"/>
      <c r="BY400" s="13" t="n"/>
      <c r="BZ400" s="13" t="n"/>
      <c r="CA400" s="14" t="n"/>
      <c r="CB400" s="13" t="n"/>
      <c r="CC400" s="9" t="n"/>
      <c r="CD400" s="9" t="n"/>
      <c r="CE400" s="9" t="n"/>
      <c r="CF400" s="9" t="n"/>
      <c r="CG400" s="9" t="n"/>
      <c r="CH400" s="9" t="n"/>
    </row>
    <row r="401">
      <c r="A401" s="8" t="n"/>
      <c r="B401" s="9" t="n"/>
      <c r="C401" s="9" t="n"/>
      <c r="D401" s="9" t="n"/>
      <c r="E401" s="9" t="n"/>
      <c r="F401" s="9" t="n"/>
      <c r="G401" s="9" t="n"/>
      <c r="H401" s="9" t="n"/>
      <c r="I401" s="9" t="n"/>
      <c r="J401" s="9" t="n"/>
      <c r="K401" s="8" t="n"/>
      <c r="L401" s="9" t="n"/>
      <c r="M401" s="8" t="n"/>
      <c r="N401" s="8" t="n"/>
      <c r="O401" s="8" t="n"/>
      <c r="P401" s="8" t="n"/>
      <c r="Q401" s="8" t="n"/>
      <c r="R401" s="9" t="n"/>
      <c r="S401" s="9" t="n"/>
      <c r="T401" s="10" t="n"/>
      <c r="U401" s="10" t="n"/>
      <c r="V401" s="9" t="n"/>
      <c r="W401" s="9" t="n"/>
      <c r="X401" s="9" t="n"/>
      <c r="Y401" s="9" t="n"/>
      <c r="Z401" s="11" t="n"/>
      <c r="AA401" s="11" t="n"/>
      <c r="AB401" s="11" t="n"/>
      <c r="AC401" s="11" t="n"/>
      <c r="AD401" s="11" t="n"/>
      <c r="AE401" s="11" t="n"/>
      <c r="AF401" s="9" t="n"/>
      <c r="AG401" s="9" t="n"/>
      <c r="AH401" s="9" t="n"/>
      <c r="AI401" s="9" t="n"/>
      <c r="AJ401" s="8" t="n"/>
      <c r="AK401" s="9" t="n"/>
      <c r="AL401" s="9" t="n"/>
      <c r="AM401" s="9" t="n"/>
      <c r="AN401" s="9" t="n"/>
      <c r="AO401" s="9" t="n"/>
      <c r="AP401" s="9" t="n"/>
      <c r="AQ401" s="9" t="n"/>
      <c r="AR401" s="9" t="n"/>
      <c r="AS401" s="9" t="n"/>
      <c r="AT401" s="8" t="n"/>
      <c r="AU401" s="8" t="n"/>
      <c r="AV401" s="9" t="n"/>
      <c r="AW401" s="8" t="n"/>
      <c r="AX401" s="9" t="n"/>
      <c r="AY401" s="9" t="n"/>
      <c r="AZ401" s="9" t="n"/>
      <c r="BA401" s="9" t="n"/>
      <c r="BB401" s="9" t="n"/>
      <c r="BC401" s="9" t="n"/>
      <c r="BD401" s="9" t="n"/>
      <c r="BE401" s="9" t="n"/>
      <c r="BF401" s="9" t="n"/>
      <c r="BG401" s="9" t="n"/>
      <c r="BH401" s="9" t="n"/>
      <c r="BI401" s="9" t="n"/>
      <c r="BJ401" s="9" t="n"/>
      <c r="BK401" s="9" t="n"/>
      <c r="BL401" s="9" t="n"/>
      <c r="BM401" s="9" t="n"/>
      <c r="BN401" s="9" t="n"/>
      <c r="BO401" s="8" t="n"/>
      <c r="BP401" s="9" t="n"/>
      <c r="BQ401" s="9" t="n"/>
      <c r="BR401" s="12">
        <f>IF(AND(AI401="Y",AK401="Y",AL401="Y",AM401="Y",AY401="Y",AZ401="Y",BA401="Y",BB401="Y",BC401="Y",BE401&lt;&gt;"Y",AX401&lt;&gt;"Y",BL401&lt;&gt;"Y",IF(AS401="Y",AV401="Y",TRUE)),"Y","N")</f>
        <v/>
      </c>
      <c r="BS401" s="12">
        <f>IF(AND(BR401="Y",OR(AND(BJ401="Y",BM401="Y"),AND(BK401="Y",BN401="Y"),AND(BJ401&lt;&gt;"Y",BK401&lt;&gt;"Y",OR(BM401="Y",BN401="Y")))),"Y","N")</f>
        <v/>
      </c>
      <c r="BT401" s="10" t="n"/>
      <c r="BU401" s="13" t="n"/>
      <c r="BV401" s="13" t="n"/>
      <c r="BW401" s="13" t="n"/>
      <c r="BX401" s="13" t="n"/>
      <c r="BY401" s="13" t="n"/>
      <c r="BZ401" s="13" t="n"/>
      <c r="CA401" s="14" t="n"/>
      <c r="CB401" s="13" t="n"/>
      <c r="CC401" s="9" t="n"/>
      <c r="CD401" s="9" t="n"/>
      <c r="CE401" s="9" t="n"/>
      <c r="CF401" s="9" t="n"/>
      <c r="CG401" s="9" t="n"/>
      <c r="CH401" s="9" t="n"/>
    </row>
    <row r="402">
      <c r="A402" s="8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8" t="n"/>
      <c r="L402" s="9" t="n"/>
      <c r="M402" s="8" t="n"/>
      <c r="N402" s="8" t="n"/>
      <c r="O402" s="8" t="n"/>
      <c r="P402" s="8" t="n"/>
      <c r="Q402" s="8" t="n"/>
      <c r="R402" s="9" t="n"/>
      <c r="S402" s="9" t="n"/>
      <c r="T402" s="10" t="n"/>
      <c r="U402" s="10" t="n"/>
      <c r="V402" s="9" t="n"/>
      <c r="W402" s="9" t="n"/>
      <c r="X402" s="9" t="n"/>
      <c r="Y402" s="9" t="n"/>
      <c r="Z402" s="11" t="n"/>
      <c r="AA402" s="11" t="n"/>
      <c r="AB402" s="11" t="n"/>
      <c r="AC402" s="11" t="n"/>
      <c r="AD402" s="11" t="n"/>
      <c r="AE402" s="11" t="n"/>
      <c r="AF402" s="9" t="n"/>
      <c r="AG402" s="9" t="n"/>
      <c r="AH402" s="9" t="n"/>
      <c r="AI402" s="9" t="n"/>
      <c r="AJ402" s="8" t="n"/>
      <c r="AK402" s="9" t="n"/>
      <c r="AL402" s="9" t="n"/>
      <c r="AM402" s="9" t="n"/>
      <c r="AN402" s="9" t="n"/>
      <c r="AO402" s="9" t="n"/>
      <c r="AP402" s="9" t="n"/>
      <c r="AQ402" s="9" t="n"/>
      <c r="AR402" s="9" t="n"/>
      <c r="AS402" s="9" t="n"/>
      <c r="AT402" s="8" t="n"/>
      <c r="AU402" s="8" t="n"/>
      <c r="AV402" s="9" t="n"/>
      <c r="AW402" s="8" t="n"/>
      <c r="AX402" s="9" t="n"/>
      <c r="AY402" s="9" t="n"/>
      <c r="AZ402" s="9" t="n"/>
      <c r="BA402" s="9" t="n"/>
      <c r="BB402" s="9" t="n"/>
      <c r="BC402" s="9" t="n"/>
      <c r="BD402" s="9" t="n"/>
      <c r="BE402" s="9" t="n"/>
      <c r="BF402" s="9" t="n"/>
      <c r="BG402" s="9" t="n"/>
      <c r="BH402" s="9" t="n"/>
      <c r="BI402" s="9" t="n"/>
      <c r="BJ402" s="9" t="n"/>
      <c r="BK402" s="9" t="n"/>
      <c r="BL402" s="9" t="n"/>
      <c r="BM402" s="9" t="n"/>
      <c r="BN402" s="9" t="n"/>
      <c r="BO402" s="8" t="n"/>
      <c r="BP402" s="9" t="n"/>
      <c r="BQ402" s="9" t="n"/>
      <c r="BR402" s="12">
        <f>IF(AND(AI402="Y",AK402="Y",AL402="Y",AM402="Y",AY402="Y",AZ402="Y",BA402="Y",BB402="Y",BC402="Y",BE402&lt;&gt;"Y",AX402&lt;&gt;"Y",BL402&lt;&gt;"Y",IF(AS402="Y",AV402="Y",TRUE)),"Y","N")</f>
        <v/>
      </c>
      <c r="BS402" s="12">
        <f>IF(AND(BR402="Y",OR(AND(BJ402="Y",BM402="Y"),AND(BK402="Y",BN402="Y"),AND(BJ402&lt;&gt;"Y",BK402&lt;&gt;"Y",OR(BM402="Y",BN402="Y")))),"Y","N")</f>
        <v/>
      </c>
      <c r="BT402" s="10" t="n"/>
      <c r="BU402" s="13" t="n"/>
      <c r="BV402" s="13" t="n"/>
      <c r="BW402" s="13" t="n"/>
      <c r="BX402" s="13" t="n"/>
      <c r="BY402" s="13" t="n"/>
      <c r="BZ402" s="13" t="n"/>
      <c r="CA402" s="14" t="n"/>
      <c r="CB402" s="13" t="n"/>
      <c r="CC402" s="9" t="n"/>
      <c r="CD402" s="9" t="n"/>
      <c r="CE402" s="9" t="n"/>
      <c r="CF402" s="9" t="n"/>
      <c r="CG402" s="9" t="n"/>
      <c r="CH402" s="9" t="n"/>
    </row>
    <row r="403">
      <c r="A403" s="8" t="n"/>
      <c r="B403" s="9" t="n"/>
      <c r="C403" s="9" t="n"/>
      <c r="D403" s="9" t="n"/>
      <c r="E403" s="9" t="n"/>
      <c r="F403" s="9" t="n"/>
      <c r="G403" s="9" t="n"/>
      <c r="H403" s="9" t="n"/>
      <c r="I403" s="9" t="n"/>
      <c r="J403" s="9" t="n"/>
      <c r="K403" s="8" t="n"/>
      <c r="L403" s="9" t="n"/>
      <c r="M403" s="8" t="n"/>
      <c r="N403" s="8" t="n"/>
      <c r="O403" s="8" t="n"/>
      <c r="P403" s="8" t="n"/>
      <c r="Q403" s="8" t="n"/>
      <c r="R403" s="9" t="n"/>
      <c r="S403" s="9" t="n"/>
      <c r="T403" s="10" t="n"/>
      <c r="U403" s="10" t="n"/>
      <c r="V403" s="9" t="n"/>
      <c r="W403" s="9" t="n"/>
      <c r="X403" s="9" t="n"/>
      <c r="Y403" s="9" t="n"/>
      <c r="Z403" s="11" t="n"/>
      <c r="AA403" s="11" t="n"/>
      <c r="AB403" s="11" t="n"/>
      <c r="AC403" s="11" t="n"/>
      <c r="AD403" s="11" t="n"/>
      <c r="AE403" s="11" t="n"/>
      <c r="AF403" s="9" t="n"/>
      <c r="AG403" s="9" t="n"/>
      <c r="AH403" s="9" t="n"/>
      <c r="AI403" s="9" t="n"/>
      <c r="AJ403" s="8" t="n"/>
      <c r="AK403" s="9" t="n"/>
      <c r="AL403" s="9" t="n"/>
      <c r="AM403" s="9" t="n"/>
      <c r="AN403" s="9" t="n"/>
      <c r="AO403" s="9" t="n"/>
      <c r="AP403" s="9" t="n"/>
      <c r="AQ403" s="9" t="n"/>
      <c r="AR403" s="9" t="n"/>
      <c r="AS403" s="9" t="n"/>
      <c r="AT403" s="8" t="n"/>
      <c r="AU403" s="8" t="n"/>
      <c r="AV403" s="9" t="n"/>
      <c r="AW403" s="8" t="n"/>
      <c r="AX403" s="9" t="n"/>
      <c r="AY403" s="9" t="n"/>
      <c r="AZ403" s="9" t="n"/>
      <c r="BA403" s="9" t="n"/>
      <c r="BB403" s="9" t="n"/>
      <c r="BC403" s="9" t="n"/>
      <c r="BD403" s="9" t="n"/>
      <c r="BE403" s="9" t="n"/>
      <c r="BF403" s="9" t="n"/>
      <c r="BG403" s="9" t="n"/>
      <c r="BH403" s="9" t="n"/>
      <c r="BI403" s="9" t="n"/>
      <c r="BJ403" s="9" t="n"/>
      <c r="BK403" s="9" t="n"/>
      <c r="BL403" s="9" t="n"/>
      <c r="BM403" s="9" t="n"/>
      <c r="BN403" s="9" t="n"/>
      <c r="BO403" s="8" t="n"/>
      <c r="BP403" s="9" t="n"/>
      <c r="BQ403" s="9" t="n"/>
      <c r="BR403" s="12">
        <f>IF(AND(AI403="Y",AK403="Y",AL403="Y",AM403="Y",AY403="Y",AZ403="Y",BA403="Y",BB403="Y",BC403="Y",BE403&lt;&gt;"Y",AX403&lt;&gt;"Y",BL403&lt;&gt;"Y",IF(AS403="Y",AV403="Y",TRUE)),"Y","N")</f>
        <v/>
      </c>
      <c r="BS403" s="12">
        <f>IF(AND(BR403="Y",OR(AND(BJ403="Y",BM403="Y"),AND(BK403="Y",BN403="Y"),AND(BJ403&lt;&gt;"Y",BK403&lt;&gt;"Y",OR(BM403="Y",BN403="Y")))),"Y","N")</f>
        <v/>
      </c>
      <c r="BT403" s="10" t="n"/>
      <c r="BU403" s="13" t="n"/>
      <c r="BV403" s="13" t="n"/>
      <c r="BW403" s="13" t="n"/>
      <c r="BX403" s="13" t="n"/>
      <c r="BY403" s="13" t="n"/>
      <c r="BZ403" s="13" t="n"/>
      <c r="CA403" s="14" t="n"/>
      <c r="CB403" s="13" t="n"/>
      <c r="CC403" s="9" t="n"/>
      <c r="CD403" s="9" t="n"/>
      <c r="CE403" s="9" t="n"/>
      <c r="CF403" s="9" t="n"/>
      <c r="CG403" s="9" t="n"/>
      <c r="CH403" s="9" t="n"/>
    </row>
  </sheetData>
  <mergeCells count="11">
    <mergeCell ref="BU2:CB2"/>
    <mergeCell ref="R2:W2"/>
    <mergeCell ref="BO2:BT2"/>
    <mergeCell ref="AI2:BA2"/>
    <mergeCell ref="CC2:CH2"/>
    <mergeCell ref="A1:CH1"/>
    <mergeCell ref="X2:AH2"/>
    <mergeCell ref="BB2:BI2"/>
    <mergeCell ref="BJ2:BN2"/>
    <mergeCell ref="A2:J2"/>
    <mergeCell ref="K2:Q2"/>
  </mergeCells>
  <pageMargins left="0.7" right="0.7" top="0.75" bottom="0.75" header="0.3" footer="0.3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38" customWidth="1" style="23" min="1" max="1"/>
    <col width="34" customWidth="1" style="23" min="2" max="2"/>
    <col width="55" customWidth="1" style="23" min="3" max="3"/>
    <col width="15" customWidth="1" style="23" min="4" max="4"/>
    <col width="28" customWidth="1" style="23" min="5" max="5"/>
  </cols>
  <sheetData>
    <row r="1">
      <c r="A1" t="inlineStr">
        <is>
          <t>Raw status log column</t>
        </is>
      </c>
      <c r="B1" t="inlineStr">
        <is>
          <t>Template column</t>
        </is>
      </c>
      <c r="C1" t="inlineStr">
        <is>
          <t>Mapping / transformation</t>
        </is>
      </c>
      <c r="D1" t="inlineStr">
        <is>
          <t>Loaded from logs?</t>
        </is>
      </c>
      <c r="E1" t="inlineStr">
        <is>
          <t>Notes</t>
        </is>
      </c>
    </row>
    <row r="2">
      <c r="A2" t="inlineStr">
        <is>
          <t>TDHCA Number</t>
        </is>
      </c>
      <c r="B2" t="inlineStr">
        <is>
          <t>tdhca_number</t>
        </is>
      </c>
      <c r="C2" t="inlineStr">
        <is>
          <t>Direct copy as text</t>
        </is>
      </c>
      <c r="D2" t="inlineStr">
        <is>
          <t>Y</t>
        </is>
      </c>
      <c r="E2" t="inlineStr">
        <is>
          <t>Primary key</t>
        </is>
      </c>
    </row>
    <row r="3">
      <c r="A3" t="inlineStr">
        <is>
          <t>Previous TDHCA #</t>
        </is>
      </c>
      <c r="B3" t="inlineStr">
        <is>
          <t>previous_tdhca_number</t>
        </is>
      </c>
      <c r="C3" t="inlineStr">
        <is>
          <t>Direct copy</t>
        </is>
      </c>
      <c r="D3" t="inlineStr">
        <is>
          <t>Y</t>
        </is>
      </c>
    </row>
    <row r="4">
      <c r="A4" t="inlineStr">
        <is>
          <t>Development Name</t>
        </is>
      </c>
      <c r="B4" t="inlineStr">
        <is>
          <t>development_name</t>
        </is>
      </c>
      <c r="C4" t="inlineStr">
        <is>
          <t>Direct copy</t>
        </is>
      </c>
      <c r="D4" t="inlineStr">
        <is>
          <t>Y</t>
        </is>
      </c>
    </row>
    <row r="5">
      <c r="A5" t="inlineStr">
        <is>
          <t>Development City</t>
        </is>
      </c>
      <c r="B5" t="inlineStr">
        <is>
          <t>development_city</t>
        </is>
      </c>
      <c r="C5" t="inlineStr">
        <is>
          <t>Direct copy</t>
        </is>
      </c>
      <c r="D5" t="inlineStr">
        <is>
          <t>Y</t>
        </is>
      </c>
    </row>
    <row r="6">
      <c r="A6" t="inlineStr">
        <is>
          <t>Development County</t>
        </is>
      </c>
      <c r="B6" t="inlineStr">
        <is>
          <t>development_county</t>
        </is>
      </c>
      <c r="C6" t="inlineStr">
        <is>
          <t>Direct copy</t>
        </is>
      </c>
      <c r="D6" t="inlineStr">
        <is>
          <t>Y</t>
        </is>
      </c>
    </row>
    <row r="7">
      <c r="A7" t="inlineStr">
        <is>
          <t>Development Region</t>
        </is>
      </c>
      <c r="B7" t="inlineStr">
        <is>
          <t>development_region</t>
        </is>
      </c>
      <c r="C7" t="inlineStr">
        <is>
          <t>Direct copy</t>
        </is>
      </c>
      <c r="D7" t="inlineStr">
        <is>
          <t>Y</t>
        </is>
      </c>
    </row>
    <row r="8">
      <c r="A8" t="inlineStr">
        <is>
          <t>Full Application Submission Date</t>
        </is>
      </c>
      <c r="B8" t="inlineStr">
        <is>
          <t>full_application_submission_date</t>
        </is>
      </c>
      <c r="C8" t="inlineStr">
        <is>
          <t>Direct copy</t>
        </is>
      </c>
      <c r="D8" t="inlineStr">
        <is>
          <t>Y</t>
        </is>
      </c>
    </row>
    <row r="9">
      <c r="A9" t="inlineStr">
        <is>
          <t>Board Meeting Date (Deals that Require Board Action)1</t>
        </is>
      </c>
      <c r="B9" t="inlineStr">
        <is>
          <t>board_meeting_date_current</t>
        </is>
      </c>
      <c r="C9" t="inlineStr">
        <is>
          <t>Direct copy</t>
        </is>
      </c>
      <c r="D9" t="inlineStr">
        <is>
          <t>Y</t>
        </is>
      </c>
      <c r="E9" t="inlineStr">
        <is>
          <t>May contain TBD</t>
        </is>
      </c>
    </row>
    <row r="10">
      <c r="A10" t="inlineStr">
        <is>
          <t>Determination Notice Issuance Date (Streamline Deals Only)</t>
        </is>
      </c>
      <c r="B10" t="inlineStr">
        <is>
          <t>determination_notice_issuance_date_current</t>
        </is>
      </c>
      <c r="C10" t="inlineStr">
        <is>
          <t>Direct copy</t>
        </is>
      </c>
      <c r="D10" t="inlineStr">
        <is>
          <t>Y</t>
        </is>
      </c>
    </row>
    <row r="11">
      <c r="A11" t="inlineStr">
        <is>
          <t>Application Status2</t>
        </is>
      </c>
      <c r="B11" t="inlineStr">
        <is>
          <t>application_status_current</t>
        </is>
      </c>
      <c r="C11" t="inlineStr">
        <is>
          <t>Direct copy of raw status</t>
        </is>
      </c>
      <c r="D11" t="inlineStr">
        <is>
          <t>Y</t>
        </is>
      </c>
      <c r="E11" t="inlineStr">
        <is>
          <t>Lookup list expanded to include Active, Approved, Withdrawn, Pre-Application, Closed</t>
        </is>
      </c>
    </row>
    <row r="12">
      <c r="A12" t="inlineStr">
        <is>
          <t>Construction Type</t>
        </is>
      </c>
      <c r="B12" t="inlineStr">
        <is>
          <t>construction_type</t>
        </is>
      </c>
      <c r="C12" t="inlineStr">
        <is>
          <t>NC -&gt; New Construction; Acq/Rehab unchanged</t>
        </is>
      </c>
      <c r="D12" t="inlineStr">
        <is>
          <t>Y</t>
        </is>
      </c>
    </row>
    <row r="13">
      <c r="A13" t="inlineStr">
        <is>
          <t>Target Population</t>
        </is>
      </c>
      <c r="B13" t="inlineStr">
        <is>
          <t>target_population</t>
        </is>
      </c>
      <c r="C13" t="inlineStr">
        <is>
          <t>Direct copy</t>
        </is>
      </c>
      <c r="D13" t="inlineStr">
        <is>
          <t>Y</t>
        </is>
      </c>
    </row>
    <row r="14">
      <c r="A14" t="inlineStr">
        <is>
          <t>Total Units</t>
        </is>
      </c>
      <c r="B14" t="inlineStr">
        <is>
          <t>total_units</t>
        </is>
      </c>
      <c r="C14" t="inlineStr">
        <is>
          <t>Direct copy</t>
        </is>
      </c>
      <c r="D14" t="inlineStr">
        <is>
          <t>Y</t>
        </is>
      </c>
    </row>
    <row r="15">
      <c r="A15" t="inlineStr">
        <is>
          <t>Total Low-Income Units</t>
        </is>
      </c>
      <c r="B15" t="inlineStr">
        <is>
          <t>total_low_income_units</t>
        </is>
      </c>
      <c r="C15" t="inlineStr">
        <is>
          <t>Direct copy</t>
        </is>
      </c>
      <c r="D15" t="inlineStr">
        <is>
          <t>Y</t>
        </is>
      </c>
    </row>
    <row r="16">
      <c r="A16" t="inlineStr">
        <is>
          <t>Bond Reservation Date (MM/DD/YYYY)</t>
        </is>
      </c>
      <c r="B16" t="inlineStr">
        <is>
          <t>bond_reservation_date_current</t>
        </is>
      </c>
      <c r="C16" t="inlineStr">
        <is>
          <t>Direct copy</t>
        </is>
      </c>
      <c r="D16" t="inlineStr">
        <is>
          <t>Y</t>
        </is>
      </c>
      <c r="E16" t="inlineStr">
        <is>
          <t>May contain TBD</t>
        </is>
      </c>
    </row>
    <row r="17">
      <c r="A17" t="inlineStr">
        <is>
          <t>Bond Expiration Date (MM/DD/YYYY)</t>
        </is>
      </c>
      <c r="B17" t="inlineStr">
        <is>
          <t>bond_expiration_date_current</t>
        </is>
      </c>
      <c r="C17" t="inlineStr">
        <is>
          <t>Direct copy</t>
        </is>
      </c>
      <c r="D17" t="inlineStr">
        <is>
          <t>Y</t>
        </is>
      </c>
    </row>
    <row r="18">
      <c r="A18" t="inlineStr">
        <is>
          <t>Bond Reservation Amount</t>
        </is>
      </c>
      <c r="B18" t="inlineStr">
        <is>
          <t>bond_reservation_amount_requested</t>
        </is>
      </c>
      <c r="C18" t="inlineStr">
        <is>
          <t>Direct copy</t>
        </is>
      </c>
      <c r="D18" t="inlineStr">
        <is>
          <t>Y</t>
        </is>
      </c>
    </row>
    <row r="19">
      <c r="A19" t="inlineStr">
        <is>
          <t>Bond Issuer</t>
        </is>
      </c>
      <c r="B19" t="inlineStr">
        <is>
          <t>bond_issuer</t>
        </is>
      </c>
      <c r="C19" t="inlineStr">
        <is>
          <t>Direct copy</t>
        </is>
      </c>
      <c r="D19" t="inlineStr">
        <is>
          <t>Y</t>
        </is>
      </c>
    </row>
    <row r="20">
      <c r="A20" t="inlineStr">
        <is>
          <t>Bond Issuer</t>
        </is>
      </c>
      <c r="B20" t="inlineStr">
        <is>
          <t>bond_issuer_type</t>
        </is>
      </c>
      <c r="C20" t="inlineStr">
        <is>
          <t>Inferred: TDHCA -&gt; TDHCA; contains HFC -&gt; Local HFC; else Other</t>
        </is>
      </c>
      <c r="D20" t="inlineStr">
        <is>
          <t>Y</t>
        </is>
      </c>
      <c r="E20" t="inlineStr">
        <is>
          <t>Inference</t>
        </is>
      </c>
    </row>
    <row r="21">
      <c r="A21" t="inlineStr">
        <is>
          <t>Requested HTC Amount</t>
        </is>
      </c>
      <c r="B21" t="inlineStr">
        <is>
          <t>requested_htc_amount</t>
        </is>
      </c>
      <c r="C21" t="inlineStr">
        <is>
          <t>Direct copy</t>
        </is>
      </c>
      <c r="D21" t="inlineStr">
        <is>
          <t>Y</t>
        </is>
      </c>
    </row>
    <row r="22">
      <c r="A22" t="inlineStr">
        <is>
          <t>Recommended HTC Amount</t>
        </is>
      </c>
      <c r="B22" t="inlineStr">
        <is>
          <t>recommended_htc_amount</t>
        </is>
      </c>
      <c r="C22" t="inlineStr">
        <is>
          <t>Direct copy</t>
        </is>
      </c>
      <c r="D22" t="inlineStr">
        <is>
          <t>Y</t>
        </is>
      </c>
    </row>
    <row r="23">
      <c r="A23" t="inlineStr">
        <is>
          <t>Requested State Tax Credit Amount</t>
        </is>
      </c>
      <c r="B23" t="inlineStr">
        <is>
          <t>requested_state_tax_credit_amount</t>
        </is>
      </c>
      <c r="C23" t="inlineStr">
        <is>
          <t>Direct copy</t>
        </is>
      </c>
      <c r="D23" t="inlineStr">
        <is>
          <t>Y</t>
        </is>
      </c>
    </row>
    <row r="24">
      <c r="A24" t="inlineStr">
        <is>
          <t>Recommended State Tax Credit Amount</t>
        </is>
      </c>
      <c r="B24" t="inlineStr">
        <is>
          <t>recommended_state_tax_credit_amount</t>
        </is>
      </c>
      <c r="C24" t="inlineStr">
        <is>
          <t>Direct copy</t>
        </is>
      </c>
      <c r="D24" t="inlineStr">
        <is>
          <t>Y</t>
        </is>
      </c>
    </row>
    <row r="25">
      <c r="A25" t="inlineStr">
        <is>
          <t>Recommended Bond Amount3</t>
        </is>
      </c>
      <c r="B25" t="inlineStr">
        <is>
          <t>bond_amount_recommended</t>
        </is>
      </c>
      <c r="C25" t="inlineStr">
        <is>
          <t>Direct copy</t>
        </is>
      </c>
      <c r="D25" t="inlineStr">
        <is>
          <t>Y</t>
        </is>
      </c>
    </row>
    <row r="26">
      <c r="A26" t="inlineStr">
        <is>
          <t>Direct Loan Request (Y/N)</t>
        </is>
      </c>
      <c r="B26" t="inlineStr">
        <is>
          <t>direct_loan_request_flag</t>
        </is>
      </c>
      <c r="C26" t="inlineStr">
        <is>
          <t>Direct copy</t>
        </is>
      </c>
      <c r="D26" t="inlineStr">
        <is>
          <t>Y</t>
        </is>
      </c>
    </row>
    <row r="27">
      <c r="A27" t="inlineStr">
        <is>
          <t>Property Tax Exemption (Y/N)</t>
        </is>
      </c>
      <c r="B27" t="inlineStr">
        <is>
          <t>property_tax_exemption_flag</t>
        </is>
      </c>
      <c r="C27" t="inlineStr">
        <is>
          <t>Normalized Y (50%) / Y(50%) -&gt; Y</t>
        </is>
      </c>
      <c r="D27" t="inlineStr">
        <is>
          <t>Y</t>
        </is>
      </c>
      <c r="E27" t="inlineStr">
        <is>
          <t>Raw variant noted in notes column when present</t>
        </is>
      </c>
    </row>
    <row r="28">
      <c r="A28" t="inlineStr">
        <is>
          <t>Development Address</t>
        </is>
      </c>
      <c r="B28" t="inlineStr">
        <is>
          <t>development_address</t>
        </is>
      </c>
      <c r="C28" t="inlineStr">
        <is>
          <t>Direct copy</t>
        </is>
      </c>
      <c r="D28" t="inlineStr">
        <is>
          <t>Y</t>
        </is>
      </c>
    </row>
    <row r="29">
      <c r="A29" t="inlineStr">
        <is>
          <t>Development ZIP Code</t>
        </is>
      </c>
      <c r="B29" t="inlineStr">
        <is>
          <t>zip_code</t>
        </is>
      </c>
      <c r="C29" t="inlineStr">
        <is>
          <t>Direct copy</t>
        </is>
      </c>
      <c r="D29" t="inlineStr">
        <is>
          <t>Y</t>
        </is>
      </c>
    </row>
    <row r="30">
      <c r="A30" t="inlineStr">
        <is>
          <t>Applicant Contact</t>
        </is>
      </c>
      <c r="B30" t="inlineStr">
        <is>
          <t>applicant_contact</t>
        </is>
      </c>
      <c r="C30" t="inlineStr">
        <is>
          <t>Direct copy</t>
        </is>
      </c>
      <c r="D30" t="inlineStr">
        <is>
          <t>Y</t>
        </is>
      </c>
    </row>
    <row r="31">
      <c r="A31" t="inlineStr">
        <is>
          <t>Applicant Phone</t>
        </is>
      </c>
      <c r="B31" t="inlineStr">
        <is>
          <t>applicant_phone</t>
        </is>
      </c>
      <c r="C31" t="inlineStr">
        <is>
          <t>Direct copy</t>
        </is>
      </c>
      <c r="D31" t="inlineStr">
        <is>
          <t>Y</t>
        </is>
      </c>
    </row>
    <row r="32">
      <c r="A32" t="inlineStr">
        <is>
          <t>Applicant Email</t>
        </is>
      </c>
      <c r="B32" t="inlineStr">
        <is>
          <t>applicant_email</t>
        </is>
      </c>
      <c r="C32" t="inlineStr">
        <is>
          <t>Direct copy</t>
        </is>
      </c>
      <c r="D32" t="inlineStr">
        <is>
          <t>Y</t>
        </is>
      </c>
    </row>
    <row r="33">
      <c r="A33" t="inlineStr">
        <is>
          <t>Bond Issuer Contact</t>
        </is>
      </c>
      <c r="B33" t="inlineStr">
        <is>
          <t>bond_issuer_contact</t>
        </is>
      </c>
      <c r="C33" t="inlineStr">
        <is>
          <t>Direct copy</t>
        </is>
      </c>
      <c r="D33" t="inlineStr">
        <is>
          <t>Y</t>
        </is>
      </c>
    </row>
    <row r="34">
      <c r="A34" t="inlineStr">
        <is>
          <t>Bond Issuer Phone</t>
        </is>
      </c>
      <c r="B34" t="inlineStr">
        <is>
          <t>bond_issuer_phone</t>
        </is>
      </c>
      <c r="C34" t="inlineStr">
        <is>
          <t>Direct copy</t>
        </is>
      </c>
      <c r="D34" t="inlineStr">
        <is>
          <t>Y</t>
        </is>
      </c>
    </row>
    <row r="35">
      <c r="A35" t="inlineStr">
        <is>
          <t>(file date / sheet date)</t>
        </is>
      </c>
      <c r="B35" t="inlineStr">
        <is>
          <t>snapshot_date</t>
        </is>
      </c>
      <c r="C35" t="inlineStr">
        <is>
          <t>Loaded from source file date</t>
        </is>
      </c>
      <c r="D35" t="inlineStr">
        <is>
          <t>Y</t>
        </is>
      </c>
      <c r="E35" t="inlineStr">
        <is>
          <t>2025-01-30, 2025-03-10, 2026-02-10</t>
        </is>
      </c>
    </row>
    <row r="36">
      <c r="A36" t="inlineStr">
        <is>
          <t>(file date / sheet date)</t>
        </is>
      </c>
      <c r="B36" t="inlineStr">
        <is>
          <t>application_source_log</t>
        </is>
      </c>
      <c r="C36" t="inlineStr">
        <is>
          <t>Same as snapshot_date</t>
        </is>
      </c>
      <c r="D36" t="inlineStr">
        <is>
          <t>Y</t>
        </is>
      </c>
    </row>
    <row r="37">
      <c r="A37" t="inlineStr">
        <is>
          <t>(derived)</t>
        </is>
      </c>
      <c r="B37" t="inlineStr">
        <is>
          <t>pipeline_entry_date</t>
        </is>
      </c>
      <c r="C37" t="inlineStr">
        <is>
          <t>Set equal to full_application_submission_date</t>
        </is>
      </c>
      <c r="D37" t="inlineStr">
        <is>
          <t>Y</t>
        </is>
      </c>
    </row>
    <row r="38">
      <c r="A38" t="inlineStr">
        <is>
          <t>(derived relative to prior uploaded snapshot)</t>
        </is>
      </c>
      <c r="B38" t="inlineStr">
        <is>
          <t>carryforward_from_prior_log_flag</t>
        </is>
      </c>
      <c r="C38" t="inlineStr">
        <is>
          <t>Y if TDHCA number appears in earlier uploaded snapshot; else N</t>
        </is>
      </c>
      <c r="D38" t="inlineStr">
        <is>
          <t>Y</t>
        </is>
      </c>
      <c r="E38" t="inlineStr">
        <is>
          <t>For 2025-03-10 compared to 2025-01-30; for 2026-02-10 compared to earlier uploaded snapshots</t>
        </is>
      </c>
    </row>
    <row r="39">
      <c r="A39" t="inlineStr">
        <is>
          <t>(derived relative to prior uploaded snapshot)</t>
        </is>
      </c>
      <c r="B39" t="inlineStr">
        <is>
          <t>new_project_this_snapshot_flag</t>
        </is>
      </c>
      <c r="C39" t="inlineStr">
        <is>
          <t>Inverse of carryforward flag</t>
        </is>
      </c>
      <c r="D39" t="inlineStr">
        <is>
          <t>Y</t>
        </is>
      </c>
    </row>
    <row r="40">
      <c r="A40" t="inlineStr">
        <is>
          <t>(derived)</t>
        </is>
      </c>
      <c r="B40" t="inlineStr">
        <is>
          <t>pipeline_seniority_rank_manual</t>
        </is>
      </c>
      <c r="C40" t="inlineStr">
        <is>
          <t>Rank by pipeline_entry_date ascending, TDHCA number tie-break</t>
        </is>
      </c>
      <c r="D40" t="inlineStr">
        <is>
          <t>Y</t>
        </is>
      </c>
      <c r="E40" t="inlineStr">
        <is>
          <t>Seed value only</t>
        </is>
      </c>
    </row>
    <row r="41">
      <c r="A41" t="inlineStr">
        <is>
          <t>(not in logs)</t>
        </is>
      </c>
      <c r="B41" t="inlineStr">
        <is>
          <t>site_control_valid_flag</t>
        </is>
      </c>
      <c r="C41" t="inlineStr">
        <is>
          <t>Blank for manual completion</t>
        </is>
      </c>
      <c r="D41" t="inlineStr">
        <is>
          <t>N</t>
        </is>
      </c>
      <c r="E41" t="inlineStr">
        <is>
          <t>QAP/manual input</t>
        </is>
      </c>
    </row>
    <row r="42">
      <c r="A42" t="inlineStr">
        <is>
          <t>(not in logs)</t>
        </is>
      </c>
      <c r="B42" t="inlineStr">
        <is>
          <t>resolutions_complete_flag</t>
        </is>
      </c>
      <c r="C42" t="inlineStr">
        <is>
          <t>Blank for manual completion</t>
        </is>
      </c>
      <c r="D42" t="inlineStr">
        <is>
          <t>N</t>
        </is>
      </c>
      <c r="E42" t="inlineStr">
        <is>
          <t>QAP/manual input</t>
        </is>
      </c>
    </row>
    <row r="43">
      <c r="A43" t="inlineStr">
        <is>
          <t>(not in logs)</t>
        </is>
      </c>
      <c r="B43" t="inlineStr">
        <is>
          <t>third_party_reports_complete_flag</t>
        </is>
      </c>
      <c r="C43" t="inlineStr">
        <is>
          <t>Blank for manual completion</t>
        </is>
      </c>
      <c r="D43" t="inlineStr">
        <is>
          <t>N</t>
        </is>
      </c>
      <c r="E43" t="inlineStr">
        <is>
          <t>QAP/manual input</t>
        </is>
      </c>
    </row>
    <row r="44">
      <c r="A44" t="inlineStr">
        <is>
          <t>(not in logs)</t>
        </is>
      </c>
      <c r="B44" t="inlineStr">
        <is>
          <t>underwriting_pass_flag</t>
        </is>
      </c>
      <c r="C44" t="inlineStr">
        <is>
          <t>Blank for manual completion</t>
        </is>
      </c>
      <c r="D44" t="inlineStr">
        <is>
          <t>N</t>
        </is>
      </c>
      <c r="E44" t="inlineStr">
        <is>
          <t>QAP/manual input</t>
        </is>
      </c>
    </row>
    <row r="45">
      <c r="A45" t="inlineStr">
        <is>
          <t>(not in logs)</t>
        </is>
      </c>
      <c r="B45" t="inlineStr">
        <is>
          <t>deconcentration_compliant_flag</t>
        </is>
      </c>
      <c r="C45" t="inlineStr">
        <is>
          <t>Blank for manual completion</t>
        </is>
      </c>
      <c r="D45" t="inlineStr">
        <is>
          <t>N</t>
        </is>
      </c>
      <c r="E45" t="inlineStr">
        <is>
          <t>QAP/manual input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2026-03-20T02:40:48Z</dcterms:created>
  <dcterms:modified xsi:type="dcterms:W3CDTF">2026-03-23T04:45:47Z</dcterms:modified>
  <cp:lastModifiedBy>Jim Williams Jr.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0x010100CDA93702635EC1479BBD1D64DF3F32DC</vt:lpwstr>
  </property>
</Properties>
</file>